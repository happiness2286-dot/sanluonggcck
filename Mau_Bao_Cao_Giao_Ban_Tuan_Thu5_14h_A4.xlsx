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ONG BO\New Ha GCCK\Năm 2026\Dự Án AI_ Antigravity\SANLUONG2026\"/>
    </mc:Choice>
  </mc:AlternateContent>
  <xr:revisionPtr revIDLastSave="0" documentId="13_ncr:1_{4BB395AE-F3D1-41C3-BE74-276B1D2BFF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o_Cao_Giao_Ban_Tuan_A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F13" i="1"/>
  <c r="E13" i="1"/>
  <c r="D13" i="1"/>
</calcChain>
</file>

<file path=xl/sharedStrings.xml><?xml version="1.0" encoding="utf-8"?>
<sst xmlns="http://schemas.openxmlformats.org/spreadsheetml/2006/main" count="92" uniqueCount="87">
  <si>
    <t>BÁO CÁO GIAO BAN TUẦN PHÂN XƯỞNG CƠ KHÍ (ĐIỀU ĐỘ ĐA CÔNG ĐOẠN &amp; SUB-CON)</t>
  </si>
  <si>
    <t>NHÀ MÁY ĐÚC THÉP HỢP KIM &amp; CƠ KHÍ CHÍNH XÁC GCCK 2026 | HỌP GIAO BAN: 14:00 THỨ 5 (BÁO CÁO CÓ TRƯỚC 13:00) | QUẢN ĐỐC HOÀNG HÀ</t>
  </si>
  <si>
    <t>📅 Chu kỳ quét: 06:00 Thứ 5 tuần trước ➔ 08:30 Thứ 5 tuần này (7 ngày + đệm 2,5h Ca 3) | 17 Máy chạy 3 Ca</t>
  </si>
  <si>
    <t>🔄 Phân luồng: TP chuyển PX Hoàn Thiện | Phôi công đoạn chuyển vệ tinh Sub-con gia công tiếp</t>
  </si>
  <si>
    <t>I. QUÂN SỐ TRỰC TIẾP, CA CÔNG VÀ NHÂN LỰC TĂNG CA (DỮ LIỆU TỪ BẢNG CHẤM CÔNG THỰC TẾ)</t>
  </si>
  <si>
    <t>THỢ TRỰC TIẾP</t>
  </si>
  <si>
    <t>CÔNG CHUẨN (6 NGÀY)</t>
  </si>
  <si>
    <t>TĂNG CA NGÀY THƯỜNG</t>
  </si>
  <si>
    <t>TĂNG CA CHỦ NHẬT</t>
  </si>
  <si>
    <t>TỔNG GIỜ TC (QUY CÔNG)</t>
  </si>
  <si>
    <t>CÔNG ĐI LÀM THỰC TẾ</t>
  </si>
  <si>
    <t>SẢN LƯỢNG ĐẠT (OK TUẦN)</t>
  </si>
  <si>
    <t>SL HỎNG BỎ (NG TUẦN)</t>
  </si>
  <si>
    <t>12 Thợ (+1 QĐ)</t>
  </si>
  <si>
    <t>72 Công (576h)</t>
  </si>
  <si>
    <t>102,5 Giờ (TC 1,5)</t>
  </si>
  <si>
    <t>95,0 Giờ (~11 thợ CN)</t>
  </si>
  <si>
    <t>197,5h (~24,7 công TC)</t>
  </si>
  <si>
    <t>72 Công chuẩn + 24,7 TC</t>
  </si>
  <si>
    <t>1.785 Lượt g/c nguyên công</t>
  </si>
  <si>
    <t>24 CT (Tỷ lệ 1,33% &lt; 1,5%)</t>
  </si>
  <si>
    <t>💡 Vai trò 197,5h tăng ca: Tập trung máy tiện M01/M02 để gia công phôi công đoạn kịp chuyển vệ tinh Sub-con và cân bằng chuyền. Thiếu công lý do: [ ................................................................ ]</t>
  </si>
  <si>
    <t>II. TIẾN ĐỘ 3 KHÁCH HÀNG: THÀNH PHẨM, CÔNG ĐOẠN CHUYỂN SUB-CON &amp; % ĐẠT TIẾN ĐỘ</t>
  </si>
  <si>
    <t>STT</t>
  </si>
  <si>
    <t>Khách Hàng Trực Tiếp</t>
  </si>
  <si>
    <t>Định Biên Thợ (Công)</t>
  </si>
  <si>
    <t>KH Chuẩn (72 Công)</t>
  </si>
  <si>
    <t>TP Xong (Chuyển PX HT)</t>
  </si>
  <si>
    <t>Công Đoạn Chuyển Sub-con</t>
  </si>
  <si>
    <t>BTP Dở Dang Tại Xưởng</t>
  </si>
  <si>
    <t>% HOÀN THÀNH TIẾN ĐỘ</t>
  </si>
  <si>
    <t>Win-Win</t>
  </si>
  <si>
    <t>6 Thợ (36 công)</t>
  </si>
  <si>
    <t>Thyssen</t>
  </si>
  <si>
    <t>4 Thợ (24 công)</t>
  </si>
  <si>
    <t>Vico - QLTB</t>
  </si>
  <si>
    <t>2 Thợ (12 công)</t>
  </si>
  <si>
    <t>TỔNG 12 THỢ TRỰC TIẾP</t>
  </si>
  <si>
    <t>12 Thợ (72 công)</t>
  </si>
  <si>
    <t>124,7% (VƯỢT NHỜ OT)</t>
  </si>
  <si>
    <t>III. PHÁT SINH TRONG TUẦN &amp; TÌNH HÌNH CÂN BẰNG TẢI 17 MÁY</t>
  </si>
  <si>
    <t>CÂN BẰNG TẢI 17 MÁY:</t>
  </si>
  <si>
    <t>• NGHẼN TẢI: Tiện OKUMA M02 (206% - thiếu 102h), Tiện FUJI M01 (132% - thiếu 31h), Phay OKK3 M09 (121% - thiếu 21h).
• CÂN BẰNG CHUYỀN: Bố trí 102,5h tăng ca ngày thường và 95h Chủ Nhật (~11 thợ) gia công phôi công đoạn để chuyển Sub-con kịp tiến độ.
• DƯ CÔNG SUẤT: Cắt dây DK7745 (52%), Phay OKK2 (55%), Tiện T630 (22%) ➔ Bố trí làm dưỡng gá kẹp và phụ tùng.</t>
  </si>
  <si>
    <t>IV. KIỂM SOÁT PHẾ PHẨM QA/QC TRONG TUẦN (SOP 02) - TÍNH RIÊNG 7 NGÀY BÁO CÁO</t>
  </si>
  <si>
    <t>TỔNG HỢP PHẾ PHẨM TUẦN:
(Tính riêng chu kỳ 7 ngày)</t>
  </si>
  <si>
    <t>• Tổng SL bỏ (hỏng hủy NG) phát sinh trong tuần: 24 chi tiết (Tỷ lệ: 1,33% / Tổng 1.809 chi tiết đưa vào gia công).
• Phân loại lỗi thực tế theo SOP 02: 18 chi tiết do phôi đúc rỗ xỉ/nứt ngầm (Xưởng đúc chịu chi phí bù phôi) | 6 chi tiết do thợ thao tác sai kích thước (Thợ chịu trách nhiệm công đoạn, xưởng hỗ trợ để giữ nhịp độ).
• Trường hợp chưa xác định rõ nguồn gốc: Chờ KCS và Quản đốc lập biên bản NCR nghiệm thu phân định sau ca.</t>
  </si>
  <si>
    <t>V. QUYẾT ĐỊNH ĐIỀU HÀNH TẠI XƯỞNG CỦA QUẢN ĐỐC (ACTION PLAN)</t>
  </si>
  <si>
    <t>1. Bàn giao sản phẩm: Chuyển dứt điểm 517 TP Win-Win sang PX Hoàn Thiện; Bàn giao 300 phôi công đoạn Thyssen cho vệ tinh Sub-con.
2. Cân bằng chuyền &amp; Làm bù: Duy trì 102,5h tăng ca ngày thường và huy động ~11 thợ ngày Chủ Nhật để giải phóng 581 BTP dở dang.
3. Hỗ trợ kỹ thuật: Cắt dây DK7745 hoàn thành 100% dưỡng kiểm và dao định hình cho lô hàng Thyssen tuần tới.</t>
  </si>
  <si>
    <t>VI. KẾ HOẠCH TUẦN TIẾP THEO &amp; ĐỀ XUẤT THUÊ NGOÀI (CĂN CỨ 72 CÔNG CHUẨN + KẾ HOẠCH TĂNG CA)</t>
  </si>
  <si>
    <t>Phân Loại</t>
  </si>
  <si>
    <t>Khách Hàng</t>
  </si>
  <si>
    <t>Định Biên (Công)</t>
  </si>
  <si>
    <t>KH Chuẩn (6 Ngày)</t>
  </si>
  <si>
    <t>Kế Hoạch Tăng Ca / Bù</t>
  </si>
  <si>
    <t>Điểm Nghẽn Máy Móc</t>
  </si>
  <si>
    <t>Đề Xuất Thuê Ngoài (Sub-con)</t>
  </si>
  <si>
    <t>Đơn Vị / Vệ Tinh</t>
  </si>
  <si>
    <t>KẾ HOẠCH NỘI BỘ</t>
  </si>
  <si>
    <t>1. Win-Win</t>
  </si>
  <si>
    <t>TC ngày thường 50h</t>
  </si>
  <si>
    <t>Tiện CNC M01/M02 chạy hết tải</t>
  </si>
  <si>
    <t>Gia công nội bộ 100% tại xưởng (Ưu tiên số 1)</t>
  </si>
  <si>
    <t>Tổ Tiện 1 + Phay</t>
  </si>
  <si>
    <t>2. Thyssen</t>
  </si>
  <si>
    <t>TC thường 50h + CN (~11 thợ)</t>
  </si>
  <si>
    <t>Nghẽn tiện thô phôi đúc nặng</t>
  </si>
  <si>
    <t>Làm xong công đoạn tiện thô ➔ CHUYỂN SUB-CON gia công tiếp</t>
  </si>
  <si>
    <t>Vệ tinh: Cơ khí Việt Nhật</t>
  </si>
  <si>
    <t>3. Vico - QLTB</t>
  </si>
  <si>
    <t>Theo yêu cầu đột xuất</t>
  </si>
  <si>
    <t>Đột xuất bảo dưỡng lò đúc</t>
  </si>
  <si>
    <t>Gia công nội bộ trên máy tiện T630 &amp; phay đứng</t>
  </si>
  <si>
    <t>Tổ Tiện + Cắt dây</t>
  </si>
  <si>
    <t>ĐỀ XUẤT THUÊ NGOÀI
(KHÔNG VÀO ĐƯỢC LỊCH)</t>
  </si>
  <si>
    <t>Molycop, Tường Long,
UCC, Hải Vinh, TFG</t>
  </si>
  <si>
    <t>0 Thợ (Hết tải)</t>
  </si>
  <si>
    <t>Chuyển giao 100%
[....................]</t>
  </si>
  <si>
    <t>Không bố trí tăng ca
(dồn hết cho 3 khách trên)</t>
  </si>
  <si>
    <t>12 thợ trực tiếp đã dồn 100% công suất cho Win, Thyssen, Vico</t>
  </si>
  <si>
    <t>Thuê ngoài trọn gói chi tiết đơn lẻ để bảo đảm tiến độ giao hàng [Chi tiết: ....................................]</t>
  </si>
  <si>
    <t>Vệ tinh: Cơ khí Hoàng Phát
&amp; Cơ khí Tân Thành</t>
  </si>
  <si>
    <t>QUẢN ĐỐC PHÂN XƯỞNG CƠ KHÍ</t>
  </si>
  <si>
    <t>BAN GIÁM ĐỐC PHÊ DUYỆT CHỦ TRƯƠNG THUÊ NGOÀI</t>
  </si>
  <si>
    <t>(Ký, ghi rõ họ tên)</t>
  </si>
  <si>
    <t>(Ký duyệt ngân sách Sub-con)</t>
  </si>
  <si>
    <t>Quản Đốc Hoàng Hà</t>
  </si>
  <si>
    <t>....................................................................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</si>
</sst>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Roboto"/>
    </font>
    <font>
      <b/>
      <sz val="8.5"/>
      <color rgb="FFFFFFFF"/>
      <name val="Roboto"/>
    </font>
    <font>
      <sz val="7.5"/>
      <color rgb="FF475569"/>
      <name val="Roboto"/>
    </font>
    <font>
      <b/>
      <sz val="9"/>
      <color rgb="FFFFFFFF"/>
      <name val="Roboto"/>
    </font>
    <font>
      <b/>
      <sz val="7.5"/>
      <color rgb="FF475569"/>
      <name val="Roboto"/>
    </font>
    <font>
      <b/>
      <sz val="8"/>
      <color rgb="FF0F172A"/>
      <name val="Roboto"/>
    </font>
    <font>
      <b/>
      <sz val="8"/>
      <color rgb="FF1E40AF"/>
      <name val="Roboto"/>
    </font>
    <font>
      <b/>
      <sz val="8"/>
      <color rgb="FF991B1B"/>
      <name val="Roboto"/>
    </font>
    <font>
      <b/>
      <sz val="7.5"/>
      <color rgb="FFFFFFFF"/>
      <name val="Roboto"/>
    </font>
    <font>
      <sz val="8"/>
      <color rgb="FF0F172A"/>
      <name val="Roboto"/>
    </font>
    <font>
      <b/>
      <sz val="8.5"/>
      <color rgb="FF047857"/>
      <name val="Roboto"/>
    </font>
    <font>
      <b/>
      <sz val="8"/>
      <color rgb="FF1E3A8A"/>
      <name val="Roboto"/>
    </font>
    <font>
      <b/>
      <sz val="9"/>
      <color rgb="FF0F172A"/>
      <name val="Roboto"/>
    </font>
  </fonts>
  <fills count="13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065F46"/>
      </patternFill>
    </fill>
    <fill>
      <patternFill patternType="solid">
        <fgColor rgb="FF0F766E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D1FAE5"/>
      </patternFill>
    </fill>
    <fill>
      <patternFill patternType="solid">
        <fgColor rgb="FF1E40AF"/>
      </patternFill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3" fontId="10" fillId="6" borderId="1" xfId="0" applyNumberFormat="1" applyFont="1" applyFill="1" applyBorder="1" applyAlignment="1">
      <alignment horizontal="right" vertical="center"/>
    </xf>
    <xf numFmtId="164" fontId="11" fillId="7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3" fontId="10" fillId="8" borderId="1" xfId="0" applyNumberFormat="1" applyFont="1" applyFill="1" applyBorder="1" applyAlignment="1">
      <alignment horizontal="right" vertical="center"/>
    </xf>
    <xf numFmtId="3" fontId="12" fillId="9" borderId="1" xfId="0" applyNumberFormat="1" applyFont="1" applyFill="1" applyBorder="1" applyAlignment="1">
      <alignment horizontal="right" vertical="center"/>
    </xf>
    <xf numFmtId="0" fontId="0" fillId="10" borderId="1" xfId="0" applyFill="1" applyBorder="1"/>
    <xf numFmtId="0" fontId="6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3" fontId="6" fillId="10" borderId="1" xfId="0" applyNumberFormat="1" applyFont="1" applyFill="1" applyBorder="1" applyAlignment="1">
      <alignment horizontal="right" vertical="center"/>
    </xf>
    <xf numFmtId="0" fontId="11" fillId="10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top"/>
    </xf>
    <xf numFmtId="0" fontId="0" fillId="8" borderId="1" xfId="0" applyFill="1" applyBorder="1"/>
    <xf numFmtId="0" fontId="6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 indent="1"/>
    </xf>
    <xf numFmtId="0" fontId="10" fillId="6" borderId="1" xfId="0" applyFont="1" applyFill="1" applyBorder="1" applyAlignment="1">
      <alignment horizontal="left" vertical="top" wrapText="1"/>
    </xf>
    <xf numFmtId="0" fontId="0" fillId="6" borderId="1" xfId="0" applyFill="1" applyBorder="1"/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6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4" fillId="11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tabSelected="1" topLeftCell="A16" workbookViewId="0">
      <selection activeCell="N18" sqref="N18"/>
    </sheetView>
  </sheetViews>
  <sheetFormatPr defaultRowHeight="15" x14ac:dyDescent="0.25"/>
  <cols>
    <col min="1" max="1" width="10" customWidth="1"/>
    <col min="2" max="7" width="23.7109375" customWidth="1"/>
    <col min="8" max="8" width="18" customWidth="1"/>
  </cols>
  <sheetData>
    <row r="1" spans="1:8" ht="23.1" customHeight="1" x14ac:dyDescent="0.25">
      <c r="A1" s="37" t="s">
        <v>0</v>
      </c>
      <c r="B1" s="36"/>
      <c r="C1" s="36"/>
      <c r="D1" s="36"/>
      <c r="E1" s="36"/>
      <c r="F1" s="36"/>
      <c r="G1" s="36"/>
      <c r="H1" s="36"/>
    </row>
    <row r="2" spans="1:8" ht="17.100000000000001" customHeight="1" x14ac:dyDescent="0.25">
      <c r="A2" s="44" t="s">
        <v>1</v>
      </c>
      <c r="B2" s="36"/>
      <c r="C2" s="36"/>
      <c r="D2" s="36"/>
      <c r="E2" s="36"/>
      <c r="F2" s="36"/>
      <c r="G2" s="36"/>
      <c r="H2" s="36"/>
    </row>
    <row r="3" spans="1:8" ht="15" customHeight="1" x14ac:dyDescent="0.25">
      <c r="A3" s="39" t="s">
        <v>2</v>
      </c>
      <c r="B3" s="36"/>
      <c r="C3" s="36"/>
      <c r="D3" s="36"/>
      <c r="E3" s="38" t="s">
        <v>3</v>
      </c>
      <c r="F3" s="36"/>
      <c r="G3" s="36"/>
      <c r="H3" s="36"/>
    </row>
    <row r="4" spans="1:8" ht="17.100000000000001" customHeight="1" x14ac:dyDescent="0.25">
      <c r="A4" s="40" t="s">
        <v>4</v>
      </c>
      <c r="B4" s="36"/>
      <c r="C4" s="36"/>
      <c r="D4" s="36"/>
      <c r="E4" s="36"/>
      <c r="F4" s="36"/>
      <c r="G4" s="36"/>
      <c r="H4" s="36"/>
    </row>
    <row r="5" spans="1:8" ht="34.5" customHeigh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</row>
    <row r="6" spans="1:8" ht="34.5" customHeight="1" x14ac:dyDescent="0.25">
      <c r="A6" s="2" t="s">
        <v>13</v>
      </c>
      <c r="B6" s="2" t="s">
        <v>14</v>
      </c>
      <c r="C6" s="2" t="s">
        <v>15</v>
      </c>
      <c r="D6" s="2" t="s">
        <v>16</v>
      </c>
      <c r="E6" s="3" t="s">
        <v>17</v>
      </c>
      <c r="F6" s="2" t="s">
        <v>18</v>
      </c>
      <c r="G6" s="2" t="s">
        <v>19</v>
      </c>
      <c r="H6" s="4" t="s">
        <v>20</v>
      </c>
    </row>
    <row r="7" spans="1:8" ht="34.5" customHeight="1" x14ac:dyDescent="0.25">
      <c r="A7" s="39" t="s">
        <v>21</v>
      </c>
      <c r="B7" s="36"/>
      <c r="C7" s="36"/>
      <c r="D7" s="36"/>
      <c r="E7" s="36"/>
      <c r="F7" s="36"/>
      <c r="G7" s="36"/>
      <c r="H7" s="36"/>
    </row>
    <row r="8" spans="1:8" ht="17.100000000000001" customHeight="1" x14ac:dyDescent="0.25">
      <c r="A8" s="40" t="s">
        <v>22</v>
      </c>
      <c r="B8" s="36"/>
      <c r="C8" s="36"/>
      <c r="D8" s="36"/>
      <c r="E8" s="36"/>
      <c r="F8" s="36"/>
      <c r="G8" s="36"/>
      <c r="H8" s="36"/>
    </row>
    <row r="9" spans="1:8" ht="20.100000000000001" customHeight="1" x14ac:dyDescent="0.25">
      <c r="A9" s="5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 t="s">
        <v>29</v>
      </c>
      <c r="H9" s="5" t="s">
        <v>30</v>
      </c>
    </row>
    <row r="10" spans="1:8" ht="17.100000000000001" customHeight="1" x14ac:dyDescent="0.25">
      <c r="A10" s="6">
        <v>1</v>
      </c>
      <c r="B10" s="7" t="s">
        <v>31</v>
      </c>
      <c r="C10" s="2" t="s">
        <v>32</v>
      </c>
      <c r="D10" s="8">
        <v>500</v>
      </c>
      <c r="E10" s="8">
        <v>517</v>
      </c>
      <c r="F10" s="8">
        <v>0</v>
      </c>
      <c r="G10" s="8">
        <v>0</v>
      </c>
      <c r="H10" s="9">
        <v>1.034</v>
      </c>
    </row>
    <row r="11" spans="1:8" ht="17.100000000000001" customHeight="1" x14ac:dyDescent="0.25">
      <c r="A11" s="10">
        <v>2</v>
      </c>
      <c r="B11" s="11" t="s">
        <v>33</v>
      </c>
      <c r="C11" s="12" t="s">
        <v>34</v>
      </c>
      <c r="D11" s="13">
        <v>250</v>
      </c>
      <c r="E11" s="13">
        <v>137</v>
      </c>
      <c r="F11" s="14">
        <v>300</v>
      </c>
      <c r="G11" s="13">
        <v>581</v>
      </c>
      <c r="H11" s="9">
        <v>1.748</v>
      </c>
    </row>
    <row r="12" spans="1:8" ht="17.100000000000001" customHeight="1" x14ac:dyDescent="0.25">
      <c r="A12" s="6">
        <v>3</v>
      </c>
      <c r="B12" s="7" t="s">
        <v>35</v>
      </c>
      <c r="C12" s="2" t="s">
        <v>36</v>
      </c>
      <c r="D12" s="8">
        <v>150</v>
      </c>
      <c r="E12" s="8">
        <v>168</v>
      </c>
      <c r="F12" s="8">
        <v>0</v>
      </c>
      <c r="G12" s="8">
        <v>3</v>
      </c>
      <c r="H12" s="9">
        <v>1.1200000000000001</v>
      </c>
    </row>
    <row r="13" spans="1:8" ht="18" customHeight="1" x14ac:dyDescent="0.25">
      <c r="A13" s="15"/>
      <c r="B13" s="16" t="s">
        <v>37</v>
      </c>
      <c r="C13" s="17" t="s">
        <v>38</v>
      </c>
      <c r="D13" s="18">
        <f>SUM(D10:D12)</f>
        <v>900</v>
      </c>
      <c r="E13" s="18">
        <f>SUM(E10:E12)</f>
        <v>822</v>
      </c>
      <c r="F13" s="14">
        <f>SUM(F10:F12)</f>
        <v>300</v>
      </c>
      <c r="G13" s="18">
        <f>SUM(G10:G12)</f>
        <v>584</v>
      </c>
      <c r="H13" s="19" t="s">
        <v>39</v>
      </c>
    </row>
    <row r="14" spans="1:8" ht="17.100000000000001" customHeight="1" x14ac:dyDescent="0.25">
      <c r="A14" s="40" t="s">
        <v>40</v>
      </c>
      <c r="B14" s="36"/>
      <c r="C14" s="36"/>
      <c r="D14" s="36"/>
      <c r="E14" s="36"/>
      <c r="F14" s="36"/>
      <c r="G14" s="36"/>
      <c r="H14" s="36"/>
    </row>
    <row r="15" spans="1:8" ht="51.75" customHeight="1" x14ac:dyDescent="0.25">
      <c r="A15" s="33" t="s">
        <v>41</v>
      </c>
      <c r="B15" s="34"/>
      <c r="C15" s="47" t="s">
        <v>42</v>
      </c>
      <c r="D15" s="34"/>
      <c r="E15" s="34"/>
      <c r="F15" s="34"/>
      <c r="G15" s="34"/>
      <c r="H15" s="34"/>
    </row>
    <row r="16" spans="1:8" ht="17.100000000000001" customHeight="1" x14ac:dyDescent="0.25">
      <c r="A16" s="40" t="s">
        <v>43</v>
      </c>
      <c r="B16" s="36"/>
      <c r="C16" s="36"/>
      <c r="D16" s="36"/>
      <c r="E16" s="36"/>
      <c r="F16" s="36"/>
      <c r="G16" s="36"/>
      <c r="H16" s="36"/>
    </row>
    <row r="17" spans="1:8" ht="48" customHeight="1" x14ac:dyDescent="0.25">
      <c r="A17" s="46" t="s">
        <v>44</v>
      </c>
      <c r="B17" s="42"/>
      <c r="C17" s="41" t="s">
        <v>45</v>
      </c>
      <c r="D17" s="42"/>
      <c r="E17" s="42"/>
      <c r="F17" s="42"/>
      <c r="G17" s="42"/>
      <c r="H17" s="42"/>
    </row>
    <row r="18" spans="1:8" ht="17.100000000000001" customHeight="1" x14ac:dyDescent="0.25">
      <c r="A18" s="40" t="s">
        <v>46</v>
      </c>
      <c r="B18" s="36"/>
      <c r="C18" s="36"/>
      <c r="D18" s="36"/>
      <c r="E18" s="36"/>
      <c r="F18" s="36"/>
      <c r="G18" s="36"/>
      <c r="H18" s="36"/>
    </row>
    <row r="19" spans="1:8" ht="60" customHeight="1" x14ac:dyDescent="0.25">
      <c r="A19" s="47" t="s">
        <v>47</v>
      </c>
      <c r="B19" s="34"/>
      <c r="C19" s="34"/>
      <c r="D19" s="34"/>
      <c r="E19" s="34"/>
      <c r="F19" s="34"/>
      <c r="G19" s="34"/>
      <c r="H19" s="34"/>
    </row>
    <row r="20" spans="1:8" ht="18" customHeight="1" x14ac:dyDescent="0.25">
      <c r="A20" s="48" t="s">
        <v>48</v>
      </c>
      <c r="B20" s="36"/>
      <c r="C20" s="36"/>
      <c r="D20" s="36"/>
      <c r="E20" s="36"/>
      <c r="F20" s="36"/>
      <c r="G20" s="36"/>
      <c r="H20" s="36"/>
    </row>
    <row r="21" spans="1:8" ht="18" customHeight="1" x14ac:dyDescent="0.25">
      <c r="A21" s="20" t="s">
        <v>49</v>
      </c>
      <c r="B21" s="20" t="s">
        <v>50</v>
      </c>
      <c r="C21" s="20" t="s">
        <v>51</v>
      </c>
      <c r="D21" s="20" t="s">
        <v>52</v>
      </c>
      <c r="E21" s="20" t="s">
        <v>53</v>
      </c>
      <c r="F21" s="20" t="s">
        <v>54</v>
      </c>
      <c r="G21" s="20" t="s">
        <v>55</v>
      </c>
      <c r="H21" s="20" t="s">
        <v>56</v>
      </c>
    </row>
    <row r="22" spans="1:8" ht="44.25" customHeight="1" x14ac:dyDescent="0.25">
      <c r="A22" s="21" t="s">
        <v>57</v>
      </c>
      <c r="B22" s="22" t="s">
        <v>58</v>
      </c>
      <c r="C22" s="23" t="s">
        <v>32</v>
      </c>
      <c r="D22" s="24">
        <v>500</v>
      </c>
      <c r="E22" s="24" t="s">
        <v>59</v>
      </c>
      <c r="F22" s="24" t="s">
        <v>60</v>
      </c>
      <c r="G22" s="24" t="s">
        <v>61</v>
      </c>
      <c r="H22" s="24" t="s">
        <v>62</v>
      </c>
    </row>
    <row r="23" spans="1:8" ht="44.25" customHeight="1" x14ac:dyDescent="0.25">
      <c r="A23" s="25" t="s">
        <v>57</v>
      </c>
      <c r="B23" s="26" t="s">
        <v>63</v>
      </c>
      <c r="C23" s="27" t="s">
        <v>34</v>
      </c>
      <c r="D23" s="28">
        <v>250</v>
      </c>
      <c r="E23" s="28" t="s">
        <v>64</v>
      </c>
      <c r="F23" s="28" t="s">
        <v>65</v>
      </c>
      <c r="G23" s="28" t="s">
        <v>66</v>
      </c>
      <c r="H23" s="28" t="s">
        <v>67</v>
      </c>
    </row>
    <row r="24" spans="1:8" ht="44.25" customHeight="1" x14ac:dyDescent="0.25">
      <c r="A24" s="21" t="s">
        <v>57</v>
      </c>
      <c r="B24" s="22" t="s">
        <v>68</v>
      </c>
      <c r="C24" s="23" t="s">
        <v>36</v>
      </c>
      <c r="D24" s="24">
        <v>150</v>
      </c>
      <c r="E24" s="24" t="s">
        <v>69</v>
      </c>
      <c r="F24" s="24" t="s">
        <v>70</v>
      </c>
      <c r="G24" s="24" t="s">
        <v>71</v>
      </c>
      <c r="H24" s="24" t="s">
        <v>72</v>
      </c>
    </row>
    <row r="25" spans="1:8" ht="44.25" customHeight="1" x14ac:dyDescent="0.25">
      <c r="A25" s="29" t="s">
        <v>73</v>
      </c>
      <c r="B25" s="30" t="s">
        <v>74</v>
      </c>
      <c r="C25" s="31" t="s">
        <v>75</v>
      </c>
      <c r="D25" s="32" t="s">
        <v>76</v>
      </c>
      <c r="E25" s="32" t="s">
        <v>77</v>
      </c>
      <c r="F25" s="32" t="s">
        <v>78</v>
      </c>
      <c r="G25" s="32" t="s">
        <v>79</v>
      </c>
      <c r="H25" s="32" t="s">
        <v>80</v>
      </c>
    </row>
    <row r="26" spans="1:8" ht="9.9499999999999993" customHeight="1" x14ac:dyDescent="0.25"/>
    <row r="27" spans="1:8" ht="14.1" customHeight="1" x14ac:dyDescent="0.25">
      <c r="A27" s="35" t="s">
        <v>81</v>
      </c>
      <c r="B27" s="36"/>
      <c r="C27" s="36"/>
      <c r="E27" s="35" t="s">
        <v>82</v>
      </c>
      <c r="F27" s="36"/>
      <c r="G27" s="36"/>
      <c r="H27" s="36"/>
    </row>
    <row r="28" spans="1:8" ht="14.1" customHeight="1" x14ac:dyDescent="0.25">
      <c r="A28" s="43" t="s">
        <v>83</v>
      </c>
      <c r="B28" s="36"/>
      <c r="C28" s="36"/>
      <c r="E28" s="43" t="s">
        <v>84</v>
      </c>
      <c r="F28" s="36"/>
      <c r="G28" s="36"/>
      <c r="H28" s="36"/>
    </row>
    <row r="29" spans="1:8" ht="14.1" customHeight="1" x14ac:dyDescent="0.25"/>
    <row r="30" spans="1:8" ht="14.1" customHeight="1" x14ac:dyDescent="0.25"/>
    <row r="31" spans="1:8" ht="14.1" customHeight="1" x14ac:dyDescent="0.25">
      <c r="A31" s="45" t="s">
        <v>85</v>
      </c>
      <c r="B31" s="36"/>
      <c r="C31" s="36"/>
      <c r="E31" s="35" t="s">
        <v>86</v>
      </c>
      <c r="F31" s="36"/>
      <c r="G31" s="36"/>
      <c r="H31" s="36"/>
    </row>
  </sheetData>
  <mergeCells count="22">
    <mergeCell ref="A28:C28"/>
    <mergeCell ref="A2:H2"/>
    <mergeCell ref="A31:C31"/>
    <mergeCell ref="A14:H14"/>
    <mergeCell ref="A17:B17"/>
    <mergeCell ref="A8:H8"/>
    <mergeCell ref="E28:H28"/>
    <mergeCell ref="C15:H15"/>
    <mergeCell ref="A4:H4"/>
    <mergeCell ref="E31:H31"/>
    <mergeCell ref="A20:H20"/>
    <mergeCell ref="A3:D3"/>
    <mergeCell ref="A19:H19"/>
    <mergeCell ref="E27:H27"/>
    <mergeCell ref="A15:B15"/>
    <mergeCell ref="A27:C27"/>
    <mergeCell ref="A1:H1"/>
    <mergeCell ref="E3:H3"/>
    <mergeCell ref="A7:H7"/>
    <mergeCell ref="A16:H16"/>
    <mergeCell ref="C17:H17"/>
    <mergeCell ref="A18:H18"/>
  </mergeCells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Bao_Cao_Giao_Ban_Tuan_A4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Ha</cp:lastModifiedBy>
  <dcterms:created xsi:type="dcterms:W3CDTF">2026-10-12T10:31:44Z</dcterms:created>
  <dcterms:modified xsi:type="dcterms:W3CDTF">2026-10-12T10:44:34Z</dcterms:modified>
</cp:coreProperties>
</file>