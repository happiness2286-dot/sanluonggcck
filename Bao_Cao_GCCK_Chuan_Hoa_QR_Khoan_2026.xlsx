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Cham_Cong_Tang_Ca" sheetId="9" state="visible" r:id="rId9"/>
    <sheet name="07_Quet_Ma_Nhat_Ky_Ca" sheetId="10" state="visible" r:id="rId10"/>
    <sheet name="09_Truy_Xuat_BTP_Luan_Chuyen" sheetId="11" state="visible" r:id="rId11"/>
    <sheet name="10_Bang_Luong_Khoan_Tho" sheetId="12" state="visible" r:id="rId12"/>
    <sheet name="11_Master_Data" sheetId="13" state="visible" r:id="rId13"/>
    <sheet name="10_Tra_Cuu_Luong_Thang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  <numFmt numFmtId="173" formatCode="yyyy-mm"/>
    <numFmt numFmtId="174" formatCode="yyyy-mm-dd"/>
    <numFmt numFmtId="175" formatCode="&quot;Tháng &quot;mm/yyyy"/>
    <numFmt numFmtId="176" formatCode="yyyy-MM-dd"/>
  </numFmts>
  <fonts count="32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  <font>
      <name val="Roboto"/>
      <b val="1"/>
      <color rgb="00166534"/>
      <sz val="10"/>
    </font>
    <font>
      <name val="Roboto"/>
      <b val="1"/>
      <color rgb="00FFFFFF"/>
      <sz val="11"/>
    </font>
    <font>
      <name val="Roboto"/>
      <b val="1"/>
      <color rgb="00FFFFFF"/>
      <sz val="10"/>
    </font>
    <font>
      <name val="Roboto"/>
      <sz val="10"/>
    </font>
    <font>
      <name val="Roboto"/>
      <b val="1"/>
      <sz val="10"/>
    </font>
    <font>
      <name val="Roboto"/>
      <b val="1"/>
      <color rgb="0092400E"/>
      <sz val="10"/>
    </font>
    <font>
      <name val="Roboto"/>
      <b val="1"/>
      <color rgb="FF0F172A"/>
      <sz val="13"/>
    </font>
    <font>
      <name val="Roboto"/>
      <b val="1"/>
      <color theme="1"/>
      <sz val="13"/>
    </font>
    <font>
      <name val="Roboto"/>
      <i val="1"/>
      <color rgb="FF64748B"/>
      <sz val="9"/>
    </font>
    <font>
      <name val="Roboto"/>
      <color theme="1"/>
    </font>
    <font>
      <name val="Roboto"/>
      <b val="1"/>
      <color theme="1"/>
    </font>
    <font>
      <name val="Roboto"/>
      <b val="1"/>
      <color rgb="000F172A"/>
      <sz val="13"/>
    </font>
    <font>
      <name val="Roboto"/>
      <b val="1"/>
      <color rgb="00FFFFFF"/>
      <sz val="9"/>
    </font>
    <font>
      <name val="Roboto"/>
      <b val="1"/>
      <color rgb="00059669"/>
      <sz val="9"/>
    </font>
    <font>
      <name val="Roboto"/>
      <b val="1"/>
      <sz val="9"/>
    </font>
    <font>
      <name val="Roboto"/>
      <b val="1"/>
      <color rgb="00D97706"/>
      <sz val="9"/>
    </font>
    <font>
      <name val="Roboto"/>
      <i val="1"/>
      <color rgb="0064748B"/>
      <sz val="9"/>
    </font>
    <font>
      <name val="Roboto"/>
      <sz val="9"/>
    </font>
    <font>
      <name val="Roboto"/>
      <b val="1"/>
      <color rgb="00047857"/>
      <sz val="9"/>
    </font>
    <font>
      <name val="Roboto"/>
      <b val="1"/>
      <color rgb="000F172A"/>
      <sz val="9"/>
    </font>
  </fonts>
  <fills count="24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  <fill>
      <patternFill patternType="solid">
        <fgColor rgb="00059669"/>
        <bgColor rgb="00059669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00059669"/>
      </patternFill>
    </fill>
    <fill>
      <patternFill patternType="solid">
        <fgColor rgb="00047857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F1F5F9"/>
      </patternFill>
    </fill>
  </fills>
  <borders count="1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medium">
        <color rgb="FF047857"/>
      </left>
      <right style="medium">
        <color rgb="FF047857"/>
      </right>
      <top style="medium">
        <color rgb="FF047857"/>
      </top>
      <bottom style="medium">
        <color rgb="FF047857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  <xf numFmtId="0" fontId="12" fillId="0" borderId="0" pivotButton="0" quotePrefix="0" xfId="0"/>
    <xf numFmtId="0" fontId="12" fillId="13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0" fontId="13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9" applyAlignment="1" pivotButton="0" quotePrefix="0" xfId="0">
      <alignment horizontal="left" vertical="center"/>
    </xf>
    <xf numFmtId="0" fontId="12" fillId="13" borderId="9" applyAlignment="1" pivotButton="0" quotePrefix="0" xfId="0">
      <alignment horizontal="center" vertical="center"/>
    </xf>
    <xf numFmtId="0" fontId="17" fillId="16" borderId="9" applyAlignment="1" pivotButton="0" quotePrefix="0" xfId="0">
      <alignment horizontal="center" vertical="center"/>
    </xf>
    <xf numFmtId="0" fontId="18" fillId="0" borderId="10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20" fillId="0" borderId="10" applyAlignment="1" pivotButton="0" quotePrefix="0" xfId="0">
      <alignment vertical="center"/>
    </xf>
    <xf numFmtId="175" fontId="21" fillId="0" borderId="10" applyAlignment="1" pivotButton="0" quotePrefix="0" xfId="0">
      <alignment vertical="center"/>
    </xf>
    <xf numFmtId="0" fontId="21" fillId="0" borderId="10" applyAlignment="1" pivotButton="0" quotePrefix="0" xfId="0">
      <alignment vertical="center"/>
    </xf>
    <xf numFmtId="176" fontId="21" fillId="0" borderId="10" applyAlignment="1" pivotButton="0" quotePrefix="0" xfId="0">
      <alignment vertical="center"/>
    </xf>
    <xf numFmtId="0" fontId="21" fillId="0" borderId="11" applyAlignment="1" pivotButton="0" quotePrefix="0" xfId="0">
      <alignment vertical="center"/>
    </xf>
    <xf numFmtId="0" fontId="10" fillId="12" borderId="12" applyAlignment="1" pivotButton="0" quotePrefix="0" xfId="0">
      <alignment horizontal="center" vertical="center"/>
    </xf>
    <xf numFmtId="1" fontId="10" fillId="12" borderId="12" applyAlignment="1" pivotButton="0" quotePrefix="0" xfId="0">
      <alignment horizontal="center" vertical="center"/>
    </xf>
    <xf numFmtId="165" fontId="10" fillId="12" borderId="12" applyAlignment="1" pivotButton="0" quotePrefix="0" xfId="0">
      <alignment horizontal="center" vertical="center"/>
    </xf>
    <xf numFmtId="3" fontId="10" fillId="12" borderId="12" applyAlignment="1" pivotButton="0" quotePrefix="0" xfId="0">
      <alignment horizontal="center" vertical="center"/>
    </xf>
    <xf numFmtId="0" fontId="21" fillId="17" borderId="13" applyAlignment="1" pivotButton="0" quotePrefix="0" xfId="0">
      <alignment horizontal="center" vertical="center"/>
    </xf>
    <xf numFmtId="0" fontId="21" fillId="17" borderId="13" applyAlignment="1" pivotButton="0" quotePrefix="0" xfId="0">
      <alignment horizontal="left" vertical="center"/>
    </xf>
    <xf numFmtId="1" fontId="21" fillId="17" borderId="13" applyAlignment="1" pivotButton="0" quotePrefix="0" xfId="0">
      <alignment horizontal="left" vertical="center"/>
    </xf>
    <xf numFmtId="165" fontId="21" fillId="17" borderId="13" applyAlignment="1" pivotButton="0" quotePrefix="0" xfId="0">
      <alignment horizontal="right" vertical="center"/>
    </xf>
    <xf numFmtId="3" fontId="21" fillId="17" borderId="13" applyAlignment="1" pivotButton="0" quotePrefix="0" xfId="0">
      <alignment horizontal="right" vertical="center"/>
    </xf>
    <xf numFmtId="0" fontId="22" fillId="17" borderId="13" applyAlignment="1" pivotButton="0" quotePrefix="0" xfId="0">
      <alignment horizontal="center" vertical="center"/>
    </xf>
    <xf numFmtId="0" fontId="21" fillId="4" borderId="10" applyAlignment="1" pivotButton="0" quotePrefix="0" xfId="0">
      <alignment horizontal="center" vertical="center"/>
    </xf>
    <xf numFmtId="0" fontId="21" fillId="4" borderId="10" applyAlignment="1" pivotButton="0" quotePrefix="0" xfId="0">
      <alignment horizontal="left" vertical="center"/>
    </xf>
    <xf numFmtId="1" fontId="21" fillId="4" borderId="10" applyAlignment="1" pivotButton="0" quotePrefix="0" xfId="0">
      <alignment horizontal="left" vertical="center"/>
    </xf>
    <xf numFmtId="165" fontId="21" fillId="4" borderId="10" applyAlignment="1" pivotButton="0" quotePrefix="0" xfId="0">
      <alignment horizontal="right" vertical="center"/>
    </xf>
    <xf numFmtId="3" fontId="21" fillId="4" borderId="10" applyAlignment="1" pivotButton="0" quotePrefix="0" xfId="0">
      <alignment horizontal="right" vertical="center"/>
    </xf>
    <xf numFmtId="0" fontId="22" fillId="4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left" vertical="center"/>
    </xf>
    <xf numFmtId="1" fontId="21" fillId="17" borderId="10" applyAlignment="1" pivotButton="0" quotePrefix="0" xfId="0">
      <alignment horizontal="left" vertical="center"/>
    </xf>
    <xf numFmtId="165" fontId="21" fillId="17" borderId="10" applyAlignment="1" pivotButton="0" quotePrefix="0" xfId="0">
      <alignment horizontal="right" vertical="center"/>
    </xf>
    <xf numFmtId="3" fontId="21" fillId="17" borderId="10" applyAlignment="1" pivotButton="0" quotePrefix="0" xfId="0">
      <alignment horizontal="right" vertical="center"/>
    </xf>
    <xf numFmtId="0" fontId="22" fillId="17" borderId="10" applyAlignment="1" pivotButton="0" quotePrefix="0" xfId="0">
      <alignment horizontal="center" vertical="center"/>
    </xf>
    <xf numFmtId="0" fontId="21" fillId="17" borderId="11" applyAlignment="1" pivotButton="0" quotePrefix="0" xfId="0">
      <alignment horizontal="center" vertical="center"/>
    </xf>
    <xf numFmtId="0" fontId="21" fillId="17" borderId="11" applyAlignment="1" pivotButton="0" quotePrefix="0" xfId="0">
      <alignment horizontal="left" vertical="center"/>
    </xf>
    <xf numFmtId="1" fontId="21" fillId="17" borderId="11" applyAlignment="1" pivotButton="0" quotePrefix="0" xfId="0">
      <alignment horizontal="left" vertical="center"/>
    </xf>
    <xf numFmtId="165" fontId="21" fillId="17" borderId="11" applyAlignment="1" pivotButton="0" quotePrefix="0" xfId="0">
      <alignment horizontal="right" vertical="center"/>
    </xf>
    <xf numFmtId="3" fontId="21" fillId="17" borderId="11" applyAlignment="1" pivotButton="0" quotePrefix="0" xfId="0">
      <alignment horizontal="right" vertical="center"/>
    </xf>
    <xf numFmtId="0" fontId="22" fillId="17" borderId="11" applyAlignment="1" pivotButton="0" quotePrefix="0" xfId="0">
      <alignment horizontal="center" vertical="center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center"/>
    </xf>
    <xf numFmtId="1" fontId="22" fillId="18" borderId="14" applyAlignment="1" pivotButton="0" quotePrefix="0" xfId="0">
      <alignment horizontal="left" vertical="center"/>
    </xf>
    <xf numFmtId="165" fontId="22" fillId="18" borderId="14" applyAlignment="1" pivotButton="0" quotePrefix="0" xfId="0">
      <alignment horizontal="right" vertical="center"/>
    </xf>
    <xf numFmtId="3" fontId="22" fillId="18" borderId="14" applyAlignment="1" pivotButton="0" quotePrefix="0" xfId="0">
      <alignment horizontal="right" vertical="center"/>
    </xf>
    <xf numFmtId="0" fontId="23" fillId="0" borderId="0" pivotButton="0" quotePrefix="0" xfId="0"/>
    <xf numFmtId="0" fontId="28" fillId="0" borderId="0" pivotButton="0" quotePrefix="0" xfId="0"/>
    <xf numFmtId="0" fontId="24" fillId="19" borderId="0" applyAlignment="1" pivotButton="0" quotePrefix="0" xfId="0">
      <alignment horizontal="center" vertical="center" wrapText="1"/>
    </xf>
    <xf numFmtId="0" fontId="29" fillId="22" borderId="15" applyAlignment="1" pivotButton="0" quotePrefix="0" xfId="0">
      <alignment horizontal="center"/>
    </xf>
    <xf numFmtId="0" fontId="29" fillId="22" borderId="15" applyAlignment="1" pivotButton="0" quotePrefix="0" xfId="0">
      <alignment horizontal="left"/>
    </xf>
    <xf numFmtId="0" fontId="29" fillId="22" borderId="15" applyAlignment="1" pivotButton="0" quotePrefix="0" xfId="0">
      <alignment horizontal="right"/>
    </xf>
    <xf numFmtId="3" fontId="29" fillId="22" borderId="15" applyAlignment="1" pivotButton="0" quotePrefix="0" xfId="0">
      <alignment horizontal="right"/>
    </xf>
    <xf numFmtId="0" fontId="29" fillId="21" borderId="15" applyAlignment="1" pivotButton="0" quotePrefix="0" xfId="0">
      <alignment horizontal="center"/>
    </xf>
    <xf numFmtId="0" fontId="29" fillId="21" borderId="15" applyAlignment="1" pivotButton="0" quotePrefix="0" xfId="0">
      <alignment horizontal="left"/>
    </xf>
    <xf numFmtId="0" fontId="29" fillId="21" borderId="15" applyAlignment="1" pivotButton="0" quotePrefix="0" xfId="0">
      <alignment horizontal="right"/>
    </xf>
    <xf numFmtId="3" fontId="29" fillId="21" borderId="15" applyAlignment="1" pivotButton="0" quotePrefix="0" xfId="0">
      <alignment horizontal="right"/>
    </xf>
    <xf numFmtId="0" fontId="23" fillId="0" borderId="0" applyAlignment="1" pivotButton="0" quotePrefix="0" xfId="0">
      <alignment horizontal="left" vertical="center" wrapText="1"/>
    </xf>
    <xf numFmtId="0" fontId="13" fillId="19" borderId="0" applyAlignment="1" pivotButton="0" quotePrefix="0" xfId="0">
      <alignment horizontal="center" vertical="center"/>
    </xf>
    <xf numFmtId="0" fontId="24" fillId="20" borderId="15" applyAlignment="1" pivotButton="0" quotePrefix="0" xfId="0">
      <alignment horizontal="center" vertical="center" wrapText="1"/>
    </xf>
    <xf numFmtId="0" fontId="24" fillId="20" borderId="15" applyAlignment="1" pivotButton="0" quotePrefix="0" xfId="0">
      <alignment horizontal="center" vertical="center"/>
    </xf>
    <xf numFmtId="0" fontId="7" fillId="21" borderId="15" applyAlignment="1" pivotButton="0" quotePrefix="0" xfId="0">
      <alignment horizontal="center"/>
    </xf>
    <xf numFmtId="0" fontId="7" fillId="21" borderId="15" applyAlignment="1" pivotButton="0" quotePrefix="0" xfId="0">
      <alignment horizontal="left"/>
    </xf>
    <xf numFmtId="3" fontId="0" fillId="21" borderId="15" applyAlignment="1" pivotButton="0" quotePrefix="0" xfId="0">
      <alignment horizontal="right"/>
    </xf>
    <xf numFmtId="3" fontId="7" fillId="21" borderId="15" applyAlignment="1" pivotButton="0" quotePrefix="0" xfId="0">
      <alignment horizontal="center"/>
    </xf>
    <xf numFmtId="3" fontId="25" fillId="21" borderId="15" applyAlignment="1" pivotButton="0" quotePrefix="0" xfId="0">
      <alignment horizontal="right"/>
    </xf>
    <xf numFmtId="0" fontId="7" fillId="0" borderId="15" applyAlignment="1" pivotButton="0" quotePrefix="0" xfId="0">
      <alignment horizontal="left"/>
    </xf>
    <xf numFmtId="0" fontId="26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/>
    </xf>
    <xf numFmtId="0" fontId="25" fillId="13" borderId="15" applyAlignment="1" pivotButton="0" quotePrefix="0" xfId="0">
      <alignment horizontal="center"/>
    </xf>
    <xf numFmtId="0" fontId="7" fillId="22" borderId="15" applyAlignment="1" pivotButton="0" quotePrefix="0" xfId="0">
      <alignment horizontal="center"/>
    </xf>
    <xf numFmtId="0" fontId="7" fillId="22" borderId="15" applyAlignment="1" pivotButton="0" quotePrefix="0" xfId="0">
      <alignment horizontal="left"/>
    </xf>
    <xf numFmtId="3" fontId="0" fillId="22" borderId="15" applyAlignment="1" pivotButton="0" quotePrefix="0" xfId="0">
      <alignment horizontal="right"/>
    </xf>
    <xf numFmtId="3" fontId="7" fillId="22" borderId="15" applyAlignment="1" pivotButton="0" quotePrefix="0" xfId="0">
      <alignment horizontal="center"/>
    </xf>
    <xf numFmtId="3" fontId="25" fillId="22" borderId="15" applyAlignment="1" pivotButton="0" quotePrefix="0" xfId="0">
      <alignment horizontal="right"/>
    </xf>
    <xf numFmtId="0" fontId="27" fillId="16" borderId="15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15" pivotButton="0" quotePrefix="0" xfId="0"/>
    <xf numFmtId="0" fontId="0" fillId="22" borderId="15" applyAlignment="1" pivotButton="0" quotePrefix="0" xfId="0">
      <alignment horizontal="center"/>
    </xf>
    <xf numFmtId="3" fontId="0" fillId="22" borderId="15" applyAlignment="1" pivotButton="0" quotePrefix="0" xfId="0">
      <alignment horizontal="center"/>
    </xf>
    <xf numFmtId="0" fontId="0" fillId="21" borderId="15" applyAlignment="1" pivotButton="0" quotePrefix="0" xfId="0">
      <alignment horizontal="center"/>
    </xf>
    <xf numFmtId="3" fontId="0" fillId="21" borderId="15" applyAlignment="1" pivotButton="0" quotePrefix="0" xfId="0">
      <alignment horizontal="center"/>
    </xf>
    <xf numFmtId="0" fontId="0" fillId="22" borderId="15" applyAlignment="1" pivotButton="0" quotePrefix="0" xfId="0">
      <alignment horizontal="left"/>
    </xf>
    <xf numFmtId="0" fontId="0" fillId="21" borderId="15" applyAlignment="1" pivotButton="0" quotePrefix="0" xfId="0">
      <alignment horizontal="left"/>
    </xf>
    <xf numFmtId="0" fontId="24" fillId="19" borderId="12" applyAlignment="1" pivotButton="0" quotePrefix="0" xfId="0">
      <alignment horizontal="center" vertical="center" wrapText="1"/>
    </xf>
    <xf numFmtId="169" fontId="21" fillId="21" borderId="15" applyAlignment="1" pivotButton="0" quotePrefix="0" xfId="0">
      <alignment horizontal="right"/>
    </xf>
    <xf numFmtId="169" fontId="0" fillId="21" borderId="15" applyAlignment="1" pivotButton="0" quotePrefix="0" xfId="0">
      <alignment horizontal="right"/>
    </xf>
    <xf numFmtId="3" fontId="30" fillId="21" borderId="15" applyAlignment="1" pivotButton="0" quotePrefix="0" xfId="0">
      <alignment horizontal="right"/>
    </xf>
    <xf numFmtId="0" fontId="26" fillId="21" borderId="15" applyAlignment="1" pivotButton="0" quotePrefix="0" xfId="0">
      <alignment horizontal="center"/>
    </xf>
    <xf numFmtId="169" fontId="21" fillId="22" borderId="15" applyAlignment="1" pivotButton="0" quotePrefix="0" xfId="0">
      <alignment horizontal="right"/>
    </xf>
    <xf numFmtId="169" fontId="0" fillId="22" borderId="15" applyAlignment="1" pivotButton="0" quotePrefix="0" xfId="0">
      <alignment horizontal="right"/>
    </xf>
    <xf numFmtId="3" fontId="30" fillId="22" borderId="15" applyAlignment="1" pivotButton="0" quotePrefix="0" xfId="0">
      <alignment horizontal="right"/>
    </xf>
    <xf numFmtId="0" fontId="26" fillId="22" borderId="15" applyAlignment="1" pivotButton="0" quotePrefix="0" xfId="0">
      <alignment horizontal="center"/>
    </xf>
    <xf numFmtId="169" fontId="31" fillId="23" borderId="15" applyAlignment="1" pivotButton="0" quotePrefix="0" xfId="0">
      <alignment horizontal="right"/>
    </xf>
    <xf numFmtId="3" fontId="25" fillId="23" borderId="15" applyAlignment="1" pivotButton="0" quotePrefix="0" xfId="0">
      <alignment horizontal="right"/>
    </xf>
    <xf numFmtId="3" fontId="31" fillId="23" borderId="15" applyAlignment="1" pivotButton="0" quotePrefix="0" xfId="0">
      <alignment horizontal="right"/>
    </xf>
    <xf numFmtId="0" fontId="31" fillId="23" borderId="15" applyAlignment="1" pivotButton="0" quotePrefix="0" xfId="0">
      <alignment horizontal="center"/>
    </xf>
  </cellXfs>
  <cellStyles count="1">
    <cellStyle name="Normal" xfId="0" builtinId="0"/>
  </cellStyles>
  <dxfs count="1">
    <dxf>
      <font>
        <name val="Roboto"/>
        <b val="1"/>
        <color rgb="00B91C1C"/>
        <sz val="9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91" t="inlineStr">
        <is>
          <t>KIỂM TRA CHÊNH LỆCH DASHBOARD - BẢNG PO:</t>
        </is>
      </c>
      <c r="D19" s="92">
        <f>IF(AND(F18=ROUND(SUM('06_Ke_Hoach_Tien_Do_PO'!$F$4:$F$64), 2), E18=SUM('06_Ke_Hoach_Tien_Do_PO'!$E$4:$E$64)), "✅ ĐỐI SOÁT HOÀN HẢO: TỔNG DASHBOARD KHỚP 100% VỚI BẢNG PO (CHÊNH LỆCH = 0)", "⚠️ CẢNH BÁO: DASHBOARD LỆCH VỚI BẢNG PO")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 t="n">
        <v>0</v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 t="n">
        <v>1.25</v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0</v>
      </c>
      <c r="G19" s="6" t="n">
        <v>0</v>
      </c>
      <c r="H19" s="6" t="n">
        <v>0</v>
      </c>
      <c r="I19" s="6" t="n">
        <v>15</v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 t="n">
        <v>28.25</v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84"/>
  <sheetViews>
    <sheetView workbookViewId="0">
      <selection activeCell="A1" sqref="A1"/>
    </sheetView>
  </sheetViews>
  <sheetFormatPr baseColWidth="8" defaultRowHeight="15"/>
  <cols>
    <col width="13" customWidth="1" style="75" min="1" max="1"/>
    <col width="13" customWidth="1" style="75" min="2" max="2"/>
    <col width="10" customWidth="1" style="75" min="3" max="3"/>
    <col width="22" customWidth="1" style="75" min="4" max="4"/>
    <col width="12" customWidth="1" style="75" min="5" max="5"/>
    <col width="12" customWidth="1" style="75" min="6" max="6"/>
    <col width="12" customWidth="1" style="75" min="7" max="7"/>
    <col width="14" customWidth="1" style="75" min="8" max="8"/>
    <col width="14" customWidth="1" style="75" min="9" max="9"/>
    <col width="14" customWidth="1" style="75" min="10" max="10"/>
    <col width="12" customWidth="1" style="75" min="11" max="11"/>
    <col width="14" customWidth="1" style="75" min="12" max="12"/>
    <col width="14" customWidth="1" style="75" min="13" max="13"/>
    <col width="14" customWidth="1" style="75" min="14" max="14"/>
    <col width="15" customWidth="1" style="75" min="15" max="15"/>
    <col width="14" customWidth="1" style="75" min="16" max="16"/>
    <col width="14" customWidth="1" style="75" min="17" max="17"/>
    <col width="24" customWidth="1" style="75" min="18" max="18"/>
    <col width="14" customWidth="1" style="75" min="19" max="19"/>
    <col width="15" customWidth="1" style="75" min="20" max="20"/>
    <col width="20" customWidth="1" style="75" min="21" max="21"/>
    <col width="18" customWidth="1" style="75" min="22" max="22"/>
    <col width="20" customWidth="1" style="75" min="23" max="23"/>
    <col width="22" customWidth="1" style="75" min="24" max="24"/>
  </cols>
  <sheetData>
    <row r="1">
      <c r="A1" s="143" t="inlineStr">
        <is>
          <t>SỔ QUẢN LÝ CHẤM CÔNG &amp; GIỜ TĂNG CA NĂM 2026 (07_CHAM_CONG_TANG_CA)</t>
        </is>
      </c>
    </row>
    <row r="2">
      <c r="A2" s="144" t="inlineStr">
        <is>
          <t>Quy chuẩn: Mỗi công nhân/ngày là một dòng. Cột X tự động kiểm tra vi phạm (trùng ngày, vượt 4h/ngày, chưa duyệt TC). Tô đỏ cảnh báo nếu có lỗi.</t>
        </is>
      </c>
    </row>
    <row r="3" ht="36" customHeight="1" s="75">
      <c r="A3" s="145" t="inlineStr">
        <is>
          <t>Ngày công</t>
        </is>
      </c>
      <c r="B3" s="145" t="inlineStr">
        <is>
          <t>Kỳ lương</t>
        </is>
      </c>
      <c r="C3" s="145" t="inlineStr">
        <is>
          <t>Mã NV</t>
        </is>
      </c>
      <c r="D3" s="145" t="inlineStr">
        <is>
          <t>Họ và tên</t>
        </is>
      </c>
      <c r="E3" s="145" t="inlineStr">
        <is>
          <t>Ca làm việc</t>
        </is>
      </c>
      <c r="F3" s="145" t="inlineStr">
        <is>
          <t>Công thực tế</t>
        </is>
      </c>
      <c r="G3" s="145" t="inlineStr">
        <is>
          <t>Giờ ca chuẩn</t>
        </is>
      </c>
      <c r="H3" s="145" t="inlineStr">
        <is>
          <t>Giờ tăng ca 1,5</t>
        </is>
      </c>
      <c r="I3" s="145" t="inlineStr">
        <is>
          <t>Giờ tăng ca 2,0</t>
        </is>
      </c>
      <c r="J3" s="145" t="inlineStr">
        <is>
          <t>Giờ tăng ca 3,0</t>
        </is>
      </c>
      <c r="K3" s="145" t="inlineStr">
        <is>
          <t>Giờ ca đêm</t>
        </is>
      </c>
      <c r="L3" s="145" t="inlineStr">
        <is>
          <t>Giờ TC đêm 1,5</t>
        </is>
      </c>
      <c r="M3" s="145" t="inlineStr">
        <is>
          <t>Giờ TC đêm 2,0</t>
        </is>
      </c>
      <c r="N3" s="145" t="inlineStr">
        <is>
          <t>Giờ TC đêm 3,0</t>
        </is>
      </c>
      <c r="O3" s="145" t="inlineStr">
        <is>
          <t>Tổng giờ tăng ca</t>
        </is>
      </c>
      <c r="P3" s="145" t="inlineStr">
        <is>
          <t>Phụ cấp (VNĐ)</t>
        </is>
      </c>
      <c r="Q3" s="145" t="inlineStr">
        <is>
          <t>Đi muộn/về sớm</t>
        </is>
      </c>
      <c r="R3" s="145" t="inlineStr">
        <is>
          <t>Lý do tăng ca</t>
        </is>
      </c>
      <c r="S3" s="145" t="inlineStr">
        <is>
          <t>Đăng ký tăng ca</t>
        </is>
      </c>
      <c r="T3" s="145" t="inlineStr">
        <is>
          <t>Trạng thái duyệt</t>
        </is>
      </c>
      <c r="U3" s="145" t="inlineStr">
        <is>
          <t>Người duyệt</t>
        </is>
      </c>
      <c r="V3" s="145" t="inlineStr">
        <is>
          <t>Ngày giờ duyệt</t>
        </is>
      </c>
      <c r="W3" s="145" t="inlineStr">
        <is>
          <t>Mã bảng công nguồn</t>
        </is>
      </c>
      <c r="X3" s="145" t="inlineStr">
        <is>
          <t>Kiểm tra dữ liệu</t>
        </is>
      </c>
    </row>
    <row r="4">
      <c r="A4" s="146" t="inlineStr">
        <is>
          <t>2026-08-01</t>
        </is>
      </c>
      <c r="B4" s="146">
        <f>DATE(YEAR(A4), MONTH(A4), 1)</f>
        <v/>
      </c>
      <c r="C4" s="146" t="inlineStr">
        <is>
          <t>NV01</t>
        </is>
      </c>
      <c r="D4" s="147">
        <f>IFERROR(XLOOKUP(C4, '11_Master_Data'!$A:$A, '11_Master_Data'!$B:$B, "KHÔNG CÓ MÃ NV"), "KHÔNG CÓ MÃ NV")</f>
        <v/>
      </c>
      <c r="E4" s="146" t="inlineStr">
        <is>
          <t>C1</t>
        </is>
      </c>
      <c r="F4" s="148" t="n">
        <v>1</v>
      </c>
      <c r="G4" s="148" t="n">
        <v>8</v>
      </c>
      <c r="H4" s="148" t="n">
        <v>0</v>
      </c>
      <c r="I4" s="148" t="n">
        <v>0</v>
      </c>
      <c r="J4" s="148" t="n">
        <v>0</v>
      </c>
      <c r="K4" s="148" t="n">
        <v>0</v>
      </c>
      <c r="L4" s="148" t="n">
        <v>0</v>
      </c>
      <c r="M4" s="148" t="n">
        <v>0</v>
      </c>
      <c r="N4" s="148" t="n">
        <v>0</v>
      </c>
      <c r="O4" s="148">
        <f>SUM(H4:J4, L4:N4)</f>
        <v/>
      </c>
      <c r="P4" s="149" t="n">
        <v>30000</v>
      </c>
      <c r="Q4" s="148" t="n">
        <v>0</v>
      </c>
      <c r="R4" s="147" t="inlineStr"/>
      <c r="S4" s="146" t="inlineStr">
        <is>
          <t>KHÔNG</t>
        </is>
      </c>
      <c r="T4" s="146" t="inlineStr">
        <is>
          <t>ĐÃ DUYỆT</t>
        </is>
      </c>
      <c r="U4" s="147" t="inlineStr">
        <is>
          <t>Quản Đốc Trần Đức Minh</t>
        </is>
      </c>
      <c r="V4" s="146" t="inlineStr">
        <is>
          <t>2026-08-01 16:30</t>
        </is>
      </c>
      <c r="W4" s="146" t="inlineStr">
        <is>
          <t>CC-202608-NV01-01</t>
        </is>
      </c>
      <c r="X4" s="146">
        <f>IFS(C4="", "THIẾU MÃ NV", COUNTIFS(A:A, A4, C:C, C4)&gt;1, "TRÙNG NHÂN VIÊN/NGÀY", O4&gt;4, "VƯỢT 4 GIỜ/NGÀY", AND(O4&gt;0, S4&lt;&gt;"CÓ"), "CHƯA ĐĂNG KÝ TC", AND(O4&gt;0, T4&lt;&gt;"ĐÃ DUYỆT"), "CHƯA DUYỆT TC", AND(T4="ĐÃ DUYỆT", U4=""), "THIẾU NGƯỜI DUYỆT", TRUE, "HỢP LỆ")</f>
        <v/>
      </c>
    </row>
    <row r="5">
      <c r="A5" s="150" t="inlineStr">
        <is>
          <t>2026-08-01</t>
        </is>
      </c>
      <c r="B5" s="150">
        <f>DATE(YEAR(A5), MONTH(A5), 1)</f>
        <v/>
      </c>
      <c r="C5" s="150" t="inlineStr">
        <is>
          <t>NV02</t>
        </is>
      </c>
      <c r="D5" s="151">
        <f>IFERROR(XLOOKUP(C5, '11_Master_Data'!$A:$A, '11_Master_Data'!$B:$B, "KHÔNG CÓ MÃ NV"), "KHÔNG CÓ MÃ NV")</f>
        <v/>
      </c>
      <c r="E5" s="150" t="inlineStr">
        <is>
          <t>C1</t>
        </is>
      </c>
      <c r="F5" s="152" t="n">
        <v>1</v>
      </c>
      <c r="G5" s="152" t="n">
        <v>8</v>
      </c>
      <c r="H5" s="152" t="n">
        <v>2</v>
      </c>
      <c r="I5" s="152" t="n">
        <v>0</v>
      </c>
      <c r="J5" s="152" t="n">
        <v>0</v>
      </c>
      <c r="K5" s="152" t="n">
        <v>0</v>
      </c>
      <c r="L5" s="152" t="n">
        <v>0</v>
      </c>
      <c r="M5" s="152" t="n">
        <v>0</v>
      </c>
      <c r="N5" s="152" t="n">
        <v>0</v>
      </c>
      <c r="O5" s="152">
        <f>SUM(H5:J5, L5:N5)</f>
        <v/>
      </c>
      <c r="P5" s="153" t="n">
        <v>55000</v>
      </c>
      <c r="Q5" s="152" t="n">
        <v>0</v>
      </c>
      <c r="R5" s="151" t="inlineStr">
        <is>
          <t>Đảm bảo tiến độ sản xuất</t>
        </is>
      </c>
      <c r="S5" s="150" t="inlineStr">
        <is>
          <t>CÓ</t>
        </is>
      </c>
      <c r="T5" s="150" t="inlineStr">
        <is>
          <t>ĐÃ DUYỆT</t>
        </is>
      </c>
      <c r="U5" s="151" t="inlineStr">
        <is>
          <t>Quản Đốc Trần Đức Minh</t>
        </is>
      </c>
      <c r="V5" s="150" t="inlineStr">
        <is>
          <t>2026-08-01 16:30</t>
        </is>
      </c>
      <c r="W5" s="150" t="inlineStr">
        <is>
          <t>CC-202608-NV02-01</t>
        </is>
      </c>
      <c r="X5" s="150">
        <f>IFS(C5="", "THIẾU MÃ NV", COUNTIFS(A:A, A5, C:C, C5)&gt;1, "TRÙNG NHÂN VIÊN/NGÀY", O5&gt;4, "VƯỢT 4 GIỜ/NGÀY", AND(O5&gt;0, S5&lt;&gt;"CÓ"), "CHƯA ĐĂNG KÝ TC", AND(O5&gt;0, T5&lt;&gt;"ĐÃ DUYỆT"), "CHƯA DUYỆT TC", AND(T5="ĐÃ DUYỆT", U5=""), "THIẾU NGƯỜI DUYỆT", TRUE, "HỢP LỆ")</f>
        <v/>
      </c>
    </row>
    <row r="6">
      <c r="A6" s="146" t="inlineStr">
        <is>
          <t>2026-08-01</t>
        </is>
      </c>
      <c r="B6" s="146">
        <f>DATE(YEAR(A6), MONTH(A6), 1)</f>
        <v/>
      </c>
      <c r="C6" s="146" t="inlineStr">
        <is>
          <t>NV03</t>
        </is>
      </c>
      <c r="D6" s="147">
        <f>IFERROR(XLOOKUP(C6, '11_Master_Data'!$A:$A, '11_Master_Data'!$B:$B, "KHÔNG CÓ MÃ NV"), "KHÔNG CÓ MÃ NV")</f>
        <v/>
      </c>
      <c r="E6" s="146" t="inlineStr">
        <is>
          <t>C2</t>
        </is>
      </c>
      <c r="F6" s="148" t="n">
        <v>1</v>
      </c>
      <c r="G6" s="148" t="n">
        <v>8</v>
      </c>
      <c r="H6" s="148" t="n">
        <v>0</v>
      </c>
      <c r="I6" s="148" t="n">
        <v>0</v>
      </c>
      <c r="J6" s="148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8">
        <f>SUM(H6:J6, L6:N6)</f>
        <v/>
      </c>
      <c r="P6" s="149" t="n">
        <v>30000</v>
      </c>
      <c r="Q6" s="148" t="n">
        <v>0</v>
      </c>
      <c r="R6" s="147" t="inlineStr"/>
      <c r="S6" s="146" t="inlineStr">
        <is>
          <t>KHÔNG</t>
        </is>
      </c>
      <c r="T6" s="146" t="inlineStr">
        <is>
          <t>ĐÃ DUYỆT</t>
        </is>
      </c>
      <c r="U6" s="147" t="inlineStr">
        <is>
          <t>Quản Đốc Trần Đức Minh</t>
        </is>
      </c>
      <c r="V6" s="146" t="inlineStr">
        <is>
          <t>2026-08-01 16:30</t>
        </is>
      </c>
      <c r="W6" s="146" t="inlineStr">
        <is>
          <t>CC-202608-NV03-01</t>
        </is>
      </c>
      <c r="X6" s="146">
        <f>IFS(C6="", "THIẾU MÃ NV", COUNTIFS(A:A, A6, C:C, C6)&gt;1, "TRÙNG NHÂN VIÊN/NGÀY", O6&gt;4, "VƯỢT 4 GIỜ/NGÀY", AND(O6&gt;0, S6&lt;&gt;"CÓ"), "CHƯA ĐĂNG KÝ TC", AND(O6&gt;0, T6&lt;&gt;"ĐÃ DUYỆT"), "CHƯA DUYỆT TC", AND(T6="ĐÃ DUYỆT", U6=""), "THIẾU NGƯỜI DUYỆT", TRUE, "HỢP LỆ")</f>
        <v/>
      </c>
    </row>
    <row r="7">
      <c r="A7" s="150" t="inlineStr">
        <is>
          <t>2026-08-01</t>
        </is>
      </c>
      <c r="B7" s="150">
        <f>DATE(YEAR(A7), MONTH(A7), 1)</f>
        <v/>
      </c>
      <c r="C7" s="150" t="inlineStr">
        <is>
          <t>NV04</t>
        </is>
      </c>
      <c r="D7" s="151">
        <f>IFERROR(XLOOKUP(C7, '11_Master_Data'!$A:$A, '11_Master_Data'!$B:$B, "KHÔNG CÓ MÃ NV"), "KHÔNG CÓ MÃ NV")</f>
        <v/>
      </c>
      <c r="E7" s="150" t="inlineStr">
        <is>
          <t>C3</t>
        </is>
      </c>
      <c r="F7" s="152" t="n">
        <v>1</v>
      </c>
      <c r="G7" s="152" t="n">
        <v>8</v>
      </c>
      <c r="H7" s="152" t="n">
        <v>0</v>
      </c>
      <c r="I7" s="152" t="n">
        <v>0</v>
      </c>
      <c r="J7" s="152" t="n">
        <v>0</v>
      </c>
      <c r="K7" s="152" t="n">
        <v>8</v>
      </c>
      <c r="L7" s="152" t="n">
        <v>0</v>
      </c>
      <c r="M7" s="152" t="n">
        <v>0</v>
      </c>
      <c r="N7" s="152" t="n">
        <v>0</v>
      </c>
      <c r="O7" s="152">
        <f>SUM(H7:J7, L7:N7)</f>
        <v/>
      </c>
      <c r="P7" s="153" t="n">
        <v>30000</v>
      </c>
      <c r="Q7" s="152" t="n">
        <v>0</v>
      </c>
      <c r="R7" s="151" t="inlineStr"/>
      <c r="S7" s="150" t="inlineStr">
        <is>
          <t>KHÔNG</t>
        </is>
      </c>
      <c r="T7" s="150" t="inlineStr">
        <is>
          <t>ĐÃ DUYỆT</t>
        </is>
      </c>
      <c r="U7" s="151" t="inlineStr">
        <is>
          <t>Quản Đốc Trần Đức Minh</t>
        </is>
      </c>
      <c r="V7" s="150" t="inlineStr">
        <is>
          <t>2026-08-01 16:30</t>
        </is>
      </c>
      <c r="W7" s="150" t="inlineStr">
        <is>
          <t>CC-202608-NV04-01</t>
        </is>
      </c>
      <c r="X7" s="150">
        <f>IFS(C7="", "THIẾU MÃ NV", COUNTIFS(A:A, A7, C:C, C7)&gt;1, "TRÙNG NHÂN VIÊN/NGÀY", O7&gt;4, "VƯỢT 4 GIỜ/NGÀY", AND(O7&gt;0, S7&lt;&gt;"CÓ"), "CHƯA ĐĂNG KÝ TC", AND(O7&gt;0, T7&lt;&gt;"ĐÃ DUYỆT"), "CHƯA DUYỆT TC", AND(T7="ĐÃ DUYỆT", U7=""), "THIẾU NGƯỜI DUYỆT", TRUE, "HỢP LỆ")</f>
        <v/>
      </c>
    </row>
    <row r="8">
      <c r="A8" s="146" t="inlineStr">
        <is>
          <t>2026-08-01</t>
        </is>
      </c>
      <c r="B8" s="146">
        <f>DATE(YEAR(A8), MONTH(A8), 1)</f>
        <v/>
      </c>
      <c r="C8" s="146" t="inlineStr">
        <is>
          <t>NV06</t>
        </is>
      </c>
      <c r="D8" s="147">
        <f>IFERROR(XLOOKUP(C8, '11_Master_Data'!$A:$A, '11_Master_Data'!$B:$B, "KHÔNG CÓ MÃ NV"), "KHÔNG CÓ MÃ NV")</f>
        <v/>
      </c>
      <c r="E8" s="146" t="inlineStr">
        <is>
          <t>C3</t>
        </is>
      </c>
      <c r="F8" s="148" t="n">
        <v>1</v>
      </c>
      <c r="G8" s="148" t="n">
        <v>8</v>
      </c>
      <c r="H8" s="148" t="n">
        <v>2</v>
      </c>
      <c r="I8" s="148" t="n">
        <v>0</v>
      </c>
      <c r="J8" s="148" t="n">
        <v>0</v>
      </c>
      <c r="K8" s="148" t="n">
        <v>8</v>
      </c>
      <c r="L8" s="148" t="n">
        <v>0</v>
      </c>
      <c r="M8" s="148" t="n">
        <v>0</v>
      </c>
      <c r="N8" s="148" t="n">
        <v>0</v>
      </c>
      <c r="O8" s="148">
        <f>SUM(H8:J8, L8:N8)</f>
        <v/>
      </c>
      <c r="P8" s="149" t="n">
        <v>55000</v>
      </c>
      <c r="Q8" s="148" t="n">
        <v>0</v>
      </c>
      <c r="R8" s="147" t="inlineStr">
        <is>
          <t>Đảm bảo tiến độ sản xuất</t>
        </is>
      </c>
      <c r="S8" s="146" t="inlineStr">
        <is>
          <t>CÓ</t>
        </is>
      </c>
      <c r="T8" s="146" t="inlineStr">
        <is>
          <t>ĐÃ DUYỆT</t>
        </is>
      </c>
      <c r="U8" s="147" t="inlineStr">
        <is>
          <t>Quản Đốc Trần Đức Minh</t>
        </is>
      </c>
      <c r="V8" s="146" t="inlineStr">
        <is>
          <t>2026-08-01 16:30</t>
        </is>
      </c>
      <c r="W8" s="146" t="inlineStr">
        <is>
          <t>CC-202608-NV06-01</t>
        </is>
      </c>
      <c r="X8" s="146">
        <f>IFS(C8="", "THIẾU MÃ NV", COUNTIFS(A:A, A8, C:C, C8)&gt;1, "TRÙNG NHÂN VIÊN/NGÀY", O8&gt;4, "VƯỢT 4 GIỜ/NGÀY", AND(O8&gt;0, S8&lt;&gt;"CÓ"), "CHƯA ĐĂNG KÝ TC", AND(O8&gt;0, T8&lt;&gt;"ĐÃ DUYỆT"), "CHƯA DUYỆT TC", AND(T8="ĐÃ DUYỆT", U8=""), "THIẾU NGƯỜI DUYỆT", TRUE, "HỢP LỆ")</f>
        <v/>
      </c>
    </row>
    <row r="9">
      <c r="A9" s="150" t="inlineStr">
        <is>
          <t>2026-08-01</t>
        </is>
      </c>
      <c r="B9" s="150">
        <f>DATE(YEAR(A9), MONTH(A9), 1)</f>
        <v/>
      </c>
      <c r="C9" s="150" t="inlineStr">
        <is>
          <t>NV07</t>
        </is>
      </c>
      <c r="D9" s="151">
        <f>IFERROR(XLOOKUP(C9, '11_Master_Data'!$A:$A, '11_Master_Data'!$B:$B, "KHÔNG CÓ MÃ NV"), "KHÔNG CÓ MÃ NV")</f>
        <v/>
      </c>
      <c r="E9" s="150" t="inlineStr">
        <is>
          <t>C1</t>
        </is>
      </c>
      <c r="F9" s="152" t="n">
        <v>1</v>
      </c>
      <c r="G9" s="152" t="n">
        <v>8</v>
      </c>
      <c r="H9" s="152" t="n">
        <v>0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0</v>
      </c>
      <c r="N9" s="152" t="n">
        <v>0</v>
      </c>
      <c r="O9" s="152">
        <f>SUM(H9:J9, L9:N9)</f>
        <v/>
      </c>
      <c r="P9" s="153" t="n">
        <v>30000</v>
      </c>
      <c r="Q9" s="152" t="n">
        <v>0</v>
      </c>
      <c r="R9" s="151" t="inlineStr"/>
      <c r="S9" s="150" t="inlineStr">
        <is>
          <t>KHÔNG</t>
        </is>
      </c>
      <c r="T9" s="150" t="inlineStr">
        <is>
          <t>ĐÃ DUYỆT</t>
        </is>
      </c>
      <c r="U9" s="151" t="inlineStr">
        <is>
          <t>Quản Đốc Trần Đức Minh</t>
        </is>
      </c>
      <c r="V9" s="150" t="inlineStr">
        <is>
          <t>2026-08-01 16:30</t>
        </is>
      </c>
      <c r="W9" s="150" t="inlineStr">
        <is>
          <t>CC-202608-NV07-01</t>
        </is>
      </c>
      <c r="X9" s="150">
        <f>IFS(C9="", "THIẾU MÃ NV", COUNTIFS(A:A, A9, C:C, C9)&gt;1, "TRÙNG NHÂN VIÊN/NGÀY", O9&gt;4, "VƯỢT 4 GIỜ/NGÀY", AND(O9&gt;0, S9&lt;&gt;"CÓ"), "CHƯA ĐĂNG KÝ TC", AND(O9&gt;0, T9&lt;&gt;"ĐÃ DUYỆT"), "CHƯA DUYỆT TC", AND(T9="ĐÃ DUYỆT", U9=""), "THIẾU NGƯỜI DUYỆT", TRUE, "HỢP LỆ")</f>
        <v/>
      </c>
    </row>
    <row r="10">
      <c r="A10" s="146" t="inlineStr">
        <is>
          <t>2026-08-01</t>
        </is>
      </c>
      <c r="B10" s="146">
        <f>DATE(YEAR(A10), MONTH(A10), 1)</f>
        <v/>
      </c>
      <c r="C10" s="146" t="inlineStr">
        <is>
          <t>NV08</t>
        </is>
      </c>
      <c r="D10" s="147">
        <f>IFERROR(XLOOKUP(C10, '11_Master_Data'!$A:$A, '11_Master_Data'!$B:$B, "KHÔNG CÓ MÃ NV"), "KHÔNG CÓ MÃ NV")</f>
        <v/>
      </c>
      <c r="E10" s="146" t="inlineStr">
        <is>
          <t>C3</t>
        </is>
      </c>
      <c r="F10" s="148" t="n">
        <v>1</v>
      </c>
      <c r="G10" s="148" t="n">
        <v>8</v>
      </c>
      <c r="H10" s="148" t="n">
        <v>2</v>
      </c>
      <c r="I10" s="148" t="n">
        <v>0</v>
      </c>
      <c r="J10" s="148" t="n">
        <v>0</v>
      </c>
      <c r="K10" s="148" t="n">
        <v>8</v>
      </c>
      <c r="L10" s="148" t="n">
        <v>0</v>
      </c>
      <c r="M10" s="148" t="n">
        <v>0</v>
      </c>
      <c r="N10" s="148" t="n">
        <v>0</v>
      </c>
      <c r="O10" s="148">
        <f>SUM(H10:J10, L10:N10)</f>
        <v/>
      </c>
      <c r="P10" s="149" t="n">
        <v>55000</v>
      </c>
      <c r="Q10" s="148" t="n">
        <v>0</v>
      </c>
      <c r="R10" s="147" t="inlineStr">
        <is>
          <t>Đảm bảo tiến độ sản xuất</t>
        </is>
      </c>
      <c r="S10" s="146" t="inlineStr">
        <is>
          <t>CÓ</t>
        </is>
      </c>
      <c r="T10" s="146" t="inlineStr">
        <is>
          <t>ĐÃ DUYỆT</t>
        </is>
      </c>
      <c r="U10" s="147" t="inlineStr">
        <is>
          <t>Quản Đốc Trần Đức Minh</t>
        </is>
      </c>
      <c r="V10" s="146" t="inlineStr">
        <is>
          <t>2026-08-01 16:30</t>
        </is>
      </c>
      <c r="W10" s="146" t="inlineStr">
        <is>
          <t>CC-202608-NV08-01</t>
        </is>
      </c>
      <c r="X10" s="146">
        <f>IFS(C10="", "THIẾU MÃ NV", COUNTIFS(A:A, A10, C:C, C10)&gt;1, "TRÙNG NHÂN VIÊN/NGÀY", O10&gt;4, "VƯỢT 4 GIỜ/NGÀY", AND(O10&gt;0, S10&lt;&gt;"CÓ"), "CHƯA ĐĂNG KÝ TC", AND(O10&gt;0, T10&lt;&gt;"ĐÃ DUYỆT"), "CHƯA DUYỆT TC", AND(T10="ĐÃ DUYỆT", U10=""), "THIẾU NGƯỜI DUYỆT", TRUE, "HỢP LỆ")</f>
        <v/>
      </c>
    </row>
    <row r="11">
      <c r="A11" s="150" t="inlineStr">
        <is>
          <t>2026-08-01</t>
        </is>
      </c>
      <c r="B11" s="150">
        <f>DATE(YEAR(A11), MONTH(A11), 1)</f>
        <v/>
      </c>
      <c r="C11" s="150" t="inlineStr">
        <is>
          <t>NV10</t>
        </is>
      </c>
      <c r="D11" s="151">
        <f>IFERROR(XLOOKUP(C11, '11_Master_Data'!$A:$A, '11_Master_Data'!$B:$B, "KHÔNG CÓ MÃ NV"), "KHÔNG CÓ MÃ NV")</f>
        <v/>
      </c>
      <c r="E11" s="150" t="inlineStr">
        <is>
          <t>C2</t>
        </is>
      </c>
      <c r="F11" s="152" t="n">
        <v>1</v>
      </c>
      <c r="G11" s="152" t="n">
        <v>8</v>
      </c>
      <c r="H11" s="152" t="n">
        <v>2</v>
      </c>
      <c r="I11" s="152" t="n">
        <v>0</v>
      </c>
      <c r="J11" s="152" t="n">
        <v>0</v>
      </c>
      <c r="K11" s="152" t="n">
        <v>0</v>
      </c>
      <c r="L11" s="152" t="n">
        <v>0</v>
      </c>
      <c r="M11" s="152" t="n">
        <v>0</v>
      </c>
      <c r="N11" s="152" t="n">
        <v>0</v>
      </c>
      <c r="O11" s="152">
        <f>SUM(H11:J11, L11:N11)</f>
        <v/>
      </c>
      <c r="P11" s="153" t="n">
        <v>55000</v>
      </c>
      <c r="Q11" s="152" t="n">
        <v>0</v>
      </c>
      <c r="R11" s="151" t="inlineStr">
        <is>
          <t>Đảm bảo tiến độ sản xuất</t>
        </is>
      </c>
      <c r="S11" s="150" t="inlineStr">
        <is>
          <t>CÓ</t>
        </is>
      </c>
      <c r="T11" s="150" t="inlineStr">
        <is>
          <t>ĐÃ DUYỆT</t>
        </is>
      </c>
      <c r="U11" s="151" t="inlineStr">
        <is>
          <t>Quản Đốc Trần Đức Minh</t>
        </is>
      </c>
      <c r="V11" s="150" t="inlineStr">
        <is>
          <t>2026-08-01 16:30</t>
        </is>
      </c>
      <c r="W11" s="150" t="inlineStr">
        <is>
          <t>CC-202608-NV10-01</t>
        </is>
      </c>
      <c r="X11" s="150">
        <f>IFS(C11="", "THIẾU MÃ NV", COUNTIFS(A:A, A11, C:C, C11)&gt;1, "TRÙNG NHÂN VIÊN/NGÀY", O11&gt;4, "VƯỢT 4 GIỜ/NGÀY", AND(O11&gt;0, S11&lt;&gt;"CÓ"), "CHƯA ĐĂNG KÝ TC", AND(O11&gt;0, T11&lt;&gt;"ĐÃ DUYỆT"), "CHƯA DUYỆT TC", AND(T11="ĐÃ DUYỆT", U11=""), "THIẾU NGƯỜI DUYỆT", TRUE, "HỢP LỆ")</f>
        <v/>
      </c>
    </row>
    <row r="12">
      <c r="A12" s="146" t="inlineStr">
        <is>
          <t>2026-08-01</t>
        </is>
      </c>
      <c r="B12" s="146">
        <f>DATE(YEAR(A12), MONTH(A12), 1)</f>
        <v/>
      </c>
      <c r="C12" s="146" t="inlineStr">
        <is>
          <t>NV11</t>
        </is>
      </c>
      <c r="D12" s="147">
        <f>IFERROR(XLOOKUP(C12, '11_Master_Data'!$A:$A, '11_Master_Data'!$B:$B, "KHÔNG CÓ MÃ NV"), "KHÔNG CÓ MÃ NV")</f>
        <v/>
      </c>
      <c r="E12" s="146" t="inlineStr">
        <is>
          <t>C2</t>
        </is>
      </c>
      <c r="F12" s="148" t="n">
        <v>1</v>
      </c>
      <c r="G12" s="148" t="n">
        <v>8</v>
      </c>
      <c r="H12" s="148" t="n">
        <v>2</v>
      </c>
      <c r="I12" s="148" t="n">
        <v>0</v>
      </c>
      <c r="J12" s="148" t="n">
        <v>0</v>
      </c>
      <c r="K12" s="148" t="n">
        <v>0</v>
      </c>
      <c r="L12" s="148" t="n">
        <v>0</v>
      </c>
      <c r="M12" s="148" t="n">
        <v>0</v>
      </c>
      <c r="N12" s="148" t="n">
        <v>0</v>
      </c>
      <c r="O12" s="148">
        <f>SUM(H12:J12, L12:N12)</f>
        <v/>
      </c>
      <c r="P12" s="149" t="n">
        <v>55000</v>
      </c>
      <c r="Q12" s="148" t="n">
        <v>0</v>
      </c>
      <c r="R12" s="147" t="inlineStr">
        <is>
          <t>Đảm bảo tiến độ sản xuất</t>
        </is>
      </c>
      <c r="S12" s="146" t="inlineStr">
        <is>
          <t>CÓ</t>
        </is>
      </c>
      <c r="T12" s="146" t="inlineStr">
        <is>
          <t>ĐÃ DUYỆT</t>
        </is>
      </c>
      <c r="U12" s="147" t="inlineStr">
        <is>
          <t>Quản Đốc Trần Đức Minh</t>
        </is>
      </c>
      <c r="V12" s="146" t="inlineStr">
        <is>
          <t>2026-08-01 16:30</t>
        </is>
      </c>
      <c r="W12" s="146" t="inlineStr">
        <is>
          <t>CC-202608-NV11-01</t>
        </is>
      </c>
      <c r="X12" s="146">
        <f>IFS(C12="", "THIẾU MÃ NV", COUNTIFS(A:A, A12, C:C, C12)&gt;1, "TRÙNG NHÂN VIÊN/NGÀY", O12&gt;4, "VƯỢT 4 GIỜ/NGÀY", AND(O12&gt;0, S12&lt;&gt;"CÓ"), "CHƯA ĐĂNG KÝ TC", AND(O12&gt;0, T12&lt;&gt;"ĐÃ DUYỆT"), "CHƯA DUYỆT TC", AND(T12="ĐÃ DUYỆT", U12=""), "THIẾU NGƯỜI DUYỆT", TRUE, "HỢP LỆ")</f>
        <v/>
      </c>
    </row>
    <row r="13">
      <c r="A13" s="150" t="inlineStr">
        <is>
          <t>2026-08-01</t>
        </is>
      </c>
      <c r="B13" s="150">
        <f>DATE(YEAR(A13), MONTH(A13), 1)</f>
        <v/>
      </c>
      <c r="C13" s="150" t="inlineStr">
        <is>
          <t>NV12</t>
        </is>
      </c>
      <c r="D13" s="151">
        <f>IFERROR(XLOOKUP(C13, '11_Master_Data'!$A:$A, '11_Master_Data'!$B:$B, "KHÔNG CÓ MÃ NV"), "KHÔNG CÓ MÃ NV")</f>
        <v/>
      </c>
      <c r="E13" s="150" t="inlineStr">
        <is>
          <t>C1</t>
        </is>
      </c>
      <c r="F13" s="152" t="n">
        <v>1</v>
      </c>
      <c r="G13" s="152" t="n">
        <v>8</v>
      </c>
      <c r="H13" s="152" t="n">
        <v>2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0</v>
      </c>
      <c r="N13" s="152" t="n">
        <v>0</v>
      </c>
      <c r="O13" s="152">
        <f>SUM(H13:J13, L13:N13)</f>
        <v/>
      </c>
      <c r="P13" s="153" t="n">
        <v>55000</v>
      </c>
      <c r="Q13" s="152" t="n">
        <v>0</v>
      </c>
      <c r="R13" s="151" t="inlineStr">
        <is>
          <t>Đảm bảo tiến độ sản xuất</t>
        </is>
      </c>
      <c r="S13" s="150" t="inlineStr">
        <is>
          <t>CÓ</t>
        </is>
      </c>
      <c r="T13" s="150" t="inlineStr">
        <is>
          <t>ĐÃ DUYỆT</t>
        </is>
      </c>
      <c r="U13" s="151" t="inlineStr">
        <is>
          <t>Quản Đốc Trần Đức Minh</t>
        </is>
      </c>
      <c r="V13" s="150" t="inlineStr">
        <is>
          <t>2026-08-01 16:30</t>
        </is>
      </c>
      <c r="W13" s="150" t="inlineStr">
        <is>
          <t>CC-202608-NV12-01</t>
        </is>
      </c>
      <c r="X13" s="150">
        <f>IFS(C13="", "THIẾU MÃ NV", COUNTIFS(A:A, A13, C:C, C13)&gt;1, "TRÙNG NHÂN VIÊN/NGÀY", O13&gt;4, "VƯỢT 4 GIỜ/NGÀY", AND(O13&gt;0, S13&lt;&gt;"CÓ"), "CHƯA ĐĂNG KÝ TC", AND(O13&gt;0, T13&lt;&gt;"ĐÃ DUYỆT"), "CHƯA DUYỆT TC", AND(T13="ĐÃ DUYỆT", U13=""), "THIẾU NGƯỜI DUYỆT", TRUE, "HỢP LỆ")</f>
        <v/>
      </c>
    </row>
    <row r="14">
      <c r="A14" s="146" t="inlineStr">
        <is>
          <t>2026-08-01</t>
        </is>
      </c>
      <c r="B14" s="146">
        <f>DATE(YEAR(A14), MONTH(A14), 1)</f>
        <v/>
      </c>
      <c r="C14" s="146" t="inlineStr">
        <is>
          <t>NV13</t>
        </is>
      </c>
      <c r="D14" s="147">
        <f>IFERROR(XLOOKUP(C14, '11_Master_Data'!$A:$A, '11_Master_Data'!$B:$B, "KHÔNG CÓ MÃ NV"), "KHÔNG CÓ MÃ NV")</f>
        <v/>
      </c>
      <c r="E14" s="146" t="inlineStr">
        <is>
          <t>C1</t>
        </is>
      </c>
      <c r="F14" s="148" t="n">
        <v>1</v>
      </c>
      <c r="G14" s="148" t="n">
        <v>8</v>
      </c>
      <c r="H14" s="148" t="n">
        <v>0</v>
      </c>
      <c r="I14" s="148" t="n">
        <v>0</v>
      </c>
      <c r="J14" s="148" t="n">
        <v>0</v>
      </c>
      <c r="K14" s="148" t="n">
        <v>0</v>
      </c>
      <c r="L14" s="148" t="n">
        <v>0</v>
      </c>
      <c r="M14" s="148" t="n">
        <v>0</v>
      </c>
      <c r="N14" s="148" t="n">
        <v>0</v>
      </c>
      <c r="O14" s="148">
        <f>SUM(H14:J14, L14:N14)</f>
        <v/>
      </c>
      <c r="P14" s="149" t="n">
        <v>30000</v>
      </c>
      <c r="Q14" s="148" t="n">
        <v>0</v>
      </c>
      <c r="R14" s="147" t="inlineStr"/>
      <c r="S14" s="146" t="inlineStr">
        <is>
          <t>KHÔNG</t>
        </is>
      </c>
      <c r="T14" s="146" t="inlineStr">
        <is>
          <t>ĐÃ DUYỆT</t>
        </is>
      </c>
      <c r="U14" s="147" t="inlineStr">
        <is>
          <t>Quản Đốc Trần Đức Minh</t>
        </is>
      </c>
      <c r="V14" s="146" t="inlineStr">
        <is>
          <t>2026-08-01 16:30</t>
        </is>
      </c>
      <c r="W14" s="146" t="inlineStr">
        <is>
          <t>CC-202608-NV13-01</t>
        </is>
      </c>
      <c r="X14" s="146">
        <f>IFS(C14="", "THIẾU MÃ NV", COUNTIFS(A:A, A14, C:C, C14)&gt;1, "TRÙNG NHÂN VIÊN/NGÀY", O14&gt;4, "VƯỢT 4 GIỜ/NGÀY", AND(O14&gt;0, S14&lt;&gt;"CÓ"), "CHƯA ĐĂNG KÝ TC", AND(O14&gt;0, T14&lt;&gt;"ĐÃ DUYỆT"), "CHƯA DUYỆT TC", AND(T14="ĐÃ DUYỆT", U14=""), "THIẾU NGƯỜI DUYỆT", TRUE, "HỢP LỆ")</f>
        <v/>
      </c>
    </row>
    <row r="15">
      <c r="A15" s="150" t="inlineStr">
        <is>
          <t>2026-08-01</t>
        </is>
      </c>
      <c r="B15" s="150">
        <f>DATE(YEAR(A15), MONTH(A15), 1)</f>
        <v/>
      </c>
      <c r="C15" s="150" t="inlineStr">
        <is>
          <t>NV14</t>
        </is>
      </c>
      <c r="D15" s="151">
        <f>IFERROR(XLOOKUP(C15, '11_Master_Data'!$A:$A, '11_Master_Data'!$B:$B, "KHÔNG CÓ MÃ NV"), "KHÔNG CÓ MÃ NV")</f>
        <v/>
      </c>
      <c r="E15" s="150" t="inlineStr">
        <is>
          <t>C1</t>
        </is>
      </c>
      <c r="F15" s="152" t="n">
        <v>1</v>
      </c>
      <c r="G15" s="152" t="n">
        <v>8</v>
      </c>
      <c r="H15" s="152" t="n">
        <v>2</v>
      </c>
      <c r="I15" s="152" t="n">
        <v>0</v>
      </c>
      <c r="J15" s="152" t="n">
        <v>0</v>
      </c>
      <c r="K15" s="152" t="n">
        <v>0</v>
      </c>
      <c r="L15" s="152" t="n">
        <v>0</v>
      </c>
      <c r="M15" s="152" t="n">
        <v>0</v>
      </c>
      <c r="N15" s="152" t="n">
        <v>0</v>
      </c>
      <c r="O15" s="152">
        <f>SUM(H15:J15, L15:N15)</f>
        <v/>
      </c>
      <c r="P15" s="153" t="n">
        <v>55000</v>
      </c>
      <c r="Q15" s="152" t="n">
        <v>0</v>
      </c>
      <c r="R15" s="151" t="inlineStr">
        <is>
          <t>Đảm bảo tiến độ sản xuất</t>
        </is>
      </c>
      <c r="S15" s="150" t="inlineStr">
        <is>
          <t>CÓ</t>
        </is>
      </c>
      <c r="T15" s="150" t="inlineStr">
        <is>
          <t>ĐÃ DUYỆT</t>
        </is>
      </c>
      <c r="U15" s="151" t="inlineStr">
        <is>
          <t>Quản Đốc Trần Đức Minh</t>
        </is>
      </c>
      <c r="V15" s="150" t="inlineStr">
        <is>
          <t>2026-08-01 16:30</t>
        </is>
      </c>
      <c r="W15" s="150" t="inlineStr">
        <is>
          <t>CC-202608-NV14-01</t>
        </is>
      </c>
      <c r="X15" s="150">
        <f>IFS(C15="", "THIẾU MÃ NV", COUNTIFS(A:A, A15, C:C, C15)&gt;1, "TRÙNG NHÂN VIÊN/NGÀY", O15&gt;4, "VƯỢT 4 GIỜ/NGÀY", AND(O15&gt;0, S15&lt;&gt;"CÓ"), "CHƯA ĐĂNG KÝ TC", AND(O15&gt;0, T15&lt;&gt;"ĐÃ DUYỆT"), "CHƯA DUYỆT TC", AND(T15="ĐÃ DUYỆT", U15=""), "THIẾU NGƯỜI DUYỆT", TRUE, "HỢP LỆ")</f>
        <v/>
      </c>
    </row>
    <row r="16">
      <c r="A16" s="146" t="inlineStr">
        <is>
          <t>2026-08-01</t>
        </is>
      </c>
      <c r="B16" s="146">
        <f>DATE(YEAR(A16), MONTH(A16), 1)</f>
        <v/>
      </c>
      <c r="C16" s="146" t="inlineStr">
        <is>
          <t>NV15</t>
        </is>
      </c>
      <c r="D16" s="147">
        <f>IFERROR(XLOOKUP(C16, '11_Master_Data'!$A:$A, '11_Master_Data'!$B:$B, "KHÔNG CÓ MÃ NV"), "KHÔNG CÓ MÃ NV")</f>
        <v/>
      </c>
      <c r="E16" s="146" t="inlineStr">
        <is>
          <t>C2</t>
        </is>
      </c>
      <c r="F16" s="148" t="n">
        <v>1</v>
      </c>
      <c r="G16" s="148" t="n">
        <v>8</v>
      </c>
      <c r="H16" s="148" t="n">
        <v>0</v>
      </c>
      <c r="I16" s="148" t="n">
        <v>0</v>
      </c>
      <c r="J16" s="148" t="n">
        <v>0</v>
      </c>
      <c r="K16" s="148" t="n">
        <v>0</v>
      </c>
      <c r="L16" s="148" t="n">
        <v>0</v>
      </c>
      <c r="M16" s="148" t="n">
        <v>0</v>
      </c>
      <c r="N16" s="148" t="n">
        <v>0</v>
      </c>
      <c r="O16" s="148">
        <f>SUM(H16:J16, L16:N16)</f>
        <v/>
      </c>
      <c r="P16" s="149" t="n">
        <v>30000</v>
      </c>
      <c r="Q16" s="148" t="n">
        <v>0</v>
      </c>
      <c r="R16" s="147" t="inlineStr"/>
      <c r="S16" s="146" t="inlineStr">
        <is>
          <t>KHÔNG</t>
        </is>
      </c>
      <c r="T16" s="146" t="inlineStr">
        <is>
          <t>ĐÃ DUYỆT</t>
        </is>
      </c>
      <c r="U16" s="147" t="inlineStr">
        <is>
          <t>Quản Đốc Trần Đức Minh</t>
        </is>
      </c>
      <c r="V16" s="146" t="inlineStr">
        <is>
          <t>2026-08-01 16:30</t>
        </is>
      </c>
      <c r="W16" s="146" t="inlineStr">
        <is>
          <t>CC-202608-NV15-01</t>
        </is>
      </c>
      <c r="X16" s="146">
        <f>IFS(C16="", "THIẾU MÃ NV", COUNTIFS(A:A, A16, C:C, C16)&gt;1, "TRÙNG NHÂN VIÊN/NGÀY", O16&gt;4, "VƯỢT 4 GIỜ/NGÀY", AND(O16&gt;0, S16&lt;&gt;"CÓ"), "CHƯA ĐĂNG KÝ TC", AND(O16&gt;0, T16&lt;&gt;"ĐÃ DUYỆT"), "CHƯA DUYỆT TC", AND(T16="ĐÃ DUYỆT", U16=""), "THIẾU NGƯỜI DUYỆT", TRUE, "HỢP LỆ")</f>
        <v/>
      </c>
    </row>
    <row r="17">
      <c r="A17" s="150" t="inlineStr">
        <is>
          <t>2026-08-02</t>
        </is>
      </c>
      <c r="B17" s="150">
        <f>DATE(YEAR(A17), MONTH(A17), 1)</f>
        <v/>
      </c>
      <c r="C17" s="150" t="inlineStr">
        <is>
          <t>NV01</t>
        </is>
      </c>
      <c r="D17" s="151">
        <f>IFERROR(XLOOKUP(C17, '11_Master_Data'!$A:$A, '11_Master_Data'!$B:$B, "KHÔNG CÓ MÃ NV"), "KHÔNG CÓ MÃ NV")</f>
        <v/>
      </c>
      <c r="E17" s="150" t="inlineStr">
        <is>
          <t>C1</t>
        </is>
      </c>
      <c r="F17" s="152" t="n">
        <v>0.5</v>
      </c>
      <c r="G17" s="152" t="n">
        <v>8</v>
      </c>
      <c r="H17" s="152" t="n">
        <v>0</v>
      </c>
      <c r="I17" s="152" t="n">
        <v>0</v>
      </c>
      <c r="J17" s="152" t="n">
        <v>0</v>
      </c>
      <c r="K17" s="152" t="n">
        <v>0</v>
      </c>
      <c r="L17" s="152" t="n">
        <v>0</v>
      </c>
      <c r="M17" s="152" t="n">
        <v>0</v>
      </c>
      <c r="N17" s="152" t="n">
        <v>0</v>
      </c>
      <c r="O17" s="152">
        <f>SUM(H17:J17, L17:N17)</f>
        <v/>
      </c>
      <c r="P17" s="153" t="n">
        <v>30000</v>
      </c>
      <c r="Q17" s="152" t="n">
        <v>0</v>
      </c>
      <c r="R17" s="151" t="inlineStr"/>
      <c r="S17" s="150" t="inlineStr">
        <is>
          <t>KHÔNG</t>
        </is>
      </c>
      <c r="T17" s="150" t="inlineStr">
        <is>
          <t>ĐÃ DUYỆT</t>
        </is>
      </c>
      <c r="U17" s="151" t="inlineStr">
        <is>
          <t>Quản Đốc Trần Đức Minh</t>
        </is>
      </c>
      <c r="V17" s="150" t="inlineStr">
        <is>
          <t>2026-08-02 16:30</t>
        </is>
      </c>
      <c r="W17" s="150" t="inlineStr">
        <is>
          <t>CC-202608-NV01-02</t>
        </is>
      </c>
      <c r="X17" s="150">
        <f>IFS(C17="", "THIẾU MÃ NV", COUNTIFS(A:A, A17, C:C, C17)&gt;1, "TRÙNG NHÂN VIÊN/NGÀY", O17&gt;4, "VƯỢT 4 GIỜ/NGÀY", AND(O17&gt;0, S17&lt;&gt;"CÓ"), "CHƯA ĐĂNG KÝ TC", AND(O17&gt;0, T17&lt;&gt;"ĐÃ DUYỆT"), "CHƯA DUYỆT TC", AND(T17="ĐÃ DUYỆT", U17=""), "THIẾU NGƯỜI DUYỆT", TRUE, "HỢP LỆ")</f>
        <v/>
      </c>
    </row>
    <row r="18">
      <c r="A18" s="146" t="inlineStr">
        <is>
          <t>2026-08-02</t>
        </is>
      </c>
      <c r="B18" s="146">
        <f>DATE(YEAR(A18), MONTH(A18), 1)</f>
        <v/>
      </c>
      <c r="C18" s="146" t="inlineStr">
        <is>
          <t>NV02</t>
        </is>
      </c>
      <c r="D18" s="147">
        <f>IFERROR(XLOOKUP(C18, '11_Master_Data'!$A:$A, '11_Master_Data'!$B:$B, "KHÔNG CÓ MÃ NV"), "KHÔNG CÓ MÃ NV")</f>
        <v/>
      </c>
      <c r="E18" s="146" t="inlineStr">
        <is>
          <t>C1</t>
        </is>
      </c>
      <c r="F18" s="148" t="n">
        <v>1</v>
      </c>
      <c r="G18" s="148" t="n">
        <v>8</v>
      </c>
      <c r="H18" s="148" t="n">
        <v>0</v>
      </c>
      <c r="I18" s="148" t="n">
        <v>0</v>
      </c>
      <c r="J18" s="148" t="n">
        <v>0</v>
      </c>
      <c r="K18" s="148" t="n">
        <v>0</v>
      </c>
      <c r="L18" s="148" t="n">
        <v>0</v>
      </c>
      <c r="M18" s="148" t="n">
        <v>0</v>
      </c>
      <c r="N18" s="148" t="n">
        <v>0</v>
      </c>
      <c r="O18" s="148">
        <f>SUM(H18:J18, L18:N18)</f>
        <v/>
      </c>
      <c r="P18" s="149" t="n">
        <v>30000</v>
      </c>
      <c r="Q18" s="148" t="n">
        <v>0</v>
      </c>
      <c r="R18" s="147" t="inlineStr"/>
      <c r="S18" s="146" t="inlineStr">
        <is>
          <t>KHÔNG</t>
        </is>
      </c>
      <c r="T18" s="146" t="inlineStr">
        <is>
          <t>ĐÃ DUYỆT</t>
        </is>
      </c>
      <c r="U18" s="147" t="inlineStr">
        <is>
          <t>Quản Đốc Trần Đức Minh</t>
        </is>
      </c>
      <c r="V18" s="146" t="inlineStr">
        <is>
          <t>2026-08-02 16:30</t>
        </is>
      </c>
      <c r="W18" s="146" t="inlineStr">
        <is>
          <t>CC-202608-NV02-02</t>
        </is>
      </c>
      <c r="X18" s="146">
        <f>IFS(C18="", "THIẾU MÃ NV", COUNTIFS(A:A, A18, C:C, C18)&gt;1, "TRÙNG NHÂN VIÊN/NGÀY", O18&gt;4, "VƯỢT 4 GIỜ/NGÀY", AND(O18&gt;0, S18&lt;&gt;"CÓ"), "CHƯA ĐĂNG KÝ TC", AND(O18&gt;0, T18&lt;&gt;"ĐÃ DUYỆT"), "CHƯA DUYỆT TC", AND(T18="ĐÃ DUYỆT", U18=""), "THIẾU NGƯỜI DUYỆT", TRUE, "HỢP LỆ")</f>
        <v/>
      </c>
    </row>
    <row r="19">
      <c r="A19" s="150" t="inlineStr">
        <is>
          <t>2026-08-02</t>
        </is>
      </c>
      <c r="B19" s="150">
        <f>DATE(YEAR(A19), MONTH(A19), 1)</f>
        <v/>
      </c>
      <c r="C19" s="150" t="inlineStr">
        <is>
          <t>NV03</t>
        </is>
      </c>
      <c r="D19" s="151">
        <f>IFERROR(XLOOKUP(C19, '11_Master_Data'!$A:$A, '11_Master_Data'!$B:$B, "KHÔNG CÓ MÃ NV"), "KHÔNG CÓ MÃ NV")</f>
        <v/>
      </c>
      <c r="E19" s="150" t="inlineStr">
        <is>
          <t>C1</t>
        </is>
      </c>
      <c r="F19" s="152" t="n">
        <v>1</v>
      </c>
      <c r="G19" s="152" t="n">
        <v>8</v>
      </c>
      <c r="H19" s="152" t="n">
        <v>0</v>
      </c>
      <c r="I19" s="152" t="n">
        <v>0</v>
      </c>
      <c r="J19" s="152" t="n">
        <v>0</v>
      </c>
      <c r="K19" s="152" t="n">
        <v>0</v>
      </c>
      <c r="L19" s="152" t="n">
        <v>0</v>
      </c>
      <c r="M19" s="152" t="n">
        <v>0</v>
      </c>
      <c r="N19" s="152" t="n">
        <v>0</v>
      </c>
      <c r="O19" s="152">
        <f>SUM(H19:J19, L19:N19)</f>
        <v/>
      </c>
      <c r="P19" s="153" t="n">
        <v>30000</v>
      </c>
      <c r="Q19" s="152" t="n">
        <v>0</v>
      </c>
      <c r="R19" s="151" t="inlineStr"/>
      <c r="S19" s="150" t="inlineStr">
        <is>
          <t>KHÔNG</t>
        </is>
      </c>
      <c r="T19" s="150" t="inlineStr">
        <is>
          <t>ĐÃ DUYỆT</t>
        </is>
      </c>
      <c r="U19" s="151" t="inlineStr">
        <is>
          <t>Quản Đốc Trần Đức Minh</t>
        </is>
      </c>
      <c r="V19" s="150" t="inlineStr">
        <is>
          <t>2026-08-02 16:30</t>
        </is>
      </c>
      <c r="W19" s="150" t="inlineStr">
        <is>
          <t>CC-202608-NV03-02</t>
        </is>
      </c>
      <c r="X19" s="150">
        <f>IFS(C19="", "THIẾU MÃ NV", COUNTIFS(A:A, A19, C:C, C19)&gt;1, "TRÙNG NHÂN VIÊN/NGÀY", O19&gt;4, "VƯỢT 4 GIỜ/NGÀY", AND(O19&gt;0, S19&lt;&gt;"CÓ"), "CHƯA ĐĂNG KÝ TC", AND(O19&gt;0, T19&lt;&gt;"ĐÃ DUYỆT"), "CHƯA DUYỆT TC", AND(T19="ĐÃ DUYỆT", U19=""), "THIẾU NGƯỜI DUYỆT", TRUE, "HỢP LỆ")</f>
        <v/>
      </c>
    </row>
    <row r="20">
      <c r="A20" s="146" t="inlineStr">
        <is>
          <t>2026-08-02</t>
        </is>
      </c>
      <c r="B20" s="146">
        <f>DATE(YEAR(A20), MONTH(A20), 1)</f>
        <v/>
      </c>
      <c r="C20" s="146" t="inlineStr">
        <is>
          <t>NV06</t>
        </is>
      </c>
      <c r="D20" s="147">
        <f>IFERROR(XLOOKUP(C20, '11_Master_Data'!$A:$A, '11_Master_Data'!$B:$B, "KHÔNG CÓ MÃ NV"), "KHÔNG CÓ MÃ NV")</f>
        <v/>
      </c>
      <c r="E20" s="146" t="inlineStr">
        <is>
          <t>C2</t>
        </is>
      </c>
      <c r="F20" s="148" t="n">
        <v>1</v>
      </c>
      <c r="G20" s="148" t="n">
        <v>8</v>
      </c>
      <c r="H20" s="148" t="n">
        <v>0</v>
      </c>
      <c r="I20" s="148" t="n">
        <v>0</v>
      </c>
      <c r="J20" s="148" t="n">
        <v>0</v>
      </c>
      <c r="K20" s="148" t="n">
        <v>0</v>
      </c>
      <c r="L20" s="148" t="n">
        <v>0</v>
      </c>
      <c r="M20" s="148" t="n">
        <v>0</v>
      </c>
      <c r="N20" s="148" t="n">
        <v>0</v>
      </c>
      <c r="O20" s="148">
        <f>SUM(H20:J20, L20:N20)</f>
        <v/>
      </c>
      <c r="P20" s="149" t="n">
        <v>30000</v>
      </c>
      <c r="Q20" s="148" t="n">
        <v>0</v>
      </c>
      <c r="R20" s="147" t="inlineStr"/>
      <c r="S20" s="146" t="inlineStr">
        <is>
          <t>KHÔNG</t>
        </is>
      </c>
      <c r="T20" s="146" t="inlineStr">
        <is>
          <t>ĐÃ DUYỆT</t>
        </is>
      </c>
      <c r="U20" s="147" t="inlineStr">
        <is>
          <t>Quản Đốc Trần Đức Minh</t>
        </is>
      </c>
      <c r="V20" s="146" t="inlineStr">
        <is>
          <t>2026-08-02 16:30</t>
        </is>
      </c>
      <c r="W20" s="146" t="inlineStr">
        <is>
          <t>CC-202608-NV06-02</t>
        </is>
      </c>
      <c r="X20" s="146">
        <f>IFS(C20="", "THIẾU MÃ NV", COUNTIFS(A:A, A20, C:C, C20)&gt;1, "TRÙNG NHÂN VIÊN/NGÀY", O20&gt;4, "VƯỢT 4 GIỜ/NGÀY", AND(O20&gt;0, S20&lt;&gt;"CÓ"), "CHƯA ĐĂNG KÝ TC", AND(O20&gt;0, T20&lt;&gt;"ĐÃ DUYỆT"), "CHƯA DUYỆT TC", AND(T20="ĐÃ DUYỆT", U20=""), "THIẾU NGƯỜI DUYỆT", TRUE, "HỢP LỆ")</f>
        <v/>
      </c>
    </row>
    <row r="21">
      <c r="A21" s="150" t="inlineStr">
        <is>
          <t>2026-08-02</t>
        </is>
      </c>
      <c r="B21" s="150">
        <f>DATE(YEAR(A21), MONTH(A21), 1)</f>
        <v/>
      </c>
      <c r="C21" s="150" t="inlineStr">
        <is>
          <t>NV08</t>
        </is>
      </c>
      <c r="D21" s="151">
        <f>IFERROR(XLOOKUP(C21, '11_Master_Data'!$A:$A, '11_Master_Data'!$B:$B, "KHÔNG CÓ MÃ NV"), "KHÔNG CÓ MÃ NV")</f>
        <v/>
      </c>
      <c r="E21" s="150" t="inlineStr">
        <is>
          <t>C2</t>
        </is>
      </c>
      <c r="F21" s="152" t="n">
        <v>1</v>
      </c>
      <c r="G21" s="152" t="n">
        <v>8</v>
      </c>
      <c r="H21" s="152" t="n">
        <v>0</v>
      </c>
      <c r="I21" s="152" t="n">
        <v>0</v>
      </c>
      <c r="J21" s="152" t="n">
        <v>0</v>
      </c>
      <c r="K21" s="152" t="n">
        <v>0</v>
      </c>
      <c r="L21" s="152" t="n">
        <v>0</v>
      </c>
      <c r="M21" s="152" t="n">
        <v>0</v>
      </c>
      <c r="N21" s="152" t="n">
        <v>0</v>
      </c>
      <c r="O21" s="152">
        <f>SUM(H21:J21, L21:N21)</f>
        <v/>
      </c>
      <c r="P21" s="153" t="n">
        <v>30000</v>
      </c>
      <c r="Q21" s="152" t="n">
        <v>0</v>
      </c>
      <c r="R21" s="151" t="inlineStr"/>
      <c r="S21" s="150" t="inlineStr">
        <is>
          <t>KHÔNG</t>
        </is>
      </c>
      <c r="T21" s="150" t="inlineStr">
        <is>
          <t>ĐÃ DUYỆT</t>
        </is>
      </c>
      <c r="U21" s="151" t="inlineStr">
        <is>
          <t>Quản Đốc Trần Đức Minh</t>
        </is>
      </c>
      <c r="V21" s="150" t="inlineStr">
        <is>
          <t>2026-08-02 16:30</t>
        </is>
      </c>
      <c r="W21" s="150" t="inlineStr">
        <is>
          <t>CC-202608-NV08-02</t>
        </is>
      </c>
      <c r="X21" s="150">
        <f>IFS(C21="", "THIẾU MÃ NV", COUNTIFS(A:A, A21, C:C, C21)&gt;1, "TRÙNG NHÂN VIÊN/NGÀY", O21&gt;4, "VƯỢT 4 GIỜ/NGÀY", AND(O21&gt;0, S21&lt;&gt;"CÓ"), "CHƯA ĐĂNG KÝ TC", AND(O21&gt;0, T21&lt;&gt;"ĐÃ DUYỆT"), "CHƯA DUYỆT TC", AND(T21="ĐÃ DUYỆT", U21=""), "THIẾU NGƯỜI DUYỆT", TRUE, "HỢP LỆ")</f>
        <v/>
      </c>
    </row>
    <row r="22">
      <c r="A22" s="146" t="inlineStr">
        <is>
          <t>2026-08-02</t>
        </is>
      </c>
      <c r="B22" s="146">
        <f>DATE(YEAR(A22), MONTH(A22), 1)</f>
        <v/>
      </c>
      <c r="C22" s="146" t="inlineStr">
        <is>
          <t>NV10</t>
        </is>
      </c>
      <c r="D22" s="147">
        <f>IFERROR(XLOOKUP(C22, '11_Master_Data'!$A:$A, '11_Master_Data'!$B:$B, "KHÔNG CÓ MÃ NV"), "KHÔNG CÓ MÃ NV")</f>
        <v/>
      </c>
      <c r="E22" s="146" t="inlineStr">
        <is>
          <t>C1</t>
        </is>
      </c>
      <c r="F22" s="148" t="n">
        <v>1</v>
      </c>
      <c r="G22" s="148" t="n">
        <v>8</v>
      </c>
      <c r="H22" s="148" t="n">
        <v>0</v>
      </c>
      <c r="I22" s="148" t="n">
        <v>0</v>
      </c>
      <c r="J22" s="148" t="n">
        <v>0</v>
      </c>
      <c r="K22" s="148" t="n">
        <v>0</v>
      </c>
      <c r="L22" s="148" t="n">
        <v>0</v>
      </c>
      <c r="M22" s="148" t="n">
        <v>0</v>
      </c>
      <c r="N22" s="148" t="n">
        <v>0</v>
      </c>
      <c r="O22" s="148">
        <f>SUM(H22:J22, L22:N22)</f>
        <v/>
      </c>
      <c r="P22" s="149" t="n">
        <v>30000</v>
      </c>
      <c r="Q22" s="148" t="n">
        <v>0</v>
      </c>
      <c r="R22" s="147" t="inlineStr"/>
      <c r="S22" s="146" t="inlineStr">
        <is>
          <t>KHÔNG</t>
        </is>
      </c>
      <c r="T22" s="146" t="inlineStr">
        <is>
          <t>ĐÃ DUYỆT</t>
        </is>
      </c>
      <c r="U22" s="147" t="inlineStr">
        <is>
          <t>Quản Đốc Trần Đức Minh</t>
        </is>
      </c>
      <c r="V22" s="146" t="inlineStr">
        <is>
          <t>2026-08-02 16:30</t>
        </is>
      </c>
      <c r="W22" s="146" t="inlineStr">
        <is>
          <t>CC-202608-NV10-02</t>
        </is>
      </c>
      <c r="X22" s="146">
        <f>IFS(C22="", "THIẾU MÃ NV", COUNTIFS(A:A, A22, C:C, C22)&gt;1, "TRÙNG NHÂN VIÊN/NGÀY", O22&gt;4, "VƯỢT 4 GIỜ/NGÀY", AND(O22&gt;0, S22&lt;&gt;"CÓ"), "CHƯA ĐĂNG KÝ TC", AND(O22&gt;0, T22&lt;&gt;"ĐÃ DUYỆT"), "CHƯA DUYỆT TC", AND(T22="ĐÃ DUYỆT", U22=""), "THIẾU NGƯỜI DUYỆT", TRUE, "HỢP LỆ")</f>
        <v/>
      </c>
    </row>
    <row r="23">
      <c r="A23" s="150" t="inlineStr">
        <is>
          <t>2026-08-02</t>
        </is>
      </c>
      <c r="B23" s="150">
        <f>DATE(YEAR(A23), MONTH(A23), 1)</f>
        <v/>
      </c>
      <c r="C23" s="150" t="inlineStr">
        <is>
          <t>NV11</t>
        </is>
      </c>
      <c r="D23" s="151">
        <f>IFERROR(XLOOKUP(C23, '11_Master_Data'!$A:$A, '11_Master_Data'!$B:$B, "KHÔNG CÓ MÃ NV"), "KHÔNG CÓ MÃ NV")</f>
        <v/>
      </c>
      <c r="E23" s="150" t="inlineStr">
        <is>
          <t>C1</t>
        </is>
      </c>
      <c r="F23" s="152" t="n">
        <v>1</v>
      </c>
      <c r="G23" s="152" t="n">
        <v>8</v>
      </c>
      <c r="H23" s="152" t="n">
        <v>0</v>
      </c>
      <c r="I23" s="152" t="n">
        <v>0</v>
      </c>
      <c r="J23" s="152" t="n">
        <v>0</v>
      </c>
      <c r="K23" s="152" t="n">
        <v>0</v>
      </c>
      <c r="L23" s="152" t="n">
        <v>0</v>
      </c>
      <c r="M23" s="152" t="n">
        <v>0</v>
      </c>
      <c r="N23" s="152" t="n">
        <v>0</v>
      </c>
      <c r="O23" s="152">
        <f>SUM(H23:J23, L23:N23)</f>
        <v/>
      </c>
      <c r="P23" s="153" t="n">
        <v>30000</v>
      </c>
      <c r="Q23" s="152" t="n">
        <v>0</v>
      </c>
      <c r="R23" s="151" t="inlineStr"/>
      <c r="S23" s="150" t="inlineStr">
        <is>
          <t>KHÔNG</t>
        </is>
      </c>
      <c r="T23" s="150" t="inlineStr">
        <is>
          <t>ĐÃ DUYỆT</t>
        </is>
      </c>
      <c r="U23" s="151" t="inlineStr">
        <is>
          <t>Quản Đốc Trần Đức Minh</t>
        </is>
      </c>
      <c r="V23" s="150" t="inlineStr">
        <is>
          <t>2026-08-02 16:30</t>
        </is>
      </c>
      <c r="W23" s="150" t="inlineStr">
        <is>
          <t>CC-202608-NV11-02</t>
        </is>
      </c>
      <c r="X23" s="150">
        <f>IFS(C23="", "THIẾU MÃ NV", COUNTIFS(A:A, A23, C:C, C23)&gt;1, "TRÙNG NHÂN VIÊN/NGÀY", O23&gt;4, "VƯỢT 4 GIỜ/NGÀY", AND(O23&gt;0, S23&lt;&gt;"CÓ"), "CHƯA ĐĂNG KÝ TC", AND(O23&gt;0, T23&lt;&gt;"ĐÃ DUYỆT"), "CHƯA DUYỆT TC", AND(T23="ĐÃ DUYỆT", U23=""), "THIẾU NGƯỜI DUYỆT", TRUE, "HỢP LỆ")</f>
        <v/>
      </c>
    </row>
    <row r="24">
      <c r="A24" s="146" t="inlineStr">
        <is>
          <t>2026-08-02</t>
        </is>
      </c>
      <c r="B24" s="146">
        <f>DATE(YEAR(A24), MONTH(A24), 1)</f>
        <v/>
      </c>
      <c r="C24" s="146" t="inlineStr">
        <is>
          <t>NV12</t>
        </is>
      </c>
      <c r="D24" s="147">
        <f>IFERROR(XLOOKUP(C24, '11_Master_Data'!$A:$A, '11_Master_Data'!$B:$B, "KHÔNG CÓ MÃ NV"), "KHÔNG CÓ MÃ NV")</f>
        <v/>
      </c>
      <c r="E24" s="146" t="inlineStr">
        <is>
          <t>C3</t>
        </is>
      </c>
      <c r="F24" s="148" t="n">
        <v>1</v>
      </c>
      <c r="G24" s="148" t="n">
        <v>8</v>
      </c>
      <c r="H24" s="148" t="n">
        <v>0</v>
      </c>
      <c r="I24" s="148" t="n">
        <v>0</v>
      </c>
      <c r="J24" s="148" t="n">
        <v>0</v>
      </c>
      <c r="K24" s="148" t="n">
        <v>8</v>
      </c>
      <c r="L24" s="148" t="n">
        <v>0</v>
      </c>
      <c r="M24" s="148" t="n">
        <v>0</v>
      </c>
      <c r="N24" s="148" t="n">
        <v>0</v>
      </c>
      <c r="O24" s="148">
        <f>SUM(H24:J24, L24:N24)</f>
        <v/>
      </c>
      <c r="P24" s="149" t="n">
        <v>30000</v>
      </c>
      <c r="Q24" s="148" t="n">
        <v>0</v>
      </c>
      <c r="R24" s="147" t="inlineStr"/>
      <c r="S24" s="146" t="inlineStr">
        <is>
          <t>KHÔNG</t>
        </is>
      </c>
      <c r="T24" s="146" t="inlineStr">
        <is>
          <t>ĐÃ DUYỆT</t>
        </is>
      </c>
      <c r="U24" s="147" t="inlineStr">
        <is>
          <t>Quản Đốc Trần Đức Minh</t>
        </is>
      </c>
      <c r="V24" s="146" t="inlineStr">
        <is>
          <t>2026-08-02 16:30</t>
        </is>
      </c>
      <c r="W24" s="146" t="inlineStr">
        <is>
          <t>CC-202608-NV12-02</t>
        </is>
      </c>
      <c r="X24" s="146">
        <f>IFS(C24="", "THIẾU MÃ NV", COUNTIFS(A:A, A24, C:C, C24)&gt;1, "TRÙNG NHÂN VIÊN/NGÀY", O24&gt;4, "VƯỢT 4 GIỜ/NGÀY", AND(O24&gt;0, S24&lt;&gt;"CÓ"), "CHƯA ĐĂNG KÝ TC", AND(O24&gt;0, T24&lt;&gt;"ĐÃ DUYỆT"), "CHƯA DUYỆT TC", AND(T24="ĐÃ DUYỆT", U24=""), "THIẾU NGƯỜI DUYỆT", TRUE, "HỢP LỆ")</f>
        <v/>
      </c>
    </row>
    <row r="25">
      <c r="A25" s="150" t="inlineStr">
        <is>
          <t>2026-08-02</t>
        </is>
      </c>
      <c r="B25" s="150">
        <f>DATE(YEAR(A25), MONTH(A25), 1)</f>
        <v/>
      </c>
      <c r="C25" s="150" t="inlineStr">
        <is>
          <t>NV13</t>
        </is>
      </c>
      <c r="D25" s="151">
        <f>IFERROR(XLOOKUP(C25, '11_Master_Data'!$A:$A, '11_Master_Data'!$B:$B, "KHÔNG CÓ MÃ NV"), "KHÔNG CÓ MÃ NV")</f>
        <v/>
      </c>
      <c r="E25" s="150" t="inlineStr">
        <is>
          <t>C1</t>
        </is>
      </c>
      <c r="F25" s="152" t="n">
        <v>1</v>
      </c>
      <c r="G25" s="152" t="n">
        <v>8</v>
      </c>
      <c r="H25" s="152" t="n">
        <v>0</v>
      </c>
      <c r="I25" s="152" t="n">
        <v>0</v>
      </c>
      <c r="J25" s="152" t="n">
        <v>0</v>
      </c>
      <c r="K25" s="152" t="n">
        <v>0</v>
      </c>
      <c r="L25" s="152" t="n">
        <v>0</v>
      </c>
      <c r="M25" s="152" t="n">
        <v>0</v>
      </c>
      <c r="N25" s="152" t="n">
        <v>0</v>
      </c>
      <c r="O25" s="152">
        <f>SUM(H25:J25, L25:N25)</f>
        <v/>
      </c>
      <c r="P25" s="153" t="n">
        <v>30000</v>
      </c>
      <c r="Q25" s="152" t="n">
        <v>0</v>
      </c>
      <c r="R25" s="151" t="inlineStr"/>
      <c r="S25" s="150" t="inlineStr">
        <is>
          <t>KHÔNG</t>
        </is>
      </c>
      <c r="T25" s="150" t="inlineStr">
        <is>
          <t>ĐÃ DUYỆT</t>
        </is>
      </c>
      <c r="U25" s="151" t="inlineStr">
        <is>
          <t>Quản Đốc Trần Đức Minh</t>
        </is>
      </c>
      <c r="V25" s="150" t="inlineStr">
        <is>
          <t>2026-08-02 16:30</t>
        </is>
      </c>
      <c r="W25" s="150" t="inlineStr">
        <is>
          <t>CC-202608-NV13-02</t>
        </is>
      </c>
      <c r="X25" s="150">
        <f>IFS(C25="", "THIẾU MÃ NV", COUNTIFS(A:A, A25, C:C, C25)&gt;1, "TRÙNG NHÂN VIÊN/NGÀY", O25&gt;4, "VƯỢT 4 GIỜ/NGÀY", AND(O25&gt;0, S25&lt;&gt;"CÓ"), "CHƯA ĐĂNG KÝ TC", AND(O25&gt;0, T25&lt;&gt;"ĐÃ DUYỆT"), "CHƯA DUYỆT TC", AND(T25="ĐÃ DUYỆT", U25=""), "THIẾU NGƯỜI DUYỆT", TRUE, "HỢP LỆ")</f>
        <v/>
      </c>
    </row>
    <row r="26">
      <c r="A26" s="146" t="inlineStr">
        <is>
          <t>2026-08-02</t>
        </is>
      </c>
      <c r="B26" s="146">
        <f>DATE(YEAR(A26), MONTH(A26), 1)</f>
        <v/>
      </c>
      <c r="C26" s="146" t="inlineStr">
        <is>
          <t>NV14</t>
        </is>
      </c>
      <c r="D26" s="147">
        <f>IFERROR(XLOOKUP(C26, '11_Master_Data'!$A:$A, '11_Master_Data'!$B:$B, "KHÔNG CÓ MÃ NV"), "KHÔNG CÓ MÃ NV")</f>
        <v/>
      </c>
      <c r="E26" s="146" t="inlineStr">
        <is>
          <t>C3</t>
        </is>
      </c>
      <c r="F26" s="148" t="n">
        <v>1</v>
      </c>
      <c r="G26" s="148" t="n">
        <v>8</v>
      </c>
      <c r="H26" s="148" t="n">
        <v>0</v>
      </c>
      <c r="I26" s="148" t="n">
        <v>0</v>
      </c>
      <c r="J26" s="148" t="n">
        <v>0</v>
      </c>
      <c r="K26" s="148" t="n">
        <v>8</v>
      </c>
      <c r="L26" s="148" t="n">
        <v>0</v>
      </c>
      <c r="M26" s="148" t="n">
        <v>0</v>
      </c>
      <c r="N26" s="148" t="n">
        <v>0</v>
      </c>
      <c r="O26" s="148">
        <f>SUM(H26:J26, L26:N26)</f>
        <v/>
      </c>
      <c r="P26" s="149" t="n">
        <v>30000</v>
      </c>
      <c r="Q26" s="148" t="n">
        <v>0</v>
      </c>
      <c r="R26" s="147" t="inlineStr"/>
      <c r="S26" s="146" t="inlineStr">
        <is>
          <t>KHÔNG</t>
        </is>
      </c>
      <c r="T26" s="146" t="inlineStr">
        <is>
          <t>ĐÃ DUYỆT</t>
        </is>
      </c>
      <c r="U26" s="147" t="inlineStr">
        <is>
          <t>Quản Đốc Trần Đức Minh</t>
        </is>
      </c>
      <c r="V26" s="146" t="inlineStr">
        <is>
          <t>2026-08-02 16:30</t>
        </is>
      </c>
      <c r="W26" s="146" t="inlineStr">
        <is>
          <t>CC-202608-NV14-02</t>
        </is>
      </c>
      <c r="X26" s="146">
        <f>IFS(C26="", "THIẾU MÃ NV", COUNTIFS(A:A, A26, C:C, C26)&gt;1, "TRÙNG NHÂN VIÊN/NGÀY", O26&gt;4, "VƯỢT 4 GIỜ/NGÀY", AND(O26&gt;0, S26&lt;&gt;"CÓ"), "CHƯA ĐĂNG KÝ TC", AND(O26&gt;0, T26&lt;&gt;"ĐÃ DUYỆT"), "CHƯA DUYỆT TC", AND(T26="ĐÃ DUYỆT", U26=""), "THIẾU NGƯỜI DUYỆT", TRUE, "HỢP LỆ")</f>
        <v/>
      </c>
    </row>
    <row r="27">
      <c r="A27" s="150" t="inlineStr">
        <is>
          <t>2026-08-03</t>
        </is>
      </c>
      <c r="B27" s="150">
        <f>DATE(YEAR(A27), MONTH(A27), 1)</f>
        <v/>
      </c>
      <c r="C27" s="150" t="inlineStr">
        <is>
          <t>NV01</t>
        </is>
      </c>
      <c r="D27" s="151">
        <f>IFERROR(XLOOKUP(C27, '11_Master_Data'!$A:$A, '11_Master_Data'!$B:$B, "KHÔNG CÓ MÃ NV"), "KHÔNG CÓ MÃ NV")</f>
        <v/>
      </c>
      <c r="E27" s="150" t="inlineStr">
        <is>
          <t>C1</t>
        </is>
      </c>
      <c r="F27" s="152" t="n">
        <v>1</v>
      </c>
      <c r="G27" s="152" t="n">
        <v>8</v>
      </c>
      <c r="H27" s="152" t="n">
        <v>0</v>
      </c>
      <c r="I27" s="152" t="n">
        <v>0</v>
      </c>
      <c r="J27" s="152" t="n">
        <v>0</v>
      </c>
      <c r="K27" s="152" t="n">
        <v>0</v>
      </c>
      <c r="L27" s="152" t="n">
        <v>0</v>
      </c>
      <c r="M27" s="152" t="n">
        <v>0</v>
      </c>
      <c r="N27" s="152" t="n">
        <v>0</v>
      </c>
      <c r="O27" s="152">
        <f>SUM(H27:J27, L27:N27)</f>
        <v/>
      </c>
      <c r="P27" s="153" t="n">
        <v>30000</v>
      </c>
      <c r="Q27" s="152" t="n">
        <v>0</v>
      </c>
      <c r="R27" s="151" t="inlineStr"/>
      <c r="S27" s="150" t="inlineStr">
        <is>
          <t>KHÔNG</t>
        </is>
      </c>
      <c r="T27" s="150" t="inlineStr">
        <is>
          <t>ĐÃ DUYỆT</t>
        </is>
      </c>
      <c r="U27" s="151" t="inlineStr">
        <is>
          <t>Quản Đốc Trần Đức Minh</t>
        </is>
      </c>
      <c r="V27" s="150" t="inlineStr">
        <is>
          <t>2026-08-03 16:30</t>
        </is>
      </c>
      <c r="W27" s="150" t="inlineStr">
        <is>
          <t>CC-202608-NV01-03</t>
        </is>
      </c>
      <c r="X27" s="150">
        <f>IFS(C27="", "THIẾU MÃ NV", COUNTIFS(A:A, A27, C:C, C27)&gt;1, "TRÙNG NHÂN VIÊN/NGÀY", O27&gt;4, "VƯỢT 4 GIỜ/NGÀY", AND(O27&gt;0, S27&lt;&gt;"CÓ"), "CHƯA ĐĂNG KÝ TC", AND(O27&gt;0, T27&lt;&gt;"ĐÃ DUYỆT"), "CHƯA DUYỆT TC", AND(T27="ĐÃ DUYỆT", U27=""), "THIẾU NGƯỜI DUYỆT", TRUE, "HỢP LỆ")</f>
        <v/>
      </c>
    </row>
    <row r="28">
      <c r="A28" s="146" t="inlineStr">
        <is>
          <t>2026-08-03</t>
        </is>
      </c>
      <c r="B28" s="146">
        <f>DATE(YEAR(A28), MONTH(A28), 1)</f>
        <v/>
      </c>
      <c r="C28" s="146" t="inlineStr">
        <is>
          <t>NV02</t>
        </is>
      </c>
      <c r="D28" s="147">
        <f>IFERROR(XLOOKUP(C28, '11_Master_Data'!$A:$A, '11_Master_Data'!$B:$B, "KHÔNG CÓ MÃ NV"), "KHÔNG CÓ MÃ NV")</f>
        <v/>
      </c>
      <c r="E28" s="146" t="inlineStr">
        <is>
          <t>C1</t>
        </is>
      </c>
      <c r="F28" s="148" t="n">
        <v>1</v>
      </c>
      <c r="G28" s="148" t="n">
        <v>8</v>
      </c>
      <c r="H28" s="148" t="n">
        <v>0</v>
      </c>
      <c r="I28" s="148" t="n">
        <v>0</v>
      </c>
      <c r="J28" s="148" t="n">
        <v>0</v>
      </c>
      <c r="K28" s="148" t="n">
        <v>0</v>
      </c>
      <c r="L28" s="148" t="n">
        <v>0</v>
      </c>
      <c r="M28" s="148" t="n">
        <v>0</v>
      </c>
      <c r="N28" s="148" t="n">
        <v>0</v>
      </c>
      <c r="O28" s="148">
        <f>SUM(H28:J28, L28:N28)</f>
        <v/>
      </c>
      <c r="P28" s="149" t="n">
        <v>30000</v>
      </c>
      <c r="Q28" s="148" t="n">
        <v>0</v>
      </c>
      <c r="R28" s="147" t="inlineStr"/>
      <c r="S28" s="146" t="inlineStr">
        <is>
          <t>KHÔNG</t>
        </is>
      </c>
      <c r="T28" s="146" t="inlineStr">
        <is>
          <t>ĐÃ DUYỆT</t>
        </is>
      </c>
      <c r="U28" s="147" t="inlineStr">
        <is>
          <t>Quản Đốc Trần Đức Minh</t>
        </is>
      </c>
      <c r="V28" s="146" t="inlineStr">
        <is>
          <t>2026-08-03 16:30</t>
        </is>
      </c>
      <c r="W28" s="146" t="inlineStr">
        <is>
          <t>CC-202608-NV02-03</t>
        </is>
      </c>
      <c r="X28" s="146">
        <f>IFS(C28="", "THIẾU MÃ NV", COUNTIFS(A:A, A28, C:C, C28)&gt;1, "TRÙNG NHÂN VIÊN/NGÀY", O28&gt;4, "VƯỢT 4 GIỜ/NGÀY", AND(O28&gt;0, S28&lt;&gt;"CÓ"), "CHƯA ĐĂNG KÝ TC", AND(O28&gt;0, T28&lt;&gt;"ĐÃ DUYỆT"), "CHƯA DUYỆT TC", AND(T28="ĐÃ DUYỆT", U28=""), "THIẾU NGƯỜI DUYỆT", TRUE, "HỢP LỆ")</f>
        <v/>
      </c>
    </row>
    <row r="29">
      <c r="A29" s="150" t="inlineStr">
        <is>
          <t>2026-08-03</t>
        </is>
      </c>
      <c r="B29" s="150">
        <f>DATE(YEAR(A29), MONTH(A29), 1)</f>
        <v/>
      </c>
      <c r="C29" s="150" t="inlineStr">
        <is>
          <t>NV03</t>
        </is>
      </c>
      <c r="D29" s="151">
        <f>IFERROR(XLOOKUP(C29, '11_Master_Data'!$A:$A, '11_Master_Data'!$B:$B, "KHÔNG CÓ MÃ NV"), "KHÔNG CÓ MÃ NV")</f>
        <v/>
      </c>
      <c r="E29" s="150" t="inlineStr">
        <is>
          <t>C1</t>
        </is>
      </c>
      <c r="F29" s="152" t="n">
        <v>1</v>
      </c>
      <c r="G29" s="152" t="n">
        <v>8</v>
      </c>
      <c r="H29" s="152" t="n">
        <v>0</v>
      </c>
      <c r="I29" s="152" t="n">
        <v>0</v>
      </c>
      <c r="J29" s="152" t="n">
        <v>0</v>
      </c>
      <c r="K29" s="152" t="n">
        <v>0</v>
      </c>
      <c r="L29" s="152" t="n">
        <v>0</v>
      </c>
      <c r="M29" s="152" t="n">
        <v>0</v>
      </c>
      <c r="N29" s="152" t="n">
        <v>0</v>
      </c>
      <c r="O29" s="152">
        <f>SUM(H29:J29, L29:N29)</f>
        <v/>
      </c>
      <c r="P29" s="153" t="n">
        <v>30000</v>
      </c>
      <c r="Q29" s="152" t="n">
        <v>0</v>
      </c>
      <c r="R29" s="151" t="inlineStr"/>
      <c r="S29" s="150" t="inlineStr">
        <is>
          <t>KHÔNG</t>
        </is>
      </c>
      <c r="T29" s="150" t="inlineStr">
        <is>
          <t>ĐÃ DUYỆT</t>
        </is>
      </c>
      <c r="U29" s="151" t="inlineStr">
        <is>
          <t>Quản Đốc Trần Đức Minh</t>
        </is>
      </c>
      <c r="V29" s="150" t="inlineStr">
        <is>
          <t>2026-08-03 16:30</t>
        </is>
      </c>
      <c r="W29" s="150" t="inlineStr">
        <is>
          <t>CC-202608-NV03-03</t>
        </is>
      </c>
      <c r="X29" s="150">
        <f>IFS(C29="", "THIẾU MÃ NV", COUNTIFS(A:A, A29, C:C, C29)&gt;1, "TRÙNG NHÂN VIÊN/NGÀY", O29&gt;4, "VƯỢT 4 GIỜ/NGÀY", AND(O29&gt;0, S29&lt;&gt;"CÓ"), "CHƯA ĐĂNG KÝ TC", AND(O29&gt;0, T29&lt;&gt;"ĐÃ DUYỆT"), "CHƯA DUYỆT TC", AND(T29="ĐÃ DUYỆT", U29=""), "THIẾU NGƯỜI DUYỆT", TRUE, "HỢP LỆ")</f>
        <v/>
      </c>
    </row>
    <row r="30">
      <c r="A30" s="146" t="inlineStr">
        <is>
          <t>2026-08-03</t>
        </is>
      </c>
      <c r="B30" s="146">
        <f>DATE(YEAR(A30), MONTH(A30), 1)</f>
        <v/>
      </c>
      <c r="C30" s="146" t="inlineStr">
        <is>
          <t>NV04</t>
        </is>
      </c>
      <c r="D30" s="147">
        <f>IFERROR(XLOOKUP(C30, '11_Master_Data'!$A:$A, '11_Master_Data'!$B:$B, "KHÔNG CÓ MÃ NV"), "KHÔNG CÓ MÃ NV")</f>
        <v/>
      </c>
      <c r="E30" s="146" t="inlineStr">
        <is>
          <t>C2</t>
        </is>
      </c>
      <c r="F30" s="148" t="n">
        <v>1</v>
      </c>
      <c r="G30" s="148" t="n">
        <v>8</v>
      </c>
      <c r="H30" s="148" t="n">
        <v>0</v>
      </c>
      <c r="I30" s="148" t="n">
        <v>0</v>
      </c>
      <c r="J30" s="148" t="n">
        <v>0</v>
      </c>
      <c r="K30" s="148" t="n">
        <v>0</v>
      </c>
      <c r="L30" s="148" t="n">
        <v>0</v>
      </c>
      <c r="M30" s="148" t="n">
        <v>0</v>
      </c>
      <c r="N30" s="148" t="n">
        <v>0</v>
      </c>
      <c r="O30" s="148">
        <f>SUM(H30:J30, L30:N30)</f>
        <v/>
      </c>
      <c r="P30" s="149" t="n">
        <v>30000</v>
      </c>
      <c r="Q30" s="148" t="n">
        <v>0</v>
      </c>
      <c r="R30" s="147" t="inlineStr"/>
      <c r="S30" s="146" t="inlineStr">
        <is>
          <t>KHÔNG</t>
        </is>
      </c>
      <c r="T30" s="146" t="inlineStr">
        <is>
          <t>ĐÃ DUYỆT</t>
        </is>
      </c>
      <c r="U30" s="147" t="inlineStr">
        <is>
          <t>Quản Đốc Trần Đức Minh</t>
        </is>
      </c>
      <c r="V30" s="146" t="inlineStr">
        <is>
          <t>2026-08-03 16:30</t>
        </is>
      </c>
      <c r="W30" s="146" t="inlineStr">
        <is>
          <t>CC-202608-NV04-03</t>
        </is>
      </c>
      <c r="X30" s="146">
        <f>IFS(C30="", "THIẾU MÃ NV", COUNTIFS(A:A, A30, C:C, C30)&gt;1, "TRÙNG NHÂN VIÊN/NGÀY", O30&gt;4, "VƯỢT 4 GIỜ/NGÀY", AND(O30&gt;0, S30&lt;&gt;"CÓ"), "CHƯA ĐĂNG KÝ TC", AND(O30&gt;0, T30&lt;&gt;"ĐÃ DUYỆT"), "CHƯA DUYỆT TC", AND(T30="ĐÃ DUYỆT", U30=""), "THIẾU NGƯỜI DUYỆT", TRUE, "HỢP LỆ")</f>
        <v/>
      </c>
    </row>
    <row r="31">
      <c r="A31" s="150" t="inlineStr">
        <is>
          <t>2026-08-03</t>
        </is>
      </c>
      <c r="B31" s="150">
        <f>DATE(YEAR(A31), MONTH(A31), 1)</f>
        <v/>
      </c>
      <c r="C31" s="150" t="inlineStr">
        <is>
          <t>NV06</t>
        </is>
      </c>
      <c r="D31" s="151">
        <f>IFERROR(XLOOKUP(C31, '11_Master_Data'!$A:$A, '11_Master_Data'!$B:$B, "KHÔNG CÓ MÃ NV"), "KHÔNG CÓ MÃ NV")</f>
        <v/>
      </c>
      <c r="E31" s="150" t="inlineStr">
        <is>
          <t>C2</t>
        </is>
      </c>
      <c r="F31" s="152" t="n">
        <v>1</v>
      </c>
      <c r="G31" s="152" t="n">
        <v>8</v>
      </c>
      <c r="H31" s="152" t="n">
        <v>0</v>
      </c>
      <c r="I31" s="152" t="n">
        <v>0</v>
      </c>
      <c r="J31" s="152" t="n">
        <v>0</v>
      </c>
      <c r="K31" s="152" t="n">
        <v>0</v>
      </c>
      <c r="L31" s="152" t="n">
        <v>0</v>
      </c>
      <c r="M31" s="152" t="n">
        <v>0</v>
      </c>
      <c r="N31" s="152" t="n">
        <v>0</v>
      </c>
      <c r="O31" s="152">
        <f>SUM(H31:J31, L31:N31)</f>
        <v/>
      </c>
      <c r="P31" s="153" t="n">
        <v>30000</v>
      </c>
      <c r="Q31" s="152" t="n">
        <v>0</v>
      </c>
      <c r="R31" s="151" t="inlineStr"/>
      <c r="S31" s="150" t="inlineStr">
        <is>
          <t>KHÔNG</t>
        </is>
      </c>
      <c r="T31" s="150" t="inlineStr">
        <is>
          <t>ĐÃ DUYỆT</t>
        </is>
      </c>
      <c r="U31" s="151" t="inlineStr">
        <is>
          <t>Quản Đốc Trần Đức Minh</t>
        </is>
      </c>
      <c r="V31" s="150" t="inlineStr">
        <is>
          <t>2026-08-03 16:30</t>
        </is>
      </c>
      <c r="W31" s="150" t="inlineStr">
        <is>
          <t>CC-202608-NV06-03</t>
        </is>
      </c>
      <c r="X31" s="150">
        <f>IFS(C31="", "THIẾU MÃ NV", COUNTIFS(A:A, A31, C:C, C31)&gt;1, "TRÙNG NHÂN VIÊN/NGÀY", O31&gt;4, "VƯỢT 4 GIỜ/NGÀY", AND(O31&gt;0, S31&lt;&gt;"CÓ"), "CHƯA ĐĂNG KÝ TC", AND(O31&gt;0, T31&lt;&gt;"ĐÃ DUYỆT"), "CHƯA DUYỆT TC", AND(T31="ĐÃ DUYỆT", U31=""), "THIẾU NGƯỜI DUYỆT", TRUE, "HỢP LỆ")</f>
        <v/>
      </c>
    </row>
    <row r="32">
      <c r="A32" s="146" t="inlineStr">
        <is>
          <t>2026-08-03</t>
        </is>
      </c>
      <c r="B32" s="146">
        <f>DATE(YEAR(A32), MONTH(A32), 1)</f>
        <v/>
      </c>
      <c r="C32" s="146" t="inlineStr">
        <is>
          <t>NV07</t>
        </is>
      </c>
      <c r="D32" s="147">
        <f>IFERROR(XLOOKUP(C32, '11_Master_Data'!$A:$A, '11_Master_Data'!$B:$B, "KHÔNG CÓ MÃ NV"), "KHÔNG CÓ MÃ NV")</f>
        <v/>
      </c>
      <c r="E32" s="146" t="inlineStr">
        <is>
          <t>C3</t>
        </is>
      </c>
      <c r="F32" s="148" t="n">
        <v>1</v>
      </c>
      <c r="G32" s="148" t="n">
        <v>8</v>
      </c>
      <c r="H32" s="148" t="n">
        <v>2</v>
      </c>
      <c r="I32" s="148" t="n">
        <v>0</v>
      </c>
      <c r="J32" s="148" t="n">
        <v>0</v>
      </c>
      <c r="K32" s="148" t="n">
        <v>8</v>
      </c>
      <c r="L32" s="148" t="n">
        <v>0</v>
      </c>
      <c r="M32" s="148" t="n">
        <v>0</v>
      </c>
      <c r="N32" s="148" t="n">
        <v>0</v>
      </c>
      <c r="O32" s="148">
        <f>SUM(H32:J32, L32:N32)</f>
        <v/>
      </c>
      <c r="P32" s="149" t="n">
        <v>55000</v>
      </c>
      <c r="Q32" s="148" t="n">
        <v>0</v>
      </c>
      <c r="R32" s="147" t="inlineStr">
        <is>
          <t>Đảm bảo tiến độ sản xuất</t>
        </is>
      </c>
      <c r="S32" s="146" t="inlineStr">
        <is>
          <t>CÓ</t>
        </is>
      </c>
      <c r="T32" s="146" t="inlineStr">
        <is>
          <t>ĐÃ DUYỆT</t>
        </is>
      </c>
      <c r="U32" s="147" t="inlineStr">
        <is>
          <t>Quản Đốc Trần Đức Minh</t>
        </is>
      </c>
      <c r="V32" s="146" t="inlineStr">
        <is>
          <t>2026-08-03 16:30</t>
        </is>
      </c>
      <c r="W32" s="146" t="inlineStr">
        <is>
          <t>CC-202608-NV07-03</t>
        </is>
      </c>
      <c r="X32" s="146">
        <f>IFS(C32="", "THIẾU MÃ NV", COUNTIFS(A:A, A32, C:C, C32)&gt;1, "TRÙNG NHÂN VIÊN/NGÀY", O32&gt;4, "VƯỢT 4 GIỜ/NGÀY", AND(O32&gt;0, S32&lt;&gt;"CÓ"), "CHƯA ĐĂNG KÝ TC", AND(O32&gt;0, T32&lt;&gt;"ĐÃ DUYỆT"), "CHƯA DUYỆT TC", AND(T32="ĐÃ DUYỆT", U32=""), "THIẾU NGƯỜI DUYỆT", TRUE, "HỢP LỆ")</f>
        <v/>
      </c>
    </row>
    <row r="33">
      <c r="A33" s="150" t="inlineStr">
        <is>
          <t>2026-08-03</t>
        </is>
      </c>
      <c r="B33" s="150">
        <f>DATE(YEAR(A33), MONTH(A33), 1)</f>
        <v/>
      </c>
      <c r="C33" s="150" t="inlineStr">
        <is>
          <t>NV08</t>
        </is>
      </c>
      <c r="D33" s="151">
        <f>IFERROR(XLOOKUP(C33, '11_Master_Data'!$A:$A, '11_Master_Data'!$B:$B, "KHÔNG CÓ MÃ NV"), "KHÔNG CÓ MÃ NV")</f>
        <v/>
      </c>
      <c r="E33" s="150" t="inlineStr">
        <is>
          <t>C2</t>
        </is>
      </c>
      <c r="F33" s="152" t="n">
        <v>1</v>
      </c>
      <c r="G33" s="152" t="n">
        <v>8</v>
      </c>
      <c r="H33" s="152" t="n">
        <v>0</v>
      </c>
      <c r="I33" s="152" t="n">
        <v>0</v>
      </c>
      <c r="J33" s="152" t="n">
        <v>0</v>
      </c>
      <c r="K33" s="152" t="n">
        <v>0</v>
      </c>
      <c r="L33" s="152" t="n">
        <v>0</v>
      </c>
      <c r="M33" s="152" t="n">
        <v>0</v>
      </c>
      <c r="N33" s="152" t="n">
        <v>0</v>
      </c>
      <c r="O33" s="152">
        <f>SUM(H33:J33, L33:N33)</f>
        <v/>
      </c>
      <c r="P33" s="153" t="n">
        <v>30000</v>
      </c>
      <c r="Q33" s="152" t="n">
        <v>0</v>
      </c>
      <c r="R33" s="151" t="inlineStr"/>
      <c r="S33" s="150" t="inlineStr">
        <is>
          <t>KHÔNG</t>
        </is>
      </c>
      <c r="T33" s="150" t="inlineStr">
        <is>
          <t>ĐÃ DUYỆT</t>
        </is>
      </c>
      <c r="U33" s="151" t="inlineStr">
        <is>
          <t>Quản Đốc Trần Đức Minh</t>
        </is>
      </c>
      <c r="V33" s="150" t="inlineStr">
        <is>
          <t>2026-08-03 16:30</t>
        </is>
      </c>
      <c r="W33" s="150" t="inlineStr">
        <is>
          <t>CC-202608-NV08-03</t>
        </is>
      </c>
      <c r="X33" s="150">
        <f>IFS(C33="", "THIẾU MÃ NV", COUNTIFS(A:A, A33, C:C, C33)&gt;1, "TRÙNG NHÂN VIÊN/NGÀY", O33&gt;4, "VƯỢT 4 GIỜ/NGÀY", AND(O33&gt;0, S33&lt;&gt;"CÓ"), "CHƯA ĐĂNG KÝ TC", AND(O33&gt;0, T33&lt;&gt;"ĐÃ DUYỆT"), "CHƯA DUYỆT TC", AND(T33="ĐÃ DUYỆT", U33=""), "THIẾU NGƯỜI DUYỆT", TRUE, "HỢP LỆ")</f>
        <v/>
      </c>
    </row>
    <row r="34">
      <c r="A34" s="146" t="inlineStr">
        <is>
          <t>2026-08-03</t>
        </is>
      </c>
      <c r="B34" s="146">
        <f>DATE(YEAR(A34), MONTH(A34), 1)</f>
        <v/>
      </c>
      <c r="C34" s="146" t="inlineStr">
        <is>
          <t>NV10</t>
        </is>
      </c>
      <c r="D34" s="147">
        <f>IFERROR(XLOOKUP(C34, '11_Master_Data'!$A:$A, '11_Master_Data'!$B:$B, "KHÔNG CÓ MÃ NV"), "KHÔNG CÓ MÃ NV")</f>
        <v/>
      </c>
      <c r="E34" s="146" t="inlineStr">
        <is>
          <t>C1</t>
        </is>
      </c>
      <c r="F34" s="148" t="n">
        <v>1</v>
      </c>
      <c r="G34" s="148" t="n">
        <v>8</v>
      </c>
      <c r="H34" s="148" t="n">
        <v>0</v>
      </c>
      <c r="I34" s="148" t="n">
        <v>0</v>
      </c>
      <c r="J34" s="148" t="n">
        <v>0</v>
      </c>
      <c r="K34" s="148" t="n">
        <v>0</v>
      </c>
      <c r="L34" s="148" t="n">
        <v>0</v>
      </c>
      <c r="M34" s="148" t="n">
        <v>0</v>
      </c>
      <c r="N34" s="148" t="n">
        <v>0</v>
      </c>
      <c r="O34" s="148">
        <f>SUM(H34:J34, L34:N34)</f>
        <v/>
      </c>
      <c r="P34" s="149" t="n">
        <v>30000</v>
      </c>
      <c r="Q34" s="148" t="n">
        <v>0</v>
      </c>
      <c r="R34" s="147" t="inlineStr"/>
      <c r="S34" s="146" t="inlineStr">
        <is>
          <t>KHÔNG</t>
        </is>
      </c>
      <c r="T34" s="146" t="inlineStr">
        <is>
          <t>ĐÃ DUYỆT</t>
        </is>
      </c>
      <c r="U34" s="147" t="inlineStr">
        <is>
          <t>Quản Đốc Trần Đức Minh</t>
        </is>
      </c>
      <c r="V34" s="146" t="inlineStr">
        <is>
          <t>2026-08-03 16:30</t>
        </is>
      </c>
      <c r="W34" s="146" t="inlineStr">
        <is>
          <t>CC-202608-NV10-03</t>
        </is>
      </c>
      <c r="X34" s="146">
        <f>IFS(C34="", "THIẾU MÃ NV", COUNTIFS(A:A, A34, C:C, C34)&gt;1, "TRÙNG NHÂN VIÊN/NGÀY", O34&gt;4, "VƯỢT 4 GIỜ/NGÀY", AND(O34&gt;0, S34&lt;&gt;"CÓ"), "CHƯA ĐĂNG KÝ TC", AND(O34&gt;0, T34&lt;&gt;"ĐÃ DUYỆT"), "CHƯA DUYỆT TC", AND(T34="ĐÃ DUYỆT", U34=""), "THIẾU NGƯỜI DUYỆT", TRUE, "HỢP LỆ")</f>
        <v/>
      </c>
    </row>
    <row r="35">
      <c r="A35" s="150" t="inlineStr">
        <is>
          <t>2026-08-03</t>
        </is>
      </c>
      <c r="B35" s="150">
        <f>DATE(YEAR(A35), MONTH(A35), 1)</f>
        <v/>
      </c>
      <c r="C35" s="150" t="inlineStr">
        <is>
          <t>NV11</t>
        </is>
      </c>
      <c r="D35" s="151">
        <f>IFERROR(XLOOKUP(C35, '11_Master_Data'!$A:$A, '11_Master_Data'!$B:$B, "KHÔNG CÓ MÃ NV"), "KHÔNG CÓ MÃ NV")</f>
        <v/>
      </c>
      <c r="E35" s="150" t="inlineStr">
        <is>
          <t>C1</t>
        </is>
      </c>
      <c r="F35" s="152" t="n">
        <v>1</v>
      </c>
      <c r="G35" s="152" t="n">
        <v>8</v>
      </c>
      <c r="H35" s="152" t="n">
        <v>2</v>
      </c>
      <c r="I35" s="152" t="n">
        <v>0</v>
      </c>
      <c r="J35" s="152" t="n">
        <v>0</v>
      </c>
      <c r="K35" s="152" t="n">
        <v>0</v>
      </c>
      <c r="L35" s="152" t="n">
        <v>0</v>
      </c>
      <c r="M35" s="152" t="n">
        <v>0</v>
      </c>
      <c r="N35" s="152" t="n">
        <v>0</v>
      </c>
      <c r="O35" s="152">
        <f>SUM(H35:J35, L35:N35)</f>
        <v/>
      </c>
      <c r="P35" s="153" t="n">
        <v>55000</v>
      </c>
      <c r="Q35" s="152" t="n">
        <v>0</v>
      </c>
      <c r="R35" s="151" t="inlineStr">
        <is>
          <t>Đảm bảo tiến độ sản xuất</t>
        </is>
      </c>
      <c r="S35" s="150" t="inlineStr">
        <is>
          <t>CÓ</t>
        </is>
      </c>
      <c r="T35" s="150" t="inlineStr">
        <is>
          <t>ĐÃ DUYỆT</t>
        </is>
      </c>
      <c r="U35" s="151" t="inlineStr">
        <is>
          <t>Quản Đốc Trần Đức Minh</t>
        </is>
      </c>
      <c r="V35" s="150" t="inlineStr">
        <is>
          <t>2026-08-03 16:30</t>
        </is>
      </c>
      <c r="W35" s="150" t="inlineStr">
        <is>
          <t>CC-202608-NV11-03</t>
        </is>
      </c>
      <c r="X35" s="150">
        <f>IFS(C35="", "THIẾU MÃ NV", COUNTIFS(A:A, A35, C:C, C35)&gt;1, "TRÙNG NHÂN VIÊN/NGÀY", O35&gt;4, "VƯỢT 4 GIỜ/NGÀY", AND(O35&gt;0, S35&lt;&gt;"CÓ"), "CHƯA ĐĂNG KÝ TC", AND(O35&gt;0, T35&lt;&gt;"ĐÃ DUYỆT"), "CHƯA DUYỆT TC", AND(T35="ĐÃ DUYỆT", U35=""), "THIẾU NGƯỜI DUYỆT", TRUE, "HỢP LỆ")</f>
        <v/>
      </c>
    </row>
    <row r="36">
      <c r="A36" s="146" t="inlineStr">
        <is>
          <t>2026-08-03</t>
        </is>
      </c>
      <c r="B36" s="146">
        <f>DATE(YEAR(A36), MONTH(A36), 1)</f>
        <v/>
      </c>
      <c r="C36" s="146" t="inlineStr">
        <is>
          <t>NV12</t>
        </is>
      </c>
      <c r="D36" s="147">
        <f>IFERROR(XLOOKUP(C36, '11_Master_Data'!$A:$A, '11_Master_Data'!$B:$B, "KHÔNG CÓ MÃ NV"), "KHÔNG CÓ MÃ NV")</f>
        <v/>
      </c>
      <c r="E36" s="146" t="inlineStr">
        <is>
          <t>C3</t>
        </is>
      </c>
      <c r="F36" s="148" t="n">
        <v>1</v>
      </c>
      <c r="G36" s="148" t="n">
        <v>8</v>
      </c>
      <c r="H36" s="148" t="n">
        <v>2</v>
      </c>
      <c r="I36" s="148" t="n">
        <v>0</v>
      </c>
      <c r="J36" s="148" t="n">
        <v>0</v>
      </c>
      <c r="K36" s="148" t="n">
        <v>8</v>
      </c>
      <c r="L36" s="148" t="n">
        <v>0</v>
      </c>
      <c r="M36" s="148" t="n">
        <v>0</v>
      </c>
      <c r="N36" s="148" t="n">
        <v>0</v>
      </c>
      <c r="O36" s="148">
        <f>SUM(H36:J36, L36:N36)</f>
        <v/>
      </c>
      <c r="P36" s="149" t="n">
        <v>55000</v>
      </c>
      <c r="Q36" s="148" t="n">
        <v>0</v>
      </c>
      <c r="R36" s="147" t="inlineStr">
        <is>
          <t>Đảm bảo tiến độ sản xuất</t>
        </is>
      </c>
      <c r="S36" s="146" t="inlineStr">
        <is>
          <t>CÓ</t>
        </is>
      </c>
      <c r="T36" s="146" t="inlineStr">
        <is>
          <t>ĐÃ DUYỆT</t>
        </is>
      </c>
      <c r="U36" s="147" t="inlineStr">
        <is>
          <t>Quản Đốc Trần Đức Minh</t>
        </is>
      </c>
      <c r="V36" s="146" t="inlineStr">
        <is>
          <t>2026-08-03 16:30</t>
        </is>
      </c>
      <c r="W36" s="146" t="inlineStr">
        <is>
          <t>CC-202608-NV12-03</t>
        </is>
      </c>
      <c r="X36" s="146">
        <f>IFS(C36="", "THIẾU MÃ NV", COUNTIFS(A:A, A36, C:C, C36)&gt;1, "TRÙNG NHÂN VIÊN/NGÀY", O36&gt;4, "VƯỢT 4 GIỜ/NGÀY", AND(O36&gt;0, S36&lt;&gt;"CÓ"), "CHƯA ĐĂNG KÝ TC", AND(O36&gt;0, T36&lt;&gt;"ĐÃ DUYỆT"), "CHƯA DUYỆT TC", AND(T36="ĐÃ DUYỆT", U36=""), "THIẾU NGƯỜI DUYỆT", TRUE, "HỢP LỆ")</f>
        <v/>
      </c>
    </row>
    <row r="37">
      <c r="A37" s="150" t="inlineStr">
        <is>
          <t>2026-08-03</t>
        </is>
      </c>
      <c r="B37" s="150">
        <f>DATE(YEAR(A37), MONTH(A37), 1)</f>
        <v/>
      </c>
      <c r="C37" s="150" t="inlineStr">
        <is>
          <t>NV13</t>
        </is>
      </c>
      <c r="D37" s="151">
        <f>IFERROR(XLOOKUP(C37, '11_Master_Data'!$A:$A, '11_Master_Data'!$B:$B, "KHÔNG CÓ MÃ NV"), "KHÔNG CÓ MÃ NV")</f>
        <v/>
      </c>
      <c r="E37" s="150" t="inlineStr">
        <is>
          <t>C1</t>
        </is>
      </c>
      <c r="F37" s="152" t="n">
        <v>1</v>
      </c>
      <c r="G37" s="152" t="n">
        <v>8</v>
      </c>
      <c r="H37" s="152" t="n">
        <v>0</v>
      </c>
      <c r="I37" s="152" t="n">
        <v>0</v>
      </c>
      <c r="J37" s="152" t="n">
        <v>0</v>
      </c>
      <c r="K37" s="152" t="n">
        <v>0</v>
      </c>
      <c r="L37" s="152" t="n">
        <v>0</v>
      </c>
      <c r="M37" s="152" t="n">
        <v>0</v>
      </c>
      <c r="N37" s="152" t="n">
        <v>0</v>
      </c>
      <c r="O37" s="152">
        <f>SUM(H37:J37, L37:N37)</f>
        <v/>
      </c>
      <c r="P37" s="153" t="n">
        <v>30000</v>
      </c>
      <c r="Q37" s="152" t="n">
        <v>0</v>
      </c>
      <c r="R37" s="151" t="inlineStr"/>
      <c r="S37" s="150" t="inlineStr">
        <is>
          <t>KHÔNG</t>
        </is>
      </c>
      <c r="T37" s="150" t="inlineStr">
        <is>
          <t>ĐÃ DUYỆT</t>
        </is>
      </c>
      <c r="U37" s="151" t="inlineStr">
        <is>
          <t>Quản Đốc Trần Đức Minh</t>
        </is>
      </c>
      <c r="V37" s="150" t="inlineStr">
        <is>
          <t>2026-08-03 16:30</t>
        </is>
      </c>
      <c r="W37" s="150" t="inlineStr">
        <is>
          <t>CC-202608-NV13-03</t>
        </is>
      </c>
      <c r="X37" s="150">
        <f>IFS(C37="", "THIẾU MÃ NV", COUNTIFS(A:A, A37, C:C, C37)&gt;1, "TRÙNG NHÂN VIÊN/NGÀY", O37&gt;4, "VƯỢT 4 GIỜ/NGÀY", AND(O37&gt;0, S37&lt;&gt;"CÓ"), "CHƯA ĐĂNG KÝ TC", AND(O37&gt;0, T37&lt;&gt;"ĐÃ DUYỆT"), "CHƯA DUYỆT TC", AND(T37="ĐÃ DUYỆT", U37=""), "THIẾU NGƯỜI DUYỆT", TRUE, "HỢP LỆ")</f>
        <v/>
      </c>
    </row>
    <row r="38">
      <c r="A38" s="146" t="inlineStr">
        <is>
          <t>2026-08-03</t>
        </is>
      </c>
      <c r="B38" s="146">
        <f>DATE(YEAR(A38), MONTH(A38), 1)</f>
        <v/>
      </c>
      <c r="C38" s="146" t="inlineStr">
        <is>
          <t>NV14</t>
        </is>
      </c>
      <c r="D38" s="147">
        <f>IFERROR(XLOOKUP(C38, '11_Master_Data'!$A:$A, '11_Master_Data'!$B:$B, "KHÔNG CÓ MÃ NV"), "KHÔNG CÓ MÃ NV")</f>
        <v/>
      </c>
      <c r="E38" s="146" t="inlineStr">
        <is>
          <t>C3</t>
        </is>
      </c>
      <c r="F38" s="148" t="n">
        <v>1</v>
      </c>
      <c r="G38" s="148" t="n">
        <v>8</v>
      </c>
      <c r="H38" s="148" t="n">
        <v>2</v>
      </c>
      <c r="I38" s="148" t="n">
        <v>0</v>
      </c>
      <c r="J38" s="148" t="n">
        <v>0</v>
      </c>
      <c r="K38" s="148" t="n">
        <v>8</v>
      </c>
      <c r="L38" s="148" t="n">
        <v>0</v>
      </c>
      <c r="M38" s="148" t="n">
        <v>0</v>
      </c>
      <c r="N38" s="148" t="n">
        <v>0</v>
      </c>
      <c r="O38" s="148">
        <f>SUM(H38:J38, L38:N38)</f>
        <v/>
      </c>
      <c r="P38" s="149" t="n">
        <v>55000</v>
      </c>
      <c r="Q38" s="148" t="n">
        <v>0</v>
      </c>
      <c r="R38" s="147" t="inlineStr">
        <is>
          <t>Đảm bảo tiến độ sản xuất</t>
        </is>
      </c>
      <c r="S38" s="146" t="inlineStr">
        <is>
          <t>CÓ</t>
        </is>
      </c>
      <c r="T38" s="146" t="inlineStr">
        <is>
          <t>ĐÃ DUYỆT</t>
        </is>
      </c>
      <c r="U38" s="147" t="inlineStr">
        <is>
          <t>Quản Đốc Trần Đức Minh</t>
        </is>
      </c>
      <c r="V38" s="146" t="inlineStr">
        <is>
          <t>2026-08-03 16:30</t>
        </is>
      </c>
      <c r="W38" s="146" t="inlineStr">
        <is>
          <t>CC-202608-NV14-03</t>
        </is>
      </c>
      <c r="X38" s="146">
        <f>IFS(C38="", "THIẾU MÃ NV", COUNTIFS(A:A, A38, C:C, C38)&gt;1, "TRÙNG NHÂN VIÊN/NGÀY", O38&gt;4, "VƯỢT 4 GIỜ/NGÀY", AND(O38&gt;0, S38&lt;&gt;"CÓ"), "CHƯA ĐĂNG KÝ TC", AND(O38&gt;0, T38&lt;&gt;"ĐÃ DUYỆT"), "CHƯA DUYỆT TC", AND(T38="ĐÃ DUYỆT", U38=""), "THIẾU NGƯỜI DUYỆT", TRUE, "HỢP LỆ")</f>
        <v/>
      </c>
    </row>
    <row r="39">
      <c r="A39" s="150" t="inlineStr">
        <is>
          <t>2026-08-03</t>
        </is>
      </c>
      <c r="B39" s="150">
        <f>DATE(YEAR(A39), MONTH(A39), 1)</f>
        <v/>
      </c>
      <c r="C39" s="150" t="inlineStr">
        <is>
          <t>NV15</t>
        </is>
      </c>
      <c r="D39" s="151">
        <f>IFERROR(XLOOKUP(C39, '11_Master_Data'!$A:$A, '11_Master_Data'!$B:$B, "KHÔNG CÓ MÃ NV"), "KHÔNG CÓ MÃ NV")</f>
        <v/>
      </c>
      <c r="E39" s="150" t="inlineStr">
        <is>
          <t>C2</t>
        </is>
      </c>
      <c r="F39" s="152" t="n">
        <v>1</v>
      </c>
      <c r="G39" s="152" t="n">
        <v>8</v>
      </c>
      <c r="H39" s="152" t="n">
        <v>0</v>
      </c>
      <c r="I39" s="152" t="n">
        <v>0</v>
      </c>
      <c r="J39" s="152" t="n">
        <v>0</v>
      </c>
      <c r="K39" s="152" t="n">
        <v>0</v>
      </c>
      <c r="L39" s="152" t="n">
        <v>0</v>
      </c>
      <c r="M39" s="152" t="n">
        <v>0</v>
      </c>
      <c r="N39" s="152" t="n">
        <v>0</v>
      </c>
      <c r="O39" s="152">
        <f>SUM(H39:J39, L39:N39)</f>
        <v/>
      </c>
      <c r="P39" s="153" t="n">
        <v>30000</v>
      </c>
      <c r="Q39" s="152" t="n">
        <v>0</v>
      </c>
      <c r="R39" s="151" t="inlineStr"/>
      <c r="S39" s="150" t="inlineStr">
        <is>
          <t>KHÔNG</t>
        </is>
      </c>
      <c r="T39" s="150" t="inlineStr">
        <is>
          <t>ĐÃ DUYỆT</t>
        </is>
      </c>
      <c r="U39" s="151" t="inlineStr">
        <is>
          <t>Quản Đốc Trần Đức Minh</t>
        </is>
      </c>
      <c r="V39" s="150" t="inlineStr">
        <is>
          <t>2026-08-03 16:30</t>
        </is>
      </c>
      <c r="W39" s="150" t="inlineStr">
        <is>
          <t>CC-202608-NV15-03</t>
        </is>
      </c>
      <c r="X39" s="150">
        <f>IFS(C39="", "THIẾU MÃ NV", COUNTIFS(A:A, A39, C:C, C39)&gt;1, "TRÙNG NHÂN VIÊN/NGÀY", O39&gt;4, "VƯỢT 4 GIỜ/NGÀY", AND(O39&gt;0, S39&lt;&gt;"CÓ"), "CHƯA ĐĂNG KÝ TC", AND(O39&gt;0, T39&lt;&gt;"ĐÃ DUYỆT"), "CHƯA DUYỆT TC", AND(T39="ĐÃ DUYỆT", U39=""), "THIẾU NGƯỜI DUYỆT", TRUE, "HỢP LỆ")</f>
        <v/>
      </c>
    </row>
    <row r="40">
      <c r="A40" s="146" t="inlineStr">
        <is>
          <t>2026-08-04</t>
        </is>
      </c>
      <c r="B40" s="146">
        <f>DATE(YEAR(A40), MONTH(A40), 1)</f>
        <v/>
      </c>
      <c r="C40" s="146" t="inlineStr">
        <is>
          <t>NV01</t>
        </is>
      </c>
      <c r="D40" s="147">
        <f>IFERROR(XLOOKUP(C40, '11_Master_Data'!$A:$A, '11_Master_Data'!$B:$B, "KHÔNG CÓ MÃ NV"), "KHÔNG CÓ MÃ NV")</f>
        <v/>
      </c>
      <c r="E40" s="146" t="inlineStr">
        <is>
          <t>C1</t>
        </is>
      </c>
      <c r="F40" s="148" t="n">
        <v>1</v>
      </c>
      <c r="G40" s="148" t="n">
        <v>8</v>
      </c>
      <c r="H40" s="148" t="n">
        <v>0</v>
      </c>
      <c r="I40" s="148" t="n">
        <v>0</v>
      </c>
      <c r="J40" s="148" t="n">
        <v>0</v>
      </c>
      <c r="K40" s="148" t="n">
        <v>0</v>
      </c>
      <c r="L40" s="148" t="n">
        <v>0</v>
      </c>
      <c r="M40" s="148" t="n">
        <v>0</v>
      </c>
      <c r="N40" s="148" t="n">
        <v>0</v>
      </c>
      <c r="O40" s="148">
        <f>SUM(H40:J40, L40:N40)</f>
        <v/>
      </c>
      <c r="P40" s="149" t="n">
        <v>30000</v>
      </c>
      <c r="Q40" s="148" t="n">
        <v>0</v>
      </c>
      <c r="R40" s="147" t="inlineStr"/>
      <c r="S40" s="146" t="inlineStr">
        <is>
          <t>KHÔNG</t>
        </is>
      </c>
      <c r="T40" s="146" t="inlineStr">
        <is>
          <t>ĐÃ DUYỆT</t>
        </is>
      </c>
      <c r="U40" s="147" t="inlineStr">
        <is>
          <t>Quản Đốc Trần Đức Minh</t>
        </is>
      </c>
      <c r="V40" s="146" t="inlineStr">
        <is>
          <t>2026-08-04 16:30</t>
        </is>
      </c>
      <c r="W40" s="146" t="inlineStr">
        <is>
          <t>CC-202608-NV01-04</t>
        </is>
      </c>
      <c r="X40" s="146">
        <f>IFS(C40="", "THIẾU MÃ NV", COUNTIFS(A:A, A40, C:C, C40)&gt;1, "TRÙNG NHÂN VIÊN/NGÀY", O40&gt;4, "VƯỢT 4 GIỜ/NGÀY", AND(O40&gt;0, S40&lt;&gt;"CÓ"), "CHƯA ĐĂNG KÝ TC", AND(O40&gt;0, T40&lt;&gt;"ĐÃ DUYỆT"), "CHƯA DUYỆT TC", AND(T40="ĐÃ DUYỆT", U40=""), "THIẾU NGƯỜI DUYỆT", TRUE, "HỢP LỆ")</f>
        <v/>
      </c>
    </row>
    <row r="41">
      <c r="A41" s="150" t="inlineStr">
        <is>
          <t>2026-08-04</t>
        </is>
      </c>
      <c r="B41" s="150">
        <f>DATE(YEAR(A41), MONTH(A41), 1)</f>
        <v/>
      </c>
      <c r="C41" s="150" t="inlineStr">
        <is>
          <t>NV02</t>
        </is>
      </c>
      <c r="D41" s="151">
        <f>IFERROR(XLOOKUP(C41, '11_Master_Data'!$A:$A, '11_Master_Data'!$B:$B, "KHÔNG CÓ MÃ NV"), "KHÔNG CÓ MÃ NV")</f>
        <v/>
      </c>
      <c r="E41" s="150" t="inlineStr">
        <is>
          <t>C1</t>
        </is>
      </c>
      <c r="F41" s="152" t="n">
        <v>1</v>
      </c>
      <c r="G41" s="152" t="n">
        <v>8</v>
      </c>
      <c r="H41" s="152" t="n">
        <v>2</v>
      </c>
      <c r="I41" s="152" t="n">
        <v>0</v>
      </c>
      <c r="J41" s="152" t="n">
        <v>0</v>
      </c>
      <c r="K41" s="152" t="n">
        <v>0</v>
      </c>
      <c r="L41" s="152" t="n">
        <v>0</v>
      </c>
      <c r="M41" s="152" t="n">
        <v>0</v>
      </c>
      <c r="N41" s="152" t="n">
        <v>0</v>
      </c>
      <c r="O41" s="152">
        <f>SUM(H41:J41, L41:N41)</f>
        <v/>
      </c>
      <c r="P41" s="153" t="n">
        <v>55000</v>
      </c>
      <c r="Q41" s="152" t="n">
        <v>0</v>
      </c>
      <c r="R41" s="151" t="inlineStr">
        <is>
          <t>Đảm bảo tiến độ sản xuất</t>
        </is>
      </c>
      <c r="S41" s="150" t="inlineStr">
        <is>
          <t>CÓ</t>
        </is>
      </c>
      <c r="T41" s="150" t="inlineStr">
        <is>
          <t>ĐÃ DUYỆT</t>
        </is>
      </c>
      <c r="U41" s="151" t="inlineStr">
        <is>
          <t>Quản Đốc Trần Đức Minh</t>
        </is>
      </c>
      <c r="V41" s="150" t="inlineStr">
        <is>
          <t>2026-08-04 16:30</t>
        </is>
      </c>
      <c r="W41" s="150" t="inlineStr">
        <is>
          <t>CC-202608-NV02-04</t>
        </is>
      </c>
      <c r="X41" s="150">
        <f>IFS(C41="", "THIẾU MÃ NV", COUNTIFS(A:A, A41, C:C, C41)&gt;1, "TRÙNG NHÂN VIÊN/NGÀY", O41&gt;4, "VƯỢT 4 GIỜ/NGÀY", AND(O41&gt;0, S41&lt;&gt;"CÓ"), "CHƯA ĐĂNG KÝ TC", AND(O41&gt;0, T41&lt;&gt;"ĐÃ DUYỆT"), "CHƯA DUYỆT TC", AND(T41="ĐÃ DUYỆT", U41=""), "THIẾU NGƯỜI DUYỆT", TRUE, "HỢP LỆ")</f>
        <v/>
      </c>
    </row>
    <row r="42">
      <c r="A42" s="146" t="inlineStr">
        <is>
          <t>2026-08-04</t>
        </is>
      </c>
      <c r="B42" s="146">
        <f>DATE(YEAR(A42), MONTH(A42), 1)</f>
        <v/>
      </c>
      <c r="C42" s="146" t="inlineStr">
        <is>
          <t>NV03</t>
        </is>
      </c>
      <c r="D42" s="147">
        <f>IFERROR(XLOOKUP(C42, '11_Master_Data'!$A:$A, '11_Master_Data'!$B:$B, "KHÔNG CÓ MÃ NV"), "KHÔNG CÓ MÃ NV")</f>
        <v/>
      </c>
      <c r="E42" s="146" t="inlineStr">
        <is>
          <t>C1</t>
        </is>
      </c>
      <c r="F42" s="148" t="n">
        <v>1</v>
      </c>
      <c r="G42" s="148" t="n">
        <v>8</v>
      </c>
      <c r="H42" s="148" t="n">
        <v>0</v>
      </c>
      <c r="I42" s="148" t="n">
        <v>0</v>
      </c>
      <c r="J42" s="148" t="n">
        <v>0</v>
      </c>
      <c r="K42" s="148" t="n">
        <v>0</v>
      </c>
      <c r="L42" s="148" t="n">
        <v>0</v>
      </c>
      <c r="M42" s="148" t="n">
        <v>0</v>
      </c>
      <c r="N42" s="148" t="n">
        <v>0</v>
      </c>
      <c r="O42" s="148">
        <f>SUM(H42:J42, L42:N42)</f>
        <v/>
      </c>
      <c r="P42" s="149" t="n">
        <v>30000</v>
      </c>
      <c r="Q42" s="148" t="n">
        <v>0</v>
      </c>
      <c r="R42" s="147" t="inlineStr"/>
      <c r="S42" s="146" t="inlineStr">
        <is>
          <t>KHÔNG</t>
        </is>
      </c>
      <c r="T42" s="146" t="inlineStr">
        <is>
          <t>ĐÃ DUYỆT</t>
        </is>
      </c>
      <c r="U42" s="147" t="inlineStr">
        <is>
          <t>Quản Đốc Trần Đức Minh</t>
        </is>
      </c>
      <c r="V42" s="146" t="inlineStr">
        <is>
          <t>2026-08-04 16:30</t>
        </is>
      </c>
      <c r="W42" s="146" t="inlineStr">
        <is>
          <t>CC-202608-NV03-04</t>
        </is>
      </c>
      <c r="X42" s="146">
        <f>IFS(C42="", "THIẾU MÃ NV", COUNTIFS(A:A, A42, C:C, C42)&gt;1, "TRÙNG NHÂN VIÊN/NGÀY", O42&gt;4, "VƯỢT 4 GIỜ/NGÀY", AND(O42&gt;0, S42&lt;&gt;"CÓ"), "CHƯA ĐĂNG KÝ TC", AND(O42&gt;0, T42&lt;&gt;"ĐÃ DUYỆT"), "CHƯA DUYỆT TC", AND(T42="ĐÃ DUYỆT", U42=""), "THIẾU NGƯỜI DUYỆT", TRUE, "HỢP LỆ")</f>
        <v/>
      </c>
    </row>
    <row r="43">
      <c r="A43" s="150" t="inlineStr">
        <is>
          <t>2026-08-04</t>
        </is>
      </c>
      <c r="B43" s="150">
        <f>DATE(YEAR(A43), MONTH(A43), 1)</f>
        <v/>
      </c>
      <c r="C43" s="150" t="inlineStr">
        <is>
          <t>NV04</t>
        </is>
      </c>
      <c r="D43" s="151">
        <f>IFERROR(XLOOKUP(C43, '11_Master_Data'!$A:$A, '11_Master_Data'!$B:$B, "KHÔNG CÓ MÃ NV"), "KHÔNG CÓ MÃ NV")</f>
        <v/>
      </c>
      <c r="E43" s="150" t="inlineStr">
        <is>
          <t>C2</t>
        </is>
      </c>
      <c r="F43" s="152" t="n">
        <v>1</v>
      </c>
      <c r="G43" s="152" t="n">
        <v>8</v>
      </c>
      <c r="H43" s="152" t="n">
        <v>2</v>
      </c>
      <c r="I43" s="152" t="n">
        <v>0</v>
      </c>
      <c r="J43" s="152" t="n">
        <v>0</v>
      </c>
      <c r="K43" s="152" t="n">
        <v>0</v>
      </c>
      <c r="L43" s="152" t="n">
        <v>0</v>
      </c>
      <c r="M43" s="152" t="n">
        <v>0</v>
      </c>
      <c r="N43" s="152" t="n">
        <v>0</v>
      </c>
      <c r="O43" s="152">
        <f>SUM(H43:J43, L43:N43)</f>
        <v/>
      </c>
      <c r="P43" s="153" t="n">
        <v>55000</v>
      </c>
      <c r="Q43" s="152" t="n">
        <v>0</v>
      </c>
      <c r="R43" s="151" t="inlineStr">
        <is>
          <t>Đảm bảo tiến độ sản xuất</t>
        </is>
      </c>
      <c r="S43" s="150" t="inlineStr">
        <is>
          <t>CÓ</t>
        </is>
      </c>
      <c r="T43" s="150" t="inlineStr">
        <is>
          <t>ĐÃ DUYỆT</t>
        </is>
      </c>
      <c r="U43" s="151" t="inlineStr">
        <is>
          <t>Quản Đốc Trần Đức Minh</t>
        </is>
      </c>
      <c r="V43" s="150" t="inlineStr">
        <is>
          <t>2026-08-04 16:30</t>
        </is>
      </c>
      <c r="W43" s="150" t="inlineStr">
        <is>
          <t>CC-202608-NV04-04</t>
        </is>
      </c>
      <c r="X43" s="150">
        <f>IFS(C43="", "THIẾU MÃ NV", COUNTIFS(A:A, A43, C:C, C43)&gt;1, "TRÙNG NHÂN VIÊN/NGÀY", O43&gt;4, "VƯỢT 4 GIỜ/NGÀY", AND(O43&gt;0, S43&lt;&gt;"CÓ"), "CHƯA ĐĂNG KÝ TC", AND(O43&gt;0, T43&lt;&gt;"ĐÃ DUYỆT"), "CHƯA DUYỆT TC", AND(T43="ĐÃ DUYỆT", U43=""), "THIẾU NGƯỜI DUYỆT", TRUE, "HỢP LỆ")</f>
        <v/>
      </c>
    </row>
    <row r="44">
      <c r="A44" s="146" t="inlineStr">
        <is>
          <t>2026-08-04</t>
        </is>
      </c>
      <c r="B44" s="146">
        <f>DATE(YEAR(A44), MONTH(A44), 1)</f>
        <v/>
      </c>
      <c r="C44" s="146" t="inlineStr">
        <is>
          <t>NV06</t>
        </is>
      </c>
      <c r="D44" s="147">
        <f>IFERROR(XLOOKUP(C44, '11_Master_Data'!$A:$A, '11_Master_Data'!$B:$B, "KHÔNG CÓ MÃ NV"), "KHÔNG CÓ MÃ NV")</f>
        <v/>
      </c>
      <c r="E44" s="146" t="inlineStr">
        <is>
          <t>C2</t>
        </is>
      </c>
      <c r="F44" s="148" t="n">
        <v>1</v>
      </c>
      <c r="G44" s="148" t="n">
        <v>8</v>
      </c>
      <c r="H44" s="148" t="n">
        <v>2</v>
      </c>
      <c r="I44" s="148" t="n">
        <v>0</v>
      </c>
      <c r="J44" s="148" t="n">
        <v>0</v>
      </c>
      <c r="K44" s="148" t="n">
        <v>0</v>
      </c>
      <c r="L44" s="148" t="n">
        <v>0</v>
      </c>
      <c r="M44" s="148" t="n">
        <v>0</v>
      </c>
      <c r="N44" s="148" t="n">
        <v>0</v>
      </c>
      <c r="O44" s="148">
        <f>SUM(H44:J44, L44:N44)</f>
        <v/>
      </c>
      <c r="P44" s="149" t="n">
        <v>55000</v>
      </c>
      <c r="Q44" s="148" t="n">
        <v>0</v>
      </c>
      <c r="R44" s="147" t="inlineStr">
        <is>
          <t>Đảm bảo tiến độ sản xuất</t>
        </is>
      </c>
      <c r="S44" s="146" t="inlineStr">
        <is>
          <t>CÓ</t>
        </is>
      </c>
      <c r="T44" s="146" t="inlineStr">
        <is>
          <t>ĐÃ DUYỆT</t>
        </is>
      </c>
      <c r="U44" s="147" t="inlineStr">
        <is>
          <t>Quản Đốc Trần Đức Minh</t>
        </is>
      </c>
      <c r="V44" s="146" t="inlineStr">
        <is>
          <t>2026-08-04 16:30</t>
        </is>
      </c>
      <c r="W44" s="146" t="inlineStr">
        <is>
          <t>CC-202608-NV06-04</t>
        </is>
      </c>
      <c r="X44" s="146">
        <f>IFS(C44="", "THIẾU MÃ NV", COUNTIFS(A:A, A44, C:C, C44)&gt;1, "TRÙNG NHÂN VIÊN/NGÀY", O44&gt;4, "VƯỢT 4 GIỜ/NGÀY", AND(O44&gt;0, S44&lt;&gt;"CÓ"), "CHƯA ĐĂNG KÝ TC", AND(O44&gt;0, T44&lt;&gt;"ĐÃ DUYỆT"), "CHƯA DUYỆT TC", AND(T44="ĐÃ DUYỆT", U44=""), "THIẾU NGƯỜI DUYỆT", TRUE, "HỢP LỆ")</f>
        <v/>
      </c>
    </row>
    <row r="45">
      <c r="A45" s="150" t="inlineStr">
        <is>
          <t>2026-08-04</t>
        </is>
      </c>
      <c r="B45" s="150">
        <f>DATE(YEAR(A45), MONTH(A45), 1)</f>
        <v/>
      </c>
      <c r="C45" s="150" t="inlineStr">
        <is>
          <t>NV07</t>
        </is>
      </c>
      <c r="D45" s="151">
        <f>IFERROR(XLOOKUP(C45, '11_Master_Data'!$A:$A, '11_Master_Data'!$B:$B, "KHÔNG CÓ MÃ NV"), "KHÔNG CÓ MÃ NV")</f>
        <v/>
      </c>
      <c r="E45" s="150" t="inlineStr">
        <is>
          <t>C3</t>
        </is>
      </c>
      <c r="F45" s="152" t="n">
        <v>1</v>
      </c>
      <c r="G45" s="152" t="n">
        <v>8</v>
      </c>
      <c r="H45" s="152" t="n">
        <v>2</v>
      </c>
      <c r="I45" s="152" t="n">
        <v>0</v>
      </c>
      <c r="J45" s="152" t="n">
        <v>0</v>
      </c>
      <c r="K45" s="152" t="n">
        <v>8</v>
      </c>
      <c r="L45" s="152" t="n">
        <v>0</v>
      </c>
      <c r="M45" s="152" t="n">
        <v>0</v>
      </c>
      <c r="N45" s="152" t="n">
        <v>0</v>
      </c>
      <c r="O45" s="152">
        <f>SUM(H45:J45, L45:N45)</f>
        <v/>
      </c>
      <c r="P45" s="153" t="n">
        <v>55000</v>
      </c>
      <c r="Q45" s="152" t="n">
        <v>0</v>
      </c>
      <c r="R45" s="151" t="inlineStr">
        <is>
          <t>Đảm bảo tiến độ sản xuất</t>
        </is>
      </c>
      <c r="S45" s="150" t="inlineStr">
        <is>
          <t>CÓ</t>
        </is>
      </c>
      <c r="T45" s="150" t="inlineStr">
        <is>
          <t>ĐÃ DUYỆT</t>
        </is>
      </c>
      <c r="U45" s="151" t="inlineStr">
        <is>
          <t>Quản Đốc Trần Đức Minh</t>
        </is>
      </c>
      <c r="V45" s="150" t="inlineStr">
        <is>
          <t>2026-08-04 16:30</t>
        </is>
      </c>
      <c r="W45" s="150" t="inlineStr">
        <is>
          <t>CC-202608-NV07-04</t>
        </is>
      </c>
      <c r="X45" s="150">
        <f>IFS(C45="", "THIẾU MÃ NV", COUNTIFS(A:A, A45, C:C, C45)&gt;1, "TRÙNG NHÂN VIÊN/NGÀY", O45&gt;4, "VƯỢT 4 GIỜ/NGÀY", AND(O45&gt;0, S45&lt;&gt;"CÓ"), "CHƯA ĐĂNG KÝ TC", AND(O45&gt;0, T45&lt;&gt;"ĐÃ DUYỆT"), "CHƯA DUYỆT TC", AND(T45="ĐÃ DUYỆT", U45=""), "THIẾU NGƯỜI DUYỆT", TRUE, "HỢP LỆ")</f>
        <v/>
      </c>
    </row>
    <row r="46">
      <c r="A46" s="146" t="inlineStr">
        <is>
          <t>2026-08-04</t>
        </is>
      </c>
      <c r="B46" s="146">
        <f>DATE(YEAR(A46), MONTH(A46), 1)</f>
        <v/>
      </c>
      <c r="C46" s="146" t="inlineStr">
        <is>
          <t>NV08</t>
        </is>
      </c>
      <c r="D46" s="147">
        <f>IFERROR(XLOOKUP(C46, '11_Master_Data'!$A:$A, '11_Master_Data'!$B:$B, "KHÔNG CÓ MÃ NV"), "KHÔNG CÓ MÃ NV")</f>
        <v/>
      </c>
      <c r="E46" s="146" t="inlineStr">
        <is>
          <t>C2</t>
        </is>
      </c>
      <c r="F46" s="148" t="n">
        <v>1</v>
      </c>
      <c r="G46" s="148" t="n">
        <v>8</v>
      </c>
      <c r="H46" s="148" t="n">
        <v>2</v>
      </c>
      <c r="I46" s="148" t="n">
        <v>0</v>
      </c>
      <c r="J46" s="148" t="n">
        <v>0</v>
      </c>
      <c r="K46" s="148" t="n">
        <v>0</v>
      </c>
      <c r="L46" s="148" t="n">
        <v>0</v>
      </c>
      <c r="M46" s="148" t="n">
        <v>0</v>
      </c>
      <c r="N46" s="148" t="n">
        <v>0</v>
      </c>
      <c r="O46" s="148">
        <f>SUM(H46:J46, L46:N46)</f>
        <v/>
      </c>
      <c r="P46" s="149" t="n">
        <v>55000</v>
      </c>
      <c r="Q46" s="148" t="n">
        <v>0</v>
      </c>
      <c r="R46" s="147" t="inlineStr">
        <is>
          <t>Đảm bảo tiến độ sản xuất</t>
        </is>
      </c>
      <c r="S46" s="146" t="inlineStr">
        <is>
          <t>CÓ</t>
        </is>
      </c>
      <c r="T46" s="146" t="inlineStr">
        <is>
          <t>ĐÃ DUYỆT</t>
        </is>
      </c>
      <c r="U46" s="147" t="inlineStr">
        <is>
          <t>Quản Đốc Trần Đức Minh</t>
        </is>
      </c>
      <c r="V46" s="146" t="inlineStr">
        <is>
          <t>2026-08-04 16:30</t>
        </is>
      </c>
      <c r="W46" s="146" t="inlineStr">
        <is>
          <t>CC-202608-NV08-04</t>
        </is>
      </c>
      <c r="X46" s="146">
        <f>IFS(C46="", "THIẾU MÃ NV", COUNTIFS(A:A, A46, C:C, C46)&gt;1, "TRÙNG NHÂN VIÊN/NGÀY", O46&gt;4, "VƯỢT 4 GIỜ/NGÀY", AND(O46&gt;0, S46&lt;&gt;"CÓ"), "CHƯA ĐĂNG KÝ TC", AND(O46&gt;0, T46&lt;&gt;"ĐÃ DUYỆT"), "CHƯA DUYỆT TC", AND(T46="ĐÃ DUYỆT", U46=""), "THIẾU NGƯỜI DUYỆT", TRUE, "HỢP LỆ")</f>
        <v/>
      </c>
    </row>
    <row r="47">
      <c r="A47" s="150" t="inlineStr">
        <is>
          <t>2026-08-04</t>
        </is>
      </c>
      <c r="B47" s="150">
        <f>DATE(YEAR(A47), MONTH(A47), 1)</f>
        <v/>
      </c>
      <c r="C47" s="150" t="inlineStr">
        <is>
          <t>NV10</t>
        </is>
      </c>
      <c r="D47" s="151">
        <f>IFERROR(XLOOKUP(C47, '11_Master_Data'!$A:$A, '11_Master_Data'!$B:$B, "KHÔNG CÓ MÃ NV"), "KHÔNG CÓ MÃ NV")</f>
        <v/>
      </c>
      <c r="E47" s="150" t="inlineStr">
        <is>
          <t>C1</t>
        </is>
      </c>
      <c r="F47" s="152" t="n">
        <v>1</v>
      </c>
      <c r="G47" s="152" t="n">
        <v>8</v>
      </c>
      <c r="H47" s="152" t="n">
        <v>2</v>
      </c>
      <c r="I47" s="152" t="n">
        <v>0</v>
      </c>
      <c r="J47" s="152" t="n">
        <v>0</v>
      </c>
      <c r="K47" s="152" t="n">
        <v>0</v>
      </c>
      <c r="L47" s="152" t="n">
        <v>0</v>
      </c>
      <c r="M47" s="152" t="n">
        <v>0</v>
      </c>
      <c r="N47" s="152" t="n">
        <v>0</v>
      </c>
      <c r="O47" s="152">
        <f>SUM(H47:J47, L47:N47)</f>
        <v/>
      </c>
      <c r="P47" s="153" t="n">
        <v>55000</v>
      </c>
      <c r="Q47" s="152" t="n">
        <v>0</v>
      </c>
      <c r="R47" s="151" t="inlineStr">
        <is>
          <t>Đảm bảo tiến độ sản xuất</t>
        </is>
      </c>
      <c r="S47" s="150" t="inlineStr">
        <is>
          <t>CÓ</t>
        </is>
      </c>
      <c r="T47" s="150" t="inlineStr">
        <is>
          <t>ĐÃ DUYỆT</t>
        </is>
      </c>
      <c r="U47" s="151" t="inlineStr">
        <is>
          <t>Quản Đốc Trần Đức Minh</t>
        </is>
      </c>
      <c r="V47" s="150" t="inlineStr">
        <is>
          <t>2026-08-04 16:30</t>
        </is>
      </c>
      <c r="W47" s="150" t="inlineStr">
        <is>
          <t>CC-202608-NV10-04</t>
        </is>
      </c>
      <c r="X47" s="150">
        <f>IFS(C47="", "THIẾU MÃ NV", COUNTIFS(A:A, A47, C:C, C47)&gt;1, "TRÙNG NHÂN VIÊN/NGÀY", O47&gt;4, "VƯỢT 4 GIỜ/NGÀY", AND(O47&gt;0, S47&lt;&gt;"CÓ"), "CHƯA ĐĂNG KÝ TC", AND(O47&gt;0, T47&lt;&gt;"ĐÃ DUYỆT"), "CHƯA DUYỆT TC", AND(T47="ĐÃ DUYỆT", U47=""), "THIẾU NGƯỜI DUYỆT", TRUE, "HỢP LỆ")</f>
        <v/>
      </c>
    </row>
    <row r="48">
      <c r="A48" s="146" t="inlineStr">
        <is>
          <t>2026-08-04</t>
        </is>
      </c>
      <c r="B48" s="146">
        <f>DATE(YEAR(A48), MONTH(A48), 1)</f>
        <v/>
      </c>
      <c r="C48" s="146" t="inlineStr">
        <is>
          <t>NV11</t>
        </is>
      </c>
      <c r="D48" s="147">
        <f>IFERROR(XLOOKUP(C48, '11_Master_Data'!$A:$A, '11_Master_Data'!$B:$B, "KHÔNG CÓ MÃ NV"), "KHÔNG CÓ MÃ NV")</f>
        <v/>
      </c>
      <c r="E48" s="146" t="inlineStr">
        <is>
          <t>C1</t>
        </is>
      </c>
      <c r="F48" s="148" t="n">
        <v>1</v>
      </c>
      <c r="G48" s="148" t="n">
        <v>8</v>
      </c>
      <c r="H48" s="148" t="n">
        <v>2</v>
      </c>
      <c r="I48" s="148" t="n">
        <v>0</v>
      </c>
      <c r="J48" s="148" t="n">
        <v>0</v>
      </c>
      <c r="K48" s="148" t="n">
        <v>0</v>
      </c>
      <c r="L48" s="148" t="n">
        <v>0</v>
      </c>
      <c r="M48" s="148" t="n">
        <v>0</v>
      </c>
      <c r="N48" s="148" t="n">
        <v>0</v>
      </c>
      <c r="O48" s="148">
        <f>SUM(H48:J48, L48:N48)</f>
        <v/>
      </c>
      <c r="P48" s="149" t="n">
        <v>55000</v>
      </c>
      <c r="Q48" s="148" t="n">
        <v>0</v>
      </c>
      <c r="R48" s="147" t="inlineStr">
        <is>
          <t>Đảm bảo tiến độ sản xuất</t>
        </is>
      </c>
      <c r="S48" s="146" t="inlineStr">
        <is>
          <t>CÓ</t>
        </is>
      </c>
      <c r="T48" s="146" t="inlineStr">
        <is>
          <t>ĐÃ DUYỆT</t>
        </is>
      </c>
      <c r="U48" s="147" t="inlineStr">
        <is>
          <t>Quản Đốc Trần Đức Minh</t>
        </is>
      </c>
      <c r="V48" s="146" t="inlineStr">
        <is>
          <t>2026-08-04 16:30</t>
        </is>
      </c>
      <c r="W48" s="146" t="inlineStr">
        <is>
          <t>CC-202608-NV11-04</t>
        </is>
      </c>
      <c r="X48" s="146">
        <f>IFS(C48="", "THIẾU MÃ NV", COUNTIFS(A:A, A48, C:C, C48)&gt;1, "TRÙNG NHÂN VIÊN/NGÀY", O48&gt;4, "VƯỢT 4 GIỜ/NGÀY", AND(O48&gt;0, S48&lt;&gt;"CÓ"), "CHƯA ĐĂNG KÝ TC", AND(O48&gt;0, T48&lt;&gt;"ĐÃ DUYỆT"), "CHƯA DUYỆT TC", AND(T48="ĐÃ DUYỆT", U48=""), "THIẾU NGƯỜI DUYỆT", TRUE, "HỢP LỆ")</f>
        <v/>
      </c>
    </row>
    <row r="49">
      <c r="A49" s="150" t="inlineStr">
        <is>
          <t>2026-08-04</t>
        </is>
      </c>
      <c r="B49" s="150">
        <f>DATE(YEAR(A49), MONTH(A49), 1)</f>
        <v/>
      </c>
      <c r="C49" s="150" t="inlineStr">
        <is>
          <t>NV12</t>
        </is>
      </c>
      <c r="D49" s="151">
        <f>IFERROR(XLOOKUP(C49, '11_Master_Data'!$A:$A, '11_Master_Data'!$B:$B, "KHÔNG CÓ MÃ NV"), "KHÔNG CÓ MÃ NV")</f>
        <v/>
      </c>
      <c r="E49" s="150" t="inlineStr">
        <is>
          <t>C3</t>
        </is>
      </c>
      <c r="F49" s="152" t="n">
        <v>1</v>
      </c>
      <c r="G49" s="152" t="n">
        <v>8</v>
      </c>
      <c r="H49" s="152" t="n">
        <v>2</v>
      </c>
      <c r="I49" s="152" t="n">
        <v>0</v>
      </c>
      <c r="J49" s="152" t="n">
        <v>0</v>
      </c>
      <c r="K49" s="152" t="n">
        <v>8</v>
      </c>
      <c r="L49" s="152" t="n">
        <v>0</v>
      </c>
      <c r="M49" s="152" t="n">
        <v>0</v>
      </c>
      <c r="N49" s="152" t="n">
        <v>0</v>
      </c>
      <c r="O49" s="152">
        <f>SUM(H49:J49, L49:N49)</f>
        <v/>
      </c>
      <c r="P49" s="153" t="n">
        <v>55000</v>
      </c>
      <c r="Q49" s="152" t="n">
        <v>0</v>
      </c>
      <c r="R49" s="151" t="inlineStr">
        <is>
          <t>Đảm bảo tiến độ sản xuất</t>
        </is>
      </c>
      <c r="S49" s="150" t="inlineStr">
        <is>
          <t>CÓ</t>
        </is>
      </c>
      <c r="T49" s="150" t="inlineStr">
        <is>
          <t>ĐÃ DUYỆT</t>
        </is>
      </c>
      <c r="U49" s="151" t="inlineStr">
        <is>
          <t>Quản Đốc Trần Đức Minh</t>
        </is>
      </c>
      <c r="V49" s="150" t="inlineStr">
        <is>
          <t>2026-08-04 16:30</t>
        </is>
      </c>
      <c r="W49" s="150" t="inlineStr">
        <is>
          <t>CC-202608-NV12-04</t>
        </is>
      </c>
      <c r="X49" s="150">
        <f>IFS(C49="", "THIẾU MÃ NV", COUNTIFS(A:A, A49, C:C, C49)&gt;1, "TRÙNG NHÂN VIÊN/NGÀY", O49&gt;4, "VƯỢT 4 GIỜ/NGÀY", AND(O49&gt;0, S49&lt;&gt;"CÓ"), "CHƯA ĐĂNG KÝ TC", AND(O49&gt;0, T49&lt;&gt;"ĐÃ DUYỆT"), "CHƯA DUYỆT TC", AND(T49="ĐÃ DUYỆT", U49=""), "THIẾU NGƯỜI DUYỆT", TRUE, "HỢP LỆ")</f>
        <v/>
      </c>
    </row>
    <row r="50">
      <c r="A50" s="146" t="inlineStr">
        <is>
          <t>2026-08-04</t>
        </is>
      </c>
      <c r="B50" s="146">
        <f>DATE(YEAR(A50), MONTH(A50), 1)</f>
        <v/>
      </c>
      <c r="C50" s="146" t="inlineStr">
        <is>
          <t>NV13</t>
        </is>
      </c>
      <c r="D50" s="147">
        <f>IFERROR(XLOOKUP(C50, '11_Master_Data'!$A:$A, '11_Master_Data'!$B:$B, "KHÔNG CÓ MÃ NV"), "KHÔNG CÓ MÃ NV")</f>
        <v/>
      </c>
      <c r="E50" s="146" t="inlineStr">
        <is>
          <t>C1</t>
        </is>
      </c>
      <c r="F50" s="148" t="n">
        <v>1</v>
      </c>
      <c r="G50" s="148" t="n">
        <v>8</v>
      </c>
      <c r="H50" s="148" t="n">
        <v>0</v>
      </c>
      <c r="I50" s="148" t="n">
        <v>0</v>
      </c>
      <c r="J50" s="148" t="n">
        <v>0</v>
      </c>
      <c r="K50" s="148" t="n">
        <v>0</v>
      </c>
      <c r="L50" s="148" t="n">
        <v>0</v>
      </c>
      <c r="M50" s="148" t="n">
        <v>0</v>
      </c>
      <c r="N50" s="148" t="n">
        <v>0</v>
      </c>
      <c r="O50" s="148">
        <f>SUM(H50:J50, L50:N50)</f>
        <v/>
      </c>
      <c r="P50" s="149" t="n">
        <v>30000</v>
      </c>
      <c r="Q50" s="148" t="n">
        <v>0</v>
      </c>
      <c r="R50" s="147" t="inlineStr"/>
      <c r="S50" s="146" t="inlineStr">
        <is>
          <t>KHÔNG</t>
        </is>
      </c>
      <c r="T50" s="146" t="inlineStr">
        <is>
          <t>ĐÃ DUYỆT</t>
        </is>
      </c>
      <c r="U50" s="147" t="inlineStr">
        <is>
          <t>Quản Đốc Trần Đức Minh</t>
        </is>
      </c>
      <c r="V50" s="146" t="inlineStr">
        <is>
          <t>2026-08-04 16:30</t>
        </is>
      </c>
      <c r="W50" s="146" t="inlineStr">
        <is>
          <t>CC-202608-NV13-04</t>
        </is>
      </c>
      <c r="X50" s="146">
        <f>IFS(C50="", "THIẾU MÃ NV", COUNTIFS(A:A, A50, C:C, C50)&gt;1, "TRÙNG NHÂN VIÊN/NGÀY", O50&gt;4, "VƯỢT 4 GIỜ/NGÀY", AND(O50&gt;0, S50&lt;&gt;"CÓ"), "CHƯA ĐĂNG KÝ TC", AND(O50&gt;0, T50&lt;&gt;"ĐÃ DUYỆT"), "CHƯA DUYỆT TC", AND(T50="ĐÃ DUYỆT", U50=""), "THIẾU NGƯỜI DUYỆT", TRUE, "HỢP LỆ")</f>
        <v/>
      </c>
    </row>
    <row r="51">
      <c r="A51" s="150" t="inlineStr">
        <is>
          <t>2026-08-04</t>
        </is>
      </c>
      <c r="B51" s="150">
        <f>DATE(YEAR(A51), MONTH(A51), 1)</f>
        <v/>
      </c>
      <c r="C51" s="150" t="inlineStr">
        <is>
          <t>NV14</t>
        </is>
      </c>
      <c r="D51" s="151">
        <f>IFERROR(XLOOKUP(C51, '11_Master_Data'!$A:$A, '11_Master_Data'!$B:$B, "KHÔNG CÓ MÃ NV"), "KHÔNG CÓ MÃ NV")</f>
        <v/>
      </c>
      <c r="E51" s="150" t="inlineStr">
        <is>
          <t>C3</t>
        </is>
      </c>
      <c r="F51" s="152" t="n">
        <v>1</v>
      </c>
      <c r="G51" s="152" t="n">
        <v>8</v>
      </c>
      <c r="H51" s="152" t="n">
        <v>2</v>
      </c>
      <c r="I51" s="152" t="n">
        <v>0</v>
      </c>
      <c r="J51" s="152" t="n">
        <v>0</v>
      </c>
      <c r="K51" s="152" t="n">
        <v>8</v>
      </c>
      <c r="L51" s="152" t="n">
        <v>0</v>
      </c>
      <c r="M51" s="152" t="n">
        <v>0</v>
      </c>
      <c r="N51" s="152" t="n">
        <v>0</v>
      </c>
      <c r="O51" s="152">
        <f>SUM(H51:J51, L51:N51)</f>
        <v/>
      </c>
      <c r="P51" s="153" t="n">
        <v>55000</v>
      </c>
      <c r="Q51" s="152" t="n">
        <v>0</v>
      </c>
      <c r="R51" s="151" t="inlineStr">
        <is>
          <t>Đảm bảo tiến độ sản xuất</t>
        </is>
      </c>
      <c r="S51" s="150" t="inlineStr">
        <is>
          <t>CÓ</t>
        </is>
      </c>
      <c r="T51" s="150" t="inlineStr">
        <is>
          <t>ĐÃ DUYỆT</t>
        </is>
      </c>
      <c r="U51" s="151" t="inlineStr">
        <is>
          <t>Quản Đốc Trần Đức Minh</t>
        </is>
      </c>
      <c r="V51" s="150" t="inlineStr">
        <is>
          <t>2026-08-04 16:30</t>
        </is>
      </c>
      <c r="W51" s="150" t="inlineStr">
        <is>
          <t>CC-202608-NV14-04</t>
        </is>
      </c>
      <c r="X51" s="150">
        <f>IFS(C51="", "THIẾU MÃ NV", COUNTIFS(A:A, A51, C:C, C51)&gt;1, "TRÙNG NHÂN VIÊN/NGÀY", O51&gt;4, "VƯỢT 4 GIỜ/NGÀY", AND(O51&gt;0, S51&lt;&gt;"CÓ"), "CHƯA ĐĂNG KÝ TC", AND(O51&gt;0, T51&lt;&gt;"ĐÃ DUYỆT"), "CHƯA DUYỆT TC", AND(T51="ĐÃ DUYỆT", U51=""), "THIẾU NGƯỜI DUYỆT", TRUE, "HỢP LỆ")</f>
        <v/>
      </c>
    </row>
    <row r="52">
      <c r="A52" s="146" t="inlineStr">
        <is>
          <t>2026-08-04</t>
        </is>
      </c>
      <c r="B52" s="146">
        <f>DATE(YEAR(A52), MONTH(A52), 1)</f>
        <v/>
      </c>
      <c r="C52" s="146" t="inlineStr">
        <is>
          <t>NV15</t>
        </is>
      </c>
      <c r="D52" s="147">
        <f>IFERROR(XLOOKUP(C52, '11_Master_Data'!$A:$A, '11_Master_Data'!$B:$B, "KHÔNG CÓ MÃ NV"), "KHÔNG CÓ MÃ NV")</f>
        <v/>
      </c>
      <c r="E52" s="146" t="inlineStr">
        <is>
          <t>C2</t>
        </is>
      </c>
      <c r="F52" s="148" t="n">
        <v>1</v>
      </c>
      <c r="G52" s="148" t="n">
        <v>8</v>
      </c>
      <c r="H52" s="148" t="n">
        <v>2</v>
      </c>
      <c r="I52" s="148" t="n">
        <v>0</v>
      </c>
      <c r="J52" s="148" t="n">
        <v>0</v>
      </c>
      <c r="K52" s="148" t="n">
        <v>0</v>
      </c>
      <c r="L52" s="148" t="n">
        <v>0</v>
      </c>
      <c r="M52" s="148" t="n">
        <v>0</v>
      </c>
      <c r="N52" s="148" t="n">
        <v>0</v>
      </c>
      <c r="O52" s="148">
        <f>SUM(H52:J52, L52:N52)</f>
        <v/>
      </c>
      <c r="P52" s="149" t="n">
        <v>55000</v>
      </c>
      <c r="Q52" s="148" t="n">
        <v>0</v>
      </c>
      <c r="R52" s="147" t="inlineStr">
        <is>
          <t>Đảm bảo tiến độ sản xuất</t>
        </is>
      </c>
      <c r="S52" s="146" t="inlineStr">
        <is>
          <t>CÓ</t>
        </is>
      </c>
      <c r="T52" s="146" t="inlineStr">
        <is>
          <t>ĐÃ DUYỆT</t>
        </is>
      </c>
      <c r="U52" s="147" t="inlineStr">
        <is>
          <t>Quản Đốc Trần Đức Minh</t>
        </is>
      </c>
      <c r="V52" s="146" t="inlineStr">
        <is>
          <t>2026-08-04 16:30</t>
        </is>
      </c>
      <c r="W52" s="146" t="inlineStr">
        <is>
          <t>CC-202608-NV15-04</t>
        </is>
      </c>
      <c r="X52" s="146">
        <f>IFS(C52="", "THIẾU MÃ NV", COUNTIFS(A:A, A52, C:C, C52)&gt;1, "TRÙNG NHÂN VIÊN/NGÀY", O52&gt;4, "VƯỢT 4 GIỜ/NGÀY", AND(O52&gt;0, S52&lt;&gt;"CÓ"), "CHƯA ĐĂNG KÝ TC", AND(O52&gt;0, T52&lt;&gt;"ĐÃ DUYỆT"), "CHƯA DUYỆT TC", AND(T52="ĐÃ DUYỆT", U52=""), "THIẾU NGƯỜI DUYỆT", TRUE, "HỢP LỆ")</f>
        <v/>
      </c>
    </row>
    <row r="53">
      <c r="A53" s="150" t="inlineStr">
        <is>
          <t>2026-08-05</t>
        </is>
      </c>
      <c r="B53" s="150">
        <f>DATE(YEAR(A53), MONTH(A53), 1)</f>
        <v/>
      </c>
      <c r="C53" s="150" t="inlineStr">
        <is>
          <t>NV01</t>
        </is>
      </c>
      <c r="D53" s="151">
        <f>IFERROR(XLOOKUP(C53, '11_Master_Data'!$A:$A, '11_Master_Data'!$B:$B, "KHÔNG CÓ MÃ NV"), "KHÔNG CÓ MÃ NV")</f>
        <v/>
      </c>
      <c r="E53" s="150" t="inlineStr">
        <is>
          <t>C1</t>
        </is>
      </c>
      <c r="F53" s="152" t="n">
        <v>1</v>
      </c>
      <c r="G53" s="152" t="n">
        <v>8</v>
      </c>
      <c r="H53" s="152" t="n">
        <v>0</v>
      </c>
      <c r="I53" s="152" t="n">
        <v>0</v>
      </c>
      <c r="J53" s="152" t="n">
        <v>0</v>
      </c>
      <c r="K53" s="152" t="n">
        <v>0</v>
      </c>
      <c r="L53" s="152" t="n">
        <v>0</v>
      </c>
      <c r="M53" s="152" t="n">
        <v>0</v>
      </c>
      <c r="N53" s="152" t="n">
        <v>0</v>
      </c>
      <c r="O53" s="152">
        <f>SUM(H53:J53, L53:N53)</f>
        <v/>
      </c>
      <c r="P53" s="153" t="n">
        <v>30000</v>
      </c>
      <c r="Q53" s="152" t="n">
        <v>0</v>
      </c>
      <c r="R53" s="151" t="inlineStr"/>
      <c r="S53" s="150" t="inlineStr">
        <is>
          <t>KHÔNG</t>
        </is>
      </c>
      <c r="T53" s="150" t="inlineStr">
        <is>
          <t>ĐÃ DUYỆT</t>
        </is>
      </c>
      <c r="U53" s="151" t="inlineStr">
        <is>
          <t>Quản Đốc Trần Đức Minh</t>
        </is>
      </c>
      <c r="V53" s="150" t="inlineStr">
        <is>
          <t>2026-08-05 16:30</t>
        </is>
      </c>
      <c r="W53" s="150" t="inlineStr">
        <is>
          <t>CC-202608-NV01-05</t>
        </is>
      </c>
      <c r="X53" s="150">
        <f>IFS(C53="", "THIẾU MÃ NV", COUNTIFS(A:A, A53, C:C, C53)&gt;1, "TRÙNG NHÂN VIÊN/NGÀY", O53&gt;4, "VƯỢT 4 GIỜ/NGÀY", AND(O53&gt;0, S53&lt;&gt;"CÓ"), "CHƯA ĐĂNG KÝ TC", AND(O53&gt;0, T53&lt;&gt;"ĐÃ DUYỆT"), "CHƯA DUYỆT TC", AND(T53="ĐÃ DUYỆT", U53=""), "THIẾU NGƯỜI DUYỆT", TRUE, "HỢP LỆ")</f>
        <v/>
      </c>
    </row>
    <row r="54">
      <c r="A54" s="146" t="inlineStr">
        <is>
          <t>2026-08-05</t>
        </is>
      </c>
      <c r="B54" s="146">
        <f>DATE(YEAR(A54), MONTH(A54), 1)</f>
        <v/>
      </c>
      <c r="C54" s="146" t="inlineStr">
        <is>
          <t>NV02</t>
        </is>
      </c>
      <c r="D54" s="147">
        <f>IFERROR(XLOOKUP(C54, '11_Master_Data'!$A:$A, '11_Master_Data'!$B:$B, "KHÔNG CÓ MÃ NV"), "KHÔNG CÓ MÃ NV")</f>
        <v/>
      </c>
      <c r="E54" s="146" t="inlineStr">
        <is>
          <t>C2</t>
        </is>
      </c>
      <c r="F54" s="148" t="n">
        <v>1</v>
      </c>
      <c r="G54" s="148" t="n">
        <v>8</v>
      </c>
      <c r="H54" s="148" t="n">
        <v>0</v>
      </c>
      <c r="I54" s="148" t="n">
        <v>0</v>
      </c>
      <c r="J54" s="148" t="n">
        <v>0</v>
      </c>
      <c r="K54" s="148" t="n">
        <v>0</v>
      </c>
      <c r="L54" s="148" t="n">
        <v>0</v>
      </c>
      <c r="M54" s="148" t="n">
        <v>0</v>
      </c>
      <c r="N54" s="148" t="n">
        <v>0</v>
      </c>
      <c r="O54" s="148">
        <f>SUM(H54:J54, L54:N54)</f>
        <v/>
      </c>
      <c r="P54" s="149" t="n">
        <v>30000</v>
      </c>
      <c r="Q54" s="148" t="n">
        <v>0</v>
      </c>
      <c r="R54" s="147" t="inlineStr"/>
      <c r="S54" s="146" t="inlineStr">
        <is>
          <t>KHÔNG</t>
        </is>
      </c>
      <c r="T54" s="146" t="inlineStr">
        <is>
          <t>ĐÃ DUYỆT</t>
        </is>
      </c>
      <c r="U54" s="147" t="inlineStr">
        <is>
          <t>Quản Đốc Trần Đức Minh</t>
        </is>
      </c>
      <c r="V54" s="146" t="inlineStr">
        <is>
          <t>2026-08-05 16:30</t>
        </is>
      </c>
      <c r="W54" s="146" t="inlineStr">
        <is>
          <t>CC-202608-NV02-05</t>
        </is>
      </c>
      <c r="X54" s="146">
        <f>IFS(C54="", "THIẾU MÃ NV", COUNTIFS(A:A, A54, C:C, C54)&gt;1, "TRÙNG NHÂN VIÊN/NGÀY", O54&gt;4, "VƯỢT 4 GIỜ/NGÀY", AND(O54&gt;0, S54&lt;&gt;"CÓ"), "CHƯA ĐĂNG KÝ TC", AND(O54&gt;0, T54&lt;&gt;"ĐÃ DUYỆT"), "CHƯA DUYỆT TC", AND(T54="ĐÃ DUYỆT", U54=""), "THIẾU NGƯỜI DUYỆT", TRUE, "HỢP LỆ")</f>
        <v/>
      </c>
    </row>
    <row r="55">
      <c r="A55" s="150" t="inlineStr">
        <is>
          <t>2026-08-05</t>
        </is>
      </c>
      <c r="B55" s="150">
        <f>DATE(YEAR(A55), MONTH(A55), 1)</f>
        <v/>
      </c>
      <c r="C55" s="150" t="inlineStr">
        <is>
          <t>NV03</t>
        </is>
      </c>
      <c r="D55" s="151">
        <f>IFERROR(XLOOKUP(C55, '11_Master_Data'!$A:$A, '11_Master_Data'!$B:$B, "KHÔNG CÓ MÃ NV"), "KHÔNG CÓ MÃ NV")</f>
        <v/>
      </c>
      <c r="E55" s="150" t="inlineStr">
        <is>
          <t>C2</t>
        </is>
      </c>
      <c r="F55" s="152" t="n">
        <v>1</v>
      </c>
      <c r="G55" s="152" t="n">
        <v>8</v>
      </c>
      <c r="H55" s="152" t="n">
        <v>0</v>
      </c>
      <c r="I55" s="152" t="n">
        <v>0</v>
      </c>
      <c r="J55" s="152" t="n">
        <v>0</v>
      </c>
      <c r="K55" s="152" t="n">
        <v>0</v>
      </c>
      <c r="L55" s="152" t="n">
        <v>0</v>
      </c>
      <c r="M55" s="152" t="n">
        <v>0</v>
      </c>
      <c r="N55" s="152" t="n">
        <v>0</v>
      </c>
      <c r="O55" s="152">
        <f>SUM(H55:J55, L55:N55)</f>
        <v/>
      </c>
      <c r="P55" s="153" t="n">
        <v>30000</v>
      </c>
      <c r="Q55" s="152" t="n">
        <v>0</v>
      </c>
      <c r="R55" s="151" t="inlineStr"/>
      <c r="S55" s="150" t="inlineStr">
        <is>
          <t>KHÔNG</t>
        </is>
      </c>
      <c r="T55" s="150" t="inlineStr">
        <is>
          <t>ĐÃ DUYỆT</t>
        </is>
      </c>
      <c r="U55" s="151" t="inlineStr">
        <is>
          <t>Quản Đốc Trần Đức Minh</t>
        </is>
      </c>
      <c r="V55" s="150" t="inlineStr">
        <is>
          <t>2026-08-05 16:30</t>
        </is>
      </c>
      <c r="W55" s="150" t="inlineStr">
        <is>
          <t>CC-202608-NV03-05</t>
        </is>
      </c>
      <c r="X55" s="150">
        <f>IFS(C55="", "THIẾU MÃ NV", COUNTIFS(A:A, A55, C:C, C55)&gt;1, "TRÙNG NHÂN VIÊN/NGÀY", O55&gt;4, "VƯỢT 4 GIỜ/NGÀY", AND(O55&gt;0, S55&lt;&gt;"CÓ"), "CHƯA ĐĂNG KÝ TC", AND(O55&gt;0, T55&lt;&gt;"ĐÃ DUYỆT"), "CHƯA DUYỆT TC", AND(T55="ĐÃ DUYỆT", U55=""), "THIẾU NGƯỜI DUYỆT", TRUE, "HỢP LỆ")</f>
        <v/>
      </c>
    </row>
    <row r="56">
      <c r="A56" s="146" t="inlineStr">
        <is>
          <t>2026-08-05</t>
        </is>
      </c>
      <c r="B56" s="146">
        <f>DATE(YEAR(A56), MONTH(A56), 1)</f>
        <v/>
      </c>
      <c r="C56" s="146" t="inlineStr">
        <is>
          <t>NV04</t>
        </is>
      </c>
      <c r="D56" s="147">
        <f>IFERROR(XLOOKUP(C56, '11_Master_Data'!$A:$A, '11_Master_Data'!$B:$B, "KHÔNG CÓ MÃ NV"), "KHÔNG CÓ MÃ NV")</f>
        <v/>
      </c>
      <c r="E56" s="146" t="inlineStr">
        <is>
          <t>C1</t>
        </is>
      </c>
      <c r="F56" s="148" t="n">
        <v>1</v>
      </c>
      <c r="G56" s="148" t="n">
        <v>8</v>
      </c>
      <c r="H56" s="148" t="n">
        <v>0</v>
      </c>
      <c r="I56" s="148" t="n">
        <v>0</v>
      </c>
      <c r="J56" s="148" t="n">
        <v>0</v>
      </c>
      <c r="K56" s="148" t="n">
        <v>0</v>
      </c>
      <c r="L56" s="148" t="n">
        <v>0</v>
      </c>
      <c r="M56" s="148" t="n">
        <v>0</v>
      </c>
      <c r="N56" s="148" t="n">
        <v>0</v>
      </c>
      <c r="O56" s="148">
        <f>SUM(H56:J56, L56:N56)</f>
        <v/>
      </c>
      <c r="P56" s="149" t="n">
        <v>30000</v>
      </c>
      <c r="Q56" s="148" t="n">
        <v>0</v>
      </c>
      <c r="R56" s="147" t="inlineStr"/>
      <c r="S56" s="146" t="inlineStr">
        <is>
          <t>KHÔNG</t>
        </is>
      </c>
      <c r="T56" s="146" t="inlineStr">
        <is>
          <t>ĐÃ DUYỆT</t>
        </is>
      </c>
      <c r="U56" s="147" t="inlineStr">
        <is>
          <t>Quản Đốc Trần Đức Minh</t>
        </is>
      </c>
      <c r="V56" s="146" t="inlineStr">
        <is>
          <t>2026-08-05 16:30</t>
        </is>
      </c>
      <c r="W56" s="146" t="inlineStr">
        <is>
          <t>CC-202608-NV04-05</t>
        </is>
      </c>
      <c r="X56" s="146">
        <f>IFS(C56="", "THIẾU MÃ NV", COUNTIFS(A:A, A56, C:C, C56)&gt;1, "TRÙNG NHÂN VIÊN/NGÀY", O56&gt;4, "VƯỢT 4 GIỜ/NGÀY", AND(O56&gt;0, S56&lt;&gt;"CÓ"), "CHƯA ĐĂNG KÝ TC", AND(O56&gt;0, T56&lt;&gt;"ĐÃ DUYỆT"), "CHƯA DUYỆT TC", AND(T56="ĐÃ DUYỆT", U56=""), "THIẾU NGƯỜI DUYỆT", TRUE, "HỢP LỆ")</f>
        <v/>
      </c>
    </row>
    <row r="57">
      <c r="A57" s="150" t="inlineStr">
        <is>
          <t>2026-08-05</t>
        </is>
      </c>
      <c r="B57" s="150">
        <f>DATE(YEAR(A57), MONTH(A57), 1)</f>
        <v/>
      </c>
      <c r="C57" s="150" t="inlineStr">
        <is>
          <t>NV06</t>
        </is>
      </c>
      <c r="D57" s="151">
        <f>IFERROR(XLOOKUP(C57, '11_Master_Data'!$A:$A, '11_Master_Data'!$B:$B, "KHÔNG CÓ MÃ NV"), "KHÔNG CÓ MÃ NV")</f>
        <v/>
      </c>
      <c r="E57" s="150" t="inlineStr">
        <is>
          <t>C2</t>
        </is>
      </c>
      <c r="F57" s="152" t="n">
        <v>1</v>
      </c>
      <c r="G57" s="152" t="n">
        <v>8</v>
      </c>
      <c r="H57" s="152" t="n">
        <v>2</v>
      </c>
      <c r="I57" s="152" t="n">
        <v>0</v>
      </c>
      <c r="J57" s="152" t="n">
        <v>0</v>
      </c>
      <c r="K57" s="152" t="n">
        <v>0</v>
      </c>
      <c r="L57" s="152" t="n">
        <v>0</v>
      </c>
      <c r="M57" s="152" t="n">
        <v>0</v>
      </c>
      <c r="N57" s="152" t="n">
        <v>0</v>
      </c>
      <c r="O57" s="152">
        <f>SUM(H57:J57, L57:N57)</f>
        <v/>
      </c>
      <c r="P57" s="153" t="n">
        <v>55000</v>
      </c>
      <c r="Q57" s="152" t="n">
        <v>0</v>
      </c>
      <c r="R57" s="151" t="inlineStr">
        <is>
          <t>Đảm bảo tiến độ sản xuất</t>
        </is>
      </c>
      <c r="S57" s="150" t="inlineStr">
        <is>
          <t>CÓ</t>
        </is>
      </c>
      <c r="T57" s="150" t="inlineStr">
        <is>
          <t>ĐÃ DUYỆT</t>
        </is>
      </c>
      <c r="U57" s="151" t="inlineStr">
        <is>
          <t>Quản Đốc Trần Đức Minh</t>
        </is>
      </c>
      <c r="V57" s="150" t="inlineStr">
        <is>
          <t>2026-08-05 16:30</t>
        </is>
      </c>
      <c r="W57" s="150" t="inlineStr">
        <is>
          <t>CC-202608-NV06-05</t>
        </is>
      </c>
      <c r="X57" s="150">
        <f>IFS(C57="", "THIẾU MÃ NV", COUNTIFS(A:A, A57, C:C, C57)&gt;1, "TRÙNG NHÂN VIÊN/NGÀY", O57&gt;4, "VƯỢT 4 GIỜ/NGÀY", AND(O57&gt;0, S57&lt;&gt;"CÓ"), "CHƯA ĐĂNG KÝ TC", AND(O57&gt;0, T57&lt;&gt;"ĐÃ DUYỆT"), "CHƯA DUYỆT TC", AND(T57="ĐÃ DUYỆT", U57=""), "THIẾU NGƯỜI DUYỆT", TRUE, "HỢP LỆ")</f>
        <v/>
      </c>
    </row>
    <row r="58">
      <c r="A58" s="146" t="inlineStr">
        <is>
          <t>2026-08-05</t>
        </is>
      </c>
      <c r="B58" s="146">
        <f>DATE(YEAR(A58), MONTH(A58), 1)</f>
        <v/>
      </c>
      <c r="C58" s="146" t="inlineStr">
        <is>
          <t>NV07</t>
        </is>
      </c>
      <c r="D58" s="147">
        <f>IFERROR(XLOOKUP(C58, '11_Master_Data'!$A:$A, '11_Master_Data'!$B:$B, "KHÔNG CÓ MÃ NV"), "KHÔNG CÓ MÃ NV")</f>
        <v/>
      </c>
      <c r="E58" s="146" t="inlineStr">
        <is>
          <t>C3</t>
        </is>
      </c>
      <c r="F58" s="148" t="n">
        <v>1</v>
      </c>
      <c r="G58" s="148" t="n">
        <v>8</v>
      </c>
      <c r="H58" s="148" t="n">
        <v>2</v>
      </c>
      <c r="I58" s="148" t="n">
        <v>0</v>
      </c>
      <c r="J58" s="148" t="n">
        <v>0</v>
      </c>
      <c r="K58" s="148" t="n">
        <v>8</v>
      </c>
      <c r="L58" s="148" t="n">
        <v>0</v>
      </c>
      <c r="M58" s="148" t="n">
        <v>0</v>
      </c>
      <c r="N58" s="148" t="n">
        <v>0</v>
      </c>
      <c r="O58" s="148">
        <f>SUM(H58:J58, L58:N58)</f>
        <v/>
      </c>
      <c r="P58" s="149" t="n">
        <v>55000</v>
      </c>
      <c r="Q58" s="148" t="n">
        <v>0</v>
      </c>
      <c r="R58" s="147" t="inlineStr">
        <is>
          <t>Đảm bảo tiến độ sản xuất</t>
        </is>
      </c>
      <c r="S58" s="146" t="inlineStr">
        <is>
          <t>CÓ</t>
        </is>
      </c>
      <c r="T58" s="146" t="inlineStr">
        <is>
          <t>ĐÃ DUYỆT</t>
        </is>
      </c>
      <c r="U58" s="147" t="inlineStr">
        <is>
          <t>Quản Đốc Trần Đức Minh</t>
        </is>
      </c>
      <c r="V58" s="146" t="inlineStr">
        <is>
          <t>2026-08-05 16:30</t>
        </is>
      </c>
      <c r="W58" s="146" t="inlineStr">
        <is>
          <t>CC-202608-NV07-05</t>
        </is>
      </c>
      <c r="X58" s="146">
        <f>IFS(C58="", "THIẾU MÃ NV", COUNTIFS(A:A, A58, C:C, C58)&gt;1, "TRÙNG NHÂN VIÊN/NGÀY", O58&gt;4, "VƯỢT 4 GIỜ/NGÀY", AND(O58&gt;0, S58&lt;&gt;"CÓ"), "CHƯA ĐĂNG KÝ TC", AND(O58&gt;0, T58&lt;&gt;"ĐÃ DUYỆT"), "CHƯA DUYỆT TC", AND(T58="ĐÃ DUYỆT", U58=""), "THIẾU NGƯỜI DUYỆT", TRUE, "HỢP LỆ")</f>
        <v/>
      </c>
    </row>
    <row r="59">
      <c r="A59" s="150" t="inlineStr">
        <is>
          <t>2026-08-05</t>
        </is>
      </c>
      <c r="B59" s="150">
        <f>DATE(YEAR(A59), MONTH(A59), 1)</f>
        <v/>
      </c>
      <c r="C59" s="150" t="inlineStr">
        <is>
          <t>NV08</t>
        </is>
      </c>
      <c r="D59" s="151">
        <f>IFERROR(XLOOKUP(C59, '11_Master_Data'!$A:$A, '11_Master_Data'!$B:$B, "KHÔNG CÓ MÃ NV"), "KHÔNG CÓ MÃ NV")</f>
        <v/>
      </c>
      <c r="E59" s="150" t="inlineStr">
        <is>
          <t>C2</t>
        </is>
      </c>
      <c r="F59" s="152" t="n">
        <v>1</v>
      </c>
      <c r="G59" s="152" t="n">
        <v>8</v>
      </c>
      <c r="H59" s="152" t="n">
        <v>0</v>
      </c>
      <c r="I59" s="152" t="n">
        <v>0</v>
      </c>
      <c r="J59" s="152" t="n">
        <v>0</v>
      </c>
      <c r="K59" s="152" t="n">
        <v>0</v>
      </c>
      <c r="L59" s="152" t="n">
        <v>0</v>
      </c>
      <c r="M59" s="152" t="n">
        <v>0</v>
      </c>
      <c r="N59" s="152" t="n">
        <v>0</v>
      </c>
      <c r="O59" s="152">
        <f>SUM(H59:J59, L59:N59)</f>
        <v/>
      </c>
      <c r="P59" s="153" t="n">
        <v>30000</v>
      </c>
      <c r="Q59" s="152" t="n">
        <v>0</v>
      </c>
      <c r="R59" s="151" t="inlineStr"/>
      <c r="S59" s="150" t="inlineStr">
        <is>
          <t>KHÔNG</t>
        </is>
      </c>
      <c r="T59" s="150" t="inlineStr">
        <is>
          <t>ĐÃ DUYỆT</t>
        </is>
      </c>
      <c r="U59" s="151" t="inlineStr">
        <is>
          <t>Quản Đốc Trần Đức Minh</t>
        </is>
      </c>
      <c r="V59" s="150" t="inlineStr">
        <is>
          <t>2026-08-05 16:30</t>
        </is>
      </c>
      <c r="W59" s="150" t="inlineStr">
        <is>
          <t>CC-202608-NV08-05</t>
        </is>
      </c>
      <c r="X59" s="150">
        <f>IFS(C59="", "THIẾU MÃ NV", COUNTIFS(A:A, A59, C:C, C59)&gt;1, "TRÙNG NHÂN VIÊN/NGÀY", O59&gt;4, "VƯỢT 4 GIỜ/NGÀY", AND(O59&gt;0, S59&lt;&gt;"CÓ"), "CHƯA ĐĂNG KÝ TC", AND(O59&gt;0, T59&lt;&gt;"ĐÃ DUYỆT"), "CHƯA DUYỆT TC", AND(T59="ĐÃ DUYỆT", U59=""), "THIẾU NGƯỜI DUYỆT", TRUE, "HỢP LỆ")</f>
        <v/>
      </c>
    </row>
    <row r="60">
      <c r="A60" s="146" t="inlineStr">
        <is>
          <t>2026-08-05</t>
        </is>
      </c>
      <c r="B60" s="146">
        <f>DATE(YEAR(A60), MONTH(A60), 1)</f>
        <v/>
      </c>
      <c r="C60" s="146" t="inlineStr">
        <is>
          <t>NV10</t>
        </is>
      </c>
      <c r="D60" s="147">
        <f>IFERROR(XLOOKUP(C60, '11_Master_Data'!$A:$A, '11_Master_Data'!$B:$B, "KHÔNG CÓ MÃ NV"), "KHÔNG CÓ MÃ NV")</f>
        <v/>
      </c>
      <c r="E60" s="146" t="inlineStr">
        <is>
          <t>C1</t>
        </is>
      </c>
      <c r="F60" s="148" t="n">
        <v>1</v>
      </c>
      <c r="G60" s="148" t="n">
        <v>8</v>
      </c>
      <c r="H60" s="148" t="n">
        <v>2</v>
      </c>
      <c r="I60" s="148" t="n">
        <v>0</v>
      </c>
      <c r="J60" s="148" t="n">
        <v>0</v>
      </c>
      <c r="K60" s="148" t="n">
        <v>0</v>
      </c>
      <c r="L60" s="148" t="n">
        <v>0</v>
      </c>
      <c r="M60" s="148" t="n">
        <v>0</v>
      </c>
      <c r="N60" s="148" t="n">
        <v>0</v>
      </c>
      <c r="O60" s="148">
        <f>SUM(H60:J60, L60:N60)</f>
        <v/>
      </c>
      <c r="P60" s="149" t="n">
        <v>55000</v>
      </c>
      <c r="Q60" s="148" t="n">
        <v>0</v>
      </c>
      <c r="R60" s="147" t="inlineStr">
        <is>
          <t>Đảm bảo tiến độ sản xuất</t>
        </is>
      </c>
      <c r="S60" s="146" t="inlineStr">
        <is>
          <t>CÓ</t>
        </is>
      </c>
      <c r="T60" s="146" t="inlineStr">
        <is>
          <t>ĐÃ DUYỆT</t>
        </is>
      </c>
      <c r="U60" s="147" t="inlineStr">
        <is>
          <t>Quản Đốc Trần Đức Minh</t>
        </is>
      </c>
      <c r="V60" s="146" t="inlineStr">
        <is>
          <t>2026-08-05 16:30</t>
        </is>
      </c>
      <c r="W60" s="146" t="inlineStr">
        <is>
          <t>CC-202608-NV10-05</t>
        </is>
      </c>
      <c r="X60" s="146">
        <f>IFS(C60="", "THIẾU MÃ NV", COUNTIFS(A:A, A60, C:C, C60)&gt;1, "TRÙNG NHÂN VIÊN/NGÀY", O60&gt;4, "VƯỢT 4 GIỜ/NGÀY", AND(O60&gt;0, S60&lt;&gt;"CÓ"), "CHƯA ĐĂNG KÝ TC", AND(O60&gt;0, T60&lt;&gt;"ĐÃ DUYỆT"), "CHƯA DUYỆT TC", AND(T60="ĐÃ DUYỆT", U60=""), "THIẾU NGƯỜI DUYỆT", TRUE, "HỢP LỆ")</f>
        <v/>
      </c>
    </row>
    <row r="61">
      <c r="A61" s="150" t="inlineStr">
        <is>
          <t>2026-08-05</t>
        </is>
      </c>
      <c r="B61" s="150">
        <f>DATE(YEAR(A61), MONTH(A61), 1)</f>
        <v/>
      </c>
      <c r="C61" s="150" t="inlineStr">
        <is>
          <t>NV11</t>
        </is>
      </c>
      <c r="D61" s="151">
        <f>IFERROR(XLOOKUP(C61, '11_Master_Data'!$A:$A, '11_Master_Data'!$B:$B, "KHÔNG CÓ MÃ NV"), "KHÔNG CÓ MÃ NV")</f>
        <v/>
      </c>
      <c r="E61" s="150" t="inlineStr">
        <is>
          <t>C1</t>
        </is>
      </c>
      <c r="F61" s="152" t="n">
        <v>1</v>
      </c>
      <c r="G61" s="152" t="n">
        <v>8</v>
      </c>
      <c r="H61" s="152" t="n">
        <v>2</v>
      </c>
      <c r="I61" s="152" t="n">
        <v>0</v>
      </c>
      <c r="J61" s="152" t="n">
        <v>0</v>
      </c>
      <c r="K61" s="152" t="n">
        <v>0</v>
      </c>
      <c r="L61" s="152" t="n">
        <v>0</v>
      </c>
      <c r="M61" s="152" t="n">
        <v>0</v>
      </c>
      <c r="N61" s="152" t="n">
        <v>0</v>
      </c>
      <c r="O61" s="152">
        <f>SUM(H61:J61, L61:N61)</f>
        <v/>
      </c>
      <c r="P61" s="153" t="n">
        <v>55000</v>
      </c>
      <c r="Q61" s="152" t="n">
        <v>0</v>
      </c>
      <c r="R61" s="151" t="inlineStr">
        <is>
          <t>Đảm bảo tiến độ sản xuất</t>
        </is>
      </c>
      <c r="S61" s="150" t="inlineStr">
        <is>
          <t>CÓ</t>
        </is>
      </c>
      <c r="T61" s="150" t="inlineStr">
        <is>
          <t>ĐÃ DUYỆT</t>
        </is>
      </c>
      <c r="U61" s="151" t="inlineStr">
        <is>
          <t>Quản Đốc Trần Đức Minh</t>
        </is>
      </c>
      <c r="V61" s="150" t="inlineStr">
        <is>
          <t>2026-08-05 16:30</t>
        </is>
      </c>
      <c r="W61" s="150" t="inlineStr">
        <is>
          <t>CC-202608-NV11-05</t>
        </is>
      </c>
      <c r="X61" s="150">
        <f>IFS(C61="", "THIẾU MÃ NV", COUNTIFS(A:A, A61, C:C, C61)&gt;1, "TRÙNG NHÂN VIÊN/NGÀY", O61&gt;4, "VƯỢT 4 GIỜ/NGÀY", AND(O61&gt;0, S61&lt;&gt;"CÓ"), "CHƯA ĐĂNG KÝ TC", AND(O61&gt;0, T61&lt;&gt;"ĐÃ DUYỆT"), "CHƯA DUYỆT TC", AND(T61="ĐÃ DUYỆT", U61=""), "THIẾU NGƯỜI DUYỆT", TRUE, "HỢP LỆ")</f>
        <v/>
      </c>
    </row>
    <row r="62">
      <c r="A62" s="146" t="inlineStr">
        <is>
          <t>2026-08-05</t>
        </is>
      </c>
      <c r="B62" s="146">
        <f>DATE(YEAR(A62), MONTH(A62), 1)</f>
        <v/>
      </c>
      <c r="C62" s="146" t="inlineStr">
        <is>
          <t>NV12</t>
        </is>
      </c>
      <c r="D62" s="147">
        <f>IFERROR(XLOOKUP(C62, '11_Master_Data'!$A:$A, '11_Master_Data'!$B:$B, "KHÔNG CÓ MÃ NV"), "KHÔNG CÓ MÃ NV")</f>
        <v/>
      </c>
      <c r="E62" s="146" t="inlineStr">
        <is>
          <t>C3</t>
        </is>
      </c>
      <c r="F62" s="148" t="n">
        <v>1</v>
      </c>
      <c r="G62" s="148" t="n">
        <v>8</v>
      </c>
      <c r="H62" s="148" t="n">
        <v>2</v>
      </c>
      <c r="I62" s="148" t="n">
        <v>0</v>
      </c>
      <c r="J62" s="148" t="n">
        <v>0</v>
      </c>
      <c r="K62" s="148" t="n">
        <v>8</v>
      </c>
      <c r="L62" s="148" t="n">
        <v>0</v>
      </c>
      <c r="M62" s="148" t="n">
        <v>0</v>
      </c>
      <c r="N62" s="148" t="n">
        <v>0</v>
      </c>
      <c r="O62" s="148">
        <f>SUM(H62:J62, L62:N62)</f>
        <v/>
      </c>
      <c r="P62" s="149" t="n">
        <v>55000</v>
      </c>
      <c r="Q62" s="148" t="n">
        <v>0</v>
      </c>
      <c r="R62" s="147" t="inlineStr">
        <is>
          <t>Đảm bảo tiến độ sản xuất</t>
        </is>
      </c>
      <c r="S62" s="146" t="inlineStr">
        <is>
          <t>CÓ</t>
        </is>
      </c>
      <c r="T62" s="146" t="inlineStr">
        <is>
          <t>ĐÃ DUYỆT</t>
        </is>
      </c>
      <c r="U62" s="147" t="inlineStr">
        <is>
          <t>Quản Đốc Trần Đức Minh</t>
        </is>
      </c>
      <c r="V62" s="146" t="inlineStr">
        <is>
          <t>2026-08-05 16:30</t>
        </is>
      </c>
      <c r="W62" s="146" t="inlineStr">
        <is>
          <t>CC-202608-NV12-05</t>
        </is>
      </c>
      <c r="X62" s="146">
        <f>IFS(C62="", "THIẾU MÃ NV", COUNTIFS(A:A, A62, C:C, C62)&gt;1, "TRÙNG NHÂN VIÊN/NGÀY", O62&gt;4, "VƯỢT 4 GIỜ/NGÀY", AND(O62&gt;0, S62&lt;&gt;"CÓ"), "CHƯA ĐĂNG KÝ TC", AND(O62&gt;0, T62&lt;&gt;"ĐÃ DUYỆT"), "CHƯA DUYỆT TC", AND(T62="ĐÃ DUYỆT", U62=""), "THIẾU NGƯỜI DUYỆT", TRUE, "HỢP LỆ")</f>
        <v/>
      </c>
    </row>
    <row r="63">
      <c r="A63" s="150" t="inlineStr">
        <is>
          <t>2026-08-05</t>
        </is>
      </c>
      <c r="B63" s="150">
        <f>DATE(YEAR(A63), MONTH(A63), 1)</f>
        <v/>
      </c>
      <c r="C63" s="150" t="inlineStr">
        <is>
          <t>NV13</t>
        </is>
      </c>
      <c r="D63" s="151">
        <f>IFERROR(XLOOKUP(C63, '11_Master_Data'!$A:$A, '11_Master_Data'!$B:$B, "KHÔNG CÓ MÃ NV"), "KHÔNG CÓ MÃ NV")</f>
        <v/>
      </c>
      <c r="E63" s="150" t="inlineStr">
        <is>
          <t>C1</t>
        </is>
      </c>
      <c r="F63" s="152" t="n">
        <v>1</v>
      </c>
      <c r="G63" s="152" t="n">
        <v>8</v>
      </c>
      <c r="H63" s="152" t="n">
        <v>0</v>
      </c>
      <c r="I63" s="152" t="n">
        <v>0</v>
      </c>
      <c r="J63" s="152" t="n">
        <v>0</v>
      </c>
      <c r="K63" s="152" t="n">
        <v>0</v>
      </c>
      <c r="L63" s="152" t="n">
        <v>0</v>
      </c>
      <c r="M63" s="152" t="n">
        <v>0</v>
      </c>
      <c r="N63" s="152" t="n">
        <v>0</v>
      </c>
      <c r="O63" s="152">
        <f>SUM(H63:J63, L63:N63)</f>
        <v/>
      </c>
      <c r="P63" s="153" t="n">
        <v>30000</v>
      </c>
      <c r="Q63" s="152" t="n">
        <v>0</v>
      </c>
      <c r="R63" s="151" t="inlineStr"/>
      <c r="S63" s="150" t="inlineStr">
        <is>
          <t>KHÔNG</t>
        </is>
      </c>
      <c r="T63" s="150" t="inlineStr">
        <is>
          <t>ĐÃ DUYỆT</t>
        </is>
      </c>
      <c r="U63" s="151" t="inlineStr">
        <is>
          <t>Quản Đốc Trần Đức Minh</t>
        </is>
      </c>
      <c r="V63" s="150" t="inlineStr">
        <is>
          <t>2026-08-05 16:30</t>
        </is>
      </c>
      <c r="W63" s="150" t="inlineStr">
        <is>
          <t>CC-202608-NV13-05</t>
        </is>
      </c>
      <c r="X63" s="150">
        <f>IFS(C63="", "THIẾU MÃ NV", COUNTIFS(A:A, A63, C:C, C63)&gt;1, "TRÙNG NHÂN VIÊN/NGÀY", O63&gt;4, "VƯỢT 4 GIỜ/NGÀY", AND(O63&gt;0, S63&lt;&gt;"CÓ"), "CHƯA ĐĂNG KÝ TC", AND(O63&gt;0, T63&lt;&gt;"ĐÃ DUYỆT"), "CHƯA DUYỆT TC", AND(T63="ĐÃ DUYỆT", U63=""), "THIẾU NGƯỜI DUYỆT", TRUE, "HỢP LỆ")</f>
        <v/>
      </c>
    </row>
    <row r="64">
      <c r="A64" s="146" t="inlineStr">
        <is>
          <t>2026-08-05</t>
        </is>
      </c>
      <c r="B64" s="146">
        <f>DATE(YEAR(A64), MONTH(A64), 1)</f>
        <v/>
      </c>
      <c r="C64" s="146" t="inlineStr">
        <is>
          <t>NV14</t>
        </is>
      </c>
      <c r="D64" s="147">
        <f>IFERROR(XLOOKUP(C64, '11_Master_Data'!$A:$A, '11_Master_Data'!$B:$B, "KHÔNG CÓ MÃ NV"), "KHÔNG CÓ MÃ NV")</f>
        <v/>
      </c>
      <c r="E64" s="146" t="inlineStr">
        <is>
          <t>C3</t>
        </is>
      </c>
      <c r="F64" s="148" t="n">
        <v>1</v>
      </c>
      <c r="G64" s="148" t="n">
        <v>8</v>
      </c>
      <c r="H64" s="148" t="n">
        <v>2</v>
      </c>
      <c r="I64" s="148" t="n">
        <v>0</v>
      </c>
      <c r="J64" s="148" t="n">
        <v>0</v>
      </c>
      <c r="K64" s="148" t="n">
        <v>8</v>
      </c>
      <c r="L64" s="148" t="n">
        <v>0</v>
      </c>
      <c r="M64" s="148" t="n">
        <v>0</v>
      </c>
      <c r="N64" s="148" t="n">
        <v>0</v>
      </c>
      <c r="O64" s="148">
        <f>SUM(H64:J64, L64:N64)</f>
        <v/>
      </c>
      <c r="P64" s="149" t="n">
        <v>55000</v>
      </c>
      <c r="Q64" s="148" t="n">
        <v>0</v>
      </c>
      <c r="R64" s="147" t="inlineStr">
        <is>
          <t>Đảm bảo tiến độ sản xuất</t>
        </is>
      </c>
      <c r="S64" s="146" t="inlineStr">
        <is>
          <t>CÓ</t>
        </is>
      </c>
      <c r="T64" s="146" t="inlineStr">
        <is>
          <t>ĐÃ DUYỆT</t>
        </is>
      </c>
      <c r="U64" s="147" t="inlineStr">
        <is>
          <t>Quản Đốc Trần Đức Minh</t>
        </is>
      </c>
      <c r="V64" s="146" t="inlineStr">
        <is>
          <t>2026-08-05 16:30</t>
        </is>
      </c>
      <c r="W64" s="146" t="inlineStr">
        <is>
          <t>CC-202608-NV14-05</t>
        </is>
      </c>
      <c r="X64" s="146">
        <f>IFS(C64="", "THIẾU MÃ NV", COUNTIFS(A:A, A64, C:C, C64)&gt;1, "TRÙNG NHÂN VIÊN/NGÀY", O64&gt;4, "VƯỢT 4 GIỜ/NGÀY", AND(O64&gt;0, S64&lt;&gt;"CÓ"), "CHƯA ĐĂNG KÝ TC", AND(O64&gt;0, T64&lt;&gt;"ĐÃ DUYỆT"), "CHƯA DUYỆT TC", AND(T64="ĐÃ DUYỆT", U64=""), "THIẾU NGƯỜI DUYỆT", TRUE, "HỢP LỆ")</f>
        <v/>
      </c>
    </row>
    <row r="65">
      <c r="A65" s="150" t="inlineStr">
        <is>
          <t>2026-08-05</t>
        </is>
      </c>
      <c r="B65" s="150">
        <f>DATE(YEAR(A65), MONTH(A65), 1)</f>
        <v/>
      </c>
      <c r="C65" s="150" t="inlineStr">
        <is>
          <t>NV15</t>
        </is>
      </c>
      <c r="D65" s="151">
        <f>IFERROR(XLOOKUP(C65, '11_Master_Data'!$A:$A, '11_Master_Data'!$B:$B, "KHÔNG CÓ MÃ NV"), "KHÔNG CÓ MÃ NV")</f>
        <v/>
      </c>
      <c r="E65" s="150" t="inlineStr">
        <is>
          <t>C2</t>
        </is>
      </c>
      <c r="F65" s="152" t="n">
        <v>1</v>
      </c>
      <c r="G65" s="152" t="n">
        <v>8</v>
      </c>
      <c r="H65" s="152" t="n">
        <v>2</v>
      </c>
      <c r="I65" s="152" t="n">
        <v>0</v>
      </c>
      <c r="J65" s="152" t="n">
        <v>0</v>
      </c>
      <c r="K65" s="152" t="n">
        <v>0</v>
      </c>
      <c r="L65" s="152" t="n">
        <v>0</v>
      </c>
      <c r="M65" s="152" t="n">
        <v>0</v>
      </c>
      <c r="N65" s="152" t="n">
        <v>0</v>
      </c>
      <c r="O65" s="152">
        <f>SUM(H65:J65, L65:N65)</f>
        <v/>
      </c>
      <c r="P65" s="153" t="n">
        <v>55000</v>
      </c>
      <c r="Q65" s="152" t="n">
        <v>0</v>
      </c>
      <c r="R65" s="151" t="inlineStr">
        <is>
          <t>Đảm bảo tiến độ sản xuất</t>
        </is>
      </c>
      <c r="S65" s="150" t="inlineStr">
        <is>
          <t>CÓ</t>
        </is>
      </c>
      <c r="T65" s="150" t="inlineStr">
        <is>
          <t>ĐÃ DUYỆT</t>
        </is>
      </c>
      <c r="U65" s="151" t="inlineStr">
        <is>
          <t>Quản Đốc Trần Đức Minh</t>
        </is>
      </c>
      <c r="V65" s="150" t="inlineStr">
        <is>
          <t>2026-08-05 16:30</t>
        </is>
      </c>
      <c r="W65" s="150" t="inlineStr">
        <is>
          <t>CC-202608-NV15-05</t>
        </is>
      </c>
      <c r="X65" s="150">
        <f>IFS(C65="", "THIẾU MÃ NV", COUNTIFS(A:A, A65, C:C, C65)&gt;1, "TRÙNG NHÂN VIÊN/NGÀY", O65&gt;4, "VƯỢT 4 GIỜ/NGÀY", AND(O65&gt;0, S65&lt;&gt;"CÓ"), "CHƯA ĐĂNG KÝ TC", AND(O65&gt;0, T65&lt;&gt;"ĐÃ DUYỆT"), "CHƯA DUYỆT TC", AND(T65="ĐÃ DUYỆT", U65=""), "THIẾU NGƯỜI DUYỆT", TRUE, "HỢP LỆ")</f>
        <v/>
      </c>
    </row>
    <row r="66">
      <c r="A66" s="146" t="inlineStr">
        <is>
          <t>2026-08-06</t>
        </is>
      </c>
      <c r="B66" s="146">
        <f>DATE(YEAR(A66), MONTH(A66), 1)</f>
        <v/>
      </c>
      <c r="C66" s="146" t="inlineStr">
        <is>
          <t>NV01</t>
        </is>
      </c>
      <c r="D66" s="147">
        <f>IFERROR(XLOOKUP(C66, '11_Master_Data'!$A:$A, '11_Master_Data'!$B:$B, "KHÔNG CÓ MÃ NV"), "KHÔNG CÓ MÃ NV")</f>
        <v/>
      </c>
      <c r="E66" s="146" t="inlineStr">
        <is>
          <t>C1</t>
        </is>
      </c>
      <c r="F66" s="148" t="n">
        <v>1</v>
      </c>
      <c r="G66" s="148" t="n">
        <v>8</v>
      </c>
      <c r="H66" s="148" t="n">
        <v>0</v>
      </c>
      <c r="I66" s="148" t="n">
        <v>0</v>
      </c>
      <c r="J66" s="148" t="n">
        <v>0</v>
      </c>
      <c r="K66" s="148" t="n">
        <v>0</v>
      </c>
      <c r="L66" s="148" t="n">
        <v>0</v>
      </c>
      <c r="M66" s="148" t="n">
        <v>0</v>
      </c>
      <c r="N66" s="148" t="n">
        <v>0</v>
      </c>
      <c r="O66" s="148">
        <f>SUM(H66:J66, L66:N66)</f>
        <v/>
      </c>
      <c r="P66" s="149" t="n">
        <v>30000</v>
      </c>
      <c r="Q66" s="148" t="n">
        <v>0</v>
      </c>
      <c r="R66" s="147" t="inlineStr"/>
      <c r="S66" s="146" t="inlineStr">
        <is>
          <t>KHÔNG</t>
        </is>
      </c>
      <c r="T66" s="146" t="inlineStr">
        <is>
          <t>ĐÃ DUYỆT</t>
        </is>
      </c>
      <c r="U66" s="147" t="inlineStr">
        <is>
          <t>Quản Đốc Trần Đức Minh</t>
        </is>
      </c>
      <c r="V66" s="146" t="inlineStr">
        <is>
          <t>2026-08-06 16:30</t>
        </is>
      </c>
      <c r="W66" s="146" t="inlineStr">
        <is>
          <t>CC-202608-NV01-06</t>
        </is>
      </c>
      <c r="X66" s="146">
        <f>IFS(C66="", "THIẾU MÃ NV", COUNTIFS(A:A, A66, C:C, C66)&gt;1, "TRÙNG NHÂN VIÊN/NGÀY", O66&gt;4, "VƯỢT 4 GIỜ/NGÀY", AND(O66&gt;0, S66&lt;&gt;"CÓ"), "CHƯA ĐĂNG KÝ TC", AND(O66&gt;0, T66&lt;&gt;"ĐÃ DUYỆT"), "CHƯA DUYỆT TC", AND(T66="ĐÃ DUYỆT", U66=""), "THIẾU NGƯỜI DUYỆT", TRUE, "HỢP LỆ")</f>
        <v/>
      </c>
    </row>
    <row r="67">
      <c r="A67" s="150" t="inlineStr">
        <is>
          <t>2026-08-06</t>
        </is>
      </c>
      <c r="B67" s="150">
        <f>DATE(YEAR(A67), MONTH(A67), 1)</f>
        <v/>
      </c>
      <c r="C67" s="150" t="inlineStr">
        <is>
          <t>NV03</t>
        </is>
      </c>
      <c r="D67" s="151">
        <f>IFERROR(XLOOKUP(C67, '11_Master_Data'!$A:$A, '11_Master_Data'!$B:$B, "KHÔNG CÓ MÃ NV"), "KHÔNG CÓ MÃ NV")</f>
        <v/>
      </c>
      <c r="E67" s="150" t="inlineStr">
        <is>
          <t>C1</t>
        </is>
      </c>
      <c r="F67" s="152" t="n">
        <v>1</v>
      </c>
      <c r="G67" s="152" t="n">
        <v>8</v>
      </c>
      <c r="H67" s="152" t="n">
        <v>0</v>
      </c>
      <c r="I67" s="152" t="n">
        <v>0</v>
      </c>
      <c r="J67" s="152" t="n">
        <v>0</v>
      </c>
      <c r="K67" s="152" t="n">
        <v>0</v>
      </c>
      <c r="L67" s="152" t="n">
        <v>0</v>
      </c>
      <c r="M67" s="152" t="n">
        <v>0</v>
      </c>
      <c r="N67" s="152" t="n">
        <v>0</v>
      </c>
      <c r="O67" s="152">
        <f>SUM(H67:J67, L67:N67)</f>
        <v/>
      </c>
      <c r="P67" s="153" t="n">
        <v>30000</v>
      </c>
      <c r="Q67" s="152" t="n">
        <v>0</v>
      </c>
      <c r="R67" s="151" t="inlineStr"/>
      <c r="S67" s="150" t="inlineStr">
        <is>
          <t>KHÔNG</t>
        </is>
      </c>
      <c r="T67" s="150" t="inlineStr">
        <is>
          <t>ĐÃ DUYỆT</t>
        </is>
      </c>
      <c r="U67" s="151" t="inlineStr">
        <is>
          <t>Quản Đốc Trần Đức Minh</t>
        </is>
      </c>
      <c r="V67" s="150" t="inlineStr">
        <is>
          <t>2026-08-06 16:30</t>
        </is>
      </c>
      <c r="W67" s="150" t="inlineStr">
        <is>
          <t>CC-202608-NV03-06</t>
        </is>
      </c>
      <c r="X67" s="150">
        <f>IFS(C67="", "THIẾU MÃ NV", COUNTIFS(A:A, A67, C:C, C67)&gt;1, "TRÙNG NHÂN VIÊN/NGÀY", O67&gt;4, "VƯỢT 4 GIỜ/NGÀY", AND(O67&gt;0, S67&lt;&gt;"CÓ"), "CHƯA ĐĂNG KÝ TC", AND(O67&gt;0, T67&lt;&gt;"ĐÃ DUYỆT"), "CHƯA DUYỆT TC", AND(T67="ĐÃ DUYỆT", U67=""), "THIẾU NGƯỜI DUYỆT", TRUE, "HỢP LỆ")</f>
        <v/>
      </c>
    </row>
    <row r="68">
      <c r="A68" s="146" t="inlineStr">
        <is>
          <t>2026-08-06</t>
        </is>
      </c>
      <c r="B68" s="146">
        <f>DATE(YEAR(A68), MONTH(A68), 1)</f>
        <v/>
      </c>
      <c r="C68" s="146" t="inlineStr">
        <is>
          <t>NV04</t>
        </is>
      </c>
      <c r="D68" s="147">
        <f>IFERROR(XLOOKUP(C68, '11_Master_Data'!$A:$A, '11_Master_Data'!$B:$B, "KHÔNG CÓ MÃ NV"), "KHÔNG CÓ MÃ NV")</f>
        <v/>
      </c>
      <c r="E68" s="146" t="inlineStr">
        <is>
          <t>C1</t>
        </is>
      </c>
      <c r="F68" s="148" t="n">
        <v>1</v>
      </c>
      <c r="G68" s="148" t="n">
        <v>8</v>
      </c>
      <c r="H68" s="148" t="n">
        <v>0</v>
      </c>
      <c r="I68" s="148" t="n">
        <v>0</v>
      </c>
      <c r="J68" s="148" t="n">
        <v>0</v>
      </c>
      <c r="K68" s="148" t="n">
        <v>0</v>
      </c>
      <c r="L68" s="148" t="n">
        <v>0</v>
      </c>
      <c r="M68" s="148" t="n">
        <v>0</v>
      </c>
      <c r="N68" s="148" t="n">
        <v>0</v>
      </c>
      <c r="O68" s="148">
        <f>SUM(H68:J68, L68:N68)</f>
        <v/>
      </c>
      <c r="P68" s="149" t="n">
        <v>30000</v>
      </c>
      <c r="Q68" s="148" t="n">
        <v>0</v>
      </c>
      <c r="R68" s="147" t="inlineStr"/>
      <c r="S68" s="146" t="inlineStr">
        <is>
          <t>KHÔNG</t>
        </is>
      </c>
      <c r="T68" s="146" t="inlineStr">
        <is>
          <t>ĐÃ DUYỆT</t>
        </is>
      </c>
      <c r="U68" s="147" t="inlineStr">
        <is>
          <t>Quản Đốc Trần Đức Minh</t>
        </is>
      </c>
      <c r="V68" s="146" t="inlineStr">
        <is>
          <t>2026-08-06 16:30</t>
        </is>
      </c>
      <c r="W68" s="146" t="inlineStr">
        <is>
          <t>CC-202608-NV04-06</t>
        </is>
      </c>
      <c r="X68" s="146">
        <f>IFS(C68="", "THIẾU MÃ NV", COUNTIFS(A:A, A68, C:C, C68)&gt;1, "TRÙNG NHÂN VIÊN/NGÀY", O68&gt;4, "VƯỢT 4 GIỜ/NGÀY", AND(O68&gt;0, S68&lt;&gt;"CÓ"), "CHƯA ĐĂNG KÝ TC", AND(O68&gt;0, T68&lt;&gt;"ĐÃ DUYỆT"), "CHƯA DUYỆT TC", AND(T68="ĐÃ DUYỆT", U68=""), "THIẾU NGƯỜI DUYỆT", TRUE, "HỢP LỆ")</f>
        <v/>
      </c>
    </row>
    <row r="69">
      <c r="A69" s="150" t="inlineStr">
        <is>
          <t>2026-08-06</t>
        </is>
      </c>
      <c r="B69" s="150">
        <f>DATE(YEAR(A69), MONTH(A69), 1)</f>
        <v/>
      </c>
      <c r="C69" s="150" t="inlineStr">
        <is>
          <t>NV06</t>
        </is>
      </c>
      <c r="D69" s="151">
        <f>IFERROR(XLOOKUP(C69, '11_Master_Data'!$A:$A, '11_Master_Data'!$B:$B, "KHÔNG CÓ MÃ NV"), "KHÔNG CÓ MÃ NV")</f>
        <v/>
      </c>
      <c r="E69" s="150" t="inlineStr">
        <is>
          <t>C2</t>
        </is>
      </c>
      <c r="F69" s="152" t="n">
        <v>1</v>
      </c>
      <c r="G69" s="152" t="n">
        <v>8</v>
      </c>
      <c r="H69" s="152" t="n">
        <v>2</v>
      </c>
      <c r="I69" s="152" t="n">
        <v>0</v>
      </c>
      <c r="J69" s="152" t="n">
        <v>0</v>
      </c>
      <c r="K69" s="152" t="n">
        <v>0</v>
      </c>
      <c r="L69" s="152" t="n">
        <v>0</v>
      </c>
      <c r="M69" s="152" t="n">
        <v>0</v>
      </c>
      <c r="N69" s="152" t="n">
        <v>0</v>
      </c>
      <c r="O69" s="152">
        <f>SUM(H69:J69, L69:N69)</f>
        <v/>
      </c>
      <c r="P69" s="153" t="n">
        <v>55000</v>
      </c>
      <c r="Q69" s="152" t="n">
        <v>0</v>
      </c>
      <c r="R69" s="151" t="inlineStr">
        <is>
          <t>Đảm bảo tiến độ sản xuất</t>
        </is>
      </c>
      <c r="S69" s="150" t="inlineStr">
        <is>
          <t>CÓ</t>
        </is>
      </c>
      <c r="T69" s="150" t="inlineStr">
        <is>
          <t>ĐÃ DUYỆT</t>
        </is>
      </c>
      <c r="U69" s="151" t="inlineStr">
        <is>
          <t>Quản Đốc Trần Đức Minh</t>
        </is>
      </c>
      <c r="V69" s="150" t="inlineStr">
        <is>
          <t>2026-08-06 16:30</t>
        </is>
      </c>
      <c r="W69" s="150" t="inlineStr">
        <is>
          <t>CC-202608-NV06-06</t>
        </is>
      </c>
      <c r="X69" s="150">
        <f>IFS(C69="", "THIẾU MÃ NV", COUNTIFS(A:A, A69, C:C, C69)&gt;1, "TRÙNG NHÂN VIÊN/NGÀY", O69&gt;4, "VƯỢT 4 GIỜ/NGÀY", AND(O69&gt;0, S69&lt;&gt;"CÓ"), "CHƯA ĐĂNG KÝ TC", AND(O69&gt;0, T69&lt;&gt;"ĐÃ DUYỆT"), "CHƯA DUYỆT TC", AND(T69="ĐÃ DUYỆT", U69=""), "THIẾU NGƯỜI DUYỆT", TRUE, "HỢP LỆ")</f>
        <v/>
      </c>
    </row>
    <row r="70">
      <c r="A70" s="146" t="inlineStr">
        <is>
          <t>2026-08-06</t>
        </is>
      </c>
      <c r="B70" s="146">
        <f>DATE(YEAR(A70), MONTH(A70), 1)</f>
        <v/>
      </c>
      <c r="C70" s="146" t="inlineStr">
        <is>
          <t>NV07</t>
        </is>
      </c>
      <c r="D70" s="147">
        <f>IFERROR(XLOOKUP(C70, '11_Master_Data'!$A:$A, '11_Master_Data'!$B:$B, "KHÔNG CÓ MÃ NV"), "KHÔNG CÓ MÃ NV")</f>
        <v/>
      </c>
      <c r="E70" s="146" t="inlineStr">
        <is>
          <t>C3</t>
        </is>
      </c>
      <c r="F70" s="148" t="n">
        <v>1</v>
      </c>
      <c r="G70" s="148" t="n">
        <v>8</v>
      </c>
      <c r="H70" s="148" t="n">
        <v>2</v>
      </c>
      <c r="I70" s="148" t="n">
        <v>0</v>
      </c>
      <c r="J70" s="148" t="n">
        <v>0</v>
      </c>
      <c r="K70" s="148" t="n">
        <v>8</v>
      </c>
      <c r="L70" s="148" t="n">
        <v>0</v>
      </c>
      <c r="M70" s="148" t="n">
        <v>0</v>
      </c>
      <c r="N70" s="148" t="n">
        <v>0</v>
      </c>
      <c r="O70" s="148">
        <f>SUM(H70:J70, L70:N70)</f>
        <v/>
      </c>
      <c r="P70" s="149" t="n">
        <v>55000</v>
      </c>
      <c r="Q70" s="148" t="n">
        <v>0</v>
      </c>
      <c r="R70" s="147" t="inlineStr">
        <is>
          <t>Đảm bảo tiến độ sản xuất</t>
        </is>
      </c>
      <c r="S70" s="146" t="inlineStr">
        <is>
          <t>CÓ</t>
        </is>
      </c>
      <c r="T70" s="146" t="inlineStr">
        <is>
          <t>ĐÃ DUYỆT</t>
        </is>
      </c>
      <c r="U70" s="147" t="inlineStr">
        <is>
          <t>Quản Đốc Trần Đức Minh</t>
        </is>
      </c>
      <c r="V70" s="146" t="inlineStr">
        <is>
          <t>2026-08-06 16:30</t>
        </is>
      </c>
      <c r="W70" s="146" t="inlineStr">
        <is>
          <t>CC-202608-NV07-06</t>
        </is>
      </c>
      <c r="X70" s="146">
        <f>IFS(C70="", "THIẾU MÃ NV", COUNTIFS(A:A, A70, C:C, C70)&gt;1, "TRÙNG NHÂN VIÊN/NGÀY", O70&gt;4, "VƯỢT 4 GIỜ/NGÀY", AND(O70&gt;0, S70&lt;&gt;"CÓ"), "CHƯA ĐĂNG KÝ TC", AND(O70&gt;0, T70&lt;&gt;"ĐÃ DUYỆT"), "CHƯA DUYỆT TC", AND(T70="ĐÃ DUYỆT", U70=""), "THIẾU NGƯỜI DUYỆT", TRUE, "HỢP LỆ")</f>
        <v/>
      </c>
    </row>
    <row r="71">
      <c r="A71" s="150" t="inlineStr">
        <is>
          <t>2026-08-06</t>
        </is>
      </c>
      <c r="B71" s="150">
        <f>DATE(YEAR(A71), MONTH(A71), 1)</f>
        <v/>
      </c>
      <c r="C71" s="150" t="inlineStr">
        <is>
          <t>NV08</t>
        </is>
      </c>
      <c r="D71" s="151">
        <f>IFERROR(XLOOKUP(C71, '11_Master_Data'!$A:$A, '11_Master_Data'!$B:$B, "KHÔNG CÓ MÃ NV"), "KHÔNG CÓ MÃ NV")</f>
        <v/>
      </c>
      <c r="E71" s="150" t="inlineStr">
        <is>
          <t>C2</t>
        </is>
      </c>
      <c r="F71" s="152" t="n">
        <v>1</v>
      </c>
      <c r="G71" s="152" t="n">
        <v>8</v>
      </c>
      <c r="H71" s="152" t="n">
        <v>2</v>
      </c>
      <c r="I71" s="152" t="n">
        <v>0</v>
      </c>
      <c r="J71" s="152" t="n">
        <v>0</v>
      </c>
      <c r="K71" s="152" t="n">
        <v>0</v>
      </c>
      <c r="L71" s="152" t="n">
        <v>0</v>
      </c>
      <c r="M71" s="152" t="n">
        <v>0</v>
      </c>
      <c r="N71" s="152" t="n">
        <v>0</v>
      </c>
      <c r="O71" s="152">
        <f>SUM(H71:J71, L71:N71)</f>
        <v/>
      </c>
      <c r="P71" s="153" t="n">
        <v>55000</v>
      </c>
      <c r="Q71" s="152" t="n">
        <v>0</v>
      </c>
      <c r="R71" s="151" t="inlineStr">
        <is>
          <t>Đảm bảo tiến độ sản xuất</t>
        </is>
      </c>
      <c r="S71" s="150" t="inlineStr">
        <is>
          <t>CÓ</t>
        </is>
      </c>
      <c r="T71" s="150" t="inlineStr">
        <is>
          <t>ĐÃ DUYỆT</t>
        </is>
      </c>
      <c r="U71" s="151" t="inlineStr">
        <is>
          <t>Quản Đốc Trần Đức Minh</t>
        </is>
      </c>
      <c r="V71" s="150" t="inlineStr">
        <is>
          <t>2026-08-06 16:30</t>
        </is>
      </c>
      <c r="W71" s="150" t="inlineStr">
        <is>
          <t>CC-202608-NV08-06</t>
        </is>
      </c>
      <c r="X71" s="150">
        <f>IFS(C71="", "THIẾU MÃ NV", COUNTIFS(A:A, A71, C:C, C71)&gt;1, "TRÙNG NHÂN VIÊN/NGÀY", O71&gt;4, "VƯỢT 4 GIỜ/NGÀY", AND(O71&gt;0, S71&lt;&gt;"CÓ"), "CHƯA ĐĂNG KÝ TC", AND(O71&gt;0, T71&lt;&gt;"ĐÃ DUYỆT"), "CHƯA DUYỆT TC", AND(T71="ĐÃ DUYỆT", U71=""), "THIẾU NGƯỜI DUYỆT", TRUE, "HỢP LỆ")</f>
        <v/>
      </c>
    </row>
    <row r="72">
      <c r="A72" s="146" t="inlineStr">
        <is>
          <t>2026-08-06</t>
        </is>
      </c>
      <c r="B72" s="146">
        <f>DATE(YEAR(A72), MONTH(A72), 1)</f>
        <v/>
      </c>
      <c r="C72" s="146" t="inlineStr">
        <is>
          <t>NV10</t>
        </is>
      </c>
      <c r="D72" s="147">
        <f>IFERROR(XLOOKUP(C72, '11_Master_Data'!$A:$A, '11_Master_Data'!$B:$B, "KHÔNG CÓ MÃ NV"), "KHÔNG CÓ MÃ NV")</f>
        <v/>
      </c>
      <c r="E72" s="146" t="inlineStr">
        <is>
          <t>C1</t>
        </is>
      </c>
      <c r="F72" s="148" t="n">
        <v>1</v>
      </c>
      <c r="G72" s="148" t="n">
        <v>8</v>
      </c>
      <c r="H72" s="148" t="n">
        <v>2</v>
      </c>
      <c r="I72" s="148" t="n">
        <v>0</v>
      </c>
      <c r="J72" s="148" t="n">
        <v>0</v>
      </c>
      <c r="K72" s="148" t="n">
        <v>0</v>
      </c>
      <c r="L72" s="148" t="n">
        <v>0</v>
      </c>
      <c r="M72" s="148" t="n">
        <v>0</v>
      </c>
      <c r="N72" s="148" t="n">
        <v>0</v>
      </c>
      <c r="O72" s="148">
        <f>SUM(H72:J72, L72:N72)</f>
        <v/>
      </c>
      <c r="P72" s="149" t="n">
        <v>55000</v>
      </c>
      <c r="Q72" s="148" t="n">
        <v>0</v>
      </c>
      <c r="R72" s="147" t="inlineStr">
        <is>
          <t>Đảm bảo tiến độ sản xuất</t>
        </is>
      </c>
      <c r="S72" s="146" t="inlineStr">
        <is>
          <t>CÓ</t>
        </is>
      </c>
      <c r="T72" s="146" t="inlineStr">
        <is>
          <t>ĐÃ DUYỆT</t>
        </is>
      </c>
      <c r="U72" s="147" t="inlineStr">
        <is>
          <t>Quản Đốc Trần Đức Minh</t>
        </is>
      </c>
      <c r="V72" s="146" t="inlineStr">
        <is>
          <t>2026-08-06 16:30</t>
        </is>
      </c>
      <c r="W72" s="146" t="inlineStr">
        <is>
          <t>CC-202608-NV10-06</t>
        </is>
      </c>
      <c r="X72" s="146">
        <f>IFS(C72="", "THIẾU MÃ NV", COUNTIFS(A:A, A72, C:C, C72)&gt;1, "TRÙNG NHÂN VIÊN/NGÀY", O72&gt;4, "VƯỢT 4 GIỜ/NGÀY", AND(O72&gt;0, S72&lt;&gt;"CÓ"), "CHƯA ĐĂNG KÝ TC", AND(O72&gt;0, T72&lt;&gt;"ĐÃ DUYỆT"), "CHƯA DUYỆT TC", AND(T72="ĐÃ DUYỆT", U72=""), "THIẾU NGƯỜI DUYỆT", TRUE, "HỢP LỆ")</f>
        <v/>
      </c>
    </row>
    <row r="73">
      <c r="A73" s="150" t="inlineStr">
        <is>
          <t>2026-08-06</t>
        </is>
      </c>
      <c r="B73" s="150">
        <f>DATE(YEAR(A73), MONTH(A73), 1)</f>
        <v/>
      </c>
      <c r="C73" s="150" t="inlineStr">
        <is>
          <t>NV11</t>
        </is>
      </c>
      <c r="D73" s="151">
        <f>IFERROR(XLOOKUP(C73, '11_Master_Data'!$A:$A, '11_Master_Data'!$B:$B, "KHÔNG CÓ MÃ NV"), "KHÔNG CÓ MÃ NV")</f>
        <v/>
      </c>
      <c r="E73" s="150" t="inlineStr">
        <is>
          <t>C1</t>
        </is>
      </c>
      <c r="F73" s="152" t="n">
        <v>1</v>
      </c>
      <c r="G73" s="152" t="n">
        <v>8</v>
      </c>
      <c r="H73" s="152" t="n">
        <v>2</v>
      </c>
      <c r="I73" s="152" t="n">
        <v>0</v>
      </c>
      <c r="J73" s="152" t="n">
        <v>0</v>
      </c>
      <c r="K73" s="152" t="n">
        <v>0</v>
      </c>
      <c r="L73" s="152" t="n">
        <v>0</v>
      </c>
      <c r="M73" s="152" t="n">
        <v>0</v>
      </c>
      <c r="N73" s="152" t="n">
        <v>0</v>
      </c>
      <c r="O73" s="152">
        <f>SUM(H73:J73, L73:N73)</f>
        <v/>
      </c>
      <c r="P73" s="153" t="n">
        <v>55000</v>
      </c>
      <c r="Q73" s="152" t="n">
        <v>0</v>
      </c>
      <c r="R73" s="151" t="inlineStr">
        <is>
          <t>Đảm bảo tiến độ sản xuất</t>
        </is>
      </c>
      <c r="S73" s="150" t="inlineStr">
        <is>
          <t>CÓ</t>
        </is>
      </c>
      <c r="T73" s="150" t="inlineStr">
        <is>
          <t>ĐÃ DUYỆT</t>
        </is>
      </c>
      <c r="U73" s="151" t="inlineStr">
        <is>
          <t>Quản Đốc Trần Đức Minh</t>
        </is>
      </c>
      <c r="V73" s="150" t="inlineStr">
        <is>
          <t>2026-08-06 16:30</t>
        </is>
      </c>
      <c r="W73" s="150" t="inlineStr">
        <is>
          <t>CC-202608-NV11-06</t>
        </is>
      </c>
      <c r="X73" s="150">
        <f>IFS(C73="", "THIẾU MÃ NV", COUNTIFS(A:A, A73, C:C, C73)&gt;1, "TRÙNG NHÂN VIÊN/NGÀY", O73&gt;4, "VƯỢT 4 GIỜ/NGÀY", AND(O73&gt;0, S73&lt;&gt;"CÓ"), "CHƯA ĐĂNG KÝ TC", AND(O73&gt;0, T73&lt;&gt;"ĐÃ DUYỆT"), "CHƯA DUYỆT TC", AND(T73="ĐÃ DUYỆT", U73=""), "THIẾU NGƯỜI DUYỆT", TRUE, "HỢP LỆ")</f>
        <v/>
      </c>
    </row>
    <row r="74">
      <c r="A74" s="146" t="inlineStr">
        <is>
          <t>2026-08-06</t>
        </is>
      </c>
      <c r="B74" s="146">
        <f>DATE(YEAR(A74), MONTH(A74), 1)</f>
        <v/>
      </c>
      <c r="C74" s="146" t="inlineStr">
        <is>
          <t>NV12</t>
        </is>
      </c>
      <c r="D74" s="147">
        <f>IFERROR(XLOOKUP(C74, '11_Master_Data'!$A:$A, '11_Master_Data'!$B:$B, "KHÔNG CÓ MÃ NV"), "KHÔNG CÓ MÃ NV")</f>
        <v/>
      </c>
      <c r="E74" s="146" t="inlineStr">
        <is>
          <t>C3</t>
        </is>
      </c>
      <c r="F74" s="148" t="n">
        <v>1</v>
      </c>
      <c r="G74" s="148" t="n">
        <v>8</v>
      </c>
      <c r="H74" s="148" t="n">
        <v>2</v>
      </c>
      <c r="I74" s="148" t="n">
        <v>0</v>
      </c>
      <c r="J74" s="148" t="n">
        <v>0</v>
      </c>
      <c r="K74" s="148" t="n">
        <v>8</v>
      </c>
      <c r="L74" s="148" t="n">
        <v>0</v>
      </c>
      <c r="M74" s="148" t="n">
        <v>0</v>
      </c>
      <c r="N74" s="148" t="n">
        <v>0</v>
      </c>
      <c r="O74" s="148">
        <f>SUM(H74:J74, L74:N74)</f>
        <v/>
      </c>
      <c r="P74" s="149" t="n">
        <v>55000</v>
      </c>
      <c r="Q74" s="148" t="n">
        <v>0</v>
      </c>
      <c r="R74" s="147" t="inlineStr">
        <is>
          <t>Đảm bảo tiến độ sản xuất</t>
        </is>
      </c>
      <c r="S74" s="146" t="inlineStr">
        <is>
          <t>CÓ</t>
        </is>
      </c>
      <c r="T74" s="146" t="inlineStr">
        <is>
          <t>ĐÃ DUYỆT</t>
        </is>
      </c>
      <c r="U74" s="147" t="inlineStr">
        <is>
          <t>Quản Đốc Trần Đức Minh</t>
        </is>
      </c>
      <c r="V74" s="146" t="inlineStr">
        <is>
          <t>2026-08-06 16:30</t>
        </is>
      </c>
      <c r="W74" s="146" t="inlineStr">
        <is>
          <t>CC-202608-NV12-06</t>
        </is>
      </c>
      <c r="X74" s="146">
        <f>IFS(C74="", "THIẾU MÃ NV", COUNTIFS(A:A, A74, C:C, C74)&gt;1, "TRÙNG NHÂN VIÊN/NGÀY", O74&gt;4, "VƯỢT 4 GIỜ/NGÀY", AND(O74&gt;0, S74&lt;&gt;"CÓ"), "CHƯA ĐĂNG KÝ TC", AND(O74&gt;0, T74&lt;&gt;"ĐÃ DUYỆT"), "CHƯA DUYỆT TC", AND(T74="ĐÃ DUYỆT", U74=""), "THIẾU NGƯỜI DUYỆT", TRUE, "HỢP LỆ")</f>
        <v/>
      </c>
    </row>
    <row r="75">
      <c r="A75" s="150" t="inlineStr">
        <is>
          <t>2026-08-06</t>
        </is>
      </c>
      <c r="B75" s="150">
        <f>DATE(YEAR(A75), MONTH(A75), 1)</f>
        <v/>
      </c>
      <c r="C75" s="150" t="inlineStr">
        <is>
          <t>NV13</t>
        </is>
      </c>
      <c r="D75" s="151">
        <f>IFERROR(XLOOKUP(C75, '11_Master_Data'!$A:$A, '11_Master_Data'!$B:$B, "KHÔNG CÓ MÃ NV"), "KHÔNG CÓ MÃ NV")</f>
        <v/>
      </c>
      <c r="E75" s="150" t="inlineStr">
        <is>
          <t>C1</t>
        </is>
      </c>
      <c r="F75" s="152" t="n">
        <v>1</v>
      </c>
      <c r="G75" s="152" t="n">
        <v>8</v>
      </c>
      <c r="H75" s="152" t="n">
        <v>0</v>
      </c>
      <c r="I75" s="152" t="n">
        <v>0</v>
      </c>
      <c r="J75" s="152" t="n">
        <v>0</v>
      </c>
      <c r="K75" s="152" t="n">
        <v>0</v>
      </c>
      <c r="L75" s="152" t="n">
        <v>0</v>
      </c>
      <c r="M75" s="152" t="n">
        <v>0</v>
      </c>
      <c r="N75" s="152" t="n">
        <v>0</v>
      </c>
      <c r="O75" s="152">
        <f>SUM(H75:J75, L75:N75)</f>
        <v/>
      </c>
      <c r="P75" s="153" t="n">
        <v>30000</v>
      </c>
      <c r="Q75" s="152" t="n">
        <v>0</v>
      </c>
      <c r="R75" s="151" t="inlineStr"/>
      <c r="S75" s="150" t="inlineStr">
        <is>
          <t>KHÔNG</t>
        </is>
      </c>
      <c r="T75" s="150" t="inlineStr">
        <is>
          <t>ĐÃ DUYỆT</t>
        </is>
      </c>
      <c r="U75" s="151" t="inlineStr">
        <is>
          <t>Quản Đốc Trần Đức Minh</t>
        </is>
      </c>
      <c r="V75" s="150" t="inlineStr">
        <is>
          <t>2026-08-06 16:30</t>
        </is>
      </c>
      <c r="W75" s="150" t="inlineStr">
        <is>
          <t>CC-202608-NV13-06</t>
        </is>
      </c>
      <c r="X75" s="150">
        <f>IFS(C75="", "THIẾU MÃ NV", COUNTIFS(A:A, A75, C:C, C75)&gt;1, "TRÙNG NHÂN VIÊN/NGÀY", O75&gt;4, "VƯỢT 4 GIỜ/NGÀY", AND(O75&gt;0, S75&lt;&gt;"CÓ"), "CHƯA ĐĂNG KÝ TC", AND(O75&gt;0, T75&lt;&gt;"ĐÃ DUYỆT"), "CHƯA DUYỆT TC", AND(T75="ĐÃ DUYỆT", U75=""), "THIẾU NGƯỜI DUYỆT", TRUE, "HỢP LỆ")</f>
        <v/>
      </c>
    </row>
    <row r="76">
      <c r="A76" s="146" t="inlineStr">
        <is>
          <t>2026-08-06</t>
        </is>
      </c>
      <c r="B76" s="146">
        <f>DATE(YEAR(A76), MONTH(A76), 1)</f>
        <v/>
      </c>
      <c r="C76" s="146" t="inlineStr">
        <is>
          <t>NV14</t>
        </is>
      </c>
      <c r="D76" s="147">
        <f>IFERROR(XLOOKUP(C76, '11_Master_Data'!$A:$A, '11_Master_Data'!$B:$B, "KHÔNG CÓ MÃ NV"), "KHÔNG CÓ MÃ NV")</f>
        <v/>
      </c>
      <c r="E76" s="146" t="inlineStr">
        <is>
          <t>C3</t>
        </is>
      </c>
      <c r="F76" s="148" t="n">
        <v>1</v>
      </c>
      <c r="G76" s="148" t="n">
        <v>8</v>
      </c>
      <c r="H76" s="148" t="n">
        <v>2</v>
      </c>
      <c r="I76" s="148" t="n">
        <v>0</v>
      </c>
      <c r="J76" s="148" t="n">
        <v>0</v>
      </c>
      <c r="K76" s="148" t="n">
        <v>8</v>
      </c>
      <c r="L76" s="148" t="n">
        <v>0</v>
      </c>
      <c r="M76" s="148" t="n">
        <v>0</v>
      </c>
      <c r="N76" s="148" t="n">
        <v>0</v>
      </c>
      <c r="O76" s="148">
        <f>SUM(H76:J76, L76:N76)</f>
        <v/>
      </c>
      <c r="P76" s="149" t="n">
        <v>55000</v>
      </c>
      <c r="Q76" s="148" t="n">
        <v>0</v>
      </c>
      <c r="R76" s="147" t="inlineStr">
        <is>
          <t>Đảm bảo tiến độ sản xuất</t>
        </is>
      </c>
      <c r="S76" s="146" t="inlineStr">
        <is>
          <t>CÓ</t>
        </is>
      </c>
      <c r="T76" s="146" t="inlineStr">
        <is>
          <t>ĐÃ DUYỆT</t>
        </is>
      </c>
      <c r="U76" s="147" t="inlineStr">
        <is>
          <t>Quản Đốc Trần Đức Minh</t>
        </is>
      </c>
      <c r="V76" s="146" t="inlineStr">
        <is>
          <t>2026-08-06 16:30</t>
        </is>
      </c>
      <c r="W76" s="146" t="inlineStr">
        <is>
          <t>CC-202608-NV14-06</t>
        </is>
      </c>
      <c r="X76" s="146">
        <f>IFS(C76="", "THIẾU MÃ NV", COUNTIFS(A:A, A76, C:C, C76)&gt;1, "TRÙNG NHÂN VIÊN/NGÀY", O76&gt;4, "VƯỢT 4 GIỜ/NGÀY", AND(O76&gt;0, S76&lt;&gt;"CÓ"), "CHƯA ĐĂNG KÝ TC", AND(O76&gt;0, T76&lt;&gt;"ĐÃ DUYỆT"), "CHƯA DUYỆT TC", AND(T76="ĐÃ DUYỆT", U76=""), "THIẾU NGƯỜI DUYỆT", TRUE, "HỢP LỆ")</f>
        <v/>
      </c>
    </row>
    <row r="77">
      <c r="A77" s="150" t="inlineStr">
        <is>
          <t>2026-08-06</t>
        </is>
      </c>
      <c r="B77" s="150">
        <f>DATE(YEAR(A77), MONTH(A77), 1)</f>
        <v/>
      </c>
      <c r="C77" s="150" t="inlineStr">
        <is>
          <t>NV15</t>
        </is>
      </c>
      <c r="D77" s="151">
        <f>IFERROR(XLOOKUP(C77, '11_Master_Data'!$A:$A, '11_Master_Data'!$B:$B, "KHÔNG CÓ MÃ NV"), "KHÔNG CÓ MÃ NV")</f>
        <v/>
      </c>
      <c r="E77" s="150" t="inlineStr">
        <is>
          <t>C2</t>
        </is>
      </c>
      <c r="F77" s="152" t="n">
        <v>1</v>
      </c>
      <c r="G77" s="152" t="n">
        <v>8</v>
      </c>
      <c r="H77" s="152" t="n">
        <v>2</v>
      </c>
      <c r="I77" s="152" t="n">
        <v>0</v>
      </c>
      <c r="J77" s="152" t="n">
        <v>0</v>
      </c>
      <c r="K77" s="152" t="n">
        <v>0</v>
      </c>
      <c r="L77" s="152" t="n">
        <v>0</v>
      </c>
      <c r="M77" s="152" t="n">
        <v>0</v>
      </c>
      <c r="N77" s="152" t="n">
        <v>0</v>
      </c>
      <c r="O77" s="152">
        <f>SUM(H77:J77, L77:N77)</f>
        <v/>
      </c>
      <c r="P77" s="153" t="n">
        <v>55000</v>
      </c>
      <c r="Q77" s="152" t="n">
        <v>0</v>
      </c>
      <c r="R77" s="151" t="inlineStr">
        <is>
          <t>Đảm bảo tiến độ sản xuất</t>
        </is>
      </c>
      <c r="S77" s="150" t="inlineStr">
        <is>
          <t>CÓ</t>
        </is>
      </c>
      <c r="T77" s="150" t="inlineStr">
        <is>
          <t>ĐÃ DUYỆT</t>
        </is>
      </c>
      <c r="U77" s="151" t="inlineStr">
        <is>
          <t>Quản Đốc Trần Đức Minh</t>
        </is>
      </c>
      <c r="V77" s="150" t="inlineStr">
        <is>
          <t>2026-08-06 16:30</t>
        </is>
      </c>
      <c r="W77" s="150" t="inlineStr">
        <is>
          <t>CC-202608-NV15-06</t>
        </is>
      </c>
      <c r="X77" s="150">
        <f>IFS(C77="", "THIẾU MÃ NV", COUNTIFS(A:A, A77, C:C, C77)&gt;1, "TRÙNG NHÂN VIÊN/NGÀY", O77&gt;4, "VƯỢT 4 GIỜ/NGÀY", AND(O77&gt;0, S77&lt;&gt;"CÓ"), "CHƯA ĐĂNG KÝ TC", AND(O77&gt;0, T77&lt;&gt;"ĐÃ DUYỆT"), "CHƯA DUYỆT TC", AND(T77="ĐÃ DUYỆT", U77=""), "THIẾU NGƯỜI DUYỆT", TRUE, "HỢP LỆ")</f>
        <v/>
      </c>
    </row>
    <row r="78">
      <c r="A78" s="146" t="inlineStr">
        <is>
          <t>2026-08-07</t>
        </is>
      </c>
      <c r="B78" s="146">
        <f>DATE(YEAR(A78), MONTH(A78), 1)</f>
        <v/>
      </c>
      <c r="C78" s="146" t="inlineStr">
        <is>
          <t>NV01</t>
        </is>
      </c>
      <c r="D78" s="147">
        <f>IFERROR(XLOOKUP(C78, '11_Master_Data'!$A:$A, '11_Master_Data'!$B:$B, "KHÔNG CÓ MÃ NV"), "KHÔNG CÓ MÃ NV")</f>
        <v/>
      </c>
      <c r="E78" s="146" t="inlineStr">
        <is>
          <t>C1</t>
        </is>
      </c>
      <c r="F78" s="148" t="n">
        <v>1</v>
      </c>
      <c r="G78" s="148" t="n">
        <v>8</v>
      </c>
      <c r="H78" s="148" t="n">
        <v>0</v>
      </c>
      <c r="I78" s="148" t="n">
        <v>0</v>
      </c>
      <c r="J78" s="148" t="n">
        <v>0</v>
      </c>
      <c r="K78" s="148" t="n">
        <v>0</v>
      </c>
      <c r="L78" s="148" t="n">
        <v>0</v>
      </c>
      <c r="M78" s="148" t="n">
        <v>0</v>
      </c>
      <c r="N78" s="148" t="n">
        <v>0</v>
      </c>
      <c r="O78" s="148">
        <f>SUM(H78:J78, L78:N78)</f>
        <v/>
      </c>
      <c r="P78" s="149" t="n">
        <v>30000</v>
      </c>
      <c r="Q78" s="148" t="n">
        <v>0</v>
      </c>
      <c r="R78" s="147" t="inlineStr"/>
      <c r="S78" s="146" t="inlineStr">
        <is>
          <t>KHÔNG</t>
        </is>
      </c>
      <c r="T78" s="146" t="inlineStr">
        <is>
          <t>ĐÃ DUYỆT</t>
        </is>
      </c>
      <c r="U78" s="147" t="inlineStr">
        <is>
          <t>Quản Đốc Trần Đức Minh</t>
        </is>
      </c>
      <c r="V78" s="146" t="inlineStr">
        <is>
          <t>2026-08-07 16:30</t>
        </is>
      </c>
      <c r="W78" s="146" t="inlineStr">
        <is>
          <t>CC-202608-NV01-07</t>
        </is>
      </c>
      <c r="X78" s="146">
        <f>IFS(C78="", "THIẾU MÃ NV", COUNTIFS(A:A, A78, C:C, C78)&gt;1, "TRÙNG NHÂN VIÊN/NGÀY", O78&gt;4, "VƯỢT 4 GIỜ/NGÀY", AND(O78&gt;0, S78&lt;&gt;"CÓ"), "CHƯA ĐĂNG KÝ TC", AND(O78&gt;0, T78&lt;&gt;"ĐÃ DUYỆT"), "CHƯA DUYỆT TC", AND(T78="ĐÃ DUYỆT", U78=""), "THIẾU NGƯỜI DUYỆT", TRUE, "HỢP LỆ")</f>
        <v/>
      </c>
    </row>
    <row r="79">
      <c r="A79" s="150" t="inlineStr">
        <is>
          <t>2026-08-07</t>
        </is>
      </c>
      <c r="B79" s="150">
        <f>DATE(YEAR(A79), MONTH(A79), 1)</f>
        <v/>
      </c>
      <c r="C79" s="150" t="inlineStr">
        <is>
          <t>NV02</t>
        </is>
      </c>
      <c r="D79" s="151">
        <f>IFERROR(XLOOKUP(C79, '11_Master_Data'!$A:$A, '11_Master_Data'!$B:$B, "KHÔNG CÓ MÃ NV"), "KHÔNG CÓ MÃ NV")</f>
        <v/>
      </c>
      <c r="E79" s="150" t="inlineStr">
        <is>
          <t>C2</t>
        </is>
      </c>
      <c r="F79" s="152" t="n">
        <v>1</v>
      </c>
      <c r="G79" s="152" t="n">
        <v>8</v>
      </c>
      <c r="H79" s="152" t="n">
        <v>2</v>
      </c>
      <c r="I79" s="152" t="n">
        <v>0</v>
      </c>
      <c r="J79" s="152" t="n">
        <v>0</v>
      </c>
      <c r="K79" s="152" t="n">
        <v>0</v>
      </c>
      <c r="L79" s="152" t="n">
        <v>0</v>
      </c>
      <c r="M79" s="152" t="n">
        <v>0</v>
      </c>
      <c r="N79" s="152" t="n">
        <v>0</v>
      </c>
      <c r="O79" s="152">
        <f>SUM(H79:J79, L79:N79)</f>
        <v/>
      </c>
      <c r="P79" s="153" t="n">
        <v>55000</v>
      </c>
      <c r="Q79" s="152" t="n">
        <v>0</v>
      </c>
      <c r="R79" s="151" t="inlineStr">
        <is>
          <t>Đảm bảo tiến độ sản xuất</t>
        </is>
      </c>
      <c r="S79" s="150" t="inlineStr">
        <is>
          <t>CÓ</t>
        </is>
      </c>
      <c r="T79" s="150" t="inlineStr">
        <is>
          <t>ĐÃ DUYỆT</t>
        </is>
      </c>
      <c r="U79" s="151" t="inlineStr">
        <is>
          <t>Quản Đốc Trần Đức Minh</t>
        </is>
      </c>
      <c r="V79" s="150" t="inlineStr">
        <is>
          <t>2026-08-07 16:30</t>
        </is>
      </c>
      <c r="W79" s="150" t="inlineStr">
        <is>
          <t>CC-202608-NV02-07</t>
        </is>
      </c>
      <c r="X79" s="150">
        <f>IFS(C79="", "THIẾU MÃ NV", COUNTIFS(A:A, A79, C:C, C79)&gt;1, "TRÙNG NHÂN VIÊN/NGÀY", O79&gt;4, "VƯỢT 4 GIỜ/NGÀY", AND(O79&gt;0, S79&lt;&gt;"CÓ"), "CHƯA ĐĂNG KÝ TC", AND(O79&gt;0, T79&lt;&gt;"ĐÃ DUYỆT"), "CHƯA DUYỆT TC", AND(T79="ĐÃ DUYỆT", U79=""), "THIẾU NGƯỜI DUYỆT", TRUE, "HỢP LỆ")</f>
        <v/>
      </c>
    </row>
    <row r="80">
      <c r="A80" s="146" t="inlineStr">
        <is>
          <t>2026-08-07</t>
        </is>
      </c>
      <c r="B80" s="146">
        <f>DATE(YEAR(A80), MONTH(A80), 1)</f>
        <v/>
      </c>
      <c r="C80" s="146" t="inlineStr">
        <is>
          <t>NV03</t>
        </is>
      </c>
      <c r="D80" s="147">
        <f>IFERROR(XLOOKUP(C80, '11_Master_Data'!$A:$A, '11_Master_Data'!$B:$B, "KHÔNG CÓ MÃ NV"), "KHÔNG CÓ MÃ NV")</f>
        <v/>
      </c>
      <c r="E80" s="146" t="inlineStr">
        <is>
          <t>C1</t>
        </is>
      </c>
      <c r="F80" s="148" t="n">
        <v>1</v>
      </c>
      <c r="G80" s="148" t="n">
        <v>8</v>
      </c>
      <c r="H80" s="148" t="n">
        <v>0</v>
      </c>
      <c r="I80" s="148" t="n">
        <v>0</v>
      </c>
      <c r="J80" s="148" t="n">
        <v>0</v>
      </c>
      <c r="K80" s="148" t="n">
        <v>0</v>
      </c>
      <c r="L80" s="148" t="n">
        <v>0</v>
      </c>
      <c r="M80" s="148" t="n">
        <v>0</v>
      </c>
      <c r="N80" s="148" t="n">
        <v>0</v>
      </c>
      <c r="O80" s="148">
        <f>SUM(H80:J80, L80:N80)</f>
        <v/>
      </c>
      <c r="P80" s="149" t="n">
        <v>30000</v>
      </c>
      <c r="Q80" s="148" t="n">
        <v>0</v>
      </c>
      <c r="R80" s="147" t="inlineStr"/>
      <c r="S80" s="146" t="inlineStr">
        <is>
          <t>KHÔNG</t>
        </is>
      </c>
      <c r="T80" s="146" t="inlineStr">
        <is>
          <t>ĐÃ DUYỆT</t>
        </is>
      </c>
      <c r="U80" s="147" t="inlineStr">
        <is>
          <t>Quản Đốc Trần Đức Minh</t>
        </is>
      </c>
      <c r="V80" s="146" t="inlineStr">
        <is>
          <t>2026-08-07 16:30</t>
        </is>
      </c>
      <c r="W80" s="146" t="inlineStr">
        <is>
          <t>CC-202608-NV03-07</t>
        </is>
      </c>
      <c r="X80" s="146">
        <f>IFS(C80="", "THIẾU MÃ NV", COUNTIFS(A:A, A80, C:C, C80)&gt;1, "TRÙNG NHÂN VIÊN/NGÀY", O80&gt;4, "VƯỢT 4 GIỜ/NGÀY", AND(O80&gt;0, S80&lt;&gt;"CÓ"), "CHƯA ĐĂNG KÝ TC", AND(O80&gt;0, T80&lt;&gt;"ĐÃ DUYỆT"), "CHƯA DUYỆT TC", AND(T80="ĐÃ DUYỆT", U80=""), "THIẾU NGƯỜI DUYỆT", TRUE, "HỢP LỆ")</f>
        <v/>
      </c>
    </row>
    <row r="81">
      <c r="A81" s="150" t="inlineStr">
        <is>
          <t>2026-08-07</t>
        </is>
      </c>
      <c r="B81" s="150">
        <f>DATE(YEAR(A81), MONTH(A81), 1)</f>
        <v/>
      </c>
      <c r="C81" s="150" t="inlineStr">
        <is>
          <t>NV04</t>
        </is>
      </c>
      <c r="D81" s="151">
        <f>IFERROR(XLOOKUP(C81, '11_Master_Data'!$A:$A, '11_Master_Data'!$B:$B, "KHÔNG CÓ MÃ NV"), "KHÔNG CÓ MÃ NV")</f>
        <v/>
      </c>
      <c r="E81" s="150" t="inlineStr">
        <is>
          <t>C1</t>
        </is>
      </c>
      <c r="F81" s="152" t="n">
        <v>1</v>
      </c>
      <c r="G81" s="152" t="n">
        <v>8</v>
      </c>
      <c r="H81" s="152" t="n">
        <v>0</v>
      </c>
      <c r="I81" s="152" t="n">
        <v>0</v>
      </c>
      <c r="J81" s="152" t="n">
        <v>0</v>
      </c>
      <c r="K81" s="152" t="n">
        <v>0</v>
      </c>
      <c r="L81" s="152" t="n">
        <v>0</v>
      </c>
      <c r="M81" s="152" t="n">
        <v>0</v>
      </c>
      <c r="N81" s="152" t="n">
        <v>0</v>
      </c>
      <c r="O81" s="152">
        <f>SUM(H81:J81, L81:N81)</f>
        <v/>
      </c>
      <c r="P81" s="153" t="n">
        <v>30000</v>
      </c>
      <c r="Q81" s="152" t="n">
        <v>0</v>
      </c>
      <c r="R81" s="151" t="inlineStr"/>
      <c r="S81" s="150" t="inlineStr">
        <is>
          <t>KHÔNG</t>
        </is>
      </c>
      <c r="T81" s="150" t="inlineStr">
        <is>
          <t>ĐÃ DUYỆT</t>
        </is>
      </c>
      <c r="U81" s="151" t="inlineStr">
        <is>
          <t>Quản Đốc Trần Đức Minh</t>
        </is>
      </c>
      <c r="V81" s="150" t="inlineStr">
        <is>
          <t>2026-08-07 16:30</t>
        </is>
      </c>
      <c r="W81" s="150" t="inlineStr">
        <is>
          <t>CC-202608-NV04-07</t>
        </is>
      </c>
      <c r="X81" s="150">
        <f>IFS(C81="", "THIẾU MÃ NV", COUNTIFS(A:A, A81, C:C, C81)&gt;1, "TRÙNG NHÂN VIÊN/NGÀY", O81&gt;4, "VƯỢT 4 GIỜ/NGÀY", AND(O81&gt;0, S81&lt;&gt;"CÓ"), "CHƯA ĐĂNG KÝ TC", AND(O81&gt;0, T81&lt;&gt;"ĐÃ DUYỆT"), "CHƯA DUYỆT TC", AND(T81="ĐÃ DUYỆT", U81=""), "THIẾU NGƯỜI DUYỆT", TRUE, "HỢP LỆ")</f>
        <v/>
      </c>
    </row>
    <row r="82">
      <c r="A82" s="146" t="inlineStr">
        <is>
          <t>2026-08-07</t>
        </is>
      </c>
      <c r="B82" s="146">
        <f>DATE(YEAR(A82), MONTH(A82), 1)</f>
        <v/>
      </c>
      <c r="C82" s="146" t="inlineStr">
        <is>
          <t>NV06</t>
        </is>
      </c>
      <c r="D82" s="147">
        <f>IFERROR(XLOOKUP(C82, '11_Master_Data'!$A:$A, '11_Master_Data'!$B:$B, "KHÔNG CÓ MÃ NV"), "KHÔNG CÓ MÃ NV")</f>
        <v/>
      </c>
      <c r="E82" s="146" t="inlineStr">
        <is>
          <t>C2</t>
        </is>
      </c>
      <c r="F82" s="148" t="n">
        <v>1</v>
      </c>
      <c r="G82" s="148" t="n">
        <v>8</v>
      </c>
      <c r="H82" s="148" t="n">
        <v>2</v>
      </c>
      <c r="I82" s="148" t="n">
        <v>0</v>
      </c>
      <c r="J82" s="148" t="n">
        <v>0</v>
      </c>
      <c r="K82" s="148" t="n">
        <v>0</v>
      </c>
      <c r="L82" s="148" t="n">
        <v>0</v>
      </c>
      <c r="M82" s="148" t="n">
        <v>0</v>
      </c>
      <c r="N82" s="148" t="n">
        <v>0</v>
      </c>
      <c r="O82" s="148">
        <f>SUM(H82:J82, L82:N82)</f>
        <v/>
      </c>
      <c r="P82" s="149" t="n">
        <v>55000</v>
      </c>
      <c r="Q82" s="148" t="n">
        <v>0</v>
      </c>
      <c r="R82" s="147" t="inlineStr">
        <is>
          <t>Đảm bảo tiến độ sản xuất</t>
        </is>
      </c>
      <c r="S82" s="146" t="inlineStr">
        <is>
          <t>CÓ</t>
        </is>
      </c>
      <c r="T82" s="146" t="inlineStr">
        <is>
          <t>ĐÃ DUYỆT</t>
        </is>
      </c>
      <c r="U82" s="147" t="inlineStr">
        <is>
          <t>Quản Đốc Trần Đức Minh</t>
        </is>
      </c>
      <c r="V82" s="146" t="inlineStr">
        <is>
          <t>2026-08-07 16:30</t>
        </is>
      </c>
      <c r="W82" s="146" t="inlineStr">
        <is>
          <t>CC-202608-NV06-07</t>
        </is>
      </c>
      <c r="X82" s="146">
        <f>IFS(C82="", "THIẾU MÃ NV", COUNTIFS(A:A, A82, C:C, C82)&gt;1, "TRÙNG NHÂN VIÊN/NGÀY", O82&gt;4, "VƯỢT 4 GIỜ/NGÀY", AND(O82&gt;0, S82&lt;&gt;"CÓ"), "CHƯA ĐĂNG KÝ TC", AND(O82&gt;0, T82&lt;&gt;"ĐÃ DUYỆT"), "CHƯA DUYỆT TC", AND(T82="ĐÃ DUYỆT", U82=""), "THIẾU NGƯỜI DUYỆT", TRUE, "HỢP LỆ")</f>
        <v/>
      </c>
    </row>
    <row r="83">
      <c r="A83" s="150" t="inlineStr">
        <is>
          <t>2026-08-07</t>
        </is>
      </c>
      <c r="B83" s="150">
        <f>DATE(YEAR(A83), MONTH(A83), 1)</f>
        <v/>
      </c>
      <c r="C83" s="150" t="inlineStr">
        <is>
          <t>NV07</t>
        </is>
      </c>
      <c r="D83" s="151">
        <f>IFERROR(XLOOKUP(C83, '11_Master_Data'!$A:$A, '11_Master_Data'!$B:$B, "KHÔNG CÓ MÃ NV"), "KHÔNG CÓ MÃ NV")</f>
        <v/>
      </c>
      <c r="E83" s="150" t="inlineStr">
        <is>
          <t>C3</t>
        </is>
      </c>
      <c r="F83" s="152" t="n">
        <v>1</v>
      </c>
      <c r="G83" s="152" t="n">
        <v>8</v>
      </c>
      <c r="H83" s="152" t="n">
        <v>2</v>
      </c>
      <c r="I83" s="152" t="n">
        <v>0</v>
      </c>
      <c r="J83" s="152" t="n">
        <v>0</v>
      </c>
      <c r="K83" s="152" t="n">
        <v>8</v>
      </c>
      <c r="L83" s="152" t="n">
        <v>0</v>
      </c>
      <c r="M83" s="152" t="n">
        <v>0</v>
      </c>
      <c r="N83" s="152" t="n">
        <v>0</v>
      </c>
      <c r="O83" s="152">
        <f>SUM(H83:J83, L83:N83)</f>
        <v/>
      </c>
      <c r="P83" s="153" t="n">
        <v>55000</v>
      </c>
      <c r="Q83" s="152" t="n">
        <v>0</v>
      </c>
      <c r="R83" s="151" t="inlineStr">
        <is>
          <t>Đảm bảo tiến độ sản xuất</t>
        </is>
      </c>
      <c r="S83" s="150" t="inlineStr">
        <is>
          <t>CÓ</t>
        </is>
      </c>
      <c r="T83" s="150" t="inlineStr">
        <is>
          <t>ĐÃ DUYỆT</t>
        </is>
      </c>
      <c r="U83" s="151" t="inlineStr">
        <is>
          <t>Quản Đốc Trần Đức Minh</t>
        </is>
      </c>
      <c r="V83" s="150" t="inlineStr">
        <is>
          <t>2026-08-07 16:30</t>
        </is>
      </c>
      <c r="W83" s="150" t="inlineStr">
        <is>
          <t>CC-202608-NV07-07</t>
        </is>
      </c>
      <c r="X83" s="150">
        <f>IFS(C83="", "THIẾU MÃ NV", COUNTIFS(A:A, A83, C:C, C83)&gt;1, "TRÙNG NHÂN VIÊN/NGÀY", O83&gt;4, "VƯỢT 4 GIỜ/NGÀY", AND(O83&gt;0, S83&lt;&gt;"CÓ"), "CHƯA ĐĂNG KÝ TC", AND(O83&gt;0, T83&lt;&gt;"ĐÃ DUYỆT"), "CHƯA DUYỆT TC", AND(T83="ĐÃ DUYỆT", U83=""), "THIẾU NGƯỜI DUYỆT", TRUE, "HỢP LỆ")</f>
        <v/>
      </c>
    </row>
    <row r="84">
      <c r="A84" s="146" t="inlineStr">
        <is>
          <t>2026-08-07</t>
        </is>
      </c>
      <c r="B84" s="146">
        <f>DATE(YEAR(A84), MONTH(A84), 1)</f>
        <v/>
      </c>
      <c r="C84" s="146" t="inlineStr">
        <is>
          <t>NV08</t>
        </is>
      </c>
      <c r="D84" s="147">
        <f>IFERROR(XLOOKUP(C84, '11_Master_Data'!$A:$A, '11_Master_Data'!$B:$B, "KHÔNG CÓ MÃ NV"), "KHÔNG CÓ MÃ NV")</f>
        <v/>
      </c>
      <c r="E84" s="146" t="inlineStr">
        <is>
          <t>C2</t>
        </is>
      </c>
      <c r="F84" s="148" t="n">
        <v>1</v>
      </c>
      <c r="G84" s="148" t="n">
        <v>8</v>
      </c>
      <c r="H84" s="148" t="n">
        <v>2</v>
      </c>
      <c r="I84" s="148" t="n">
        <v>0</v>
      </c>
      <c r="J84" s="148" t="n">
        <v>0</v>
      </c>
      <c r="K84" s="148" t="n">
        <v>0</v>
      </c>
      <c r="L84" s="148" t="n">
        <v>0</v>
      </c>
      <c r="M84" s="148" t="n">
        <v>0</v>
      </c>
      <c r="N84" s="148" t="n">
        <v>0</v>
      </c>
      <c r="O84" s="148">
        <f>SUM(H84:J84, L84:N84)</f>
        <v/>
      </c>
      <c r="P84" s="149" t="n">
        <v>55000</v>
      </c>
      <c r="Q84" s="148" t="n">
        <v>0</v>
      </c>
      <c r="R84" s="147" t="inlineStr">
        <is>
          <t>Đảm bảo tiến độ sản xuất</t>
        </is>
      </c>
      <c r="S84" s="146" t="inlineStr">
        <is>
          <t>CÓ</t>
        </is>
      </c>
      <c r="T84" s="146" t="inlineStr">
        <is>
          <t>ĐÃ DUYỆT</t>
        </is>
      </c>
      <c r="U84" s="147" t="inlineStr">
        <is>
          <t>Quản Đốc Trần Đức Minh</t>
        </is>
      </c>
      <c r="V84" s="146" t="inlineStr">
        <is>
          <t>2026-08-07 16:30</t>
        </is>
      </c>
      <c r="W84" s="146" t="inlineStr">
        <is>
          <t>CC-202608-NV08-07</t>
        </is>
      </c>
      <c r="X84" s="146">
        <f>IFS(C84="", "THIẾU MÃ NV", COUNTIFS(A:A, A84, C:C, C84)&gt;1, "TRÙNG NHÂN VIÊN/NGÀY", O84&gt;4, "VƯỢT 4 GIỜ/NGÀY", AND(O84&gt;0, S84&lt;&gt;"CÓ"), "CHƯA ĐĂNG KÝ TC", AND(O84&gt;0, T84&lt;&gt;"ĐÃ DUYỆT"), "CHƯA DUYỆT TC", AND(T84="ĐÃ DUYỆT", U84=""), "THIẾU NGƯỜI DUYỆT", TRUE, "HỢP LỆ")</f>
        <v/>
      </c>
    </row>
    <row r="85">
      <c r="A85" s="150" t="inlineStr">
        <is>
          <t>2026-08-07</t>
        </is>
      </c>
      <c r="B85" s="150">
        <f>DATE(YEAR(A85), MONTH(A85), 1)</f>
        <v/>
      </c>
      <c r="C85" s="150" t="inlineStr">
        <is>
          <t>NV10</t>
        </is>
      </c>
      <c r="D85" s="151">
        <f>IFERROR(XLOOKUP(C85, '11_Master_Data'!$A:$A, '11_Master_Data'!$B:$B, "KHÔNG CÓ MÃ NV"), "KHÔNG CÓ MÃ NV")</f>
        <v/>
      </c>
      <c r="E85" s="150" t="inlineStr">
        <is>
          <t>C1</t>
        </is>
      </c>
      <c r="F85" s="152" t="n">
        <v>1</v>
      </c>
      <c r="G85" s="152" t="n">
        <v>8</v>
      </c>
      <c r="H85" s="152" t="n">
        <v>2</v>
      </c>
      <c r="I85" s="152" t="n">
        <v>0</v>
      </c>
      <c r="J85" s="152" t="n">
        <v>0</v>
      </c>
      <c r="K85" s="152" t="n">
        <v>0</v>
      </c>
      <c r="L85" s="152" t="n">
        <v>0</v>
      </c>
      <c r="M85" s="152" t="n">
        <v>0</v>
      </c>
      <c r="N85" s="152" t="n">
        <v>0</v>
      </c>
      <c r="O85" s="152">
        <f>SUM(H85:J85, L85:N85)</f>
        <v/>
      </c>
      <c r="P85" s="153" t="n">
        <v>55000</v>
      </c>
      <c r="Q85" s="152" t="n">
        <v>0</v>
      </c>
      <c r="R85" s="151" t="inlineStr">
        <is>
          <t>Đảm bảo tiến độ sản xuất</t>
        </is>
      </c>
      <c r="S85" s="150" t="inlineStr">
        <is>
          <t>CÓ</t>
        </is>
      </c>
      <c r="T85" s="150" t="inlineStr">
        <is>
          <t>ĐÃ DUYỆT</t>
        </is>
      </c>
      <c r="U85" s="151" t="inlineStr">
        <is>
          <t>Quản Đốc Trần Đức Minh</t>
        </is>
      </c>
      <c r="V85" s="150" t="inlineStr">
        <is>
          <t>2026-08-07 16:30</t>
        </is>
      </c>
      <c r="W85" s="150" t="inlineStr">
        <is>
          <t>CC-202608-NV10-07</t>
        </is>
      </c>
      <c r="X85" s="150">
        <f>IFS(C85="", "THIẾU MÃ NV", COUNTIFS(A:A, A85, C:C, C85)&gt;1, "TRÙNG NHÂN VIÊN/NGÀY", O85&gt;4, "VƯỢT 4 GIỜ/NGÀY", AND(O85&gt;0, S85&lt;&gt;"CÓ"), "CHƯA ĐĂNG KÝ TC", AND(O85&gt;0, T85&lt;&gt;"ĐÃ DUYỆT"), "CHƯA DUYỆT TC", AND(T85="ĐÃ DUYỆT", U85=""), "THIẾU NGƯỜI DUYỆT", TRUE, "HỢP LỆ")</f>
        <v/>
      </c>
    </row>
    <row r="86">
      <c r="A86" s="146" t="inlineStr">
        <is>
          <t>2026-08-07</t>
        </is>
      </c>
      <c r="B86" s="146">
        <f>DATE(YEAR(A86), MONTH(A86), 1)</f>
        <v/>
      </c>
      <c r="C86" s="146" t="inlineStr">
        <is>
          <t>NV11</t>
        </is>
      </c>
      <c r="D86" s="147">
        <f>IFERROR(XLOOKUP(C86, '11_Master_Data'!$A:$A, '11_Master_Data'!$B:$B, "KHÔNG CÓ MÃ NV"), "KHÔNG CÓ MÃ NV")</f>
        <v/>
      </c>
      <c r="E86" s="146" t="inlineStr">
        <is>
          <t>C1</t>
        </is>
      </c>
      <c r="F86" s="148" t="n">
        <v>1</v>
      </c>
      <c r="G86" s="148" t="n">
        <v>8</v>
      </c>
      <c r="H86" s="148" t="n">
        <v>2</v>
      </c>
      <c r="I86" s="148" t="n">
        <v>0</v>
      </c>
      <c r="J86" s="148" t="n">
        <v>0</v>
      </c>
      <c r="K86" s="148" t="n">
        <v>0</v>
      </c>
      <c r="L86" s="148" t="n">
        <v>0</v>
      </c>
      <c r="M86" s="148" t="n">
        <v>0</v>
      </c>
      <c r="N86" s="148" t="n">
        <v>0</v>
      </c>
      <c r="O86" s="148">
        <f>SUM(H86:J86, L86:N86)</f>
        <v/>
      </c>
      <c r="P86" s="149" t="n">
        <v>55000</v>
      </c>
      <c r="Q86" s="148" t="n">
        <v>0</v>
      </c>
      <c r="R86" s="147" t="inlineStr">
        <is>
          <t>Đảm bảo tiến độ sản xuất</t>
        </is>
      </c>
      <c r="S86" s="146" t="inlineStr">
        <is>
          <t>CÓ</t>
        </is>
      </c>
      <c r="T86" s="146" t="inlineStr">
        <is>
          <t>ĐÃ DUYỆT</t>
        </is>
      </c>
      <c r="U86" s="147" t="inlineStr">
        <is>
          <t>Quản Đốc Trần Đức Minh</t>
        </is>
      </c>
      <c r="V86" s="146" t="inlineStr">
        <is>
          <t>2026-08-07 16:30</t>
        </is>
      </c>
      <c r="W86" s="146" t="inlineStr">
        <is>
          <t>CC-202608-NV11-07</t>
        </is>
      </c>
      <c r="X86" s="146">
        <f>IFS(C86="", "THIẾU MÃ NV", COUNTIFS(A:A, A86, C:C, C86)&gt;1, "TRÙNG NHÂN VIÊN/NGÀY", O86&gt;4, "VƯỢT 4 GIỜ/NGÀY", AND(O86&gt;0, S86&lt;&gt;"CÓ"), "CHƯA ĐĂNG KÝ TC", AND(O86&gt;0, T86&lt;&gt;"ĐÃ DUYỆT"), "CHƯA DUYỆT TC", AND(T86="ĐÃ DUYỆT", U86=""), "THIẾU NGƯỜI DUYỆT", TRUE, "HỢP LỆ")</f>
        <v/>
      </c>
    </row>
    <row r="87">
      <c r="A87" s="150" t="inlineStr">
        <is>
          <t>2026-08-07</t>
        </is>
      </c>
      <c r="B87" s="150">
        <f>DATE(YEAR(A87), MONTH(A87), 1)</f>
        <v/>
      </c>
      <c r="C87" s="150" t="inlineStr">
        <is>
          <t>NV12</t>
        </is>
      </c>
      <c r="D87" s="151">
        <f>IFERROR(XLOOKUP(C87, '11_Master_Data'!$A:$A, '11_Master_Data'!$B:$B, "KHÔNG CÓ MÃ NV"), "KHÔNG CÓ MÃ NV")</f>
        <v/>
      </c>
      <c r="E87" s="150" t="inlineStr">
        <is>
          <t>C3</t>
        </is>
      </c>
      <c r="F87" s="152" t="n">
        <v>1</v>
      </c>
      <c r="G87" s="152" t="n">
        <v>8</v>
      </c>
      <c r="H87" s="152" t="n">
        <v>2</v>
      </c>
      <c r="I87" s="152" t="n">
        <v>0</v>
      </c>
      <c r="J87" s="152" t="n">
        <v>0</v>
      </c>
      <c r="K87" s="152" t="n">
        <v>8</v>
      </c>
      <c r="L87" s="152" t="n">
        <v>0</v>
      </c>
      <c r="M87" s="152" t="n">
        <v>0</v>
      </c>
      <c r="N87" s="152" t="n">
        <v>0</v>
      </c>
      <c r="O87" s="152">
        <f>SUM(H87:J87, L87:N87)</f>
        <v/>
      </c>
      <c r="P87" s="153" t="n">
        <v>55000</v>
      </c>
      <c r="Q87" s="152" t="n">
        <v>0</v>
      </c>
      <c r="R87" s="151" t="inlineStr">
        <is>
          <t>Đảm bảo tiến độ sản xuất</t>
        </is>
      </c>
      <c r="S87" s="150" t="inlineStr">
        <is>
          <t>CÓ</t>
        </is>
      </c>
      <c r="T87" s="150" t="inlineStr">
        <is>
          <t>ĐÃ DUYỆT</t>
        </is>
      </c>
      <c r="U87" s="151" t="inlineStr">
        <is>
          <t>Quản Đốc Trần Đức Minh</t>
        </is>
      </c>
      <c r="V87" s="150" t="inlineStr">
        <is>
          <t>2026-08-07 16:30</t>
        </is>
      </c>
      <c r="W87" s="150" t="inlineStr">
        <is>
          <t>CC-202608-NV12-07</t>
        </is>
      </c>
      <c r="X87" s="150">
        <f>IFS(C87="", "THIẾU MÃ NV", COUNTIFS(A:A, A87, C:C, C87)&gt;1, "TRÙNG NHÂN VIÊN/NGÀY", O87&gt;4, "VƯỢT 4 GIỜ/NGÀY", AND(O87&gt;0, S87&lt;&gt;"CÓ"), "CHƯA ĐĂNG KÝ TC", AND(O87&gt;0, T87&lt;&gt;"ĐÃ DUYỆT"), "CHƯA DUYỆT TC", AND(T87="ĐÃ DUYỆT", U87=""), "THIẾU NGƯỜI DUYỆT", TRUE, "HỢP LỆ")</f>
        <v/>
      </c>
    </row>
    <row r="88">
      <c r="A88" s="146" t="inlineStr">
        <is>
          <t>2026-08-07</t>
        </is>
      </c>
      <c r="B88" s="146">
        <f>DATE(YEAR(A88), MONTH(A88), 1)</f>
        <v/>
      </c>
      <c r="C88" s="146" t="inlineStr">
        <is>
          <t>NV13</t>
        </is>
      </c>
      <c r="D88" s="147">
        <f>IFERROR(XLOOKUP(C88, '11_Master_Data'!$A:$A, '11_Master_Data'!$B:$B, "KHÔNG CÓ MÃ NV"), "KHÔNG CÓ MÃ NV")</f>
        <v/>
      </c>
      <c r="E88" s="146" t="inlineStr">
        <is>
          <t>C1</t>
        </is>
      </c>
      <c r="F88" s="148" t="n">
        <v>1</v>
      </c>
      <c r="G88" s="148" t="n">
        <v>8</v>
      </c>
      <c r="H88" s="148" t="n">
        <v>0</v>
      </c>
      <c r="I88" s="148" t="n">
        <v>0</v>
      </c>
      <c r="J88" s="148" t="n">
        <v>0</v>
      </c>
      <c r="K88" s="148" t="n">
        <v>0</v>
      </c>
      <c r="L88" s="148" t="n">
        <v>0</v>
      </c>
      <c r="M88" s="148" t="n">
        <v>0</v>
      </c>
      <c r="N88" s="148" t="n">
        <v>0</v>
      </c>
      <c r="O88" s="148">
        <f>SUM(H88:J88, L88:N88)</f>
        <v/>
      </c>
      <c r="P88" s="149" t="n">
        <v>30000</v>
      </c>
      <c r="Q88" s="148" t="n">
        <v>0</v>
      </c>
      <c r="R88" s="147" t="inlineStr"/>
      <c r="S88" s="146" t="inlineStr">
        <is>
          <t>KHÔNG</t>
        </is>
      </c>
      <c r="T88" s="146" t="inlineStr">
        <is>
          <t>ĐÃ DUYỆT</t>
        </is>
      </c>
      <c r="U88" s="147" t="inlineStr">
        <is>
          <t>Quản Đốc Trần Đức Minh</t>
        </is>
      </c>
      <c r="V88" s="146" t="inlineStr">
        <is>
          <t>2026-08-07 16:30</t>
        </is>
      </c>
      <c r="W88" s="146" t="inlineStr">
        <is>
          <t>CC-202608-NV13-07</t>
        </is>
      </c>
      <c r="X88" s="146">
        <f>IFS(C88="", "THIẾU MÃ NV", COUNTIFS(A:A, A88, C:C, C88)&gt;1, "TRÙNG NHÂN VIÊN/NGÀY", O88&gt;4, "VƯỢT 4 GIỜ/NGÀY", AND(O88&gt;0, S88&lt;&gt;"CÓ"), "CHƯA ĐĂNG KÝ TC", AND(O88&gt;0, T88&lt;&gt;"ĐÃ DUYỆT"), "CHƯA DUYỆT TC", AND(T88="ĐÃ DUYỆT", U88=""), "THIẾU NGƯỜI DUYỆT", TRUE, "HỢP LỆ")</f>
        <v/>
      </c>
    </row>
    <row r="89">
      <c r="A89" s="150" t="inlineStr">
        <is>
          <t>2026-08-07</t>
        </is>
      </c>
      <c r="B89" s="150">
        <f>DATE(YEAR(A89), MONTH(A89), 1)</f>
        <v/>
      </c>
      <c r="C89" s="150" t="inlineStr">
        <is>
          <t>NV14</t>
        </is>
      </c>
      <c r="D89" s="151">
        <f>IFERROR(XLOOKUP(C89, '11_Master_Data'!$A:$A, '11_Master_Data'!$B:$B, "KHÔNG CÓ MÃ NV"), "KHÔNG CÓ MÃ NV")</f>
        <v/>
      </c>
      <c r="E89" s="150" t="inlineStr">
        <is>
          <t>C3</t>
        </is>
      </c>
      <c r="F89" s="152" t="n">
        <v>1</v>
      </c>
      <c r="G89" s="152" t="n">
        <v>8</v>
      </c>
      <c r="H89" s="152" t="n">
        <v>2</v>
      </c>
      <c r="I89" s="152" t="n">
        <v>0</v>
      </c>
      <c r="J89" s="152" t="n">
        <v>0</v>
      </c>
      <c r="K89" s="152" t="n">
        <v>8</v>
      </c>
      <c r="L89" s="152" t="n">
        <v>0</v>
      </c>
      <c r="M89" s="152" t="n">
        <v>0</v>
      </c>
      <c r="N89" s="152" t="n">
        <v>0</v>
      </c>
      <c r="O89" s="152">
        <f>SUM(H89:J89, L89:N89)</f>
        <v/>
      </c>
      <c r="P89" s="153" t="n">
        <v>55000</v>
      </c>
      <c r="Q89" s="152" t="n">
        <v>0</v>
      </c>
      <c r="R89" s="151" t="inlineStr">
        <is>
          <t>Đảm bảo tiến độ sản xuất</t>
        </is>
      </c>
      <c r="S89" s="150" t="inlineStr">
        <is>
          <t>CÓ</t>
        </is>
      </c>
      <c r="T89" s="150" t="inlineStr">
        <is>
          <t>ĐÃ DUYỆT</t>
        </is>
      </c>
      <c r="U89" s="151" t="inlineStr">
        <is>
          <t>Quản Đốc Trần Đức Minh</t>
        </is>
      </c>
      <c r="V89" s="150" t="inlineStr">
        <is>
          <t>2026-08-07 16:30</t>
        </is>
      </c>
      <c r="W89" s="150" t="inlineStr">
        <is>
          <t>CC-202608-NV14-07</t>
        </is>
      </c>
      <c r="X89" s="150">
        <f>IFS(C89="", "THIẾU MÃ NV", COUNTIFS(A:A, A89, C:C, C89)&gt;1, "TRÙNG NHÂN VIÊN/NGÀY", O89&gt;4, "VƯỢT 4 GIỜ/NGÀY", AND(O89&gt;0, S89&lt;&gt;"CÓ"), "CHƯA ĐĂNG KÝ TC", AND(O89&gt;0, T89&lt;&gt;"ĐÃ DUYỆT"), "CHƯA DUYỆT TC", AND(T89="ĐÃ DUYỆT", U89=""), "THIẾU NGƯỜI DUYỆT", TRUE, "HỢP LỆ")</f>
        <v/>
      </c>
    </row>
    <row r="90">
      <c r="A90" s="146" t="inlineStr">
        <is>
          <t>2026-08-07</t>
        </is>
      </c>
      <c r="B90" s="146">
        <f>DATE(YEAR(A90), MONTH(A90), 1)</f>
        <v/>
      </c>
      <c r="C90" s="146" t="inlineStr">
        <is>
          <t>NV15</t>
        </is>
      </c>
      <c r="D90" s="147">
        <f>IFERROR(XLOOKUP(C90, '11_Master_Data'!$A:$A, '11_Master_Data'!$B:$B, "KHÔNG CÓ MÃ NV"), "KHÔNG CÓ MÃ NV")</f>
        <v/>
      </c>
      <c r="E90" s="146" t="inlineStr">
        <is>
          <t>C2</t>
        </is>
      </c>
      <c r="F90" s="148" t="n">
        <v>1</v>
      </c>
      <c r="G90" s="148" t="n">
        <v>8</v>
      </c>
      <c r="H90" s="148" t="n">
        <v>2</v>
      </c>
      <c r="I90" s="148" t="n">
        <v>0</v>
      </c>
      <c r="J90" s="148" t="n">
        <v>0</v>
      </c>
      <c r="K90" s="148" t="n">
        <v>0</v>
      </c>
      <c r="L90" s="148" t="n">
        <v>0</v>
      </c>
      <c r="M90" s="148" t="n">
        <v>0</v>
      </c>
      <c r="N90" s="148" t="n">
        <v>0</v>
      </c>
      <c r="O90" s="148">
        <f>SUM(H90:J90, L90:N90)</f>
        <v/>
      </c>
      <c r="P90" s="149" t="n">
        <v>55000</v>
      </c>
      <c r="Q90" s="148" t="n">
        <v>0</v>
      </c>
      <c r="R90" s="147" t="inlineStr">
        <is>
          <t>Đảm bảo tiến độ sản xuất</t>
        </is>
      </c>
      <c r="S90" s="146" t="inlineStr">
        <is>
          <t>CÓ</t>
        </is>
      </c>
      <c r="T90" s="146" t="inlineStr">
        <is>
          <t>ĐÃ DUYỆT</t>
        </is>
      </c>
      <c r="U90" s="147" t="inlineStr">
        <is>
          <t>Quản Đốc Trần Đức Minh</t>
        </is>
      </c>
      <c r="V90" s="146" t="inlineStr">
        <is>
          <t>2026-08-07 16:30</t>
        </is>
      </c>
      <c r="W90" s="146" t="inlineStr">
        <is>
          <t>CC-202608-NV15-07</t>
        </is>
      </c>
      <c r="X90" s="146">
        <f>IFS(C90="", "THIẾU MÃ NV", COUNTIFS(A:A, A90, C:C, C90)&gt;1, "TRÙNG NHÂN VIÊN/NGÀY", O90&gt;4, "VƯỢT 4 GIỜ/NGÀY", AND(O90&gt;0, S90&lt;&gt;"CÓ"), "CHƯA ĐĂNG KÝ TC", AND(O90&gt;0, T90&lt;&gt;"ĐÃ DUYỆT"), "CHƯA DUYỆT TC", AND(T90="ĐÃ DUYỆT", U90=""), "THIẾU NGƯỜI DUYỆT", TRUE, "HỢP LỆ")</f>
        <v/>
      </c>
    </row>
    <row r="91">
      <c r="A91" s="150" t="inlineStr">
        <is>
          <t>2026-08-08</t>
        </is>
      </c>
      <c r="B91" s="150">
        <f>DATE(YEAR(A91), MONTH(A91), 1)</f>
        <v/>
      </c>
      <c r="C91" s="150" t="inlineStr">
        <is>
          <t>NV01</t>
        </is>
      </c>
      <c r="D91" s="151">
        <f>IFERROR(XLOOKUP(C91, '11_Master_Data'!$A:$A, '11_Master_Data'!$B:$B, "KHÔNG CÓ MÃ NV"), "KHÔNG CÓ MÃ NV")</f>
        <v/>
      </c>
      <c r="E91" s="150" t="inlineStr">
        <is>
          <t>C1</t>
        </is>
      </c>
      <c r="F91" s="152" t="n">
        <v>1</v>
      </c>
      <c r="G91" s="152" t="n">
        <v>8</v>
      </c>
      <c r="H91" s="152" t="n">
        <v>1</v>
      </c>
      <c r="I91" s="152" t="n">
        <v>0</v>
      </c>
      <c r="J91" s="152" t="n">
        <v>0</v>
      </c>
      <c r="K91" s="152" t="n">
        <v>0</v>
      </c>
      <c r="L91" s="152" t="n">
        <v>0</v>
      </c>
      <c r="M91" s="152" t="n">
        <v>0</v>
      </c>
      <c r="N91" s="152" t="n">
        <v>0</v>
      </c>
      <c r="O91" s="152">
        <f>SUM(H91:J91, L91:N91)</f>
        <v/>
      </c>
      <c r="P91" s="153" t="n">
        <v>55000</v>
      </c>
      <c r="Q91" s="152" t="n">
        <v>0</v>
      </c>
      <c r="R91" s="151" t="inlineStr">
        <is>
          <t>Đảm bảo tiến độ sản xuất</t>
        </is>
      </c>
      <c r="S91" s="150" t="inlineStr">
        <is>
          <t>CÓ</t>
        </is>
      </c>
      <c r="T91" s="150" t="inlineStr">
        <is>
          <t>ĐÃ DUYỆT</t>
        </is>
      </c>
      <c r="U91" s="151" t="inlineStr">
        <is>
          <t>Quản Đốc Trần Đức Minh</t>
        </is>
      </c>
      <c r="V91" s="150" t="inlineStr">
        <is>
          <t>2026-08-08 16:30</t>
        </is>
      </c>
      <c r="W91" s="150" t="inlineStr">
        <is>
          <t>CC-202608-NV01-08</t>
        </is>
      </c>
      <c r="X91" s="150">
        <f>IFS(C91="", "THIẾU MÃ NV", COUNTIFS(A:A, A91, C:C, C91)&gt;1, "TRÙNG NHÂN VIÊN/NGÀY", O91&gt;4, "VƯỢT 4 GIỜ/NGÀY", AND(O91&gt;0, S91&lt;&gt;"CÓ"), "CHƯA ĐĂNG KÝ TC", AND(O91&gt;0, T91&lt;&gt;"ĐÃ DUYỆT"), "CHƯA DUYỆT TC", AND(T91="ĐÃ DUYỆT", U91=""), "THIẾU NGƯỜI DUYỆT", TRUE, "HỢP LỆ")</f>
        <v/>
      </c>
    </row>
    <row r="92">
      <c r="A92" s="146" t="inlineStr">
        <is>
          <t>2026-08-08</t>
        </is>
      </c>
      <c r="B92" s="146">
        <f>DATE(YEAR(A92), MONTH(A92), 1)</f>
        <v/>
      </c>
      <c r="C92" s="146" t="inlineStr">
        <is>
          <t>NV02</t>
        </is>
      </c>
      <c r="D92" s="147">
        <f>IFERROR(XLOOKUP(C92, '11_Master_Data'!$A:$A, '11_Master_Data'!$B:$B, "KHÔNG CÓ MÃ NV"), "KHÔNG CÓ MÃ NV")</f>
        <v/>
      </c>
      <c r="E92" s="146" t="inlineStr">
        <is>
          <t>C2</t>
        </is>
      </c>
      <c r="F92" s="148" t="n">
        <v>1</v>
      </c>
      <c r="G92" s="148" t="n">
        <v>8</v>
      </c>
      <c r="H92" s="148" t="n">
        <v>2</v>
      </c>
      <c r="I92" s="148" t="n">
        <v>0</v>
      </c>
      <c r="J92" s="148" t="n">
        <v>0</v>
      </c>
      <c r="K92" s="148" t="n">
        <v>0</v>
      </c>
      <c r="L92" s="148" t="n">
        <v>0</v>
      </c>
      <c r="M92" s="148" t="n">
        <v>0</v>
      </c>
      <c r="N92" s="148" t="n">
        <v>0</v>
      </c>
      <c r="O92" s="148">
        <f>SUM(H92:J92, L92:N92)</f>
        <v/>
      </c>
      <c r="P92" s="149" t="n">
        <v>55000</v>
      </c>
      <c r="Q92" s="148" t="n">
        <v>0</v>
      </c>
      <c r="R92" s="147" t="inlineStr">
        <is>
          <t>Đảm bảo tiến độ sản xuất</t>
        </is>
      </c>
      <c r="S92" s="146" t="inlineStr">
        <is>
          <t>CÓ</t>
        </is>
      </c>
      <c r="T92" s="146" t="inlineStr">
        <is>
          <t>ĐÃ DUYỆT</t>
        </is>
      </c>
      <c r="U92" s="147" t="inlineStr">
        <is>
          <t>Quản Đốc Trần Đức Minh</t>
        </is>
      </c>
      <c r="V92" s="146" t="inlineStr">
        <is>
          <t>2026-08-08 16:30</t>
        </is>
      </c>
      <c r="W92" s="146" t="inlineStr">
        <is>
          <t>CC-202608-NV02-08</t>
        </is>
      </c>
      <c r="X92" s="146">
        <f>IFS(C92="", "THIẾU MÃ NV", COUNTIFS(A:A, A92, C:C, C92)&gt;1, "TRÙNG NHÂN VIÊN/NGÀY", O92&gt;4, "VƯỢT 4 GIỜ/NGÀY", AND(O92&gt;0, S92&lt;&gt;"CÓ"), "CHƯA ĐĂNG KÝ TC", AND(O92&gt;0, T92&lt;&gt;"ĐÃ DUYỆT"), "CHƯA DUYỆT TC", AND(T92="ĐÃ DUYỆT", U92=""), "THIẾU NGƯỜI DUYỆT", TRUE, "HỢP LỆ")</f>
        <v/>
      </c>
    </row>
    <row r="93">
      <c r="A93" s="150" t="inlineStr">
        <is>
          <t>2026-08-08</t>
        </is>
      </c>
      <c r="B93" s="150">
        <f>DATE(YEAR(A93), MONTH(A93), 1)</f>
        <v/>
      </c>
      <c r="C93" s="150" t="inlineStr">
        <is>
          <t>NV03</t>
        </is>
      </c>
      <c r="D93" s="151">
        <f>IFERROR(XLOOKUP(C93, '11_Master_Data'!$A:$A, '11_Master_Data'!$B:$B, "KHÔNG CÓ MÃ NV"), "KHÔNG CÓ MÃ NV")</f>
        <v/>
      </c>
      <c r="E93" s="150" t="inlineStr">
        <is>
          <t>C1</t>
        </is>
      </c>
      <c r="F93" s="152" t="n">
        <v>1</v>
      </c>
      <c r="G93" s="152" t="n">
        <v>8</v>
      </c>
      <c r="H93" s="152" t="n">
        <v>0</v>
      </c>
      <c r="I93" s="152" t="n">
        <v>0</v>
      </c>
      <c r="J93" s="152" t="n">
        <v>0</v>
      </c>
      <c r="K93" s="152" t="n">
        <v>0</v>
      </c>
      <c r="L93" s="152" t="n">
        <v>0</v>
      </c>
      <c r="M93" s="152" t="n">
        <v>0</v>
      </c>
      <c r="N93" s="152" t="n">
        <v>0</v>
      </c>
      <c r="O93" s="152">
        <f>SUM(H93:J93, L93:N93)</f>
        <v/>
      </c>
      <c r="P93" s="153" t="n">
        <v>30000</v>
      </c>
      <c r="Q93" s="152" t="n">
        <v>0</v>
      </c>
      <c r="R93" s="151" t="inlineStr"/>
      <c r="S93" s="150" t="inlineStr">
        <is>
          <t>KHÔNG</t>
        </is>
      </c>
      <c r="T93" s="150" t="inlineStr">
        <is>
          <t>ĐÃ DUYỆT</t>
        </is>
      </c>
      <c r="U93" s="151" t="inlineStr">
        <is>
          <t>Quản Đốc Trần Đức Minh</t>
        </is>
      </c>
      <c r="V93" s="150" t="inlineStr">
        <is>
          <t>2026-08-08 16:30</t>
        </is>
      </c>
      <c r="W93" s="150" t="inlineStr">
        <is>
          <t>CC-202608-NV03-08</t>
        </is>
      </c>
      <c r="X93" s="150">
        <f>IFS(C93="", "THIẾU MÃ NV", COUNTIFS(A:A, A93, C:C, C93)&gt;1, "TRÙNG NHÂN VIÊN/NGÀY", O93&gt;4, "VƯỢT 4 GIỜ/NGÀY", AND(O93&gt;0, S93&lt;&gt;"CÓ"), "CHƯA ĐĂNG KÝ TC", AND(O93&gt;0, T93&lt;&gt;"ĐÃ DUYỆT"), "CHƯA DUYỆT TC", AND(T93="ĐÃ DUYỆT", U93=""), "THIẾU NGƯỜI DUYỆT", TRUE, "HỢP LỆ")</f>
        <v/>
      </c>
    </row>
    <row r="94">
      <c r="A94" s="146" t="inlineStr">
        <is>
          <t>2026-08-08</t>
        </is>
      </c>
      <c r="B94" s="146">
        <f>DATE(YEAR(A94), MONTH(A94), 1)</f>
        <v/>
      </c>
      <c r="C94" s="146" t="inlineStr">
        <is>
          <t>NV04</t>
        </is>
      </c>
      <c r="D94" s="147">
        <f>IFERROR(XLOOKUP(C94, '11_Master_Data'!$A:$A, '11_Master_Data'!$B:$B, "KHÔNG CÓ MÃ NV"), "KHÔNG CÓ MÃ NV")</f>
        <v/>
      </c>
      <c r="E94" s="146" t="inlineStr">
        <is>
          <t>C1</t>
        </is>
      </c>
      <c r="F94" s="148" t="n">
        <v>0.5</v>
      </c>
      <c r="G94" s="148" t="n">
        <v>8</v>
      </c>
      <c r="H94" s="148" t="n">
        <v>0</v>
      </c>
      <c r="I94" s="148" t="n">
        <v>0</v>
      </c>
      <c r="J94" s="148" t="n">
        <v>0</v>
      </c>
      <c r="K94" s="148" t="n">
        <v>0</v>
      </c>
      <c r="L94" s="148" t="n">
        <v>0</v>
      </c>
      <c r="M94" s="148" t="n">
        <v>0</v>
      </c>
      <c r="N94" s="148" t="n">
        <v>0</v>
      </c>
      <c r="O94" s="148">
        <f>SUM(H94:J94, L94:N94)</f>
        <v/>
      </c>
      <c r="P94" s="149" t="n">
        <v>30000</v>
      </c>
      <c r="Q94" s="148" t="n">
        <v>0</v>
      </c>
      <c r="R94" s="147" t="inlineStr"/>
      <c r="S94" s="146" t="inlineStr">
        <is>
          <t>KHÔNG</t>
        </is>
      </c>
      <c r="T94" s="146" t="inlineStr">
        <is>
          <t>ĐÃ DUYỆT</t>
        </is>
      </c>
      <c r="U94" s="147" t="inlineStr">
        <is>
          <t>Quản Đốc Trần Đức Minh</t>
        </is>
      </c>
      <c r="V94" s="146" t="inlineStr">
        <is>
          <t>2026-08-08 16:30</t>
        </is>
      </c>
      <c r="W94" s="146" t="inlineStr">
        <is>
          <t>CC-202608-NV04-08</t>
        </is>
      </c>
      <c r="X94" s="146">
        <f>IFS(C94="", "THIẾU MÃ NV", COUNTIFS(A:A, A94, C:C, C94)&gt;1, "TRÙNG NHÂN VIÊN/NGÀY", O94&gt;4, "VƯỢT 4 GIỜ/NGÀY", AND(O94&gt;0, S94&lt;&gt;"CÓ"), "CHƯA ĐĂNG KÝ TC", AND(O94&gt;0, T94&lt;&gt;"ĐÃ DUYỆT"), "CHƯA DUYỆT TC", AND(T94="ĐÃ DUYỆT", U94=""), "THIẾU NGƯỜI DUYỆT", TRUE, "HỢP LỆ")</f>
        <v/>
      </c>
    </row>
    <row r="95">
      <c r="A95" s="150" t="inlineStr">
        <is>
          <t>2026-08-08</t>
        </is>
      </c>
      <c r="B95" s="150">
        <f>DATE(YEAR(A95), MONTH(A95), 1)</f>
        <v/>
      </c>
      <c r="C95" s="150" t="inlineStr">
        <is>
          <t>NV06</t>
        </is>
      </c>
      <c r="D95" s="151">
        <f>IFERROR(XLOOKUP(C95, '11_Master_Data'!$A:$A, '11_Master_Data'!$B:$B, "KHÔNG CÓ MÃ NV"), "KHÔNG CÓ MÃ NV")</f>
        <v/>
      </c>
      <c r="E95" s="150" t="inlineStr">
        <is>
          <t>C2</t>
        </is>
      </c>
      <c r="F95" s="152" t="n">
        <v>1</v>
      </c>
      <c r="G95" s="152" t="n">
        <v>8</v>
      </c>
      <c r="H95" s="152" t="n">
        <v>2</v>
      </c>
      <c r="I95" s="152" t="n">
        <v>0</v>
      </c>
      <c r="J95" s="152" t="n">
        <v>0</v>
      </c>
      <c r="K95" s="152" t="n">
        <v>0</v>
      </c>
      <c r="L95" s="152" t="n">
        <v>0</v>
      </c>
      <c r="M95" s="152" t="n">
        <v>0</v>
      </c>
      <c r="N95" s="152" t="n">
        <v>0</v>
      </c>
      <c r="O95" s="152">
        <f>SUM(H95:J95, L95:N95)</f>
        <v/>
      </c>
      <c r="P95" s="153" t="n">
        <v>55000</v>
      </c>
      <c r="Q95" s="152" t="n">
        <v>0</v>
      </c>
      <c r="R95" s="151" t="inlineStr">
        <is>
          <t>Đảm bảo tiến độ sản xuất</t>
        </is>
      </c>
      <c r="S95" s="150" t="inlineStr">
        <is>
          <t>CÓ</t>
        </is>
      </c>
      <c r="T95" s="150" t="inlineStr">
        <is>
          <t>ĐÃ DUYỆT</t>
        </is>
      </c>
      <c r="U95" s="151" t="inlineStr">
        <is>
          <t>Quản Đốc Trần Đức Minh</t>
        </is>
      </c>
      <c r="V95" s="150" t="inlineStr">
        <is>
          <t>2026-08-08 16:30</t>
        </is>
      </c>
      <c r="W95" s="150" t="inlineStr">
        <is>
          <t>CC-202608-NV06-08</t>
        </is>
      </c>
      <c r="X95" s="150">
        <f>IFS(C95="", "THIẾU MÃ NV", COUNTIFS(A:A, A95, C:C, C95)&gt;1, "TRÙNG NHÂN VIÊN/NGÀY", O95&gt;4, "VƯỢT 4 GIỜ/NGÀY", AND(O95&gt;0, S95&lt;&gt;"CÓ"), "CHƯA ĐĂNG KÝ TC", AND(O95&gt;0, T95&lt;&gt;"ĐÃ DUYỆT"), "CHƯA DUYỆT TC", AND(T95="ĐÃ DUYỆT", U95=""), "THIẾU NGƯỜI DUYỆT", TRUE, "HỢP LỆ")</f>
        <v/>
      </c>
    </row>
    <row r="96">
      <c r="A96" s="146" t="inlineStr">
        <is>
          <t>2026-08-08</t>
        </is>
      </c>
      <c r="B96" s="146">
        <f>DATE(YEAR(A96), MONTH(A96), 1)</f>
        <v/>
      </c>
      <c r="C96" s="146" t="inlineStr">
        <is>
          <t>NV07</t>
        </is>
      </c>
      <c r="D96" s="147">
        <f>IFERROR(XLOOKUP(C96, '11_Master_Data'!$A:$A, '11_Master_Data'!$B:$B, "KHÔNG CÓ MÃ NV"), "KHÔNG CÓ MÃ NV")</f>
        <v/>
      </c>
      <c r="E96" s="146" t="inlineStr">
        <is>
          <t>C3</t>
        </is>
      </c>
      <c r="F96" s="148" t="n">
        <v>1</v>
      </c>
      <c r="G96" s="148" t="n">
        <v>8</v>
      </c>
      <c r="H96" s="148" t="n">
        <v>2</v>
      </c>
      <c r="I96" s="148" t="n">
        <v>0</v>
      </c>
      <c r="J96" s="148" t="n">
        <v>0</v>
      </c>
      <c r="K96" s="148" t="n">
        <v>8</v>
      </c>
      <c r="L96" s="148" t="n">
        <v>0</v>
      </c>
      <c r="M96" s="148" t="n">
        <v>0</v>
      </c>
      <c r="N96" s="148" t="n">
        <v>0</v>
      </c>
      <c r="O96" s="148">
        <f>SUM(H96:J96, L96:N96)</f>
        <v/>
      </c>
      <c r="P96" s="149" t="n">
        <v>55000</v>
      </c>
      <c r="Q96" s="148" t="n">
        <v>0</v>
      </c>
      <c r="R96" s="147" t="inlineStr">
        <is>
          <t>Đảm bảo tiến độ sản xuất</t>
        </is>
      </c>
      <c r="S96" s="146" t="inlineStr">
        <is>
          <t>CÓ</t>
        </is>
      </c>
      <c r="T96" s="146" t="inlineStr">
        <is>
          <t>ĐÃ DUYỆT</t>
        </is>
      </c>
      <c r="U96" s="147" t="inlineStr">
        <is>
          <t>Quản Đốc Trần Đức Minh</t>
        </is>
      </c>
      <c r="V96" s="146" t="inlineStr">
        <is>
          <t>2026-08-08 16:30</t>
        </is>
      </c>
      <c r="W96" s="146" t="inlineStr">
        <is>
          <t>CC-202608-NV07-08</t>
        </is>
      </c>
      <c r="X96" s="146">
        <f>IFS(C96="", "THIẾU MÃ NV", COUNTIFS(A:A, A96, C:C, C96)&gt;1, "TRÙNG NHÂN VIÊN/NGÀY", O96&gt;4, "VƯỢT 4 GIỜ/NGÀY", AND(O96&gt;0, S96&lt;&gt;"CÓ"), "CHƯA ĐĂNG KÝ TC", AND(O96&gt;0, T96&lt;&gt;"ĐÃ DUYỆT"), "CHƯA DUYỆT TC", AND(T96="ĐÃ DUYỆT", U96=""), "THIẾU NGƯỜI DUYỆT", TRUE, "HỢP LỆ")</f>
        <v/>
      </c>
    </row>
    <row r="97">
      <c r="A97" s="150" t="inlineStr">
        <is>
          <t>2026-08-08</t>
        </is>
      </c>
      <c r="B97" s="150">
        <f>DATE(YEAR(A97), MONTH(A97), 1)</f>
        <v/>
      </c>
      <c r="C97" s="150" t="inlineStr">
        <is>
          <t>NV08</t>
        </is>
      </c>
      <c r="D97" s="151">
        <f>IFERROR(XLOOKUP(C97, '11_Master_Data'!$A:$A, '11_Master_Data'!$B:$B, "KHÔNG CÓ MÃ NV"), "KHÔNG CÓ MÃ NV")</f>
        <v/>
      </c>
      <c r="E97" s="150" t="inlineStr">
        <is>
          <t>C2</t>
        </is>
      </c>
      <c r="F97" s="152" t="n">
        <v>1</v>
      </c>
      <c r="G97" s="152" t="n">
        <v>8</v>
      </c>
      <c r="H97" s="152" t="n">
        <v>2</v>
      </c>
      <c r="I97" s="152" t="n">
        <v>0</v>
      </c>
      <c r="J97" s="152" t="n">
        <v>0</v>
      </c>
      <c r="K97" s="152" t="n">
        <v>0</v>
      </c>
      <c r="L97" s="152" t="n">
        <v>0</v>
      </c>
      <c r="M97" s="152" t="n">
        <v>0</v>
      </c>
      <c r="N97" s="152" t="n">
        <v>0</v>
      </c>
      <c r="O97" s="152">
        <f>SUM(H97:J97, L97:N97)</f>
        <v/>
      </c>
      <c r="P97" s="153" t="n">
        <v>55000</v>
      </c>
      <c r="Q97" s="152" t="n">
        <v>0</v>
      </c>
      <c r="R97" s="151" t="inlineStr">
        <is>
          <t>Đảm bảo tiến độ sản xuất</t>
        </is>
      </c>
      <c r="S97" s="150" t="inlineStr">
        <is>
          <t>CÓ</t>
        </is>
      </c>
      <c r="T97" s="150" t="inlineStr">
        <is>
          <t>ĐÃ DUYỆT</t>
        </is>
      </c>
      <c r="U97" s="151" t="inlineStr">
        <is>
          <t>Quản Đốc Trần Đức Minh</t>
        </is>
      </c>
      <c r="V97" s="150" t="inlineStr">
        <is>
          <t>2026-08-08 16:30</t>
        </is>
      </c>
      <c r="W97" s="150" t="inlineStr">
        <is>
          <t>CC-202608-NV08-08</t>
        </is>
      </c>
      <c r="X97" s="150">
        <f>IFS(C97="", "THIẾU MÃ NV", COUNTIFS(A:A, A97, C:C, C97)&gt;1, "TRÙNG NHÂN VIÊN/NGÀY", O97&gt;4, "VƯỢT 4 GIỜ/NGÀY", AND(O97&gt;0, S97&lt;&gt;"CÓ"), "CHƯA ĐĂNG KÝ TC", AND(O97&gt;0, T97&lt;&gt;"ĐÃ DUYỆT"), "CHƯA DUYỆT TC", AND(T97="ĐÃ DUYỆT", U97=""), "THIẾU NGƯỜI DUYỆT", TRUE, "HỢP LỆ")</f>
        <v/>
      </c>
    </row>
    <row r="98">
      <c r="A98" s="146" t="inlineStr">
        <is>
          <t>2026-08-08</t>
        </is>
      </c>
      <c r="B98" s="146">
        <f>DATE(YEAR(A98), MONTH(A98), 1)</f>
        <v/>
      </c>
      <c r="C98" s="146" t="inlineStr">
        <is>
          <t>NV10</t>
        </is>
      </c>
      <c r="D98" s="147">
        <f>IFERROR(XLOOKUP(C98, '11_Master_Data'!$A:$A, '11_Master_Data'!$B:$B, "KHÔNG CÓ MÃ NV"), "KHÔNG CÓ MÃ NV")</f>
        <v/>
      </c>
      <c r="E98" s="146" t="inlineStr">
        <is>
          <t>C1</t>
        </is>
      </c>
      <c r="F98" s="148" t="n">
        <v>1</v>
      </c>
      <c r="G98" s="148" t="n">
        <v>8</v>
      </c>
      <c r="H98" s="148" t="n">
        <v>2</v>
      </c>
      <c r="I98" s="148" t="n">
        <v>0</v>
      </c>
      <c r="J98" s="148" t="n">
        <v>0</v>
      </c>
      <c r="K98" s="148" t="n">
        <v>0</v>
      </c>
      <c r="L98" s="148" t="n">
        <v>0</v>
      </c>
      <c r="M98" s="148" t="n">
        <v>0</v>
      </c>
      <c r="N98" s="148" t="n">
        <v>0</v>
      </c>
      <c r="O98" s="148">
        <f>SUM(H98:J98, L98:N98)</f>
        <v/>
      </c>
      <c r="P98" s="149" t="n">
        <v>55000</v>
      </c>
      <c r="Q98" s="148" t="n">
        <v>0</v>
      </c>
      <c r="R98" s="147" t="inlineStr">
        <is>
          <t>Đảm bảo tiến độ sản xuất</t>
        </is>
      </c>
      <c r="S98" s="146" t="inlineStr">
        <is>
          <t>CÓ</t>
        </is>
      </c>
      <c r="T98" s="146" t="inlineStr">
        <is>
          <t>ĐÃ DUYỆT</t>
        </is>
      </c>
      <c r="U98" s="147" t="inlineStr">
        <is>
          <t>Quản Đốc Trần Đức Minh</t>
        </is>
      </c>
      <c r="V98" s="146" t="inlineStr">
        <is>
          <t>2026-08-08 16:30</t>
        </is>
      </c>
      <c r="W98" s="146" t="inlineStr">
        <is>
          <t>CC-202608-NV10-08</t>
        </is>
      </c>
      <c r="X98" s="146">
        <f>IFS(C98="", "THIẾU MÃ NV", COUNTIFS(A:A, A98, C:C, C98)&gt;1, "TRÙNG NHÂN VIÊN/NGÀY", O98&gt;4, "VƯỢT 4 GIỜ/NGÀY", AND(O98&gt;0, S98&lt;&gt;"CÓ"), "CHƯA ĐĂNG KÝ TC", AND(O98&gt;0, T98&lt;&gt;"ĐÃ DUYỆT"), "CHƯA DUYỆT TC", AND(T98="ĐÃ DUYỆT", U98=""), "THIẾU NGƯỜI DUYỆT", TRUE, "HỢP LỆ")</f>
        <v/>
      </c>
    </row>
    <row r="99">
      <c r="A99" s="150" t="inlineStr">
        <is>
          <t>2026-08-08</t>
        </is>
      </c>
      <c r="B99" s="150">
        <f>DATE(YEAR(A99), MONTH(A99), 1)</f>
        <v/>
      </c>
      <c r="C99" s="150" t="inlineStr">
        <is>
          <t>NV12</t>
        </is>
      </c>
      <c r="D99" s="151">
        <f>IFERROR(XLOOKUP(C99, '11_Master_Data'!$A:$A, '11_Master_Data'!$B:$B, "KHÔNG CÓ MÃ NV"), "KHÔNG CÓ MÃ NV")</f>
        <v/>
      </c>
      <c r="E99" s="150" t="inlineStr">
        <is>
          <t>C3</t>
        </is>
      </c>
      <c r="F99" s="152" t="n">
        <v>1</v>
      </c>
      <c r="G99" s="152" t="n">
        <v>8</v>
      </c>
      <c r="H99" s="152" t="n">
        <v>2</v>
      </c>
      <c r="I99" s="152" t="n">
        <v>0</v>
      </c>
      <c r="J99" s="152" t="n">
        <v>0</v>
      </c>
      <c r="K99" s="152" t="n">
        <v>8</v>
      </c>
      <c r="L99" s="152" t="n">
        <v>0</v>
      </c>
      <c r="M99" s="152" t="n">
        <v>0</v>
      </c>
      <c r="N99" s="152" t="n">
        <v>0</v>
      </c>
      <c r="O99" s="152">
        <f>SUM(H99:J99, L99:N99)</f>
        <v/>
      </c>
      <c r="P99" s="153" t="n">
        <v>55000</v>
      </c>
      <c r="Q99" s="152" t="n">
        <v>0</v>
      </c>
      <c r="R99" s="151" t="inlineStr">
        <is>
          <t>Đảm bảo tiến độ sản xuất</t>
        </is>
      </c>
      <c r="S99" s="150" t="inlineStr">
        <is>
          <t>CÓ</t>
        </is>
      </c>
      <c r="T99" s="150" t="inlineStr">
        <is>
          <t>ĐÃ DUYỆT</t>
        </is>
      </c>
      <c r="U99" s="151" t="inlineStr">
        <is>
          <t>Quản Đốc Trần Đức Minh</t>
        </is>
      </c>
      <c r="V99" s="150" t="inlineStr">
        <is>
          <t>2026-08-08 16:30</t>
        </is>
      </c>
      <c r="W99" s="150" t="inlineStr">
        <is>
          <t>CC-202608-NV12-08</t>
        </is>
      </c>
      <c r="X99" s="150">
        <f>IFS(C99="", "THIẾU MÃ NV", COUNTIFS(A:A, A99, C:C, C99)&gt;1, "TRÙNG NHÂN VIÊN/NGÀY", O99&gt;4, "VƯỢT 4 GIỜ/NGÀY", AND(O99&gt;0, S99&lt;&gt;"CÓ"), "CHƯA ĐĂNG KÝ TC", AND(O99&gt;0, T99&lt;&gt;"ĐÃ DUYỆT"), "CHƯA DUYỆT TC", AND(T99="ĐÃ DUYỆT", U99=""), "THIẾU NGƯỜI DUYỆT", TRUE, "HỢP LỆ")</f>
        <v/>
      </c>
    </row>
    <row r="100">
      <c r="A100" s="146" t="inlineStr">
        <is>
          <t>2026-08-08</t>
        </is>
      </c>
      <c r="B100" s="146">
        <f>DATE(YEAR(A100), MONTH(A100), 1)</f>
        <v/>
      </c>
      <c r="C100" s="146" t="inlineStr">
        <is>
          <t>NV13</t>
        </is>
      </c>
      <c r="D100" s="147">
        <f>IFERROR(XLOOKUP(C100, '11_Master_Data'!$A:$A, '11_Master_Data'!$B:$B, "KHÔNG CÓ MÃ NV"), "KHÔNG CÓ MÃ NV")</f>
        <v/>
      </c>
      <c r="E100" s="146" t="inlineStr">
        <is>
          <t>C1</t>
        </is>
      </c>
      <c r="F100" s="148" t="n">
        <v>1</v>
      </c>
      <c r="G100" s="148" t="n">
        <v>8</v>
      </c>
      <c r="H100" s="148" t="n">
        <v>0</v>
      </c>
      <c r="I100" s="148" t="n">
        <v>0</v>
      </c>
      <c r="J100" s="148" t="n">
        <v>0</v>
      </c>
      <c r="K100" s="148" t="n">
        <v>0</v>
      </c>
      <c r="L100" s="148" t="n">
        <v>0</v>
      </c>
      <c r="M100" s="148" t="n">
        <v>0</v>
      </c>
      <c r="N100" s="148" t="n">
        <v>0</v>
      </c>
      <c r="O100" s="148">
        <f>SUM(H100:J100, L100:N100)</f>
        <v/>
      </c>
      <c r="P100" s="149" t="n">
        <v>30000</v>
      </c>
      <c r="Q100" s="148" t="n">
        <v>0</v>
      </c>
      <c r="R100" s="147" t="inlineStr"/>
      <c r="S100" s="146" t="inlineStr">
        <is>
          <t>KHÔNG</t>
        </is>
      </c>
      <c r="T100" s="146" t="inlineStr">
        <is>
          <t>ĐÃ DUYỆT</t>
        </is>
      </c>
      <c r="U100" s="147" t="inlineStr">
        <is>
          <t>Quản Đốc Trần Đức Minh</t>
        </is>
      </c>
      <c r="V100" s="146" t="inlineStr">
        <is>
          <t>2026-08-08 16:30</t>
        </is>
      </c>
      <c r="W100" s="146" t="inlineStr">
        <is>
          <t>CC-202608-NV13-08</t>
        </is>
      </c>
      <c r="X100" s="146">
        <f>IFS(C100="", "THIẾU MÃ NV", COUNTIFS(A:A, A100, C:C, C100)&gt;1, "TRÙNG NHÂN VIÊN/NGÀY", O100&gt;4, "VƯỢT 4 GIỜ/NGÀY", AND(O100&gt;0, S100&lt;&gt;"CÓ"), "CHƯA ĐĂNG KÝ TC", AND(O100&gt;0, T100&lt;&gt;"ĐÃ DUYỆT"), "CHƯA DUYỆT TC", AND(T100="ĐÃ DUYỆT", U100=""), "THIẾU NGƯỜI DUYỆT", TRUE, "HỢP LỆ")</f>
        <v/>
      </c>
    </row>
    <row r="101">
      <c r="A101" s="150" t="inlineStr">
        <is>
          <t>2026-08-08</t>
        </is>
      </c>
      <c r="B101" s="150">
        <f>DATE(YEAR(A101), MONTH(A101), 1)</f>
        <v/>
      </c>
      <c r="C101" s="150" t="inlineStr">
        <is>
          <t>NV14</t>
        </is>
      </c>
      <c r="D101" s="151">
        <f>IFERROR(XLOOKUP(C101, '11_Master_Data'!$A:$A, '11_Master_Data'!$B:$B, "KHÔNG CÓ MÃ NV"), "KHÔNG CÓ MÃ NV")</f>
        <v/>
      </c>
      <c r="E101" s="150" t="inlineStr">
        <is>
          <t>C3</t>
        </is>
      </c>
      <c r="F101" s="152" t="n">
        <v>1</v>
      </c>
      <c r="G101" s="152" t="n">
        <v>8</v>
      </c>
      <c r="H101" s="152" t="n">
        <v>2</v>
      </c>
      <c r="I101" s="152" t="n">
        <v>0</v>
      </c>
      <c r="J101" s="152" t="n">
        <v>0</v>
      </c>
      <c r="K101" s="152" t="n">
        <v>8</v>
      </c>
      <c r="L101" s="152" t="n">
        <v>0</v>
      </c>
      <c r="M101" s="152" t="n">
        <v>0</v>
      </c>
      <c r="N101" s="152" t="n">
        <v>0</v>
      </c>
      <c r="O101" s="152">
        <f>SUM(H101:J101, L101:N101)</f>
        <v/>
      </c>
      <c r="P101" s="153" t="n">
        <v>55000</v>
      </c>
      <c r="Q101" s="152" t="n">
        <v>0</v>
      </c>
      <c r="R101" s="151" t="inlineStr">
        <is>
          <t>Đảm bảo tiến độ sản xuất</t>
        </is>
      </c>
      <c r="S101" s="150" t="inlineStr">
        <is>
          <t>CÓ</t>
        </is>
      </c>
      <c r="T101" s="150" t="inlineStr">
        <is>
          <t>ĐÃ DUYỆT</t>
        </is>
      </c>
      <c r="U101" s="151" t="inlineStr">
        <is>
          <t>Quản Đốc Trần Đức Minh</t>
        </is>
      </c>
      <c r="V101" s="150" t="inlineStr">
        <is>
          <t>2026-08-08 16:30</t>
        </is>
      </c>
      <c r="W101" s="150" t="inlineStr">
        <is>
          <t>CC-202608-NV14-08</t>
        </is>
      </c>
      <c r="X101" s="150">
        <f>IFS(C101="", "THIẾU MÃ NV", COUNTIFS(A:A, A101, C:C, C101)&gt;1, "TRÙNG NHÂN VIÊN/NGÀY", O101&gt;4, "VƯỢT 4 GIỜ/NGÀY", AND(O101&gt;0, S101&lt;&gt;"CÓ"), "CHƯA ĐĂNG KÝ TC", AND(O101&gt;0, T101&lt;&gt;"ĐÃ DUYỆT"), "CHƯA DUYỆT TC", AND(T101="ĐÃ DUYỆT", U101=""), "THIẾU NGƯỜI DUYỆT", TRUE, "HỢP LỆ")</f>
        <v/>
      </c>
    </row>
    <row r="102">
      <c r="A102" s="146" t="inlineStr">
        <is>
          <t>2026-08-08</t>
        </is>
      </c>
      <c r="B102" s="146">
        <f>DATE(YEAR(A102), MONTH(A102), 1)</f>
        <v/>
      </c>
      <c r="C102" s="146" t="inlineStr">
        <is>
          <t>NV15</t>
        </is>
      </c>
      <c r="D102" s="147">
        <f>IFERROR(XLOOKUP(C102, '11_Master_Data'!$A:$A, '11_Master_Data'!$B:$B, "KHÔNG CÓ MÃ NV"), "KHÔNG CÓ MÃ NV")</f>
        <v/>
      </c>
      <c r="E102" s="146" t="inlineStr">
        <is>
          <t>C2</t>
        </is>
      </c>
      <c r="F102" s="148" t="n">
        <v>1</v>
      </c>
      <c r="G102" s="148" t="n">
        <v>8</v>
      </c>
      <c r="H102" s="148" t="n">
        <v>2</v>
      </c>
      <c r="I102" s="148" t="n">
        <v>0</v>
      </c>
      <c r="J102" s="148" t="n">
        <v>0</v>
      </c>
      <c r="K102" s="148" t="n">
        <v>0</v>
      </c>
      <c r="L102" s="148" t="n">
        <v>0</v>
      </c>
      <c r="M102" s="148" t="n">
        <v>0</v>
      </c>
      <c r="N102" s="148" t="n">
        <v>0</v>
      </c>
      <c r="O102" s="148">
        <f>SUM(H102:J102, L102:N102)</f>
        <v/>
      </c>
      <c r="P102" s="149" t="n">
        <v>55000</v>
      </c>
      <c r="Q102" s="148" t="n">
        <v>0</v>
      </c>
      <c r="R102" s="147" t="inlineStr">
        <is>
          <t>Đảm bảo tiến độ sản xuất</t>
        </is>
      </c>
      <c r="S102" s="146" t="inlineStr">
        <is>
          <t>CÓ</t>
        </is>
      </c>
      <c r="T102" s="146" t="inlineStr">
        <is>
          <t>ĐÃ DUYỆT</t>
        </is>
      </c>
      <c r="U102" s="147" t="inlineStr">
        <is>
          <t>Quản Đốc Trần Đức Minh</t>
        </is>
      </c>
      <c r="V102" s="146" t="inlineStr">
        <is>
          <t>2026-08-08 16:30</t>
        </is>
      </c>
      <c r="W102" s="146" t="inlineStr">
        <is>
          <t>CC-202608-NV15-08</t>
        </is>
      </c>
      <c r="X102" s="146">
        <f>IFS(C102="", "THIẾU MÃ NV", COUNTIFS(A:A, A102, C:C, C102)&gt;1, "TRÙNG NHÂN VIÊN/NGÀY", O102&gt;4, "VƯỢT 4 GIỜ/NGÀY", AND(O102&gt;0, S102&lt;&gt;"CÓ"), "CHƯA ĐĂNG KÝ TC", AND(O102&gt;0, T102&lt;&gt;"ĐÃ DUYỆT"), "CHƯA DUYỆT TC", AND(T102="ĐÃ DUYỆT", U102=""), "THIẾU NGƯỜI DUYỆT", TRUE, "HỢP LỆ")</f>
        <v/>
      </c>
    </row>
    <row r="103">
      <c r="A103" s="150" t="inlineStr">
        <is>
          <t>2026-08-09</t>
        </is>
      </c>
      <c r="B103" s="150">
        <f>DATE(YEAR(A103), MONTH(A103), 1)</f>
        <v/>
      </c>
      <c r="C103" s="150" t="inlineStr">
        <is>
          <t>NV01</t>
        </is>
      </c>
      <c r="D103" s="151">
        <f>IFERROR(XLOOKUP(C103, '11_Master_Data'!$A:$A, '11_Master_Data'!$B:$B, "KHÔNG CÓ MÃ NV"), "KHÔNG CÓ MÃ NV")</f>
        <v/>
      </c>
      <c r="E103" s="150" t="inlineStr">
        <is>
          <t>C1</t>
        </is>
      </c>
      <c r="F103" s="152" t="n">
        <v>1</v>
      </c>
      <c r="G103" s="152" t="n">
        <v>8</v>
      </c>
      <c r="H103" s="152" t="n">
        <v>0</v>
      </c>
      <c r="I103" s="152" t="n">
        <v>0</v>
      </c>
      <c r="J103" s="152" t="n">
        <v>0</v>
      </c>
      <c r="K103" s="152" t="n">
        <v>0</v>
      </c>
      <c r="L103" s="152" t="n">
        <v>0</v>
      </c>
      <c r="M103" s="152" t="n">
        <v>0</v>
      </c>
      <c r="N103" s="152" t="n">
        <v>0</v>
      </c>
      <c r="O103" s="152">
        <f>SUM(H103:J103, L103:N103)</f>
        <v/>
      </c>
      <c r="P103" s="153" t="n">
        <v>30000</v>
      </c>
      <c r="Q103" s="152" t="n">
        <v>0</v>
      </c>
      <c r="R103" s="151" t="inlineStr"/>
      <c r="S103" s="150" t="inlineStr">
        <is>
          <t>KHÔNG</t>
        </is>
      </c>
      <c r="T103" s="150" t="inlineStr">
        <is>
          <t>ĐÃ DUYỆT</t>
        </is>
      </c>
      <c r="U103" s="151" t="inlineStr">
        <is>
          <t>Quản Đốc Trần Đức Minh</t>
        </is>
      </c>
      <c r="V103" s="150" t="inlineStr">
        <is>
          <t>2026-08-09 16:30</t>
        </is>
      </c>
      <c r="W103" s="150" t="inlineStr">
        <is>
          <t>CC-202608-NV01-09</t>
        </is>
      </c>
      <c r="X103" s="150">
        <f>IFS(C103="", "THIẾU MÃ NV", COUNTIFS(A:A, A103, C:C, C103)&gt;1, "TRÙNG NHÂN VIÊN/NGÀY", O103&gt;4, "VƯỢT 4 GIỜ/NGÀY", AND(O103&gt;0, S103&lt;&gt;"CÓ"), "CHƯA ĐĂNG KÝ TC", AND(O103&gt;0, T103&lt;&gt;"ĐÃ DUYỆT"), "CHƯA DUYỆT TC", AND(T103="ĐÃ DUYỆT", U103=""), "THIẾU NGƯỜI DUYỆT", TRUE, "HỢP LỆ")</f>
        <v/>
      </c>
    </row>
    <row r="104">
      <c r="A104" s="146" t="inlineStr">
        <is>
          <t>2026-08-09</t>
        </is>
      </c>
      <c r="B104" s="146">
        <f>DATE(YEAR(A104), MONTH(A104), 1)</f>
        <v/>
      </c>
      <c r="C104" s="146" t="inlineStr">
        <is>
          <t>NV02</t>
        </is>
      </c>
      <c r="D104" s="147">
        <f>IFERROR(XLOOKUP(C104, '11_Master_Data'!$A:$A, '11_Master_Data'!$B:$B, "KHÔNG CÓ MÃ NV"), "KHÔNG CÓ MÃ NV")</f>
        <v/>
      </c>
      <c r="E104" s="146" t="inlineStr">
        <is>
          <t>C3</t>
        </is>
      </c>
      <c r="F104" s="148" t="n">
        <v>1</v>
      </c>
      <c r="G104" s="148" t="n">
        <v>8</v>
      </c>
      <c r="H104" s="148" t="n">
        <v>0</v>
      </c>
      <c r="I104" s="148" t="n">
        <v>0</v>
      </c>
      <c r="J104" s="148" t="n">
        <v>0</v>
      </c>
      <c r="K104" s="148" t="n">
        <v>8</v>
      </c>
      <c r="L104" s="148" t="n">
        <v>0</v>
      </c>
      <c r="M104" s="148" t="n">
        <v>0</v>
      </c>
      <c r="N104" s="148" t="n">
        <v>0</v>
      </c>
      <c r="O104" s="148">
        <f>SUM(H104:J104, L104:N104)</f>
        <v/>
      </c>
      <c r="P104" s="149" t="n">
        <v>30000</v>
      </c>
      <c r="Q104" s="148" t="n">
        <v>0</v>
      </c>
      <c r="R104" s="147" t="inlineStr"/>
      <c r="S104" s="146" t="inlineStr">
        <is>
          <t>KHÔNG</t>
        </is>
      </c>
      <c r="T104" s="146" t="inlineStr">
        <is>
          <t>ĐÃ DUYỆT</t>
        </is>
      </c>
      <c r="U104" s="147" t="inlineStr">
        <is>
          <t>Quản Đốc Trần Đức Minh</t>
        </is>
      </c>
      <c r="V104" s="146" t="inlineStr">
        <is>
          <t>2026-08-09 16:30</t>
        </is>
      </c>
      <c r="W104" s="146" t="inlineStr">
        <is>
          <t>CC-202608-NV02-09</t>
        </is>
      </c>
      <c r="X104" s="146">
        <f>IFS(C104="", "THIẾU MÃ NV", COUNTIFS(A:A, A104, C:C, C104)&gt;1, "TRÙNG NHÂN VIÊN/NGÀY", O104&gt;4, "VƯỢT 4 GIỜ/NGÀY", AND(O104&gt;0, S104&lt;&gt;"CÓ"), "CHƯA ĐĂNG KÝ TC", AND(O104&gt;0, T104&lt;&gt;"ĐÃ DUYỆT"), "CHƯA DUYỆT TC", AND(T104="ĐÃ DUYỆT", U104=""), "THIẾU NGƯỜI DUYỆT", TRUE, "HỢP LỆ")</f>
        <v/>
      </c>
    </row>
    <row r="105">
      <c r="A105" s="150" t="inlineStr">
        <is>
          <t>2026-08-09</t>
        </is>
      </c>
      <c r="B105" s="150">
        <f>DATE(YEAR(A105), MONTH(A105), 1)</f>
        <v/>
      </c>
      <c r="C105" s="150" t="inlineStr">
        <is>
          <t>NV04</t>
        </is>
      </c>
      <c r="D105" s="151">
        <f>IFERROR(XLOOKUP(C105, '11_Master_Data'!$A:$A, '11_Master_Data'!$B:$B, "KHÔNG CÓ MÃ NV"), "KHÔNG CÓ MÃ NV")</f>
        <v/>
      </c>
      <c r="E105" s="150" t="inlineStr">
        <is>
          <t>C1</t>
        </is>
      </c>
      <c r="F105" s="152" t="n">
        <v>1</v>
      </c>
      <c r="G105" s="152" t="n">
        <v>8</v>
      </c>
      <c r="H105" s="152" t="n">
        <v>0</v>
      </c>
      <c r="I105" s="152" t="n">
        <v>0</v>
      </c>
      <c r="J105" s="152" t="n">
        <v>0</v>
      </c>
      <c r="K105" s="152" t="n">
        <v>0</v>
      </c>
      <c r="L105" s="152" t="n">
        <v>0</v>
      </c>
      <c r="M105" s="152" t="n">
        <v>0</v>
      </c>
      <c r="N105" s="152" t="n">
        <v>0</v>
      </c>
      <c r="O105" s="152">
        <f>SUM(H105:J105, L105:N105)</f>
        <v/>
      </c>
      <c r="P105" s="153" t="n">
        <v>30000</v>
      </c>
      <c r="Q105" s="152" t="n">
        <v>0</v>
      </c>
      <c r="R105" s="151" t="inlineStr"/>
      <c r="S105" s="150" t="inlineStr">
        <is>
          <t>KHÔNG</t>
        </is>
      </c>
      <c r="T105" s="150" t="inlineStr">
        <is>
          <t>ĐÃ DUYỆT</t>
        </is>
      </c>
      <c r="U105" s="151" t="inlineStr">
        <is>
          <t>Quản Đốc Trần Đức Minh</t>
        </is>
      </c>
      <c r="V105" s="150" t="inlineStr">
        <is>
          <t>2026-08-09 16:30</t>
        </is>
      </c>
      <c r="W105" s="150" t="inlineStr">
        <is>
          <t>CC-202608-NV04-09</t>
        </is>
      </c>
      <c r="X105" s="150">
        <f>IFS(C105="", "THIẾU MÃ NV", COUNTIFS(A:A, A105, C:C, C105)&gt;1, "TRÙNG NHÂN VIÊN/NGÀY", O105&gt;4, "VƯỢT 4 GIỜ/NGÀY", AND(O105&gt;0, S105&lt;&gt;"CÓ"), "CHƯA ĐĂNG KÝ TC", AND(O105&gt;0, T105&lt;&gt;"ĐÃ DUYỆT"), "CHƯA DUYỆT TC", AND(T105="ĐÃ DUYỆT", U105=""), "THIẾU NGƯỜI DUYỆT", TRUE, "HỢP LỆ")</f>
        <v/>
      </c>
    </row>
    <row r="106">
      <c r="A106" s="146" t="inlineStr">
        <is>
          <t>2026-08-09</t>
        </is>
      </c>
      <c r="B106" s="146">
        <f>DATE(YEAR(A106), MONTH(A106), 1)</f>
        <v/>
      </c>
      <c r="C106" s="146" t="inlineStr">
        <is>
          <t>NV08</t>
        </is>
      </c>
      <c r="D106" s="147">
        <f>IFERROR(XLOOKUP(C106, '11_Master_Data'!$A:$A, '11_Master_Data'!$B:$B, "KHÔNG CÓ MÃ NV"), "KHÔNG CÓ MÃ NV")</f>
        <v/>
      </c>
      <c r="E106" s="146" t="inlineStr">
        <is>
          <t>C1</t>
        </is>
      </c>
      <c r="F106" s="148" t="n">
        <v>1</v>
      </c>
      <c r="G106" s="148" t="n">
        <v>8</v>
      </c>
      <c r="H106" s="148" t="n">
        <v>0</v>
      </c>
      <c r="I106" s="148" t="n">
        <v>0</v>
      </c>
      <c r="J106" s="148" t="n">
        <v>0</v>
      </c>
      <c r="K106" s="148" t="n">
        <v>0</v>
      </c>
      <c r="L106" s="148" t="n">
        <v>0</v>
      </c>
      <c r="M106" s="148" t="n">
        <v>0</v>
      </c>
      <c r="N106" s="148" t="n">
        <v>0</v>
      </c>
      <c r="O106" s="148">
        <f>SUM(H106:J106, L106:N106)</f>
        <v/>
      </c>
      <c r="P106" s="149" t="n">
        <v>30000</v>
      </c>
      <c r="Q106" s="148" t="n">
        <v>0</v>
      </c>
      <c r="R106" s="147" t="inlineStr"/>
      <c r="S106" s="146" t="inlineStr">
        <is>
          <t>KHÔNG</t>
        </is>
      </c>
      <c r="T106" s="146" t="inlineStr">
        <is>
          <t>ĐÃ DUYỆT</t>
        </is>
      </c>
      <c r="U106" s="147" t="inlineStr">
        <is>
          <t>Quản Đốc Trần Đức Minh</t>
        </is>
      </c>
      <c r="V106" s="146" t="inlineStr">
        <is>
          <t>2026-08-09 16:30</t>
        </is>
      </c>
      <c r="W106" s="146" t="inlineStr">
        <is>
          <t>CC-202608-NV08-09</t>
        </is>
      </c>
      <c r="X106" s="146">
        <f>IFS(C106="", "THIẾU MÃ NV", COUNTIFS(A:A, A106, C:C, C106)&gt;1, "TRÙNG NHÂN VIÊN/NGÀY", O106&gt;4, "VƯỢT 4 GIỜ/NGÀY", AND(O106&gt;0, S106&lt;&gt;"CÓ"), "CHƯA ĐĂNG KÝ TC", AND(O106&gt;0, T106&lt;&gt;"ĐÃ DUYỆT"), "CHƯA DUYỆT TC", AND(T106="ĐÃ DUYỆT", U106=""), "THIẾU NGƯỜI DUYỆT", TRUE, "HỢP LỆ")</f>
        <v/>
      </c>
    </row>
    <row r="107">
      <c r="A107" s="150" t="inlineStr">
        <is>
          <t>2026-08-09</t>
        </is>
      </c>
      <c r="B107" s="150">
        <f>DATE(YEAR(A107), MONTH(A107), 1)</f>
        <v/>
      </c>
      <c r="C107" s="150" t="inlineStr">
        <is>
          <t>NV11</t>
        </is>
      </c>
      <c r="D107" s="151">
        <f>IFERROR(XLOOKUP(C107, '11_Master_Data'!$A:$A, '11_Master_Data'!$B:$B, "KHÔNG CÓ MÃ NV"), "KHÔNG CÓ MÃ NV")</f>
        <v/>
      </c>
      <c r="E107" s="150" t="inlineStr">
        <is>
          <t>C3</t>
        </is>
      </c>
      <c r="F107" s="152" t="n">
        <v>1</v>
      </c>
      <c r="G107" s="152" t="n">
        <v>8</v>
      </c>
      <c r="H107" s="152" t="n">
        <v>0</v>
      </c>
      <c r="I107" s="152" t="n">
        <v>0</v>
      </c>
      <c r="J107" s="152" t="n">
        <v>0</v>
      </c>
      <c r="K107" s="152" t="n">
        <v>8</v>
      </c>
      <c r="L107" s="152" t="n">
        <v>0</v>
      </c>
      <c r="M107" s="152" t="n">
        <v>0</v>
      </c>
      <c r="N107" s="152" t="n">
        <v>0</v>
      </c>
      <c r="O107" s="152">
        <f>SUM(H107:J107, L107:N107)</f>
        <v/>
      </c>
      <c r="P107" s="153" t="n">
        <v>30000</v>
      </c>
      <c r="Q107" s="152" t="n">
        <v>0</v>
      </c>
      <c r="R107" s="151" t="inlineStr"/>
      <c r="S107" s="150" t="inlineStr">
        <is>
          <t>KHÔNG</t>
        </is>
      </c>
      <c r="T107" s="150" t="inlineStr">
        <is>
          <t>ĐÃ DUYỆT</t>
        </is>
      </c>
      <c r="U107" s="151" t="inlineStr">
        <is>
          <t>Quản Đốc Trần Đức Minh</t>
        </is>
      </c>
      <c r="V107" s="150" t="inlineStr">
        <is>
          <t>2026-08-09 16:30</t>
        </is>
      </c>
      <c r="W107" s="150" t="inlineStr">
        <is>
          <t>CC-202608-NV11-09</t>
        </is>
      </c>
      <c r="X107" s="150">
        <f>IFS(C107="", "THIẾU MÃ NV", COUNTIFS(A:A, A107, C:C, C107)&gt;1, "TRÙNG NHÂN VIÊN/NGÀY", O107&gt;4, "VƯỢT 4 GIỜ/NGÀY", AND(O107&gt;0, S107&lt;&gt;"CÓ"), "CHƯA ĐĂNG KÝ TC", AND(O107&gt;0, T107&lt;&gt;"ĐÃ DUYỆT"), "CHƯA DUYỆT TC", AND(T107="ĐÃ DUYỆT", U107=""), "THIẾU NGƯỜI DUYỆT", TRUE, "HỢP LỆ")</f>
        <v/>
      </c>
    </row>
    <row r="108">
      <c r="A108" s="146" t="inlineStr">
        <is>
          <t>2026-08-09</t>
        </is>
      </c>
      <c r="B108" s="146">
        <f>DATE(YEAR(A108), MONTH(A108), 1)</f>
        <v/>
      </c>
      <c r="C108" s="146" t="inlineStr">
        <is>
          <t>NV14</t>
        </is>
      </c>
      <c r="D108" s="147">
        <f>IFERROR(XLOOKUP(C108, '11_Master_Data'!$A:$A, '11_Master_Data'!$B:$B, "KHÔNG CÓ MÃ NV"), "KHÔNG CÓ MÃ NV")</f>
        <v/>
      </c>
      <c r="E108" s="146" t="inlineStr">
        <is>
          <t>C2</t>
        </is>
      </c>
      <c r="F108" s="148" t="n">
        <v>1</v>
      </c>
      <c r="G108" s="148" t="n">
        <v>8</v>
      </c>
      <c r="H108" s="148" t="n">
        <v>0</v>
      </c>
      <c r="I108" s="148" t="n">
        <v>0</v>
      </c>
      <c r="J108" s="148" t="n">
        <v>0</v>
      </c>
      <c r="K108" s="148" t="n">
        <v>0</v>
      </c>
      <c r="L108" s="148" t="n">
        <v>0</v>
      </c>
      <c r="M108" s="148" t="n">
        <v>0</v>
      </c>
      <c r="N108" s="148" t="n">
        <v>0</v>
      </c>
      <c r="O108" s="148">
        <f>SUM(H108:J108, L108:N108)</f>
        <v/>
      </c>
      <c r="P108" s="149" t="n">
        <v>30000</v>
      </c>
      <c r="Q108" s="148" t="n">
        <v>0</v>
      </c>
      <c r="R108" s="147" t="inlineStr"/>
      <c r="S108" s="146" t="inlineStr">
        <is>
          <t>KHÔNG</t>
        </is>
      </c>
      <c r="T108" s="146" t="inlineStr">
        <is>
          <t>ĐÃ DUYỆT</t>
        </is>
      </c>
      <c r="U108" s="147" t="inlineStr">
        <is>
          <t>Quản Đốc Trần Đức Minh</t>
        </is>
      </c>
      <c r="V108" s="146" t="inlineStr">
        <is>
          <t>2026-08-09 16:30</t>
        </is>
      </c>
      <c r="W108" s="146" t="inlineStr">
        <is>
          <t>CC-202608-NV14-09</t>
        </is>
      </c>
      <c r="X108" s="146">
        <f>IFS(C108="", "THIẾU MÃ NV", COUNTIFS(A:A, A108, C:C, C108)&gt;1, "TRÙNG NHÂN VIÊN/NGÀY", O108&gt;4, "VƯỢT 4 GIỜ/NGÀY", AND(O108&gt;0, S108&lt;&gt;"CÓ"), "CHƯA ĐĂNG KÝ TC", AND(O108&gt;0, T108&lt;&gt;"ĐÃ DUYỆT"), "CHƯA DUYỆT TC", AND(T108="ĐÃ DUYỆT", U108=""), "THIẾU NGƯỜI DUYỆT", TRUE, "HỢP LỆ")</f>
        <v/>
      </c>
    </row>
    <row r="109">
      <c r="A109" s="150" t="inlineStr">
        <is>
          <t>2026-08-09</t>
        </is>
      </c>
      <c r="B109" s="150">
        <f>DATE(YEAR(A109), MONTH(A109), 1)</f>
        <v/>
      </c>
      <c r="C109" s="150" t="inlineStr">
        <is>
          <t>NV15</t>
        </is>
      </c>
      <c r="D109" s="151">
        <f>IFERROR(XLOOKUP(C109, '11_Master_Data'!$A:$A, '11_Master_Data'!$B:$B, "KHÔNG CÓ MÃ NV"), "KHÔNG CÓ MÃ NV")</f>
        <v/>
      </c>
      <c r="E109" s="150" t="inlineStr">
        <is>
          <t>C2</t>
        </is>
      </c>
      <c r="F109" s="152" t="n">
        <v>1</v>
      </c>
      <c r="G109" s="152" t="n">
        <v>8</v>
      </c>
      <c r="H109" s="152" t="n">
        <v>0</v>
      </c>
      <c r="I109" s="152" t="n">
        <v>0</v>
      </c>
      <c r="J109" s="152" t="n">
        <v>0</v>
      </c>
      <c r="K109" s="152" t="n">
        <v>0</v>
      </c>
      <c r="L109" s="152" t="n">
        <v>0</v>
      </c>
      <c r="M109" s="152" t="n">
        <v>0</v>
      </c>
      <c r="N109" s="152" t="n">
        <v>0</v>
      </c>
      <c r="O109" s="152">
        <f>SUM(H109:J109, L109:N109)</f>
        <v/>
      </c>
      <c r="P109" s="153" t="n">
        <v>30000</v>
      </c>
      <c r="Q109" s="152" t="n">
        <v>0</v>
      </c>
      <c r="R109" s="151" t="inlineStr"/>
      <c r="S109" s="150" t="inlineStr">
        <is>
          <t>KHÔNG</t>
        </is>
      </c>
      <c r="T109" s="150" t="inlineStr">
        <is>
          <t>ĐÃ DUYỆT</t>
        </is>
      </c>
      <c r="U109" s="151" t="inlineStr">
        <is>
          <t>Quản Đốc Trần Đức Minh</t>
        </is>
      </c>
      <c r="V109" s="150" t="inlineStr">
        <is>
          <t>2026-08-09 16:30</t>
        </is>
      </c>
      <c r="W109" s="150" t="inlineStr">
        <is>
          <t>CC-202608-NV15-09</t>
        </is>
      </c>
      <c r="X109" s="150">
        <f>IFS(C109="", "THIẾU MÃ NV", COUNTIFS(A:A, A109, C:C, C109)&gt;1, "TRÙNG NHÂN VIÊN/NGÀY", O109&gt;4, "VƯỢT 4 GIỜ/NGÀY", AND(O109&gt;0, S109&lt;&gt;"CÓ"), "CHƯA ĐĂNG KÝ TC", AND(O109&gt;0, T109&lt;&gt;"ĐÃ DUYỆT"), "CHƯA DUYỆT TC", AND(T109="ĐÃ DUYỆT", U109=""), "THIẾU NGƯỜI DUYỆT", TRUE, "HỢP LỆ")</f>
        <v/>
      </c>
    </row>
    <row r="110">
      <c r="A110" s="146" t="inlineStr">
        <is>
          <t>2026-08-10</t>
        </is>
      </c>
      <c r="B110" s="146">
        <f>DATE(YEAR(A110), MONTH(A110), 1)</f>
        <v/>
      </c>
      <c r="C110" s="146" t="inlineStr">
        <is>
          <t>NV01</t>
        </is>
      </c>
      <c r="D110" s="147">
        <f>IFERROR(XLOOKUP(C110, '11_Master_Data'!$A:$A, '11_Master_Data'!$B:$B, "KHÔNG CÓ MÃ NV"), "KHÔNG CÓ MÃ NV")</f>
        <v/>
      </c>
      <c r="E110" s="146" t="inlineStr">
        <is>
          <t>C1</t>
        </is>
      </c>
      <c r="F110" s="148" t="n">
        <v>1</v>
      </c>
      <c r="G110" s="148" t="n">
        <v>8</v>
      </c>
      <c r="H110" s="148" t="n">
        <v>0</v>
      </c>
      <c r="I110" s="148" t="n">
        <v>0</v>
      </c>
      <c r="J110" s="148" t="n">
        <v>0</v>
      </c>
      <c r="K110" s="148" t="n">
        <v>0</v>
      </c>
      <c r="L110" s="148" t="n">
        <v>0</v>
      </c>
      <c r="M110" s="148" t="n">
        <v>0</v>
      </c>
      <c r="N110" s="148" t="n">
        <v>0</v>
      </c>
      <c r="O110" s="148">
        <f>SUM(H110:J110, L110:N110)</f>
        <v/>
      </c>
      <c r="P110" s="149" t="n">
        <v>30000</v>
      </c>
      <c r="Q110" s="148" t="n">
        <v>0</v>
      </c>
      <c r="R110" s="147" t="inlineStr"/>
      <c r="S110" s="146" t="inlineStr">
        <is>
          <t>KHÔNG</t>
        </is>
      </c>
      <c r="T110" s="146" t="inlineStr">
        <is>
          <t>ĐÃ DUYỆT</t>
        </is>
      </c>
      <c r="U110" s="147" t="inlineStr">
        <is>
          <t>Quản Đốc Trần Đức Minh</t>
        </is>
      </c>
      <c r="V110" s="146" t="inlineStr">
        <is>
          <t>2026-08-10 16:30</t>
        </is>
      </c>
      <c r="W110" s="146" t="inlineStr">
        <is>
          <t>CC-202608-NV01-10</t>
        </is>
      </c>
      <c r="X110" s="146">
        <f>IFS(C110="", "THIẾU MÃ NV", COUNTIFS(A:A, A110, C:C, C110)&gt;1, "TRÙNG NHÂN VIÊN/NGÀY", O110&gt;4, "VƯỢT 4 GIỜ/NGÀY", AND(O110&gt;0, S110&lt;&gt;"CÓ"), "CHƯA ĐĂNG KÝ TC", AND(O110&gt;0, T110&lt;&gt;"ĐÃ DUYỆT"), "CHƯA DUYỆT TC", AND(T110="ĐÃ DUYỆT", U110=""), "THIẾU NGƯỜI DUYỆT", TRUE, "HỢP LỆ")</f>
        <v/>
      </c>
    </row>
    <row r="111">
      <c r="A111" s="150" t="inlineStr">
        <is>
          <t>2026-08-10</t>
        </is>
      </c>
      <c r="B111" s="150">
        <f>DATE(YEAR(A111), MONTH(A111), 1)</f>
        <v/>
      </c>
      <c r="C111" s="150" t="inlineStr">
        <is>
          <t>NV02</t>
        </is>
      </c>
      <c r="D111" s="151">
        <f>IFERROR(XLOOKUP(C111, '11_Master_Data'!$A:$A, '11_Master_Data'!$B:$B, "KHÔNG CÓ MÃ NV"), "KHÔNG CÓ MÃ NV")</f>
        <v/>
      </c>
      <c r="E111" s="150" t="inlineStr">
        <is>
          <t>C3</t>
        </is>
      </c>
      <c r="F111" s="152" t="n">
        <v>1</v>
      </c>
      <c r="G111" s="152" t="n">
        <v>8</v>
      </c>
      <c r="H111" s="152" t="n">
        <v>0</v>
      </c>
      <c r="I111" s="152" t="n">
        <v>0</v>
      </c>
      <c r="J111" s="152" t="n">
        <v>0</v>
      </c>
      <c r="K111" s="152" t="n">
        <v>8</v>
      </c>
      <c r="L111" s="152" t="n">
        <v>0</v>
      </c>
      <c r="M111" s="152" t="n">
        <v>0</v>
      </c>
      <c r="N111" s="152" t="n">
        <v>0</v>
      </c>
      <c r="O111" s="152">
        <f>SUM(H111:J111, L111:N111)</f>
        <v/>
      </c>
      <c r="P111" s="153" t="n">
        <v>30000</v>
      </c>
      <c r="Q111" s="152" t="n">
        <v>0</v>
      </c>
      <c r="R111" s="151" t="inlineStr"/>
      <c r="S111" s="150" t="inlineStr">
        <is>
          <t>KHÔNG</t>
        </is>
      </c>
      <c r="T111" s="150" t="inlineStr">
        <is>
          <t>ĐÃ DUYỆT</t>
        </is>
      </c>
      <c r="U111" s="151" t="inlineStr">
        <is>
          <t>Quản Đốc Trần Đức Minh</t>
        </is>
      </c>
      <c r="V111" s="150" t="inlineStr">
        <is>
          <t>2026-08-10 16:30</t>
        </is>
      </c>
      <c r="W111" s="150" t="inlineStr">
        <is>
          <t>CC-202608-NV02-10</t>
        </is>
      </c>
      <c r="X111" s="150">
        <f>IFS(C111="", "THIẾU MÃ NV", COUNTIFS(A:A, A111, C:C, C111)&gt;1, "TRÙNG NHÂN VIÊN/NGÀY", O111&gt;4, "VƯỢT 4 GIỜ/NGÀY", AND(O111&gt;0, S111&lt;&gt;"CÓ"), "CHƯA ĐĂNG KÝ TC", AND(O111&gt;0, T111&lt;&gt;"ĐÃ DUYỆT"), "CHƯA DUYỆT TC", AND(T111="ĐÃ DUYỆT", U111=""), "THIẾU NGƯỜI DUYỆT", TRUE, "HỢP LỆ")</f>
        <v/>
      </c>
    </row>
    <row r="112">
      <c r="A112" s="146" t="inlineStr">
        <is>
          <t>2026-08-10</t>
        </is>
      </c>
      <c r="B112" s="146">
        <f>DATE(YEAR(A112), MONTH(A112), 1)</f>
        <v/>
      </c>
      <c r="C112" s="146" t="inlineStr">
        <is>
          <t>NV03</t>
        </is>
      </c>
      <c r="D112" s="147">
        <f>IFERROR(XLOOKUP(C112, '11_Master_Data'!$A:$A, '11_Master_Data'!$B:$B, "KHÔNG CÓ MÃ NV"), "KHÔNG CÓ MÃ NV")</f>
        <v/>
      </c>
      <c r="E112" s="146" t="inlineStr">
        <is>
          <t>C1</t>
        </is>
      </c>
      <c r="F112" s="148" t="n">
        <v>1</v>
      </c>
      <c r="G112" s="148" t="n">
        <v>8</v>
      </c>
      <c r="H112" s="148" t="n">
        <v>0</v>
      </c>
      <c r="I112" s="148" t="n">
        <v>0</v>
      </c>
      <c r="J112" s="148" t="n">
        <v>0</v>
      </c>
      <c r="K112" s="148" t="n">
        <v>0</v>
      </c>
      <c r="L112" s="148" t="n">
        <v>0</v>
      </c>
      <c r="M112" s="148" t="n">
        <v>0</v>
      </c>
      <c r="N112" s="148" t="n">
        <v>0</v>
      </c>
      <c r="O112" s="148">
        <f>SUM(H112:J112, L112:N112)</f>
        <v/>
      </c>
      <c r="P112" s="149" t="n">
        <v>30000</v>
      </c>
      <c r="Q112" s="148" t="n">
        <v>0</v>
      </c>
      <c r="R112" s="147" t="inlineStr"/>
      <c r="S112" s="146" t="inlineStr">
        <is>
          <t>KHÔNG</t>
        </is>
      </c>
      <c r="T112" s="146" t="inlineStr">
        <is>
          <t>ĐÃ DUYỆT</t>
        </is>
      </c>
      <c r="U112" s="147" t="inlineStr">
        <is>
          <t>Quản Đốc Trần Đức Minh</t>
        </is>
      </c>
      <c r="V112" s="146" t="inlineStr">
        <is>
          <t>2026-08-10 16:30</t>
        </is>
      </c>
      <c r="W112" s="146" t="inlineStr">
        <is>
          <t>CC-202608-NV03-10</t>
        </is>
      </c>
      <c r="X112" s="146">
        <f>IFS(C112="", "THIẾU MÃ NV", COUNTIFS(A:A, A112, C:C, C112)&gt;1, "TRÙNG NHÂN VIÊN/NGÀY", O112&gt;4, "VƯỢT 4 GIỜ/NGÀY", AND(O112&gt;0, S112&lt;&gt;"CÓ"), "CHƯA ĐĂNG KÝ TC", AND(O112&gt;0, T112&lt;&gt;"ĐÃ DUYỆT"), "CHƯA DUYỆT TC", AND(T112="ĐÃ DUYỆT", U112=""), "THIẾU NGƯỜI DUYỆT", TRUE, "HỢP LỆ")</f>
        <v/>
      </c>
    </row>
    <row r="113">
      <c r="A113" s="150" t="inlineStr">
        <is>
          <t>2026-08-10</t>
        </is>
      </c>
      <c r="B113" s="150">
        <f>DATE(YEAR(A113), MONTH(A113), 1)</f>
        <v/>
      </c>
      <c r="C113" s="150" t="inlineStr">
        <is>
          <t>NV04</t>
        </is>
      </c>
      <c r="D113" s="151">
        <f>IFERROR(XLOOKUP(C113, '11_Master_Data'!$A:$A, '11_Master_Data'!$B:$B, "KHÔNG CÓ MÃ NV"), "KHÔNG CÓ MÃ NV")</f>
        <v/>
      </c>
      <c r="E113" s="150" t="inlineStr">
        <is>
          <t>C1</t>
        </is>
      </c>
      <c r="F113" s="152" t="n">
        <v>1</v>
      </c>
      <c r="G113" s="152" t="n">
        <v>8</v>
      </c>
      <c r="H113" s="152" t="n">
        <v>0</v>
      </c>
      <c r="I113" s="152" t="n">
        <v>0</v>
      </c>
      <c r="J113" s="152" t="n">
        <v>0</v>
      </c>
      <c r="K113" s="152" t="n">
        <v>0</v>
      </c>
      <c r="L113" s="152" t="n">
        <v>0</v>
      </c>
      <c r="M113" s="152" t="n">
        <v>0</v>
      </c>
      <c r="N113" s="152" t="n">
        <v>0</v>
      </c>
      <c r="O113" s="152">
        <f>SUM(H113:J113, L113:N113)</f>
        <v/>
      </c>
      <c r="P113" s="153" t="n">
        <v>30000</v>
      </c>
      <c r="Q113" s="152" t="n">
        <v>0</v>
      </c>
      <c r="R113" s="151" t="inlineStr"/>
      <c r="S113" s="150" t="inlineStr">
        <is>
          <t>KHÔNG</t>
        </is>
      </c>
      <c r="T113" s="150" t="inlineStr">
        <is>
          <t>ĐÃ DUYỆT</t>
        </is>
      </c>
      <c r="U113" s="151" t="inlineStr">
        <is>
          <t>Quản Đốc Trần Đức Minh</t>
        </is>
      </c>
      <c r="V113" s="150" t="inlineStr">
        <is>
          <t>2026-08-10 16:30</t>
        </is>
      </c>
      <c r="W113" s="150" t="inlineStr">
        <is>
          <t>CC-202608-NV04-10</t>
        </is>
      </c>
      <c r="X113" s="150">
        <f>IFS(C113="", "THIẾU MÃ NV", COUNTIFS(A:A, A113, C:C, C113)&gt;1, "TRÙNG NHÂN VIÊN/NGÀY", O113&gt;4, "VƯỢT 4 GIỜ/NGÀY", AND(O113&gt;0, S113&lt;&gt;"CÓ"), "CHƯA ĐĂNG KÝ TC", AND(O113&gt;0, T113&lt;&gt;"ĐÃ DUYỆT"), "CHƯA DUYỆT TC", AND(T113="ĐÃ DUYỆT", U113=""), "THIẾU NGƯỜI DUYỆT", TRUE, "HỢP LỆ")</f>
        <v/>
      </c>
    </row>
    <row r="114">
      <c r="A114" s="146" t="inlineStr">
        <is>
          <t>2026-08-10</t>
        </is>
      </c>
      <c r="B114" s="146">
        <f>DATE(YEAR(A114), MONTH(A114), 1)</f>
        <v/>
      </c>
      <c r="C114" s="146" t="inlineStr">
        <is>
          <t>NV06</t>
        </is>
      </c>
      <c r="D114" s="147">
        <f>IFERROR(XLOOKUP(C114, '11_Master_Data'!$A:$A, '11_Master_Data'!$B:$B, "KHÔNG CÓ MÃ NV"), "KHÔNG CÓ MÃ NV")</f>
        <v/>
      </c>
      <c r="E114" s="146" t="inlineStr">
        <is>
          <t>C1</t>
        </is>
      </c>
      <c r="F114" s="148" t="n">
        <v>1</v>
      </c>
      <c r="G114" s="148" t="n">
        <v>8</v>
      </c>
      <c r="H114" s="148" t="n">
        <v>2</v>
      </c>
      <c r="I114" s="148" t="n">
        <v>0</v>
      </c>
      <c r="J114" s="148" t="n">
        <v>0</v>
      </c>
      <c r="K114" s="148" t="n">
        <v>0</v>
      </c>
      <c r="L114" s="148" t="n">
        <v>0</v>
      </c>
      <c r="M114" s="148" t="n">
        <v>0</v>
      </c>
      <c r="N114" s="148" t="n">
        <v>0</v>
      </c>
      <c r="O114" s="148">
        <f>SUM(H114:J114, L114:N114)</f>
        <v/>
      </c>
      <c r="P114" s="149" t="n">
        <v>55000</v>
      </c>
      <c r="Q114" s="148" t="n">
        <v>0</v>
      </c>
      <c r="R114" s="147" t="inlineStr">
        <is>
          <t>Đảm bảo tiến độ sản xuất</t>
        </is>
      </c>
      <c r="S114" s="146" t="inlineStr">
        <is>
          <t>CÓ</t>
        </is>
      </c>
      <c r="T114" s="146" t="inlineStr">
        <is>
          <t>ĐÃ DUYỆT</t>
        </is>
      </c>
      <c r="U114" s="147" t="inlineStr">
        <is>
          <t>Quản Đốc Trần Đức Minh</t>
        </is>
      </c>
      <c r="V114" s="146" t="inlineStr">
        <is>
          <t>2026-08-10 16:30</t>
        </is>
      </c>
      <c r="W114" s="146" t="inlineStr">
        <is>
          <t>CC-202608-NV06-10</t>
        </is>
      </c>
      <c r="X114" s="146">
        <f>IFS(C114="", "THIẾU MÃ NV", COUNTIFS(A:A, A114, C:C, C114)&gt;1, "TRÙNG NHÂN VIÊN/NGÀY", O114&gt;4, "VƯỢT 4 GIỜ/NGÀY", AND(O114&gt;0, S114&lt;&gt;"CÓ"), "CHƯA ĐĂNG KÝ TC", AND(O114&gt;0, T114&lt;&gt;"ĐÃ DUYỆT"), "CHƯA DUYỆT TC", AND(T114="ĐÃ DUYỆT", U114=""), "THIẾU NGƯỜI DUYỆT", TRUE, "HỢP LỆ")</f>
        <v/>
      </c>
    </row>
    <row r="115">
      <c r="A115" s="150" t="inlineStr">
        <is>
          <t>2026-08-10</t>
        </is>
      </c>
      <c r="B115" s="150">
        <f>DATE(YEAR(A115), MONTH(A115), 1)</f>
        <v/>
      </c>
      <c r="C115" s="150" t="inlineStr">
        <is>
          <t>NV07</t>
        </is>
      </c>
      <c r="D115" s="151">
        <f>IFERROR(XLOOKUP(C115, '11_Master_Data'!$A:$A, '11_Master_Data'!$B:$B, "KHÔNG CÓ MÃ NV"), "KHÔNG CÓ MÃ NV")</f>
        <v/>
      </c>
      <c r="E115" s="150" t="inlineStr">
        <is>
          <t>C2</t>
        </is>
      </c>
      <c r="F115" s="152" t="n">
        <v>1</v>
      </c>
      <c r="G115" s="152" t="n">
        <v>8</v>
      </c>
      <c r="H115" s="152" t="n">
        <v>0</v>
      </c>
      <c r="I115" s="152" t="n">
        <v>0</v>
      </c>
      <c r="J115" s="152" t="n">
        <v>0</v>
      </c>
      <c r="K115" s="152" t="n">
        <v>0</v>
      </c>
      <c r="L115" s="152" t="n">
        <v>0</v>
      </c>
      <c r="M115" s="152" t="n">
        <v>0</v>
      </c>
      <c r="N115" s="152" t="n">
        <v>0</v>
      </c>
      <c r="O115" s="152">
        <f>SUM(H115:J115, L115:N115)</f>
        <v/>
      </c>
      <c r="P115" s="153" t="n">
        <v>30000</v>
      </c>
      <c r="Q115" s="152" t="n">
        <v>0</v>
      </c>
      <c r="R115" s="151" t="inlineStr"/>
      <c r="S115" s="150" t="inlineStr">
        <is>
          <t>KHÔNG</t>
        </is>
      </c>
      <c r="T115" s="150" t="inlineStr">
        <is>
          <t>ĐÃ DUYỆT</t>
        </is>
      </c>
      <c r="U115" s="151" t="inlineStr">
        <is>
          <t>Quản Đốc Trần Đức Minh</t>
        </is>
      </c>
      <c r="V115" s="150" t="inlineStr">
        <is>
          <t>2026-08-10 16:30</t>
        </is>
      </c>
      <c r="W115" s="150" t="inlineStr">
        <is>
          <t>CC-202608-NV07-10</t>
        </is>
      </c>
      <c r="X115" s="150">
        <f>IFS(C115="", "THIẾU MÃ NV", COUNTIFS(A:A, A115, C:C, C115)&gt;1, "TRÙNG NHÂN VIÊN/NGÀY", O115&gt;4, "VƯỢT 4 GIỜ/NGÀY", AND(O115&gt;0, S115&lt;&gt;"CÓ"), "CHƯA ĐĂNG KÝ TC", AND(O115&gt;0, T115&lt;&gt;"ĐÃ DUYỆT"), "CHƯA DUYỆT TC", AND(T115="ĐÃ DUYỆT", U115=""), "THIẾU NGƯỜI DUYỆT", TRUE, "HỢP LỆ")</f>
        <v/>
      </c>
    </row>
    <row r="116">
      <c r="A116" s="146" t="inlineStr">
        <is>
          <t>2026-08-10</t>
        </is>
      </c>
      <c r="B116" s="146">
        <f>DATE(YEAR(A116), MONTH(A116), 1)</f>
        <v/>
      </c>
      <c r="C116" s="146" t="inlineStr">
        <is>
          <t>NV08</t>
        </is>
      </c>
      <c r="D116" s="147">
        <f>IFERROR(XLOOKUP(C116, '11_Master_Data'!$A:$A, '11_Master_Data'!$B:$B, "KHÔNG CÓ MÃ NV"), "KHÔNG CÓ MÃ NV")</f>
        <v/>
      </c>
      <c r="E116" s="146" t="inlineStr">
        <is>
          <t>C1</t>
        </is>
      </c>
      <c r="F116" s="148" t="n">
        <v>1</v>
      </c>
      <c r="G116" s="148" t="n">
        <v>8</v>
      </c>
      <c r="H116" s="148" t="n">
        <v>2</v>
      </c>
      <c r="I116" s="148" t="n">
        <v>0</v>
      </c>
      <c r="J116" s="148" t="n">
        <v>0</v>
      </c>
      <c r="K116" s="148" t="n">
        <v>0</v>
      </c>
      <c r="L116" s="148" t="n">
        <v>0</v>
      </c>
      <c r="M116" s="148" t="n">
        <v>0</v>
      </c>
      <c r="N116" s="148" t="n">
        <v>0</v>
      </c>
      <c r="O116" s="148">
        <f>SUM(H116:J116, L116:N116)</f>
        <v/>
      </c>
      <c r="P116" s="149" t="n">
        <v>55000</v>
      </c>
      <c r="Q116" s="148" t="n">
        <v>0</v>
      </c>
      <c r="R116" s="147" t="inlineStr">
        <is>
          <t>Đảm bảo tiến độ sản xuất</t>
        </is>
      </c>
      <c r="S116" s="146" t="inlineStr">
        <is>
          <t>CÓ</t>
        </is>
      </c>
      <c r="T116" s="146" t="inlineStr">
        <is>
          <t>ĐÃ DUYỆT</t>
        </is>
      </c>
      <c r="U116" s="147" t="inlineStr">
        <is>
          <t>Quản Đốc Trần Đức Minh</t>
        </is>
      </c>
      <c r="V116" s="146" t="inlineStr">
        <is>
          <t>2026-08-10 16:30</t>
        </is>
      </c>
      <c r="W116" s="146" t="inlineStr">
        <is>
          <t>CC-202608-NV08-10</t>
        </is>
      </c>
      <c r="X116" s="146">
        <f>IFS(C116="", "THIẾU MÃ NV", COUNTIFS(A:A, A116, C:C, C116)&gt;1, "TRÙNG NHÂN VIÊN/NGÀY", O116&gt;4, "VƯỢT 4 GIỜ/NGÀY", AND(O116&gt;0, S116&lt;&gt;"CÓ"), "CHƯA ĐĂNG KÝ TC", AND(O116&gt;0, T116&lt;&gt;"ĐÃ DUYỆT"), "CHƯA DUYỆT TC", AND(T116="ĐÃ DUYỆT", U116=""), "THIẾU NGƯỜI DUYỆT", TRUE, "HỢP LỆ")</f>
        <v/>
      </c>
    </row>
    <row r="117">
      <c r="A117" s="150" t="inlineStr">
        <is>
          <t>2026-08-10</t>
        </is>
      </c>
      <c r="B117" s="150">
        <f>DATE(YEAR(A117), MONTH(A117), 1)</f>
        <v/>
      </c>
      <c r="C117" s="150" t="inlineStr">
        <is>
          <t>NV10</t>
        </is>
      </c>
      <c r="D117" s="151">
        <f>IFERROR(XLOOKUP(C117, '11_Master_Data'!$A:$A, '11_Master_Data'!$B:$B, "KHÔNG CÓ MÃ NV"), "KHÔNG CÓ MÃ NV")</f>
        <v/>
      </c>
      <c r="E117" s="150" t="inlineStr">
        <is>
          <t>C3</t>
        </is>
      </c>
      <c r="F117" s="152" t="n">
        <v>1</v>
      </c>
      <c r="G117" s="152" t="n">
        <v>8</v>
      </c>
      <c r="H117" s="152" t="n">
        <v>2</v>
      </c>
      <c r="I117" s="152" t="n">
        <v>0</v>
      </c>
      <c r="J117" s="152" t="n">
        <v>0</v>
      </c>
      <c r="K117" s="152" t="n">
        <v>8</v>
      </c>
      <c r="L117" s="152" t="n">
        <v>0</v>
      </c>
      <c r="M117" s="152" t="n">
        <v>0</v>
      </c>
      <c r="N117" s="152" t="n">
        <v>0</v>
      </c>
      <c r="O117" s="152">
        <f>SUM(H117:J117, L117:N117)</f>
        <v/>
      </c>
      <c r="P117" s="153" t="n">
        <v>55000</v>
      </c>
      <c r="Q117" s="152" t="n">
        <v>0</v>
      </c>
      <c r="R117" s="151" t="inlineStr">
        <is>
          <t>Đảm bảo tiến độ sản xuất</t>
        </is>
      </c>
      <c r="S117" s="150" t="inlineStr">
        <is>
          <t>CÓ</t>
        </is>
      </c>
      <c r="T117" s="150" t="inlineStr">
        <is>
          <t>ĐÃ DUYỆT</t>
        </is>
      </c>
      <c r="U117" s="151" t="inlineStr">
        <is>
          <t>Quản Đốc Trần Đức Minh</t>
        </is>
      </c>
      <c r="V117" s="150" t="inlineStr">
        <is>
          <t>2026-08-10 16:30</t>
        </is>
      </c>
      <c r="W117" s="150" t="inlineStr">
        <is>
          <t>CC-202608-NV10-10</t>
        </is>
      </c>
      <c r="X117" s="150">
        <f>IFS(C117="", "THIẾU MÃ NV", COUNTIFS(A:A, A117, C:C, C117)&gt;1, "TRÙNG NHÂN VIÊN/NGÀY", O117&gt;4, "VƯỢT 4 GIỜ/NGÀY", AND(O117&gt;0, S117&lt;&gt;"CÓ"), "CHƯA ĐĂNG KÝ TC", AND(O117&gt;0, T117&lt;&gt;"ĐÃ DUYỆT"), "CHƯA DUYỆT TC", AND(T117="ĐÃ DUYỆT", U117=""), "THIẾU NGƯỜI DUYỆT", TRUE, "HỢP LỆ")</f>
        <v/>
      </c>
    </row>
    <row r="118">
      <c r="A118" s="146" t="inlineStr">
        <is>
          <t>2026-08-10</t>
        </is>
      </c>
      <c r="B118" s="146">
        <f>DATE(YEAR(A118), MONTH(A118), 1)</f>
        <v/>
      </c>
      <c r="C118" s="146" t="inlineStr">
        <is>
          <t>NV11</t>
        </is>
      </c>
      <c r="D118" s="147">
        <f>IFERROR(XLOOKUP(C118, '11_Master_Data'!$A:$A, '11_Master_Data'!$B:$B, "KHÔNG CÓ MÃ NV"), "KHÔNG CÓ MÃ NV")</f>
        <v/>
      </c>
      <c r="E118" s="146" t="inlineStr">
        <is>
          <t>C3</t>
        </is>
      </c>
      <c r="F118" s="148" t="n">
        <v>1</v>
      </c>
      <c r="G118" s="148" t="n">
        <v>8</v>
      </c>
      <c r="H118" s="148" t="n">
        <v>0</v>
      </c>
      <c r="I118" s="148" t="n">
        <v>0</v>
      </c>
      <c r="J118" s="148" t="n">
        <v>0</v>
      </c>
      <c r="K118" s="148" t="n">
        <v>8</v>
      </c>
      <c r="L118" s="148" t="n">
        <v>0</v>
      </c>
      <c r="M118" s="148" t="n">
        <v>0</v>
      </c>
      <c r="N118" s="148" t="n">
        <v>0</v>
      </c>
      <c r="O118" s="148">
        <f>SUM(H118:J118, L118:N118)</f>
        <v/>
      </c>
      <c r="P118" s="149" t="n">
        <v>30000</v>
      </c>
      <c r="Q118" s="148" t="n">
        <v>0</v>
      </c>
      <c r="R118" s="147" t="inlineStr"/>
      <c r="S118" s="146" t="inlineStr">
        <is>
          <t>KHÔNG</t>
        </is>
      </c>
      <c r="T118" s="146" t="inlineStr">
        <is>
          <t>ĐÃ DUYỆT</t>
        </is>
      </c>
      <c r="U118" s="147" t="inlineStr">
        <is>
          <t>Quản Đốc Trần Đức Minh</t>
        </is>
      </c>
      <c r="V118" s="146" t="inlineStr">
        <is>
          <t>2026-08-10 16:30</t>
        </is>
      </c>
      <c r="W118" s="146" t="inlineStr">
        <is>
          <t>CC-202608-NV11-10</t>
        </is>
      </c>
      <c r="X118" s="146">
        <f>IFS(C118="", "THIẾU MÃ NV", COUNTIFS(A:A, A118, C:C, C118)&gt;1, "TRÙNG NHÂN VIÊN/NGÀY", O118&gt;4, "VƯỢT 4 GIỜ/NGÀY", AND(O118&gt;0, S118&lt;&gt;"CÓ"), "CHƯA ĐĂNG KÝ TC", AND(O118&gt;0, T118&lt;&gt;"ĐÃ DUYỆT"), "CHƯA DUYỆT TC", AND(T118="ĐÃ DUYỆT", U118=""), "THIẾU NGƯỜI DUYỆT", TRUE, "HỢP LỆ")</f>
        <v/>
      </c>
    </row>
    <row r="119">
      <c r="A119" s="150" t="inlineStr">
        <is>
          <t>2026-08-10</t>
        </is>
      </c>
      <c r="B119" s="150">
        <f>DATE(YEAR(A119), MONTH(A119), 1)</f>
        <v/>
      </c>
      <c r="C119" s="150" t="inlineStr">
        <is>
          <t>NV12</t>
        </is>
      </c>
      <c r="D119" s="151">
        <f>IFERROR(XLOOKUP(C119, '11_Master_Data'!$A:$A, '11_Master_Data'!$B:$B, "KHÔNG CÓ MÃ NV"), "KHÔNG CÓ MÃ NV")</f>
        <v/>
      </c>
      <c r="E119" s="150" t="inlineStr">
        <is>
          <t>C2</t>
        </is>
      </c>
      <c r="F119" s="152" t="n">
        <v>1</v>
      </c>
      <c r="G119" s="152" t="n">
        <v>8</v>
      </c>
      <c r="H119" s="152" t="n">
        <v>0</v>
      </c>
      <c r="I119" s="152" t="n">
        <v>0</v>
      </c>
      <c r="J119" s="152" t="n">
        <v>0</v>
      </c>
      <c r="K119" s="152" t="n">
        <v>0</v>
      </c>
      <c r="L119" s="152" t="n">
        <v>0</v>
      </c>
      <c r="M119" s="152" t="n">
        <v>0</v>
      </c>
      <c r="N119" s="152" t="n">
        <v>0</v>
      </c>
      <c r="O119" s="152">
        <f>SUM(H119:J119, L119:N119)</f>
        <v/>
      </c>
      <c r="P119" s="153" t="n">
        <v>30000</v>
      </c>
      <c r="Q119" s="152" t="n">
        <v>0</v>
      </c>
      <c r="R119" s="151" t="inlineStr"/>
      <c r="S119" s="150" t="inlineStr">
        <is>
          <t>KHÔNG</t>
        </is>
      </c>
      <c r="T119" s="150" t="inlineStr">
        <is>
          <t>ĐÃ DUYỆT</t>
        </is>
      </c>
      <c r="U119" s="151" t="inlineStr">
        <is>
          <t>Quản Đốc Trần Đức Minh</t>
        </is>
      </c>
      <c r="V119" s="150" t="inlineStr">
        <is>
          <t>2026-08-10 16:30</t>
        </is>
      </c>
      <c r="W119" s="150" t="inlineStr">
        <is>
          <t>CC-202608-NV12-10</t>
        </is>
      </c>
      <c r="X119" s="150">
        <f>IFS(C119="", "THIẾU MÃ NV", COUNTIFS(A:A, A119, C:C, C119)&gt;1, "TRÙNG NHÂN VIÊN/NGÀY", O119&gt;4, "VƯỢT 4 GIỜ/NGÀY", AND(O119&gt;0, S119&lt;&gt;"CÓ"), "CHƯA ĐĂNG KÝ TC", AND(O119&gt;0, T119&lt;&gt;"ĐÃ DUYỆT"), "CHƯA DUYỆT TC", AND(T119="ĐÃ DUYỆT", U119=""), "THIẾU NGƯỜI DUYỆT", TRUE, "HỢP LỆ")</f>
        <v/>
      </c>
    </row>
    <row r="120">
      <c r="A120" s="146" t="inlineStr">
        <is>
          <t>2026-08-10</t>
        </is>
      </c>
      <c r="B120" s="146">
        <f>DATE(YEAR(A120), MONTH(A120), 1)</f>
        <v/>
      </c>
      <c r="C120" s="146" t="inlineStr">
        <is>
          <t>NV13</t>
        </is>
      </c>
      <c r="D120" s="147">
        <f>IFERROR(XLOOKUP(C120, '11_Master_Data'!$A:$A, '11_Master_Data'!$B:$B, "KHÔNG CÓ MÃ NV"), "KHÔNG CÓ MÃ NV")</f>
        <v/>
      </c>
      <c r="E120" s="146" t="inlineStr">
        <is>
          <t>C2</t>
        </is>
      </c>
      <c r="F120" s="148" t="n">
        <v>1</v>
      </c>
      <c r="G120" s="148" t="n">
        <v>8</v>
      </c>
      <c r="H120" s="148" t="n">
        <v>0</v>
      </c>
      <c r="I120" s="148" t="n">
        <v>0</v>
      </c>
      <c r="J120" s="148" t="n">
        <v>0</v>
      </c>
      <c r="K120" s="148" t="n">
        <v>0</v>
      </c>
      <c r="L120" s="148" t="n">
        <v>0</v>
      </c>
      <c r="M120" s="148" t="n">
        <v>0</v>
      </c>
      <c r="N120" s="148" t="n">
        <v>0</v>
      </c>
      <c r="O120" s="148">
        <f>SUM(H120:J120, L120:N120)</f>
        <v/>
      </c>
      <c r="P120" s="149" t="n">
        <v>30000</v>
      </c>
      <c r="Q120" s="148" t="n">
        <v>0</v>
      </c>
      <c r="R120" s="147" t="inlineStr"/>
      <c r="S120" s="146" t="inlineStr">
        <is>
          <t>KHÔNG</t>
        </is>
      </c>
      <c r="T120" s="146" t="inlineStr">
        <is>
          <t>ĐÃ DUYỆT</t>
        </is>
      </c>
      <c r="U120" s="147" t="inlineStr">
        <is>
          <t>Quản Đốc Trần Đức Minh</t>
        </is>
      </c>
      <c r="V120" s="146" t="inlineStr">
        <is>
          <t>2026-08-10 16:30</t>
        </is>
      </c>
      <c r="W120" s="146" t="inlineStr">
        <is>
          <t>CC-202608-NV13-10</t>
        </is>
      </c>
      <c r="X120" s="146">
        <f>IFS(C120="", "THIẾU MÃ NV", COUNTIFS(A:A, A120, C:C, C120)&gt;1, "TRÙNG NHÂN VIÊN/NGÀY", O120&gt;4, "VƯỢT 4 GIỜ/NGÀY", AND(O120&gt;0, S120&lt;&gt;"CÓ"), "CHƯA ĐĂNG KÝ TC", AND(O120&gt;0, T120&lt;&gt;"ĐÃ DUYỆT"), "CHƯA DUYỆT TC", AND(T120="ĐÃ DUYỆT", U120=""), "THIẾU NGƯỜI DUYỆT", TRUE, "HỢP LỆ")</f>
        <v/>
      </c>
    </row>
    <row r="121">
      <c r="A121" s="150" t="inlineStr">
        <is>
          <t>2026-08-10</t>
        </is>
      </c>
      <c r="B121" s="150">
        <f>DATE(YEAR(A121), MONTH(A121), 1)</f>
        <v/>
      </c>
      <c r="C121" s="150" t="inlineStr">
        <is>
          <t>NV14</t>
        </is>
      </c>
      <c r="D121" s="151">
        <f>IFERROR(XLOOKUP(C121, '11_Master_Data'!$A:$A, '11_Master_Data'!$B:$B, "KHÔNG CÓ MÃ NV"), "KHÔNG CÓ MÃ NV")</f>
        <v/>
      </c>
      <c r="E121" s="150" t="inlineStr">
        <is>
          <t>C2</t>
        </is>
      </c>
      <c r="F121" s="152" t="n">
        <v>1</v>
      </c>
      <c r="G121" s="152" t="n">
        <v>8</v>
      </c>
      <c r="H121" s="152" t="n">
        <v>2</v>
      </c>
      <c r="I121" s="152" t="n">
        <v>0</v>
      </c>
      <c r="J121" s="152" t="n">
        <v>0</v>
      </c>
      <c r="K121" s="152" t="n">
        <v>0</v>
      </c>
      <c r="L121" s="152" t="n">
        <v>0</v>
      </c>
      <c r="M121" s="152" t="n">
        <v>0</v>
      </c>
      <c r="N121" s="152" t="n">
        <v>0</v>
      </c>
      <c r="O121" s="152">
        <f>SUM(H121:J121, L121:N121)</f>
        <v/>
      </c>
      <c r="P121" s="153" t="n">
        <v>55000</v>
      </c>
      <c r="Q121" s="152" t="n">
        <v>0</v>
      </c>
      <c r="R121" s="151" t="inlineStr">
        <is>
          <t>Đảm bảo tiến độ sản xuất</t>
        </is>
      </c>
      <c r="S121" s="150" t="inlineStr">
        <is>
          <t>CÓ</t>
        </is>
      </c>
      <c r="T121" s="150" t="inlineStr">
        <is>
          <t>ĐÃ DUYỆT</t>
        </is>
      </c>
      <c r="U121" s="151" t="inlineStr">
        <is>
          <t>Quản Đốc Trần Đức Minh</t>
        </is>
      </c>
      <c r="V121" s="150" t="inlineStr">
        <is>
          <t>2026-08-10 16:30</t>
        </is>
      </c>
      <c r="W121" s="150" t="inlineStr">
        <is>
          <t>CC-202608-NV14-10</t>
        </is>
      </c>
      <c r="X121" s="150">
        <f>IFS(C121="", "THIẾU MÃ NV", COUNTIFS(A:A, A121, C:C, C121)&gt;1, "TRÙNG NHÂN VIÊN/NGÀY", O121&gt;4, "VƯỢT 4 GIỜ/NGÀY", AND(O121&gt;0, S121&lt;&gt;"CÓ"), "CHƯA ĐĂNG KÝ TC", AND(O121&gt;0, T121&lt;&gt;"ĐÃ DUYỆT"), "CHƯA DUYỆT TC", AND(T121="ĐÃ DUYỆT", U121=""), "THIẾU NGƯỜI DUYỆT", TRUE, "HỢP LỆ")</f>
        <v/>
      </c>
    </row>
    <row r="122">
      <c r="A122" s="146" t="inlineStr">
        <is>
          <t>2026-08-10</t>
        </is>
      </c>
      <c r="B122" s="146">
        <f>DATE(YEAR(A122), MONTH(A122), 1)</f>
        <v/>
      </c>
      <c r="C122" s="146" t="inlineStr">
        <is>
          <t>NV15</t>
        </is>
      </c>
      <c r="D122" s="147">
        <f>IFERROR(XLOOKUP(C122, '11_Master_Data'!$A:$A, '11_Master_Data'!$B:$B, "KHÔNG CÓ MÃ NV"), "KHÔNG CÓ MÃ NV")</f>
        <v/>
      </c>
      <c r="E122" s="146" t="inlineStr">
        <is>
          <t>C2</t>
        </is>
      </c>
      <c r="F122" s="148" t="n">
        <v>1</v>
      </c>
      <c r="G122" s="148" t="n">
        <v>8</v>
      </c>
      <c r="H122" s="148" t="n">
        <v>2</v>
      </c>
      <c r="I122" s="148" t="n">
        <v>0</v>
      </c>
      <c r="J122" s="148" t="n">
        <v>0</v>
      </c>
      <c r="K122" s="148" t="n">
        <v>0</v>
      </c>
      <c r="L122" s="148" t="n">
        <v>0</v>
      </c>
      <c r="M122" s="148" t="n">
        <v>0</v>
      </c>
      <c r="N122" s="148" t="n">
        <v>0</v>
      </c>
      <c r="O122" s="148">
        <f>SUM(H122:J122, L122:N122)</f>
        <v/>
      </c>
      <c r="P122" s="149" t="n">
        <v>55000</v>
      </c>
      <c r="Q122" s="148" t="n">
        <v>0</v>
      </c>
      <c r="R122" s="147" t="inlineStr">
        <is>
          <t>Đảm bảo tiến độ sản xuất</t>
        </is>
      </c>
      <c r="S122" s="146" t="inlineStr">
        <is>
          <t>CÓ</t>
        </is>
      </c>
      <c r="T122" s="146" t="inlineStr">
        <is>
          <t>ĐÃ DUYỆT</t>
        </is>
      </c>
      <c r="U122" s="147" t="inlineStr">
        <is>
          <t>Quản Đốc Trần Đức Minh</t>
        </is>
      </c>
      <c r="V122" s="146" t="inlineStr">
        <is>
          <t>2026-08-10 16:30</t>
        </is>
      </c>
      <c r="W122" s="146" t="inlineStr">
        <is>
          <t>CC-202608-NV15-10</t>
        </is>
      </c>
      <c r="X122" s="146">
        <f>IFS(C122="", "THIẾU MÃ NV", COUNTIFS(A:A, A122, C:C, C122)&gt;1, "TRÙNG NHÂN VIÊN/NGÀY", O122&gt;4, "VƯỢT 4 GIỜ/NGÀY", AND(O122&gt;0, S122&lt;&gt;"CÓ"), "CHƯA ĐĂNG KÝ TC", AND(O122&gt;0, T122&lt;&gt;"ĐÃ DUYỆT"), "CHƯA DUYỆT TC", AND(T122="ĐÃ DUYỆT", U122=""), "THIẾU NGƯỜI DUYỆT", TRUE, "HỢP LỆ")</f>
        <v/>
      </c>
    </row>
    <row r="123">
      <c r="A123" s="150" t="inlineStr">
        <is>
          <t>2026-08-11</t>
        </is>
      </c>
      <c r="B123" s="150">
        <f>DATE(YEAR(A123), MONTH(A123), 1)</f>
        <v/>
      </c>
      <c r="C123" s="150" t="inlineStr">
        <is>
          <t>NV01</t>
        </is>
      </c>
      <c r="D123" s="151">
        <f>IFERROR(XLOOKUP(C123, '11_Master_Data'!$A:$A, '11_Master_Data'!$B:$B, "KHÔNG CÓ MÃ NV"), "KHÔNG CÓ MÃ NV")</f>
        <v/>
      </c>
      <c r="E123" s="150" t="inlineStr">
        <is>
          <t>C1</t>
        </is>
      </c>
      <c r="F123" s="152" t="n">
        <v>1</v>
      </c>
      <c r="G123" s="152" t="n">
        <v>8</v>
      </c>
      <c r="H123" s="152" t="n">
        <v>0</v>
      </c>
      <c r="I123" s="152" t="n">
        <v>0</v>
      </c>
      <c r="J123" s="152" t="n">
        <v>0</v>
      </c>
      <c r="K123" s="152" t="n">
        <v>0</v>
      </c>
      <c r="L123" s="152" t="n">
        <v>0</v>
      </c>
      <c r="M123" s="152" t="n">
        <v>0</v>
      </c>
      <c r="N123" s="152" t="n">
        <v>0</v>
      </c>
      <c r="O123" s="152">
        <f>SUM(H123:J123, L123:N123)</f>
        <v/>
      </c>
      <c r="P123" s="153" t="n">
        <v>30000</v>
      </c>
      <c r="Q123" s="152" t="n">
        <v>0</v>
      </c>
      <c r="R123" s="151" t="inlineStr"/>
      <c r="S123" s="150" t="inlineStr">
        <is>
          <t>KHÔNG</t>
        </is>
      </c>
      <c r="T123" s="150" t="inlineStr">
        <is>
          <t>ĐÃ DUYỆT</t>
        </is>
      </c>
      <c r="U123" s="151" t="inlineStr">
        <is>
          <t>Quản Đốc Trần Đức Minh</t>
        </is>
      </c>
      <c r="V123" s="150" t="inlineStr">
        <is>
          <t>2026-08-11 16:30</t>
        </is>
      </c>
      <c r="W123" s="150" t="inlineStr">
        <is>
          <t>CC-202608-NV01-11</t>
        </is>
      </c>
      <c r="X123" s="150">
        <f>IFS(C123="", "THIẾU MÃ NV", COUNTIFS(A:A, A123, C:C, C123)&gt;1, "TRÙNG NHÂN VIÊN/NGÀY", O123&gt;4, "VƯỢT 4 GIỜ/NGÀY", AND(O123&gt;0, S123&lt;&gt;"CÓ"), "CHƯA ĐĂNG KÝ TC", AND(O123&gt;0, T123&lt;&gt;"ĐÃ DUYỆT"), "CHƯA DUYỆT TC", AND(T123="ĐÃ DUYỆT", U123=""), "THIẾU NGƯỜI DUYỆT", TRUE, "HỢP LỆ")</f>
        <v/>
      </c>
    </row>
    <row r="124">
      <c r="A124" s="146" t="inlineStr">
        <is>
          <t>2026-08-11</t>
        </is>
      </c>
      <c r="B124" s="146">
        <f>DATE(YEAR(A124), MONTH(A124), 1)</f>
        <v/>
      </c>
      <c r="C124" s="146" t="inlineStr">
        <is>
          <t>NV02</t>
        </is>
      </c>
      <c r="D124" s="147">
        <f>IFERROR(XLOOKUP(C124, '11_Master_Data'!$A:$A, '11_Master_Data'!$B:$B, "KHÔNG CÓ MÃ NV"), "KHÔNG CÓ MÃ NV")</f>
        <v/>
      </c>
      <c r="E124" s="146" t="inlineStr">
        <is>
          <t>C3</t>
        </is>
      </c>
      <c r="F124" s="148" t="n">
        <v>1</v>
      </c>
      <c r="G124" s="148" t="n">
        <v>8</v>
      </c>
      <c r="H124" s="148" t="n">
        <v>0</v>
      </c>
      <c r="I124" s="148" t="n">
        <v>0</v>
      </c>
      <c r="J124" s="148" t="n">
        <v>0</v>
      </c>
      <c r="K124" s="148" t="n">
        <v>8</v>
      </c>
      <c r="L124" s="148" t="n">
        <v>0</v>
      </c>
      <c r="M124" s="148" t="n">
        <v>0</v>
      </c>
      <c r="N124" s="148" t="n">
        <v>0</v>
      </c>
      <c r="O124" s="148">
        <f>SUM(H124:J124, L124:N124)</f>
        <v/>
      </c>
      <c r="P124" s="149" t="n">
        <v>30000</v>
      </c>
      <c r="Q124" s="148" t="n">
        <v>0</v>
      </c>
      <c r="R124" s="147" t="inlineStr"/>
      <c r="S124" s="146" t="inlineStr">
        <is>
          <t>KHÔNG</t>
        </is>
      </c>
      <c r="T124" s="146" t="inlineStr">
        <is>
          <t>ĐÃ DUYỆT</t>
        </is>
      </c>
      <c r="U124" s="147" t="inlineStr">
        <is>
          <t>Quản Đốc Trần Đức Minh</t>
        </is>
      </c>
      <c r="V124" s="146" t="inlineStr">
        <is>
          <t>2026-08-11 16:30</t>
        </is>
      </c>
      <c r="W124" s="146" t="inlineStr">
        <is>
          <t>CC-202608-NV02-11</t>
        </is>
      </c>
      <c r="X124" s="146">
        <f>IFS(C124="", "THIẾU MÃ NV", COUNTIFS(A:A, A124, C:C, C124)&gt;1, "TRÙNG NHÂN VIÊN/NGÀY", O124&gt;4, "VƯỢT 4 GIỜ/NGÀY", AND(O124&gt;0, S124&lt;&gt;"CÓ"), "CHƯA ĐĂNG KÝ TC", AND(O124&gt;0, T124&lt;&gt;"ĐÃ DUYỆT"), "CHƯA DUYỆT TC", AND(T124="ĐÃ DUYỆT", U124=""), "THIẾU NGƯỜI DUYỆT", TRUE, "HỢP LỆ")</f>
        <v/>
      </c>
    </row>
    <row r="125">
      <c r="A125" s="150" t="inlineStr">
        <is>
          <t>2026-08-11</t>
        </is>
      </c>
      <c r="B125" s="150">
        <f>DATE(YEAR(A125), MONTH(A125), 1)</f>
        <v/>
      </c>
      <c r="C125" s="150" t="inlineStr">
        <is>
          <t>NV03</t>
        </is>
      </c>
      <c r="D125" s="151">
        <f>IFERROR(XLOOKUP(C125, '11_Master_Data'!$A:$A, '11_Master_Data'!$B:$B, "KHÔNG CÓ MÃ NV"), "KHÔNG CÓ MÃ NV")</f>
        <v/>
      </c>
      <c r="E125" s="150" t="inlineStr">
        <is>
          <t>C1</t>
        </is>
      </c>
      <c r="F125" s="152" t="n">
        <v>1</v>
      </c>
      <c r="G125" s="152" t="n">
        <v>8</v>
      </c>
      <c r="H125" s="152" t="n">
        <v>0</v>
      </c>
      <c r="I125" s="152" t="n">
        <v>0</v>
      </c>
      <c r="J125" s="152" t="n">
        <v>0</v>
      </c>
      <c r="K125" s="152" t="n">
        <v>0</v>
      </c>
      <c r="L125" s="152" t="n">
        <v>0</v>
      </c>
      <c r="M125" s="152" t="n">
        <v>0</v>
      </c>
      <c r="N125" s="152" t="n">
        <v>0</v>
      </c>
      <c r="O125" s="152">
        <f>SUM(H125:J125, L125:N125)</f>
        <v/>
      </c>
      <c r="P125" s="153" t="n">
        <v>30000</v>
      </c>
      <c r="Q125" s="152" t="n">
        <v>0</v>
      </c>
      <c r="R125" s="151" t="inlineStr"/>
      <c r="S125" s="150" t="inlineStr">
        <is>
          <t>KHÔNG</t>
        </is>
      </c>
      <c r="T125" s="150" t="inlineStr">
        <is>
          <t>ĐÃ DUYỆT</t>
        </is>
      </c>
      <c r="U125" s="151" t="inlineStr">
        <is>
          <t>Quản Đốc Trần Đức Minh</t>
        </is>
      </c>
      <c r="V125" s="150" t="inlineStr">
        <is>
          <t>2026-08-11 16:30</t>
        </is>
      </c>
      <c r="W125" s="150" t="inlineStr">
        <is>
          <t>CC-202608-NV03-11</t>
        </is>
      </c>
      <c r="X125" s="150">
        <f>IFS(C125="", "THIẾU MÃ NV", COUNTIFS(A:A, A125, C:C, C125)&gt;1, "TRÙNG NHÂN VIÊN/NGÀY", O125&gt;4, "VƯỢT 4 GIỜ/NGÀY", AND(O125&gt;0, S125&lt;&gt;"CÓ"), "CHƯA ĐĂNG KÝ TC", AND(O125&gt;0, T125&lt;&gt;"ĐÃ DUYỆT"), "CHƯA DUYỆT TC", AND(T125="ĐÃ DUYỆT", U125=""), "THIẾU NGƯỜI DUYỆT", TRUE, "HỢP LỆ")</f>
        <v/>
      </c>
    </row>
    <row r="126">
      <c r="A126" s="146" t="inlineStr">
        <is>
          <t>2026-08-11</t>
        </is>
      </c>
      <c r="B126" s="146">
        <f>DATE(YEAR(A126), MONTH(A126), 1)</f>
        <v/>
      </c>
      <c r="C126" s="146" t="inlineStr">
        <is>
          <t>NV04</t>
        </is>
      </c>
      <c r="D126" s="147">
        <f>IFERROR(XLOOKUP(C126, '11_Master_Data'!$A:$A, '11_Master_Data'!$B:$B, "KHÔNG CÓ MÃ NV"), "KHÔNG CÓ MÃ NV")</f>
        <v/>
      </c>
      <c r="E126" s="146" t="inlineStr">
        <is>
          <t>C2</t>
        </is>
      </c>
      <c r="F126" s="148" t="n">
        <v>1</v>
      </c>
      <c r="G126" s="148" t="n">
        <v>8</v>
      </c>
      <c r="H126" s="148" t="n">
        <v>2</v>
      </c>
      <c r="I126" s="148" t="n">
        <v>0</v>
      </c>
      <c r="J126" s="148" t="n">
        <v>0</v>
      </c>
      <c r="K126" s="148" t="n">
        <v>0</v>
      </c>
      <c r="L126" s="148" t="n">
        <v>0</v>
      </c>
      <c r="M126" s="148" t="n">
        <v>0</v>
      </c>
      <c r="N126" s="148" t="n">
        <v>0</v>
      </c>
      <c r="O126" s="148">
        <f>SUM(H126:J126, L126:N126)</f>
        <v/>
      </c>
      <c r="P126" s="149" t="n">
        <v>55000</v>
      </c>
      <c r="Q126" s="148" t="n">
        <v>0</v>
      </c>
      <c r="R126" s="147" t="inlineStr">
        <is>
          <t>Đảm bảo tiến độ sản xuất</t>
        </is>
      </c>
      <c r="S126" s="146" t="inlineStr">
        <is>
          <t>CÓ</t>
        </is>
      </c>
      <c r="T126" s="146" t="inlineStr">
        <is>
          <t>ĐÃ DUYỆT</t>
        </is>
      </c>
      <c r="U126" s="147" t="inlineStr">
        <is>
          <t>Quản Đốc Trần Đức Minh</t>
        </is>
      </c>
      <c r="V126" s="146" t="inlineStr">
        <is>
          <t>2026-08-11 16:30</t>
        </is>
      </c>
      <c r="W126" s="146" t="inlineStr">
        <is>
          <t>CC-202608-NV04-11</t>
        </is>
      </c>
      <c r="X126" s="146">
        <f>IFS(C126="", "THIẾU MÃ NV", COUNTIFS(A:A, A126, C:C, C126)&gt;1, "TRÙNG NHÂN VIÊN/NGÀY", O126&gt;4, "VƯỢT 4 GIỜ/NGÀY", AND(O126&gt;0, S126&lt;&gt;"CÓ"), "CHƯA ĐĂNG KÝ TC", AND(O126&gt;0, T126&lt;&gt;"ĐÃ DUYỆT"), "CHƯA DUYỆT TC", AND(T126="ĐÃ DUYỆT", U126=""), "THIẾU NGƯỜI DUYỆT", TRUE, "HỢP LỆ")</f>
        <v/>
      </c>
    </row>
    <row r="127">
      <c r="A127" s="150" t="inlineStr">
        <is>
          <t>2026-08-11</t>
        </is>
      </c>
      <c r="B127" s="150">
        <f>DATE(YEAR(A127), MONTH(A127), 1)</f>
        <v/>
      </c>
      <c r="C127" s="150" t="inlineStr">
        <is>
          <t>NV06</t>
        </is>
      </c>
      <c r="D127" s="151">
        <f>IFERROR(XLOOKUP(C127, '11_Master_Data'!$A:$A, '11_Master_Data'!$B:$B, "KHÔNG CÓ MÃ NV"), "KHÔNG CÓ MÃ NV")</f>
        <v/>
      </c>
      <c r="E127" s="150" t="inlineStr">
        <is>
          <t>C1</t>
        </is>
      </c>
      <c r="F127" s="152" t="n">
        <v>1</v>
      </c>
      <c r="G127" s="152" t="n">
        <v>8</v>
      </c>
      <c r="H127" s="152" t="n">
        <v>2</v>
      </c>
      <c r="I127" s="152" t="n">
        <v>0</v>
      </c>
      <c r="J127" s="152" t="n">
        <v>0</v>
      </c>
      <c r="K127" s="152" t="n">
        <v>0</v>
      </c>
      <c r="L127" s="152" t="n">
        <v>0</v>
      </c>
      <c r="M127" s="152" t="n">
        <v>0</v>
      </c>
      <c r="N127" s="152" t="n">
        <v>0</v>
      </c>
      <c r="O127" s="152">
        <f>SUM(H127:J127, L127:N127)</f>
        <v/>
      </c>
      <c r="P127" s="153" t="n">
        <v>55000</v>
      </c>
      <c r="Q127" s="152" t="n">
        <v>0</v>
      </c>
      <c r="R127" s="151" t="inlineStr">
        <is>
          <t>Đảm bảo tiến độ sản xuất</t>
        </is>
      </c>
      <c r="S127" s="150" t="inlineStr">
        <is>
          <t>CÓ</t>
        </is>
      </c>
      <c r="T127" s="150" t="inlineStr">
        <is>
          <t>ĐÃ DUYỆT</t>
        </is>
      </c>
      <c r="U127" s="151" t="inlineStr">
        <is>
          <t>Quản Đốc Trần Đức Minh</t>
        </is>
      </c>
      <c r="V127" s="150" t="inlineStr">
        <is>
          <t>2026-08-11 16:30</t>
        </is>
      </c>
      <c r="W127" s="150" t="inlineStr">
        <is>
          <t>CC-202608-NV06-11</t>
        </is>
      </c>
      <c r="X127" s="150">
        <f>IFS(C127="", "THIẾU MÃ NV", COUNTIFS(A:A, A127, C:C, C127)&gt;1, "TRÙNG NHÂN VIÊN/NGÀY", O127&gt;4, "VƯỢT 4 GIỜ/NGÀY", AND(O127&gt;0, S127&lt;&gt;"CÓ"), "CHƯA ĐĂNG KÝ TC", AND(O127&gt;0, T127&lt;&gt;"ĐÃ DUYỆT"), "CHƯA DUYỆT TC", AND(T127="ĐÃ DUYỆT", U127=""), "THIẾU NGƯỜI DUYỆT", TRUE, "HỢP LỆ")</f>
        <v/>
      </c>
    </row>
    <row r="128">
      <c r="A128" s="146" t="inlineStr">
        <is>
          <t>2026-08-11</t>
        </is>
      </c>
      <c r="B128" s="146">
        <f>DATE(YEAR(A128), MONTH(A128), 1)</f>
        <v/>
      </c>
      <c r="C128" s="146" t="inlineStr">
        <is>
          <t>NV07</t>
        </is>
      </c>
      <c r="D128" s="147">
        <f>IFERROR(XLOOKUP(C128, '11_Master_Data'!$A:$A, '11_Master_Data'!$B:$B, "KHÔNG CÓ MÃ NV"), "KHÔNG CÓ MÃ NV")</f>
        <v/>
      </c>
      <c r="E128" s="146" t="inlineStr">
        <is>
          <t>C2</t>
        </is>
      </c>
      <c r="F128" s="148" t="n">
        <v>1</v>
      </c>
      <c r="G128" s="148" t="n">
        <v>8</v>
      </c>
      <c r="H128" s="148" t="n">
        <v>2</v>
      </c>
      <c r="I128" s="148" t="n">
        <v>0</v>
      </c>
      <c r="J128" s="148" t="n">
        <v>0</v>
      </c>
      <c r="K128" s="148" t="n">
        <v>0</v>
      </c>
      <c r="L128" s="148" t="n">
        <v>0</v>
      </c>
      <c r="M128" s="148" t="n">
        <v>0</v>
      </c>
      <c r="N128" s="148" t="n">
        <v>0</v>
      </c>
      <c r="O128" s="148">
        <f>SUM(H128:J128, L128:N128)</f>
        <v/>
      </c>
      <c r="P128" s="149" t="n">
        <v>55000</v>
      </c>
      <c r="Q128" s="148" t="n">
        <v>0</v>
      </c>
      <c r="R128" s="147" t="inlineStr">
        <is>
          <t>Đảm bảo tiến độ sản xuất</t>
        </is>
      </c>
      <c r="S128" s="146" t="inlineStr">
        <is>
          <t>CÓ</t>
        </is>
      </c>
      <c r="T128" s="146" t="inlineStr">
        <is>
          <t>ĐÃ DUYỆT</t>
        </is>
      </c>
      <c r="U128" s="147" t="inlineStr">
        <is>
          <t>Quản Đốc Trần Đức Minh</t>
        </is>
      </c>
      <c r="V128" s="146" t="inlineStr">
        <is>
          <t>2026-08-11 16:30</t>
        </is>
      </c>
      <c r="W128" s="146" t="inlineStr">
        <is>
          <t>CC-202608-NV07-11</t>
        </is>
      </c>
      <c r="X128" s="146">
        <f>IFS(C128="", "THIẾU MÃ NV", COUNTIFS(A:A, A128, C:C, C128)&gt;1, "TRÙNG NHÂN VIÊN/NGÀY", O128&gt;4, "VƯỢT 4 GIỜ/NGÀY", AND(O128&gt;0, S128&lt;&gt;"CÓ"), "CHƯA ĐĂNG KÝ TC", AND(O128&gt;0, T128&lt;&gt;"ĐÃ DUYỆT"), "CHƯA DUYỆT TC", AND(T128="ĐÃ DUYỆT", U128=""), "THIẾU NGƯỜI DUYỆT", TRUE, "HỢP LỆ")</f>
        <v/>
      </c>
    </row>
    <row r="129">
      <c r="A129" s="150" t="inlineStr">
        <is>
          <t>2026-08-11</t>
        </is>
      </c>
      <c r="B129" s="150">
        <f>DATE(YEAR(A129), MONTH(A129), 1)</f>
        <v/>
      </c>
      <c r="C129" s="150" t="inlineStr">
        <is>
          <t>NV08</t>
        </is>
      </c>
      <c r="D129" s="151">
        <f>IFERROR(XLOOKUP(C129, '11_Master_Data'!$A:$A, '11_Master_Data'!$B:$B, "KHÔNG CÓ MÃ NV"), "KHÔNG CÓ MÃ NV")</f>
        <v/>
      </c>
      <c r="E129" s="150" t="inlineStr">
        <is>
          <t>C1</t>
        </is>
      </c>
      <c r="F129" s="152" t="n">
        <v>1</v>
      </c>
      <c r="G129" s="152" t="n">
        <v>8</v>
      </c>
      <c r="H129" s="152" t="n">
        <v>2</v>
      </c>
      <c r="I129" s="152" t="n">
        <v>0</v>
      </c>
      <c r="J129" s="152" t="n">
        <v>0</v>
      </c>
      <c r="K129" s="152" t="n">
        <v>0</v>
      </c>
      <c r="L129" s="152" t="n">
        <v>0</v>
      </c>
      <c r="M129" s="152" t="n">
        <v>0</v>
      </c>
      <c r="N129" s="152" t="n">
        <v>0</v>
      </c>
      <c r="O129" s="152">
        <f>SUM(H129:J129, L129:N129)</f>
        <v/>
      </c>
      <c r="P129" s="153" t="n">
        <v>55000</v>
      </c>
      <c r="Q129" s="152" t="n">
        <v>0</v>
      </c>
      <c r="R129" s="151" t="inlineStr">
        <is>
          <t>Đảm bảo tiến độ sản xuất</t>
        </is>
      </c>
      <c r="S129" s="150" t="inlineStr">
        <is>
          <t>CÓ</t>
        </is>
      </c>
      <c r="T129" s="150" t="inlineStr">
        <is>
          <t>ĐÃ DUYỆT</t>
        </is>
      </c>
      <c r="U129" s="151" t="inlineStr">
        <is>
          <t>Quản Đốc Trần Đức Minh</t>
        </is>
      </c>
      <c r="V129" s="150" t="inlineStr">
        <is>
          <t>2026-08-11 16:30</t>
        </is>
      </c>
      <c r="W129" s="150" t="inlineStr">
        <is>
          <t>CC-202608-NV08-11</t>
        </is>
      </c>
      <c r="X129" s="150">
        <f>IFS(C129="", "THIẾU MÃ NV", COUNTIFS(A:A, A129, C:C, C129)&gt;1, "TRÙNG NHÂN VIÊN/NGÀY", O129&gt;4, "VƯỢT 4 GIỜ/NGÀY", AND(O129&gt;0, S129&lt;&gt;"CÓ"), "CHƯA ĐĂNG KÝ TC", AND(O129&gt;0, T129&lt;&gt;"ĐÃ DUYỆT"), "CHƯA DUYỆT TC", AND(T129="ĐÃ DUYỆT", U129=""), "THIẾU NGƯỜI DUYỆT", TRUE, "HỢP LỆ")</f>
        <v/>
      </c>
    </row>
    <row r="130">
      <c r="A130" s="146" t="inlineStr">
        <is>
          <t>2026-08-11</t>
        </is>
      </c>
      <c r="B130" s="146">
        <f>DATE(YEAR(A130), MONTH(A130), 1)</f>
        <v/>
      </c>
      <c r="C130" s="146" t="inlineStr">
        <is>
          <t>NV10</t>
        </is>
      </c>
      <c r="D130" s="147">
        <f>IFERROR(XLOOKUP(C130, '11_Master_Data'!$A:$A, '11_Master_Data'!$B:$B, "KHÔNG CÓ MÃ NV"), "KHÔNG CÓ MÃ NV")</f>
        <v/>
      </c>
      <c r="E130" s="146" t="inlineStr">
        <is>
          <t>C3</t>
        </is>
      </c>
      <c r="F130" s="148" t="n">
        <v>1</v>
      </c>
      <c r="G130" s="148" t="n">
        <v>8</v>
      </c>
      <c r="H130" s="148" t="n">
        <v>2</v>
      </c>
      <c r="I130" s="148" t="n">
        <v>0</v>
      </c>
      <c r="J130" s="148" t="n">
        <v>0</v>
      </c>
      <c r="K130" s="148" t="n">
        <v>8</v>
      </c>
      <c r="L130" s="148" t="n">
        <v>0</v>
      </c>
      <c r="M130" s="148" t="n">
        <v>0</v>
      </c>
      <c r="N130" s="148" t="n">
        <v>0</v>
      </c>
      <c r="O130" s="148">
        <f>SUM(H130:J130, L130:N130)</f>
        <v/>
      </c>
      <c r="P130" s="149" t="n">
        <v>55000</v>
      </c>
      <c r="Q130" s="148" t="n">
        <v>0</v>
      </c>
      <c r="R130" s="147" t="inlineStr">
        <is>
          <t>Đảm bảo tiến độ sản xuất</t>
        </is>
      </c>
      <c r="S130" s="146" t="inlineStr">
        <is>
          <t>CÓ</t>
        </is>
      </c>
      <c r="T130" s="146" t="inlineStr">
        <is>
          <t>ĐÃ DUYỆT</t>
        </is>
      </c>
      <c r="U130" s="147" t="inlineStr">
        <is>
          <t>Quản Đốc Trần Đức Minh</t>
        </is>
      </c>
      <c r="V130" s="146" t="inlineStr">
        <is>
          <t>2026-08-11 16:30</t>
        </is>
      </c>
      <c r="W130" s="146" t="inlineStr">
        <is>
          <t>CC-202608-NV10-11</t>
        </is>
      </c>
      <c r="X130" s="146">
        <f>IFS(C130="", "THIẾU MÃ NV", COUNTIFS(A:A, A130, C:C, C130)&gt;1, "TRÙNG NHÂN VIÊN/NGÀY", O130&gt;4, "VƯỢT 4 GIỜ/NGÀY", AND(O130&gt;0, S130&lt;&gt;"CÓ"), "CHƯA ĐĂNG KÝ TC", AND(O130&gt;0, T130&lt;&gt;"ĐÃ DUYỆT"), "CHƯA DUYỆT TC", AND(T130="ĐÃ DUYỆT", U130=""), "THIẾU NGƯỜI DUYỆT", TRUE, "HỢP LỆ")</f>
        <v/>
      </c>
    </row>
    <row r="131">
      <c r="A131" s="150" t="inlineStr">
        <is>
          <t>2026-08-11</t>
        </is>
      </c>
      <c r="B131" s="150">
        <f>DATE(YEAR(A131), MONTH(A131), 1)</f>
        <v/>
      </c>
      <c r="C131" s="150" t="inlineStr">
        <is>
          <t>NV11</t>
        </is>
      </c>
      <c r="D131" s="151">
        <f>IFERROR(XLOOKUP(C131, '11_Master_Data'!$A:$A, '11_Master_Data'!$B:$B, "KHÔNG CÓ MÃ NV"), "KHÔNG CÓ MÃ NV")</f>
        <v/>
      </c>
      <c r="E131" s="150" t="inlineStr">
        <is>
          <t>C3</t>
        </is>
      </c>
      <c r="F131" s="152" t="n">
        <v>1</v>
      </c>
      <c r="G131" s="152" t="n">
        <v>8</v>
      </c>
      <c r="H131" s="152" t="n">
        <v>2</v>
      </c>
      <c r="I131" s="152" t="n">
        <v>0</v>
      </c>
      <c r="J131" s="152" t="n">
        <v>0</v>
      </c>
      <c r="K131" s="152" t="n">
        <v>8</v>
      </c>
      <c r="L131" s="152" t="n">
        <v>0</v>
      </c>
      <c r="M131" s="152" t="n">
        <v>0</v>
      </c>
      <c r="N131" s="152" t="n">
        <v>0</v>
      </c>
      <c r="O131" s="152">
        <f>SUM(H131:J131, L131:N131)</f>
        <v/>
      </c>
      <c r="P131" s="153" t="n">
        <v>55000</v>
      </c>
      <c r="Q131" s="152" t="n">
        <v>0</v>
      </c>
      <c r="R131" s="151" t="inlineStr">
        <is>
          <t>Đảm bảo tiến độ sản xuất</t>
        </is>
      </c>
      <c r="S131" s="150" t="inlineStr">
        <is>
          <t>CÓ</t>
        </is>
      </c>
      <c r="T131" s="150" t="inlineStr">
        <is>
          <t>ĐÃ DUYỆT</t>
        </is>
      </c>
      <c r="U131" s="151" t="inlineStr">
        <is>
          <t>Quản Đốc Trần Đức Minh</t>
        </is>
      </c>
      <c r="V131" s="150" t="inlineStr">
        <is>
          <t>2026-08-11 16:30</t>
        </is>
      </c>
      <c r="W131" s="150" t="inlineStr">
        <is>
          <t>CC-202608-NV11-11</t>
        </is>
      </c>
      <c r="X131" s="150">
        <f>IFS(C131="", "THIẾU MÃ NV", COUNTIFS(A:A, A131, C:C, C131)&gt;1, "TRÙNG NHÂN VIÊN/NGÀY", O131&gt;4, "VƯỢT 4 GIỜ/NGÀY", AND(O131&gt;0, S131&lt;&gt;"CÓ"), "CHƯA ĐĂNG KÝ TC", AND(O131&gt;0, T131&lt;&gt;"ĐÃ DUYỆT"), "CHƯA DUYỆT TC", AND(T131="ĐÃ DUYỆT", U131=""), "THIẾU NGƯỜI DUYỆT", TRUE, "HỢP LỆ")</f>
        <v/>
      </c>
    </row>
    <row r="132">
      <c r="A132" s="146" t="inlineStr">
        <is>
          <t>2026-08-11</t>
        </is>
      </c>
      <c r="B132" s="146">
        <f>DATE(YEAR(A132), MONTH(A132), 1)</f>
        <v/>
      </c>
      <c r="C132" s="146" t="inlineStr">
        <is>
          <t>NV12</t>
        </is>
      </c>
      <c r="D132" s="147">
        <f>IFERROR(XLOOKUP(C132, '11_Master_Data'!$A:$A, '11_Master_Data'!$B:$B, "KHÔNG CÓ MÃ NV"), "KHÔNG CÓ MÃ NV")</f>
        <v/>
      </c>
      <c r="E132" s="146" t="inlineStr">
        <is>
          <t>C2</t>
        </is>
      </c>
      <c r="F132" s="148" t="n">
        <v>1</v>
      </c>
      <c r="G132" s="148" t="n">
        <v>8</v>
      </c>
      <c r="H132" s="148" t="n">
        <v>0</v>
      </c>
      <c r="I132" s="148" t="n">
        <v>0</v>
      </c>
      <c r="J132" s="148" t="n">
        <v>0</v>
      </c>
      <c r="K132" s="148" t="n">
        <v>0</v>
      </c>
      <c r="L132" s="148" t="n">
        <v>0</v>
      </c>
      <c r="M132" s="148" t="n">
        <v>0</v>
      </c>
      <c r="N132" s="148" t="n">
        <v>0</v>
      </c>
      <c r="O132" s="148">
        <f>SUM(H132:J132, L132:N132)</f>
        <v/>
      </c>
      <c r="P132" s="149" t="n">
        <v>30000</v>
      </c>
      <c r="Q132" s="148" t="n">
        <v>0</v>
      </c>
      <c r="R132" s="147" t="inlineStr"/>
      <c r="S132" s="146" t="inlineStr">
        <is>
          <t>KHÔNG</t>
        </is>
      </c>
      <c r="T132" s="146" t="inlineStr">
        <is>
          <t>ĐÃ DUYỆT</t>
        </is>
      </c>
      <c r="U132" s="147" t="inlineStr">
        <is>
          <t>Quản Đốc Trần Đức Minh</t>
        </is>
      </c>
      <c r="V132" s="146" t="inlineStr">
        <is>
          <t>2026-08-11 16:30</t>
        </is>
      </c>
      <c r="W132" s="146" t="inlineStr">
        <is>
          <t>CC-202608-NV12-11</t>
        </is>
      </c>
      <c r="X132" s="146">
        <f>IFS(C132="", "THIẾU MÃ NV", COUNTIFS(A:A, A132, C:C, C132)&gt;1, "TRÙNG NHÂN VIÊN/NGÀY", O132&gt;4, "VƯỢT 4 GIỜ/NGÀY", AND(O132&gt;0, S132&lt;&gt;"CÓ"), "CHƯA ĐĂNG KÝ TC", AND(O132&gt;0, T132&lt;&gt;"ĐÃ DUYỆT"), "CHƯA DUYỆT TC", AND(T132="ĐÃ DUYỆT", U132=""), "THIẾU NGƯỜI DUYỆT", TRUE, "HỢP LỆ")</f>
        <v/>
      </c>
    </row>
    <row r="133">
      <c r="A133" s="150" t="inlineStr">
        <is>
          <t>2026-08-11</t>
        </is>
      </c>
      <c r="B133" s="150">
        <f>DATE(YEAR(A133), MONTH(A133), 1)</f>
        <v/>
      </c>
      <c r="C133" s="150" t="inlineStr">
        <is>
          <t>NV13</t>
        </is>
      </c>
      <c r="D133" s="151">
        <f>IFERROR(XLOOKUP(C133, '11_Master_Data'!$A:$A, '11_Master_Data'!$B:$B, "KHÔNG CÓ MÃ NV"), "KHÔNG CÓ MÃ NV")</f>
        <v/>
      </c>
      <c r="E133" s="150" t="inlineStr">
        <is>
          <t>C2</t>
        </is>
      </c>
      <c r="F133" s="152" t="n">
        <v>1</v>
      </c>
      <c r="G133" s="152" t="n">
        <v>8</v>
      </c>
      <c r="H133" s="152" t="n">
        <v>0</v>
      </c>
      <c r="I133" s="152" t="n">
        <v>0</v>
      </c>
      <c r="J133" s="152" t="n">
        <v>0</v>
      </c>
      <c r="K133" s="152" t="n">
        <v>0</v>
      </c>
      <c r="L133" s="152" t="n">
        <v>0</v>
      </c>
      <c r="M133" s="152" t="n">
        <v>0</v>
      </c>
      <c r="N133" s="152" t="n">
        <v>0</v>
      </c>
      <c r="O133" s="152">
        <f>SUM(H133:J133, L133:N133)</f>
        <v/>
      </c>
      <c r="P133" s="153" t="n">
        <v>30000</v>
      </c>
      <c r="Q133" s="152" t="n">
        <v>0</v>
      </c>
      <c r="R133" s="151" t="inlineStr"/>
      <c r="S133" s="150" t="inlineStr">
        <is>
          <t>KHÔNG</t>
        </is>
      </c>
      <c r="T133" s="150" t="inlineStr">
        <is>
          <t>ĐÃ DUYỆT</t>
        </is>
      </c>
      <c r="U133" s="151" t="inlineStr">
        <is>
          <t>Quản Đốc Trần Đức Minh</t>
        </is>
      </c>
      <c r="V133" s="150" t="inlineStr">
        <is>
          <t>2026-08-11 16:30</t>
        </is>
      </c>
      <c r="W133" s="150" t="inlineStr">
        <is>
          <t>CC-202608-NV13-11</t>
        </is>
      </c>
      <c r="X133" s="150">
        <f>IFS(C133="", "THIẾU MÃ NV", COUNTIFS(A:A, A133, C:C, C133)&gt;1, "TRÙNG NHÂN VIÊN/NGÀY", O133&gt;4, "VƯỢT 4 GIỜ/NGÀY", AND(O133&gt;0, S133&lt;&gt;"CÓ"), "CHƯA ĐĂNG KÝ TC", AND(O133&gt;0, T133&lt;&gt;"ĐÃ DUYỆT"), "CHƯA DUYỆT TC", AND(T133="ĐÃ DUYỆT", U133=""), "THIẾU NGƯỜI DUYỆT", TRUE, "HỢP LỆ")</f>
        <v/>
      </c>
    </row>
    <row r="134">
      <c r="A134" s="146" t="inlineStr">
        <is>
          <t>2026-08-11</t>
        </is>
      </c>
      <c r="B134" s="146">
        <f>DATE(YEAR(A134), MONTH(A134), 1)</f>
        <v/>
      </c>
      <c r="C134" s="146" t="inlineStr">
        <is>
          <t>NV14</t>
        </is>
      </c>
      <c r="D134" s="147">
        <f>IFERROR(XLOOKUP(C134, '11_Master_Data'!$A:$A, '11_Master_Data'!$B:$B, "KHÔNG CÓ MÃ NV"), "KHÔNG CÓ MÃ NV")</f>
        <v/>
      </c>
      <c r="E134" s="146" t="inlineStr">
        <is>
          <t>C2</t>
        </is>
      </c>
      <c r="F134" s="148" t="n">
        <v>1</v>
      </c>
      <c r="G134" s="148" t="n">
        <v>8</v>
      </c>
      <c r="H134" s="148" t="n">
        <v>2</v>
      </c>
      <c r="I134" s="148" t="n">
        <v>0</v>
      </c>
      <c r="J134" s="148" t="n">
        <v>0</v>
      </c>
      <c r="K134" s="148" t="n">
        <v>0</v>
      </c>
      <c r="L134" s="148" t="n">
        <v>0</v>
      </c>
      <c r="M134" s="148" t="n">
        <v>0</v>
      </c>
      <c r="N134" s="148" t="n">
        <v>0</v>
      </c>
      <c r="O134" s="148">
        <f>SUM(H134:J134, L134:N134)</f>
        <v/>
      </c>
      <c r="P134" s="149" t="n">
        <v>55000</v>
      </c>
      <c r="Q134" s="148" t="n">
        <v>0</v>
      </c>
      <c r="R134" s="147" t="inlineStr">
        <is>
          <t>Đảm bảo tiến độ sản xuất</t>
        </is>
      </c>
      <c r="S134" s="146" t="inlineStr">
        <is>
          <t>CÓ</t>
        </is>
      </c>
      <c r="T134" s="146" t="inlineStr">
        <is>
          <t>ĐÃ DUYỆT</t>
        </is>
      </c>
      <c r="U134" s="147" t="inlineStr">
        <is>
          <t>Quản Đốc Trần Đức Minh</t>
        </is>
      </c>
      <c r="V134" s="146" t="inlineStr">
        <is>
          <t>2026-08-11 16:30</t>
        </is>
      </c>
      <c r="W134" s="146" t="inlineStr">
        <is>
          <t>CC-202608-NV14-11</t>
        </is>
      </c>
      <c r="X134" s="146">
        <f>IFS(C134="", "THIẾU MÃ NV", COUNTIFS(A:A, A134, C:C, C134)&gt;1, "TRÙNG NHÂN VIÊN/NGÀY", O134&gt;4, "VƯỢT 4 GIỜ/NGÀY", AND(O134&gt;0, S134&lt;&gt;"CÓ"), "CHƯA ĐĂNG KÝ TC", AND(O134&gt;0, T134&lt;&gt;"ĐÃ DUYỆT"), "CHƯA DUYỆT TC", AND(T134="ĐÃ DUYỆT", U134=""), "THIẾU NGƯỜI DUYỆT", TRUE, "HỢP LỆ")</f>
        <v/>
      </c>
    </row>
    <row r="135">
      <c r="A135" s="150" t="inlineStr">
        <is>
          <t>2026-08-11</t>
        </is>
      </c>
      <c r="B135" s="150">
        <f>DATE(YEAR(A135), MONTH(A135), 1)</f>
        <v/>
      </c>
      <c r="C135" s="150" t="inlineStr">
        <is>
          <t>NV15</t>
        </is>
      </c>
      <c r="D135" s="151">
        <f>IFERROR(XLOOKUP(C135, '11_Master_Data'!$A:$A, '11_Master_Data'!$B:$B, "KHÔNG CÓ MÃ NV"), "KHÔNG CÓ MÃ NV")</f>
        <v/>
      </c>
      <c r="E135" s="150" t="inlineStr">
        <is>
          <t>C2</t>
        </is>
      </c>
      <c r="F135" s="152" t="n">
        <v>1</v>
      </c>
      <c r="G135" s="152" t="n">
        <v>8</v>
      </c>
      <c r="H135" s="152" t="n">
        <v>2</v>
      </c>
      <c r="I135" s="152" t="n">
        <v>0</v>
      </c>
      <c r="J135" s="152" t="n">
        <v>0</v>
      </c>
      <c r="K135" s="152" t="n">
        <v>0</v>
      </c>
      <c r="L135" s="152" t="n">
        <v>0</v>
      </c>
      <c r="M135" s="152" t="n">
        <v>0</v>
      </c>
      <c r="N135" s="152" t="n">
        <v>0</v>
      </c>
      <c r="O135" s="152">
        <f>SUM(H135:J135, L135:N135)</f>
        <v/>
      </c>
      <c r="P135" s="153" t="n">
        <v>55000</v>
      </c>
      <c r="Q135" s="152" t="n">
        <v>0</v>
      </c>
      <c r="R135" s="151" t="inlineStr">
        <is>
          <t>Đảm bảo tiến độ sản xuất</t>
        </is>
      </c>
      <c r="S135" s="150" t="inlineStr">
        <is>
          <t>CÓ</t>
        </is>
      </c>
      <c r="T135" s="150" t="inlineStr">
        <is>
          <t>ĐÃ DUYỆT</t>
        </is>
      </c>
      <c r="U135" s="151" t="inlineStr">
        <is>
          <t>Quản Đốc Trần Đức Minh</t>
        </is>
      </c>
      <c r="V135" s="150" t="inlineStr">
        <is>
          <t>2026-08-11 16:30</t>
        </is>
      </c>
      <c r="W135" s="150" t="inlineStr">
        <is>
          <t>CC-202608-NV15-11</t>
        </is>
      </c>
      <c r="X135" s="150">
        <f>IFS(C135="", "THIẾU MÃ NV", COUNTIFS(A:A, A135, C:C, C135)&gt;1, "TRÙNG NHÂN VIÊN/NGÀY", O135&gt;4, "VƯỢT 4 GIỜ/NGÀY", AND(O135&gt;0, S135&lt;&gt;"CÓ"), "CHƯA ĐĂNG KÝ TC", AND(O135&gt;0, T135&lt;&gt;"ĐÃ DUYỆT"), "CHƯA DUYỆT TC", AND(T135="ĐÃ DUYỆT", U135=""), "THIẾU NGƯỜI DUYỆT", TRUE, "HỢP LỆ")</f>
        <v/>
      </c>
    </row>
    <row r="136">
      <c r="A136" s="146" t="inlineStr">
        <is>
          <t>2026-08-12</t>
        </is>
      </c>
      <c r="B136" s="146">
        <f>DATE(YEAR(A136), MONTH(A136), 1)</f>
        <v/>
      </c>
      <c r="C136" s="146" t="inlineStr">
        <is>
          <t>NV01</t>
        </is>
      </c>
      <c r="D136" s="147">
        <f>IFERROR(XLOOKUP(C136, '11_Master_Data'!$A:$A, '11_Master_Data'!$B:$B, "KHÔNG CÓ MÃ NV"), "KHÔNG CÓ MÃ NV")</f>
        <v/>
      </c>
      <c r="E136" s="146" t="inlineStr">
        <is>
          <t>C1</t>
        </is>
      </c>
      <c r="F136" s="148" t="n">
        <v>1</v>
      </c>
      <c r="G136" s="148" t="n">
        <v>8</v>
      </c>
      <c r="H136" s="148" t="n">
        <v>0</v>
      </c>
      <c r="I136" s="148" t="n">
        <v>0</v>
      </c>
      <c r="J136" s="148" t="n">
        <v>0</v>
      </c>
      <c r="K136" s="148" t="n">
        <v>0</v>
      </c>
      <c r="L136" s="148" t="n">
        <v>0</v>
      </c>
      <c r="M136" s="148" t="n">
        <v>0</v>
      </c>
      <c r="N136" s="148" t="n">
        <v>0</v>
      </c>
      <c r="O136" s="148">
        <f>SUM(H136:J136, L136:N136)</f>
        <v/>
      </c>
      <c r="P136" s="149" t="n">
        <v>30000</v>
      </c>
      <c r="Q136" s="148" t="n">
        <v>0</v>
      </c>
      <c r="R136" s="147" t="inlineStr"/>
      <c r="S136" s="146" t="inlineStr">
        <is>
          <t>KHÔNG</t>
        </is>
      </c>
      <c r="T136" s="146" t="inlineStr">
        <is>
          <t>ĐÃ DUYỆT</t>
        </is>
      </c>
      <c r="U136" s="147" t="inlineStr">
        <is>
          <t>Quản Đốc Trần Đức Minh</t>
        </is>
      </c>
      <c r="V136" s="146" t="inlineStr">
        <is>
          <t>2026-08-12 16:30</t>
        </is>
      </c>
      <c r="W136" s="146" t="inlineStr">
        <is>
          <t>CC-202608-NV01-12</t>
        </is>
      </c>
      <c r="X136" s="146">
        <f>IFS(C136="", "THIẾU MÃ NV", COUNTIFS(A:A, A136, C:C, C136)&gt;1, "TRÙNG NHÂN VIÊN/NGÀY", O136&gt;4, "VƯỢT 4 GIỜ/NGÀY", AND(O136&gt;0, S136&lt;&gt;"CÓ"), "CHƯA ĐĂNG KÝ TC", AND(O136&gt;0, T136&lt;&gt;"ĐÃ DUYỆT"), "CHƯA DUYỆT TC", AND(T136="ĐÃ DUYỆT", U136=""), "THIẾU NGƯỜI DUYỆT", TRUE, "HỢP LỆ")</f>
        <v/>
      </c>
    </row>
    <row r="137">
      <c r="A137" s="150" t="inlineStr">
        <is>
          <t>2026-08-12</t>
        </is>
      </c>
      <c r="B137" s="150">
        <f>DATE(YEAR(A137), MONTH(A137), 1)</f>
        <v/>
      </c>
      <c r="C137" s="150" t="inlineStr">
        <is>
          <t>NV02</t>
        </is>
      </c>
      <c r="D137" s="151">
        <f>IFERROR(XLOOKUP(C137, '11_Master_Data'!$A:$A, '11_Master_Data'!$B:$B, "KHÔNG CÓ MÃ NV"), "KHÔNG CÓ MÃ NV")</f>
        <v/>
      </c>
      <c r="E137" s="150" t="inlineStr">
        <is>
          <t>C3</t>
        </is>
      </c>
      <c r="F137" s="152" t="n">
        <v>1</v>
      </c>
      <c r="G137" s="152" t="n">
        <v>8</v>
      </c>
      <c r="H137" s="152" t="n">
        <v>0</v>
      </c>
      <c r="I137" s="152" t="n">
        <v>0</v>
      </c>
      <c r="J137" s="152" t="n">
        <v>0</v>
      </c>
      <c r="K137" s="152" t="n">
        <v>8</v>
      </c>
      <c r="L137" s="152" t="n">
        <v>0</v>
      </c>
      <c r="M137" s="152" t="n">
        <v>0</v>
      </c>
      <c r="N137" s="152" t="n">
        <v>0</v>
      </c>
      <c r="O137" s="152">
        <f>SUM(H137:J137, L137:N137)</f>
        <v/>
      </c>
      <c r="P137" s="153" t="n">
        <v>30000</v>
      </c>
      <c r="Q137" s="152" t="n">
        <v>0</v>
      </c>
      <c r="R137" s="151" t="inlineStr"/>
      <c r="S137" s="150" t="inlineStr">
        <is>
          <t>KHÔNG</t>
        </is>
      </c>
      <c r="T137" s="150" t="inlineStr">
        <is>
          <t>ĐÃ DUYỆT</t>
        </is>
      </c>
      <c r="U137" s="151" t="inlineStr">
        <is>
          <t>Quản Đốc Trần Đức Minh</t>
        </is>
      </c>
      <c r="V137" s="150" t="inlineStr">
        <is>
          <t>2026-08-12 16:30</t>
        </is>
      </c>
      <c r="W137" s="150" t="inlineStr">
        <is>
          <t>CC-202608-NV02-12</t>
        </is>
      </c>
      <c r="X137" s="150">
        <f>IFS(C137="", "THIẾU MÃ NV", COUNTIFS(A:A, A137, C:C, C137)&gt;1, "TRÙNG NHÂN VIÊN/NGÀY", O137&gt;4, "VƯỢT 4 GIỜ/NGÀY", AND(O137&gt;0, S137&lt;&gt;"CÓ"), "CHƯA ĐĂNG KÝ TC", AND(O137&gt;0, T137&lt;&gt;"ĐÃ DUYỆT"), "CHƯA DUYỆT TC", AND(T137="ĐÃ DUYỆT", U137=""), "THIẾU NGƯỜI DUYỆT", TRUE, "HỢP LỆ")</f>
        <v/>
      </c>
    </row>
    <row r="138">
      <c r="A138" s="146" t="inlineStr">
        <is>
          <t>2026-08-12</t>
        </is>
      </c>
      <c r="B138" s="146">
        <f>DATE(YEAR(A138), MONTH(A138), 1)</f>
        <v/>
      </c>
      <c r="C138" s="146" t="inlineStr">
        <is>
          <t>NV03</t>
        </is>
      </c>
      <c r="D138" s="147">
        <f>IFERROR(XLOOKUP(C138, '11_Master_Data'!$A:$A, '11_Master_Data'!$B:$B, "KHÔNG CÓ MÃ NV"), "KHÔNG CÓ MÃ NV")</f>
        <v/>
      </c>
      <c r="E138" s="146" t="inlineStr">
        <is>
          <t>C1</t>
        </is>
      </c>
      <c r="F138" s="148" t="n">
        <v>1</v>
      </c>
      <c r="G138" s="148" t="n">
        <v>8</v>
      </c>
      <c r="H138" s="148" t="n">
        <v>0</v>
      </c>
      <c r="I138" s="148" t="n">
        <v>0</v>
      </c>
      <c r="J138" s="148" t="n">
        <v>0</v>
      </c>
      <c r="K138" s="148" t="n">
        <v>0</v>
      </c>
      <c r="L138" s="148" t="n">
        <v>0</v>
      </c>
      <c r="M138" s="148" t="n">
        <v>0</v>
      </c>
      <c r="N138" s="148" t="n">
        <v>0</v>
      </c>
      <c r="O138" s="148">
        <f>SUM(H138:J138, L138:N138)</f>
        <v/>
      </c>
      <c r="P138" s="149" t="n">
        <v>30000</v>
      </c>
      <c r="Q138" s="148" t="n">
        <v>0</v>
      </c>
      <c r="R138" s="147" t="inlineStr"/>
      <c r="S138" s="146" t="inlineStr">
        <is>
          <t>KHÔNG</t>
        </is>
      </c>
      <c r="T138" s="146" t="inlineStr">
        <is>
          <t>ĐÃ DUYỆT</t>
        </is>
      </c>
      <c r="U138" s="147" t="inlineStr">
        <is>
          <t>Quản Đốc Trần Đức Minh</t>
        </is>
      </c>
      <c r="V138" s="146" t="inlineStr">
        <is>
          <t>2026-08-12 16:30</t>
        </is>
      </c>
      <c r="W138" s="146" t="inlineStr">
        <is>
          <t>CC-202608-NV03-12</t>
        </is>
      </c>
      <c r="X138" s="146">
        <f>IFS(C138="", "THIẾU MÃ NV", COUNTIFS(A:A, A138, C:C, C138)&gt;1, "TRÙNG NHÂN VIÊN/NGÀY", O138&gt;4, "VƯỢT 4 GIỜ/NGÀY", AND(O138&gt;0, S138&lt;&gt;"CÓ"), "CHƯA ĐĂNG KÝ TC", AND(O138&gt;0, T138&lt;&gt;"ĐÃ DUYỆT"), "CHƯA DUYỆT TC", AND(T138="ĐÃ DUYỆT", U138=""), "THIẾU NGƯỜI DUYỆT", TRUE, "HỢP LỆ")</f>
        <v/>
      </c>
    </row>
    <row r="139">
      <c r="A139" s="150" t="inlineStr">
        <is>
          <t>2026-08-12</t>
        </is>
      </c>
      <c r="B139" s="150">
        <f>DATE(YEAR(A139), MONTH(A139), 1)</f>
        <v/>
      </c>
      <c r="C139" s="150" t="inlineStr">
        <is>
          <t>NV04</t>
        </is>
      </c>
      <c r="D139" s="151">
        <f>IFERROR(XLOOKUP(C139, '11_Master_Data'!$A:$A, '11_Master_Data'!$B:$B, "KHÔNG CÓ MÃ NV"), "KHÔNG CÓ MÃ NV")</f>
        <v/>
      </c>
      <c r="E139" s="150" t="inlineStr">
        <is>
          <t>C2</t>
        </is>
      </c>
      <c r="F139" s="152" t="n">
        <v>1</v>
      </c>
      <c r="G139" s="152" t="n">
        <v>8</v>
      </c>
      <c r="H139" s="152" t="n">
        <v>0</v>
      </c>
      <c r="I139" s="152" t="n">
        <v>0</v>
      </c>
      <c r="J139" s="152" t="n">
        <v>0</v>
      </c>
      <c r="K139" s="152" t="n">
        <v>0</v>
      </c>
      <c r="L139" s="152" t="n">
        <v>0</v>
      </c>
      <c r="M139" s="152" t="n">
        <v>0</v>
      </c>
      <c r="N139" s="152" t="n">
        <v>0</v>
      </c>
      <c r="O139" s="152">
        <f>SUM(H139:J139, L139:N139)</f>
        <v/>
      </c>
      <c r="P139" s="153" t="n">
        <v>30000</v>
      </c>
      <c r="Q139" s="152" t="n">
        <v>0</v>
      </c>
      <c r="R139" s="151" t="inlineStr"/>
      <c r="S139" s="150" t="inlineStr">
        <is>
          <t>KHÔNG</t>
        </is>
      </c>
      <c r="T139" s="150" t="inlineStr">
        <is>
          <t>ĐÃ DUYỆT</t>
        </is>
      </c>
      <c r="U139" s="151" t="inlineStr">
        <is>
          <t>Quản Đốc Trần Đức Minh</t>
        </is>
      </c>
      <c r="V139" s="150" t="inlineStr">
        <is>
          <t>2026-08-12 16:30</t>
        </is>
      </c>
      <c r="W139" s="150" t="inlineStr">
        <is>
          <t>CC-202608-NV04-12</t>
        </is>
      </c>
      <c r="X139" s="150">
        <f>IFS(C139="", "THIẾU MÃ NV", COUNTIFS(A:A, A139, C:C, C139)&gt;1, "TRÙNG NHÂN VIÊN/NGÀY", O139&gt;4, "VƯỢT 4 GIỜ/NGÀY", AND(O139&gt;0, S139&lt;&gt;"CÓ"), "CHƯA ĐĂNG KÝ TC", AND(O139&gt;0, T139&lt;&gt;"ĐÃ DUYỆT"), "CHƯA DUYỆT TC", AND(T139="ĐÃ DUYỆT", U139=""), "THIẾU NGƯỜI DUYỆT", TRUE, "HỢP LỆ")</f>
        <v/>
      </c>
    </row>
    <row r="140">
      <c r="A140" s="146" t="inlineStr">
        <is>
          <t>2026-08-12</t>
        </is>
      </c>
      <c r="B140" s="146">
        <f>DATE(YEAR(A140), MONTH(A140), 1)</f>
        <v/>
      </c>
      <c r="C140" s="146" t="inlineStr">
        <is>
          <t>NV06</t>
        </is>
      </c>
      <c r="D140" s="147">
        <f>IFERROR(XLOOKUP(C140, '11_Master_Data'!$A:$A, '11_Master_Data'!$B:$B, "KHÔNG CÓ MÃ NV"), "KHÔNG CÓ MÃ NV")</f>
        <v/>
      </c>
      <c r="E140" s="146" t="inlineStr">
        <is>
          <t>C1</t>
        </is>
      </c>
      <c r="F140" s="148" t="n">
        <v>1</v>
      </c>
      <c r="G140" s="148" t="n">
        <v>8</v>
      </c>
      <c r="H140" s="148" t="n">
        <v>2</v>
      </c>
      <c r="I140" s="148" t="n">
        <v>0</v>
      </c>
      <c r="J140" s="148" t="n">
        <v>0</v>
      </c>
      <c r="K140" s="148" t="n">
        <v>0</v>
      </c>
      <c r="L140" s="148" t="n">
        <v>0</v>
      </c>
      <c r="M140" s="148" t="n">
        <v>0</v>
      </c>
      <c r="N140" s="148" t="n">
        <v>0</v>
      </c>
      <c r="O140" s="148">
        <f>SUM(H140:J140, L140:N140)</f>
        <v/>
      </c>
      <c r="P140" s="149" t="n">
        <v>55000</v>
      </c>
      <c r="Q140" s="148" t="n">
        <v>0</v>
      </c>
      <c r="R140" s="147" t="inlineStr">
        <is>
          <t>Đảm bảo tiến độ sản xuất</t>
        </is>
      </c>
      <c r="S140" s="146" t="inlineStr">
        <is>
          <t>CÓ</t>
        </is>
      </c>
      <c r="T140" s="146" t="inlineStr">
        <is>
          <t>ĐÃ DUYỆT</t>
        </is>
      </c>
      <c r="U140" s="147" t="inlineStr">
        <is>
          <t>Quản Đốc Trần Đức Minh</t>
        </is>
      </c>
      <c r="V140" s="146" t="inlineStr">
        <is>
          <t>2026-08-12 16:30</t>
        </is>
      </c>
      <c r="W140" s="146" t="inlineStr">
        <is>
          <t>CC-202608-NV06-12</t>
        </is>
      </c>
      <c r="X140" s="146">
        <f>IFS(C140="", "THIẾU MÃ NV", COUNTIFS(A:A, A140, C:C, C140)&gt;1, "TRÙNG NHÂN VIÊN/NGÀY", O140&gt;4, "VƯỢT 4 GIỜ/NGÀY", AND(O140&gt;0, S140&lt;&gt;"CÓ"), "CHƯA ĐĂNG KÝ TC", AND(O140&gt;0, T140&lt;&gt;"ĐÃ DUYỆT"), "CHƯA DUYỆT TC", AND(T140="ĐÃ DUYỆT", U140=""), "THIẾU NGƯỜI DUYỆT", TRUE, "HỢP LỆ")</f>
        <v/>
      </c>
    </row>
    <row r="141">
      <c r="A141" s="150" t="inlineStr">
        <is>
          <t>2026-08-12</t>
        </is>
      </c>
      <c r="B141" s="150">
        <f>DATE(YEAR(A141), MONTH(A141), 1)</f>
        <v/>
      </c>
      <c r="C141" s="150" t="inlineStr">
        <is>
          <t>NV07</t>
        </is>
      </c>
      <c r="D141" s="151">
        <f>IFERROR(XLOOKUP(C141, '11_Master_Data'!$A:$A, '11_Master_Data'!$B:$B, "KHÔNG CÓ MÃ NV"), "KHÔNG CÓ MÃ NV")</f>
        <v/>
      </c>
      <c r="E141" s="150" t="inlineStr">
        <is>
          <t>C2</t>
        </is>
      </c>
      <c r="F141" s="152" t="n">
        <v>1</v>
      </c>
      <c r="G141" s="152" t="n">
        <v>8</v>
      </c>
      <c r="H141" s="152" t="n">
        <v>2</v>
      </c>
      <c r="I141" s="152" t="n">
        <v>0</v>
      </c>
      <c r="J141" s="152" t="n">
        <v>0</v>
      </c>
      <c r="K141" s="152" t="n">
        <v>0</v>
      </c>
      <c r="L141" s="152" t="n">
        <v>0</v>
      </c>
      <c r="M141" s="152" t="n">
        <v>0</v>
      </c>
      <c r="N141" s="152" t="n">
        <v>0</v>
      </c>
      <c r="O141" s="152">
        <f>SUM(H141:J141, L141:N141)</f>
        <v/>
      </c>
      <c r="P141" s="153" t="n">
        <v>55000</v>
      </c>
      <c r="Q141" s="152" t="n">
        <v>0</v>
      </c>
      <c r="R141" s="151" t="inlineStr">
        <is>
          <t>Đảm bảo tiến độ sản xuất</t>
        </is>
      </c>
      <c r="S141" s="150" t="inlineStr">
        <is>
          <t>CÓ</t>
        </is>
      </c>
      <c r="T141" s="150" t="inlineStr">
        <is>
          <t>ĐÃ DUYỆT</t>
        </is>
      </c>
      <c r="U141" s="151" t="inlineStr">
        <is>
          <t>Quản Đốc Trần Đức Minh</t>
        </is>
      </c>
      <c r="V141" s="150" t="inlineStr">
        <is>
          <t>2026-08-12 16:30</t>
        </is>
      </c>
      <c r="W141" s="150" t="inlineStr">
        <is>
          <t>CC-202608-NV07-12</t>
        </is>
      </c>
      <c r="X141" s="150">
        <f>IFS(C141="", "THIẾU MÃ NV", COUNTIFS(A:A, A141, C:C, C141)&gt;1, "TRÙNG NHÂN VIÊN/NGÀY", O141&gt;4, "VƯỢT 4 GIỜ/NGÀY", AND(O141&gt;0, S141&lt;&gt;"CÓ"), "CHƯA ĐĂNG KÝ TC", AND(O141&gt;0, T141&lt;&gt;"ĐÃ DUYỆT"), "CHƯA DUYỆT TC", AND(T141="ĐÃ DUYỆT", U141=""), "THIẾU NGƯỜI DUYỆT", TRUE, "HỢP LỆ")</f>
        <v/>
      </c>
    </row>
    <row r="142">
      <c r="A142" s="146" t="inlineStr">
        <is>
          <t>2026-08-12</t>
        </is>
      </c>
      <c r="B142" s="146">
        <f>DATE(YEAR(A142), MONTH(A142), 1)</f>
        <v/>
      </c>
      <c r="C142" s="146" t="inlineStr">
        <is>
          <t>NV08</t>
        </is>
      </c>
      <c r="D142" s="147">
        <f>IFERROR(XLOOKUP(C142, '11_Master_Data'!$A:$A, '11_Master_Data'!$B:$B, "KHÔNG CÓ MÃ NV"), "KHÔNG CÓ MÃ NV")</f>
        <v/>
      </c>
      <c r="E142" s="146" t="inlineStr">
        <is>
          <t>C1</t>
        </is>
      </c>
      <c r="F142" s="148" t="n">
        <v>1</v>
      </c>
      <c r="G142" s="148" t="n">
        <v>8</v>
      </c>
      <c r="H142" s="148" t="n">
        <v>2</v>
      </c>
      <c r="I142" s="148" t="n">
        <v>0</v>
      </c>
      <c r="J142" s="148" t="n">
        <v>0</v>
      </c>
      <c r="K142" s="148" t="n">
        <v>0</v>
      </c>
      <c r="L142" s="148" t="n">
        <v>0</v>
      </c>
      <c r="M142" s="148" t="n">
        <v>0</v>
      </c>
      <c r="N142" s="148" t="n">
        <v>0</v>
      </c>
      <c r="O142" s="148">
        <f>SUM(H142:J142, L142:N142)</f>
        <v/>
      </c>
      <c r="P142" s="149" t="n">
        <v>55000</v>
      </c>
      <c r="Q142" s="148" t="n">
        <v>0</v>
      </c>
      <c r="R142" s="147" t="inlineStr">
        <is>
          <t>Đảm bảo tiến độ sản xuất</t>
        </is>
      </c>
      <c r="S142" s="146" t="inlineStr">
        <is>
          <t>CÓ</t>
        </is>
      </c>
      <c r="T142" s="146" t="inlineStr">
        <is>
          <t>ĐÃ DUYỆT</t>
        </is>
      </c>
      <c r="U142" s="147" t="inlineStr">
        <is>
          <t>Quản Đốc Trần Đức Minh</t>
        </is>
      </c>
      <c r="V142" s="146" t="inlineStr">
        <is>
          <t>2026-08-12 16:30</t>
        </is>
      </c>
      <c r="W142" s="146" t="inlineStr">
        <is>
          <t>CC-202608-NV08-12</t>
        </is>
      </c>
      <c r="X142" s="146">
        <f>IFS(C142="", "THIẾU MÃ NV", COUNTIFS(A:A, A142, C:C, C142)&gt;1, "TRÙNG NHÂN VIÊN/NGÀY", O142&gt;4, "VƯỢT 4 GIỜ/NGÀY", AND(O142&gt;0, S142&lt;&gt;"CÓ"), "CHƯA ĐĂNG KÝ TC", AND(O142&gt;0, T142&lt;&gt;"ĐÃ DUYỆT"), "CHƯA DUYỆT TC", AND(T142="ĐÃ DUYỆT", U142=""), "THIẾU NGƯỜI DUYỆT", TRUE, "HỢP LỆ")</f>
        <v/>
      </c>
    </row>
    <row r="143">
      <c r="A143" s="150" t="inlineStr">
        <is>
          <t>2026-08-12</t>
        </is>
      </c>
      <c r="B143" s="150">
        <f>DATE(YEAR(A143), MONTH(A143), 1)</f>
        <v/>
      </c>
      <c r="C143" s="150" t="inlineStr">
        <is>
          <t>NV10</t>
        </is>
      </c>
      <c r="D143" s="151">
        <f>IFERROR(XLOOKUP(C143, '11_Master_Data'!$A:$A, '11_Master_Data'!$B:$B, "KHÔNG CÓ MÃ NV"), "KHÔNG CÓ MÃ NV")</f>
        <v/>
      </c>
      <c r="E143" s="150" t="inlineStr">
        <is>
          <t>C3</t>
        </is>
      </c>
      <c r="F143" s="152" t="n">
        <v>1</v>
      </c>
      <c r="G143" s="152" t="n">
        <v>8</v>
      </c>
      <c r="H143" s="152" t="n">
        <v>2</v>
      </c>
      <c r="I143" s="152" t="n">
        <v>0</v>
      </c>
      <c r="J143" s="152" t="n">
        <v>0</v>
      </c>
      <c r="K143" s="152" t="n">
        <v>8</v>
      </c>
      <c r="L143" s="152" t="n">
        <v>0</v>
      </c>
      <c r="M143" s="152" t="n">
        <v>0</v>
      </c>
      <c r="N143" s="152" t="n">
        <v>0</v>
      </c>
      <c r="O143" s="152">
        <f>SUM(H143:J143, L143:N143)</f>
        <v/>
      </c>
      <c r="P143" s="153" t="n">
        <v>55000</v>
      </c>
      <c r="Q143" s="152" t="n">
        <v>0</v>
      </c>
      <c r="R143" s="151" t="inlineStr">
        <is>
          <t>Đảm bảo tiến độ sản xuất</t>
        </is>
      </c>
      <c r="S143" s="150" t="inlineStr">
        <is>
          <t>CÓ</t>
        </is>
      </c>
      <c r="T143" s="150" t="inlineStr">
        <is>
          <t>ĐÃ DUYỆT</t>
        </is>
      </c>
      <c r="U143" s="151" t="inlineStr">
        <is>
          <t>Quản Đốc Trần Đức Minh</t>
        </is>
      </c>
      <c r="V143" s="150" t="inlineStr">
        <is>
          <t>2026-08-12 16:30</t>
        </is>
      </c>
      <c r="W143" s="150" t="inlineStr">
        <is>
          <t>CC-202608-NV10-12</t>
        </is>
      </c>
      <c r="X143" s="150">
        <f>IFS(C143="", "THIẾU MÃ NV", COUNTIFS(A:A, A143, C:C, C143)&gt;1, "TRÙNG NHÂN VIÊN/NGÀY", O143&gt;4, "VƯỢT 4 GIỜ/NGÀY", AND(O143&gt;0, S143&lt;&gt;"CÓ"), "CHƯA ĐĂNG KÝ TC", AND(O143&gt;0, T143&lt;&gt;"ĐÃ DUYỆT"), "CHƯA DUYỆT TC", AND(T143="ĐÃ DUYỆT", U143=""), "THIẾU NGƯỜI DUYỆT", TRUE, "HỢP LỆ")</f>
        <v/>
      </c>
    </row>
    <row r="144">
      <c r="A144" s="146" t="inlineStr">
        <is>
          <t>2026-08-12</t>
        </is>
      </c>
      <c r="B144" s="146">
        <f>DATE(YEAR(A144), MONTH(A144), 1)</f>
        <v/>
      </c>
      <c r="C144" s="146" t="inlineStr">
        <is>
          <t>NV11</t>
        </is>
      </c>
      <c r="D144" s="147">
        <f>IFERROR(XLOOKUP(C144, '11_Master_Data'!$A:$A, '11_Master_Data'!$B:$B, "KHÔNG CÓ MÃ NV"), "KHÔNG CÓ MÃ NV")</f>
        <v/>
      </c>
      <c r="E144" s="146" t="inlineStr">
        <is>
          <t>C3</t>
        </is>
      </c>
      <c r="F144" s="148" t="n">
        <v>1</v>
      </c>
      <c r="G144" s="148" t="n">
        <v>8</v>
      </c>
      <c r="H144" s="148" t="n">
        <v>2</v>
      </c>
      <c r="I144" s="148" t="n">
        <v>0</v>
      </c>
      <c r="J144" s="148" t="n">
        <v>0</v>
      </c>
      <c r="K144" s="148" t="n">
        <v>8</v>
      </c>
      <c r="L144" s="148" t="n">
        <v>0</v>
      </c>
      <c r="M144" s="148" t="n">
        <v>0</v>
      </c>
      <c r="N144" s="148" t="n">
        <v>0</v>
      </c>
      <c r="O144" s="148">
        <f>SUM(H144:J144, L144:N144)</f>
        <v/>
      </c>
      <c r="P144" s="149" t="n">
        <v>55000</v>
      </c>
      <c r="Q144" s="148" t="n">
        <v>0</v>
      </c>
      <c r="R144" s="147" t="inlineStr">
        <is>
          <t>Đảm bảo tiến độ sản xuất</t>
        </is>
      </c>
      <c r="S144" s="146" t="inlineStr">
        <is>
          <t>CÓ</t>
        </is>
      </c>
      <c r="T144" s="146" t="inlineStr">
        <is>
          <t>ĐÃ DUYỆT</t>
        </is>
      </c>
      <c r="U144" s="147" t="inlineStr">
        <is>
          <t>Quản Đốc Trần Đức Minh</t>
        </is>
      </c>
      <c r="V144" s="146" t="inlineStr">
        <is>
          <t>2026-08-12 16:30</t>
        </is>
      </c>
      <c r="W144" s="146" t="inlineStr">
        <is>
          <t>CC-202608-NV11-12</t>
        </is>
      </c>
      <c r="X144" s="146">
        <f>IFS(C144="", "THIẾU MÃ NV", COUNTIFS(A:A, A144, C:C, C144)&gt;1, "TRÙNG NHÂN VIÊN/NGÀY", O144&gt;4, "VƯỢT 4 GIỜ/NGÀY", AND(O144&gt;0, S144&lt;&gt;"CÓ"), "CHƯA ĐĂNG KÝ TC", AND(O144&gt;0, T144&lt;&gt;"ĐÃ DUYỆT"), "CHƯA DUYỆT TC", AND(T144="ĐÃ DUYỆT", U144=""), "THIẾU NGƯỜI DUYỆT", TRUE, "HỢP LỆ")</f>
        <v/>
      </c>
    </row>
    <row r="145">
      <c r="A145" s="150" t="inlineStr">
        <is>
          <t>2026-08-12</t>
        </is>
      </c>
      <c r="B145" s="150">
        <f>DATE(YEAR(A145), MONTH(A145), 1)</f>
        <v/>
      </c>
      <c r="C145" s="150" t="inlineStr">
        <is>
          <t>NV12</t>
        </is>
      </c>
      <c r="D145" s="151">
        <f>IFERROR(XLOOKUP(C145, '11_Master_Data'!$A:$A, '11_Master_Data'!$B:$B, "KHÔNG CÓ MÃ NV"), "KHÔNG CÓ MÃ NV")</f>
        <v/>
      </c>
      <c r="E145" s="150" t="inlineStr">
        <is>
          <t>C2</t>
        </is>
      </c>
      <c r="F145" s="152" t="n">
        <v>1</v>
      </c>
      <c r="G145" s="152" t="n">
        <v>8</v>
      </c>
      <c r="H145" s="152" t="n">
        <v>0</v>
      </c>
      <c r="I145" s="152" t="n">
        <v>0</v>
      </c>
      <c r="J145" s="152" t="n">
        <v>0</v>
      </c>
      <c r="K145" s="152" t="n">
        <v>0</v>
      </c>
      <c r="L145" s="152" t="n">
        <v>0</v>
      </c>
      <c r="M145" s="152" t="n">
        <v>0</v>
      </c>
      <c r="N145" s="152" t="n">
        <v>0</v>
      </c>
      <c r="O145" s="152">
        <f>SUM(H145:J145, L145:N145)</f>
        <v/>
      </c>
      <c r="P145" s="153" t="n">
        <v>30000</v>
      </c>
      <c r="Q145" s="152" t="n">
        <v>0</v>
      </c>
      <c r="R145" s="151" t="inlineStr"/>
      <c r="S145" s="150" t="inlineStr">
        <is>
          <t>KHÔNG</t>
        </is>
      </c>
      <c r="T145" s="150" t="inlineStr">
        <is>
          <t>ĐÃ DUYỆT</t>
        </is>
      </c>
      <c r="U145" s="151" t="inlineStr">
        <is>
          <t>Quản Đốc Trần Đức Minh</t>
        </is>
      </c>
      <c r="V145" s="150" t="inlineStr">
        <is>
          <t>2026-08-12 16:30</t>
        </is>
      </c>
      <c r="W145" s="150" t="inlineStr">
        <is>
          <t>CC-202608-NV12-12</t>
        </is>
      </c>
      <c r="X145" s="150">
        <f>IFS(C145="", "THIẾU MÃ NV", COUNTIFS(A:A, A145, C:C, C145)&gt;1, "TRÙNG NHÂN VIÊN/NGÀY", O145&gt;4, "VƯỢT 4 GIỜ/NGÀY", AND(O145&gt;0, S145&lt;&gt;"CÓ"), "CHƯA ĐĂNG KÝ TC", AND(O145&gt;0, T145&lt;&gt;"ĐÃ DUYỆT"), "CHƯA DUYỆT TC", AND(T145="ĐÃ DUYỆT", U145=""), "THIẾU NGƯỜI DUYỆT", TRUE, "HỢP LỆ")</f>
        <v/>
      </c>
    </row>
    <row r="146">
      <c r="A146" s="146" t="inlineStr">
        <is>
          <t>2026-08-12</t>
        </is>
      </c>
      <c r="B146" s="146">
        <f>DATE(YEAR(A146), MONTH(A146), 1)</f>
        <v/>
      </c>
      <c r="C146" s="146" t="inlineStr">
        <is>
          <t>NV13</t>
        </is>
      </c>
      <c r="D146" s="147">
        <f>IFERROR(XLOOKUP(C146, '11_Master_Data'!$A:$A, '11_Master_Data'!$B:$B, "KHÔNG CÓ MÃ NV"), "KHÔNG CÓ MÃ NV")</f>
        <v/>
      </c>
      <c r="E146" s="146" t="inlineStr">
        <is>
          <t>C2</t>
        </is>
      </c>
      <c r="F146" s="148" t="n">
        <v>1</v>
      </c>
      <c r="G146" s="148" t="n">
        <v>8</v>
      </c>
      <c r="H146" s="148" t="n">
        <v>0</v>
      </c>
      <c r="I146" s="148" t="n">
        <v>0</v>
      </c>
      <c r="J146" s="148" t="n">
        <v>0</v>
      </c>
      <c r="K146" s="148" t="n">
        <v>0</v>
      </c>
      <c r="L146" s="148" t="n">
        <v>0</v>
      </c>
      <c r="M146" s="148" t="n">
        <v>0</v>
      </c>
      <c r="N146" s="148" t="n">
        <v>0</v>
      </c>
      <c r="O146" s="148">
        <f>SUM(H146:J146, L146:N146)</f>
        <v/>
      </c>
      <c r="P146" s="149" t="n">
        <v>30000</v>
      </c>
      <c r="Q146" s="148" t="n">
        <v>0</v>
      </c>
      <c r="R146" s="147" t="inlineStr"/>
      <c r="S146" s="146" t="inlineStr">
        <is>
          <t>KHÔNG</t>
        </is>
      </c>
      <c r="T146" s="146" t="inlineStr">
        <is>
          <t>ĐÃ DUYỆT</t>
        </is>
      </c>
      <c r="U146" s="147" t="inlineStr">
        <is>
          <t>Quản Đốc Trần Đức Minh</t>
        </is>
      </c>
      <c r="V146" s="146" t="inlineStr">
        <is>
          <t>2026-08-12 16:30</t>
        </is>
      </c>
      <c r="W146" s="146" t="inlineStr">
        <is>
          <t>CC-202608-NV13-12</t>
        </is>
      </c>
      <c r="X146" s="146">
        <f>IFS(C146="", "THIẾU MÃ NV", COUNTIFS(A:A, A146, C:C, C146)&gt;1, "TRÙNG NHÂN VIÊN/NGÀY", O146&gt;4, "VƯỢT 4 GIỜ/NGÀY", AND(O146&gt;0, S146&lt;&gt;"CÓ"), "CHƯA ĐĂNG KÝ TC", AND(O146&gt;0, T146&lt;&gt;"ĐÃ DUYỆT"), "CHƯA DUYỆT TC", AND(T146="ĐÃ DUYỆT", U146=""), "THIẾU NGƯỜI DUYỆT", TRUE, "HỢP LỆ")</f>
        <v/>
      </c>
    </row>
    <row r="147">
      <c r="A147" s="150" t="inlineStr">
        <is>
          <t>2026-08-12</t>
        </is>
      </c>
      <c r="B147" s="150">
        <f>DATE(YEAR(A147), MONTH(A147), 1)</f>
        <v/>
      </c>
      <c r="C147" s="150" t="inlineStr">
        <is>
          <t>NV14</t>
        </is>
      </c>
      <c r="D147" s="151">
        <f>IFERROR(XLOOKUP(C147, '11_Master_Data'!$A:$A, '11_Master_Data'!$B:$B, "KHÔNG CÓ MÃ NV"), "KHÔNG CÓ MÃ NV")</f>
        <v/>
      </c>
      <c r="E147" s="150" t="inlineStr">
        <is>
          <t>C2</t>
        </is>
      </c>
      <c r="F147" s="152" t="n">
        <v>1</v>
      </c>
      <c r="G147" s="152" t="n">
        <v>8</v>
      </c>
      <c r="H147" s="152" t="n">
        <v>2</v>
      </c>
      <c r="I147" s="152" t="n">
        <v>0</v>
      </c>
      <c r="J147" s="152" t="n">
        <v>0</v>
      </c>
      <c r="K147" s="152" t="n">
        <v>0</v>
      </c>
      <c r="L147" s="152" t="n">
        <v>0</v>
      </c>
      <c r="M147" s="152" t="n">
        <v>0</v>
      </c>
      <c r="N147" s="152" t="n">
        <v>0</v>
      </c>
      <c r="O147" s="152">
        <f>SUM(H147:J147, L147:N147)</f>
        <v/>
      </c>
      <c r="P147" s="153" t="n">
        <v>55000</v>
      </c>
      <c r="Q147" s="152" t="n">
        <v>0</v>
      </c>
      <c r="R147" s="151" t="inlineStr">
        <is>
          <t>Đảm bảo tiến độ sản xuất</t>
        </is>
      </c>
      <c r="S147" s="150" t="inlineStr">
        <is>
          <t>CÓ</t>
        </is>
      </c>
      <c r="T147" s="150" t="inlineStr">
        <is>
          <t>ĐÃ DUYỆT</t>
        </is>
      </c>
      <c r="U147" s="151" t="inlineStr">
        <is>
          <t>Quản Đốc Trần Đức Minh</t>
        </is>
      </c>
      <c r="V147" s="150" t="inlineStr">
        <is>
          <t>2026-08-12 16:30</t>
        </is>
      </c>
      <c r="W147" s="150" t="inlineStr">
        <is>
          <t>CC-202608-NV14-12</t>
        </is>
      </c>
      <c r="X147" s="150">
        <f>IFS(C147="", "THIẾU MÃ NV", COUNTIFS(A:A, A147, C:C, C147)&gt;1, "TRÙNG NHÂN VIÊN/NGÀY", O147&gt;4, "VƯỢT 4 GIỜ/NGÀY", AND(O147&gt;0, S147&lt;&gt;"CÓ"), "CHƯA ĐĂNG KÝ TC", AND(O147&gt;0, T147&lt;&gt;"ĐÃ DUYỆT"), "CHƯA DUYỆT TC", AND(T147="ĐÃ DUYỆT", U147=""), "THIẾU NGƯỜI DUYỆT", TRUE, "HỢP LỆ")</f>
        <v/>
      </c>
    </row>
    <row r="148">
      <c r="A148" s="146" t="inlineStr">
        <is>
          <t>2026-08-12</t>
        </is>
      </c>
      <c r="B148" s="146">
        <f>DATE(YEAR(A148), MONTH(A148), 1)</f>
        <v/>
      </c>
      <c r="C148" s="146" t="inlineStr">
        <is>
          <t>NV15</t>
        </is>
      </c>
      <c r="D148" s="147">
        <f>IFERROR(XLOOKUP(C148, '11_Master_Data'!$A:$A, '11_Master_Data'!$B:$B, "KHÔNG CÓ MÃ NV"), "KHÔNG CÓ MÃ NV")</f>
        <v/>
      </c>
      <c r="E148" s="146" t="inlineStr">
        <is>
          <t>C2</t>
        </is>
      </c>
      <c r="F148" s="148" t="n">
        <v>1</v>
      </c>
      <c r="G148" s="148" t="n">
        <v>8</v>
      </c>
      <c r="H148" s="148" t="n">
        <v>2</v>
      </c>
      <c r="I148" s="148" t="n">
        <v>0</v>
      </c>
      <c r="J148" s="148" t="n">
        <v>0</v>
      </c>
      <c r="K148" s="148" t="n">
        <v>0</v>
      </c>
      <c r="L148" s="148" t="n">
        <v>0</v>
      </c>
      <c r="M148" s="148" t="n">
        <v>0</v>
      </c>
      <c r="N148" s="148" t="n">
        <v>0</v>
      </c>
      <c r="O148" s="148">
        <f>SUM(H148:J148, L148:N148)</f>
        <v/>
      </c>
      <c r="P148" s="149" t="n">
        <v>55000</v>
      </c>
      <c r="Q148" s="148" t="n">
        <v>0</v>
      </c>
      <c r="R148" s="147" t="inlineStr">
        <is>
          <t>Đảm bảo tiến độ sản xuất</t>
        </is>
      </c>
      <c r="S148" s="146" t="inlineStr">
        <is>
          <t>CÓ</t>
        </is>
      </c>
      <c r="T148" s="146" t="inlineStr">
        <is>
          <t>ĐÃ DUYỆT</t>
        </is>
      </c>
      <c r="U148" s="147" t="inlineStr">
        <is>
          <t>Quản Đốc Trần Đức Minh</t>
        </is>
      </c>
      <c r="V148" s="146" t="inlineStr">
        <is>
          <t>2026-08-12 16:30</t>
        </is>
      </c>
      <c r="W148" s="146" t="inlineStr">
        <is>
          <t>CC-202608-NV15-12</t>
        </is>
      </c>
      <c r="X148" s="146">
        <f>IFS(C148="", "THIẾU MÃ NV", COUNTIFS(A:A, A148, C:C, C148)&gt;1, "TRÙNG NHÂN VIÊN/NGÀY", O148&gt;4, "VƯỢT 4 GIỜ/NGÀY", AND(O148&gt;0, S148&lt;&gt;"CÓ"), "CHƯA ĐĂNG KÝ TC", AND(O148&gt;0, T148&lt;&gt;"ĐÃ DUYỆT"), "CHƯA DUYỆT TC", AND(T148="ĐÃ DUYỆT", U148=""), "THIẾU NGƯỜI DUYỆT", TRUE, "HỢP LỆ")</f>
        <v/>
      </c>
    </row>
    <row r="149">
      <c r="A149" s="150" t="inlineStr">
        <is>
          <t>2026-08-13</t>
        </is>
      </c>
      <c r="B149" s="150">
        <f>DATE(YEAR(A149), MONTH(A149), 1)</f>
        <v/>
      </c>
      <c r="C149" s="150" t="inlineStr">
        <is>
          <t>NV01</t>
        </is>
      </c>
      <c r="D149" s="151">
        <f>IFERROR(XLOOKUP(C149, '11_Master_Data'!$A:$A, '11_Master_Data'!$B:$B, "KHÔNG CÓ MÃ NV"), "KHÔNG CÓ MÃ NV")</f>
        <v/>
      </c>
      <c r="E149" s="150" t="inlineStr">
        <is>
          <t>C1</t>
        </is>
      </c>
      <c r="F149" s="152" t="n">
        <v>1</v>
      </c>
      <c r="G149" s="152" t="n">
        <v>8</v>
      </c>
      <c r="H149" s="152" t="n">
        <v>0</v>
      </c>
      <c r="I149" s="152" t="n">
        <v>0</v>
      </c>
      <c r="J149" s="152" t="n">
        <v>0</v>
      </c>
      <c r="K149" s="152" t="n">
        <v>0</v>
      </c>
      <c r="L149" s="152" t="n">
        <v>0</v>
      </c>
      <c r="M149" s="152" t="n">
        <v>0</v>
      </c>
      <c r="N149" s="152" t="n">
        <v>0</v>
      </c>
      <c r="O149" s="152">
        <f>SUM(H149:J149, L149:N149)</f>
        <v/>
      </c>
      <c r="P149" s="153" t="n">
        <v>30000</v>
      </c>
      <c r="Q149" s="152" t="n">
        <v>0</v>
      </c>
      <c r="R149" s="151" t="inlineStr"/>
      <c r="S149" s="150" t="inlineStr">
        <is>
          <t>KHÔNG</t>
        </is>
      </c>
      <c r="T149" s="150" t="inlineStr">
        <is>
          <t>ĐÃ DUYỆT</t>
        </is>
      </c>
      <c r="U149" s="151" t="inlineStr">
        <is>
          <t>Quản Đốc Trần Đức Minh</t>
        </is>
      </c>
      <c r="V149" s="150" t="inlineStr">
        <is>
          <t>2026-08-13 16:30</t>
        </is>
      </c>
      <c r="W149" s="150" t="inlineStr">
        <is>
          <t>CC-202608-NV01-13</t>
        </is>
      </c>
      <c r="X149" s="150">
        <f>IFS(C149="", "THIẾU MÃ NV", COUNTIFS(A:A, A149, C:C, C149)&gt;1, "TRÙNG NHÂN VIÊN/NGÀY", O149&gt;4, "VƯỢT 4 GIỜ/NGÀY", AND(O149&gt;0, S149&lt;&gt;"CÓ"), "CHƯA ĐĂNG KÝ TC", AND(O149&gt;0, T149&lt;&gt;"ĐÃ DUYỆT"), "CHƯA DUYỆT TC", AND(T149="ĐÃ DUYỆT", U149=""), "THIẾU NGƯỜI DUYỆT", TRUE, "HỢP LỆ")</f>
        <v/>
      </c>
    </row>
    <row r="150">
      <c r="A150" s="146" t="inlineStr">
        <is>
          <t>2026-08-13</t>
        </is>
      </c>
      <c r="B150" s="146">
        <f>DATE(YEAR(A150), MONTH(A150), 1)</f>
        <v/>
      </c>
      <c r="C150" s="146" t="inlineStr">
        <is>
          <t>NV02</t>
        </is>
      </c>
      <c r="D150" s="147">
        <f>IFERROR(XLOOKUP(C150, '11_Master_Data'!$A:$A, '11_Master_Data'!$B:$B, "KHÔNG CÓ MÃ NV"), "KHÔNG CÓ MÃ NV")</f>
        <v/>
      </c>
      <c r="E150" s="146" t="inlineStr">
        <is>
          <t>C3</t>
        </is>
      </c>
      <c r="F150" s="148" t="n">
        <v>1</v>
      </c>
      <c r="G150" s="148" t="n">
        <v>8</v>
      </c>
      <c r="H150" s="148" t="n">
        <v>0</v>
      </c>
      <c r="I150" s="148" t="n">
        <v>0</v>
      </c>
      <c r="J150" s="148" t="n">
        <v>0</v>
      </c>
      <c r="K150" s="148" t="n">
        <v>8</v>
      </c>
      <c r="L150" s="148" t="n">
        <v>0</v>
      </c>
      <c r="M150" s="148" t="n">
        <v>0</v>
      </c>
      <c r="N150" s="148" t="n">
        <v>0</v>
      </c>
      <c r="O150" s="148">
        <f>SUM(H150:J150, L150:N150)</f>
        <v/>
      </c>
      <c r="P150" s="149" t="n">
        <v>30000</v>
      </c>
      <c r="Q150" s="148" t="n">
        <v>0</v>
      </c>
      <c r="R150" s="147" t="inlineStr"/>
      <c r="S150" s="146" t="inlineStr">
        <is>
          <t>KHÔNG</t>
        </is>
      </c>
      <c r="T150" s="146" t="inlineStr">
        <is>
          <t>ĐÃ DUYỆT</t>
        </is>
      </c>
      <c r="U150" s="147" t="inlineStr">
        <is>
          <t>Quản Đốc Trần Đức Minh</t>
        </is>
      </c>
      <c r="V150" s="146" t="inlineStr">
        <is>
          <t>2026-08-13 16:30</t>
        </is>
      </c>
      <c r="W150" s="146" t="inlineStr">
        <is>
          <t>CC-202608-NV02-13</t>
        </is>
      </c>
      <c r="X150" s="146">
        <f>IFS(C150="", "THIẾU MÃ NV", COUNTIFS(A:A, A150, C:C, C150)&gt;1, "TRÙNG NHÂN VIÊN/NGÀY", O150&gt;4, "VƯỢT 4 GIỜ/NGÀY", AND(O150&gt;0, S150&lt;&gt;"CÓ"), "CHƯA ĐĂNG KÝ TC", AND(O150&gt;0, T150&lt;&gt;"ĐÃ DUYỆT"), "CHƯA DUYỆT TC", AND(T150="ĐÃ DUYỆT", U150=""), "THIẾU NGƯỜI DUYỆT", TRUE, "HỢP LỆ")</f>
        <v/>
      </c>
    </row>
    <row r="151">
      <c r="A151" s="150" t="inlineStr">
        <is>
          <t>2026-08-13</t>
        </is>
      </c>
      <c r="B151" s="150">
        <f>DATE(YEAR(A151), MONTH(A151), 1)</f>
        <v/>
      </c>
      <c r="C151" s="150" t="inlineStr">
        <is>
          <t>NV03</t>
        </is>
      </c>
      <c r="D151" s="151">
        <f>IFERROR(XLOOKUP(C151, '11_Master_Data'!$A:$A, '11_Master_Data'!$B:$B, "KHÔNG CÓ MÃ NV"), "KHÔNG CÓ MÃ NV")</f>
        <v/>
      </c>
      <c r="E151" s="150" t="inlineStr">
        <is>
          <t>C1</t>
        </is>
      </c>
      <c r="F151" s="152" t="n">
        <v>1</v>
      </c>
      <c r="G151" s="152" t="n">
        <v>8</v>
      </c>
      <c r="H151" s="152" t="n">
        <v>0</v>
      </c>
      <c r="I151" s="152" t="n">
        <v>0</v>
      </c>
      <c r="J151" s="152" t="n">
        <v>0</v>
      </c>
      <c r="K151" s="152" t="n">
        <v>0</v>
      </c>
      <c r="L151" s="152" t="n">
        <v>0</v>
      </c>
      <c r="M151" s="152" t="n">
        <v>0</v>
      </c>
      <c r="N151" s="152" t="n">
        <v>0</v>
      </c>
      <c r="O151" s="152">
        <f>SUM(H151:J151, L151:N151)</f>
        <v/>
      </c>
      <c r="P151" s="153" t="n">
        <v>30000</v>
      </c>
      <c r="Q151" s="152" t="n">
        <v>0</v>
      </c>
      <c r="R151" s="151" t="inlineStr"/>
      <c r="S151" s="150" t="inlineStr">
        <is>
          <t>KHÔNG</t>
        </is>
      </c>
      <c r="T151" s="150" t="inlineStr">
        <is>
          <t>ĐÃ DUYỆT</t>
        </is>
      </c>
      <c r="U151" s="151" t="inlineStr">
        <is>
          <t>Quản Đốc Trần Đức Minh</t>
        </is>
      </c>
      <c r="V151" s="150" t="inlineStr">
        <is>
          <t>2026-08-13 16:30</t>
        </is>
      </c>
      <c r="W151" s="150" t="inlineStr">
        <is>
          <t>CC-202608-NV03-13</t>
        </is>
      </c>
      <c r="X151" s="150">
        <f>IFS(C151="", "THIẾU MÃ NV", COUNTIFS(A:A, A151, C:C, C151)&gt;1, "TRÙNG NHÂN VIÊN/NGÀY", O151&gt;4, "VƯỢT 4 GIỜ/NGÀY", AND(O151&gt;0, S151&lt;&gt;"CÓ"), "CHƯA ĐĂNG KÝ TC", AND(O151&gt;0, T151&lt;&gt;"ĐÃ DUYỆT"), "CHƯA DUYỆT TC", AND(T151="ĐÃ DUYỆT", U151=""), "THIẾU NGƯỜI DUYỆT", TRUE, "HỢP LỆ")</f>
        <v/>
      </c>
    </row>
    <row r="152">
      <c r="A152" s="146" t="inlineStr">
        <is>
          <t>2026-08-13</t>
        </is>
      </c>
      <c r="B152" s="146">
        <f>DATE(YEAR(A152), MONTH(A152), 1)</f>
        <v/>
      </c>
      <c r="C152" s="146" t="inlineStr">
        <is>
          <t>NV04</t>
        </is>
      </c>
      <c r="D152" s="147">
        <f>IFERROR(XLOOKUP(C152, '11_Master_Data'!$A:$A, '11_Master_Data'!$B:$B, "KHÔNG CÓ MÃ NV"), "KHÔNG CÓ MÃ NV")</f>
        <v/>
      </c>
      <c r="E152" s="146" t="inlineStr">
        <is>
          <t>C1</t>
        </is>
      </c>
      <c r="F152" s="148" t="n">
        <v>1</v>
      </c>
      <c r="G152" s="148" t="n">
        <v>8</v>
      </c>
      <c r="H152" s="148" t="n">
        <v>2</v>
      </c>
      <c r="I152" s="148" t="n">
        <v>0</v>
      </c>
      <c r="J152" s="148" t="n">
        <v>0</v>
      </c>
      <c r="K152" s="148" t="n">
        <v>0</v>
      </c>
      <c r="L152" s="148" t="n">
        <v>0</v>
      </c>
      <c r="M152" s="148" t="n">
        <v>0</v>
      </c>
      <c r="N152" s="148" t="n">
        <v>0</v>
      </c>
      <c r="O152" s="148">
        <f>SUM(H152:J152, L152:N152)</f>
        <v/>
      </c>
      <c r="P152" s="149" t="n">
        <v>55000</v>
      </c>
      <c r="Q152" s="148" t="n">
        <v>0</v>
      </c>
      <c r="R152" s="147" t="inlineStr">
        <is>
          <t>Đảm bảo tiến độ sản xuất</t>
        </is>
      </c>
      <c r="S152" s="146" t="inlineStr">
        <is>
          <t>CÓ</t>
        </is>
      </c>
      <c r="T152" s="146" t="inlineStr">
        <is>
          <t>ĐÃ DUYỆT</t>
        </is>
      </c>
      <c r="U152" s="147" t="inlineStr">
        <is>
          <t>Quản Đốc Trần Đức Minh</t>
        </is>
      </c>
      <c r="V152" s="146" t="inlineStr">
        <is>
          <t>2026-08-13 16:30</t>
        </is>
      </c>
      <c r="W152" s="146" t="inlineStr">
        <is>
          <t>CC-202608-NV04-13</t>
        </is>
      </c>
      <c r="X152" s="146">
        <f>IFS(C152="", "THIẾU MÃ NV", COUNTIFS(A:A, A152, C:C, C152)&gt;1, "TRÙNG NHÂN VIÊN/NGÀY", O152&gt;4, "VƯỢT 4 GIỜ/NGÀY", AND(O152&gt;0, S152&lt;&gt;"CÓ"), "CHƯA ĐĂNG KÝ TC", AND(O152&gt;0, T152&lt;&gt;"ĐÃ DUYỆT"), "CHƯA DUYỆT TC", AND(T152="ĐÃ DUYỆT", U152=""), "THIẾU NGƯỜI DUYỆT", TRUE, "HỢP LỆ")</f>
        <v/>
      </c>
    </row>
    <row r="153">
      <c r="A153" s="150" t="inlineStr">
        <is>
          <t>2026-08-13</t>
        </is>
      </c>
      <c r="B153" s="150">
        <f>DATE(YEAR(A153), MONTH(A153), 1)</f>
        <v/>
      </c>
      <c r="C153" s="150" t="inlineStr">
        <is>
          <t>NV06</t>
        </is>
      </c>
      <c r="D153" s="151">
        <f>IFERROR(XLOOKUP(C153, '11_Master_Data'!$A:$A, '11_Master_Data'!$B:$B, "KHÔNG CÓ MÃ NV"), "KHÔNG CÓ MÃ NV")</f>
        <v/>
      </c>
      <c r="E153" s="150" t="inlineStr">
        <is>
          <t>C1</t>
        </is>
      </c>
      <c r="F153" s="152" t="n">
        <v>1</v>
      </c>
      <c r="G153" s="152" t="n">
        <v>8</v>
      </c>
      <c r="H153" s="152" t="n">
        <v>2</v>
      </c>
      <c r="I153" s="152" t="n">
        <v>0</v>
      </c>
      <c r="J153" s="152" t="n">
        <v>0</v>
      </c>
      <c r="K153" s="152" t="n">
        <v>0</v>
      </c>
      <c r="L153" s="152" t="n">
        <v>0</v>
      </c>
      <c r="M153" s="152" t="n">
        <v>0</v>
      </c>
      <c r="N153" s="152" t="n">
        <v>0</v>
      </c>
      <c r="O153" s="152">
        <f>SUM(H153:J153, L153:N153)</f>
        <v/>
      </c>
      <c r="P153" s="153" t="n">
        <v>55000</v>
      </c>
      <c r="Q153" s="152" t="n">
        <v>0</v>
      </c>
      <c r="R153" s="151" t="inlineStr">
        <is>
          <t>Đảm bảo tiến độ sản xuất</t>
        </is>
      </c>
      <c r="S153" s="150" t="inlineStr">
        <is>
          <t>CÓ</t>
        </is>
      </c>
      <c r="T153" s="150" t="inlineStr">
        <is>
          <t>ĐÃ DUYỆT</t>
        </is>
      </c>
      <c r="U153" s="151" t="inlineStr">
        <is>
          <t>Quản Đốc Trần Đức Minh</t>
        </is>
      </c>
      <c r="V153" s="150" t="inlineStr">
        <is>
          <t>2026-08-13 16:30</t>
        </is>
      </c>
      <c r="W153" s="150" t="inlineStr">
        <is>
          <t>CC-202608-NV06-13</t>
        </is>
      </c>
      <c r="X153" s="150">
        <f>IFS(C153="", "THIẾU MÃ NV", COUNTIFS(A:A, A153, C:C, C153)&gt;1, "TRÙNG NHÂN VIÊN/NGÀY", O153&gt;4, "VƯỢT 4 GIỜ/NGÀY", AND(O153&gt;0, S153&lt;&gt;"CÓ"), "CHƯA ĐĂNG KÝ TC", AND(O153&gt;0, T153&lt;&gt;"ĐÃ DUYỆT"), "CHƯA DUYỆT TC", AND(T153="ĐÃ DUYỆT", U153=""), "THIẾU NGƯỜI DUYỆT", TRUE, "HỢP LỆ")</f>
        <v/>
      </c>
    </row>
    <row r="154">
      <c r="A154" s="146" t="inlineStr">
        <is>
          <t>2026-08-13</t>
        </is>
      </c>
      <c r="B154" s="146">
        <f>DATE(YEAR(A154), MONTH(A154), 1)</f>
        <v/>
      </c>
      <c r="C154" s="146" t="inlineStr">
        <is>
          <t>NV07</t>
        </is>
      </c>
      <c r="D154" s="147">
        <f>IFERROR(XLOOKUP(C154, '11_Master_Data'!$A:$A, '11_Master_Data'!$B:$B, "KHÔNG CÓ MÃ NV"), "KHÔNG CÓ MÃ NV")</f>
        <v/>
      </c>
      <c r="E154" s="146" t="inlineStr">
        <is>
          <t>C2</t>
        </is>
      </c>
      <c r="F154" s="148" t="n">
        <v>1</v>
      </c>
      <c r="G154" s="148" t="n">
        <v>8</v>
      </c>
      <c r="H154" s="148" t="n">
        <v>2</v>
      </c>
      <c r="I154" s="148" t="n">
        <v>0</v>
      </c>
      <c r="J154" s="148" t="n">
        <v>0</v>
      </c>
      <c r="K154" s="148" t="n">
        <v>0</v>
      </c>
      <c r="L154" s="148" t="n">
        <v>0</v>
      </c>
      <c r="M154" s="148" t="n">
        <v>0</v>
      </c>
      <c r="N154" s="148" t="n">
        <v>0</v>
      </c>
      <c r="O154" s="148">
        <f>SUM(H154:J154, L154:N154)</f>
        <v/>
      </c>
      <c r="P154" s="149" t="n">
        <v>55000</v>
      </c>
      <c r="Q154" s="148" t="n">
        <v>0</v>
      </c>
      <c r="R154" s="147" t="inlineStr">
        <is>
          <t>Đảm bảo tiến độ sản xuất</t>
        </is>
      </c>
      <c r="S154" s="146" t="inlineStr">
        <is>
          <t>CÓ</t>
        </is>
      </c>
      <c r="T154" s="146" t="inlineStr">
        <is>
          <t>ĐÃ DUYỆT</t>
        </is>
      </c>
      <c r="U154" s="147" t="inlineStr">
        <is>
          <t>Quản Đốc Trần Đức Minh</t>
        </is>
      </c>
      <c r="V154" s="146" t="inlineStr">
        <is>
          <t>2026-08-13 16:30</t>
        </is>
      </c>
      <c r="W154" s="146" t="inlineStr">
        <is>
          <t>CC-202608-NV07-13</t>
        </is>
      </c>
      <c r="X154" s="146">
        <f>IFS(C154="", "THIẾU MÃ NV", COUNTIFS(A:A, A154, C:C, C154)&gt;1, "TRÙNG NHÂN VIÊN/NGÀY", O154&gt;4, "VƯỢT 4 GIỜ/NGÀY", AND(O154&gt;0, S154&lt;&gt;"CÓ"), "CHƯA ĐĂNG KÝ TC", AND(O154&gt;0, T154&lt;&gt;"ĐÃ DUYỆT"), "CHƯA DUYỆT TC", AND(T154="ĐÃ DUYỆT", U154=""), "THIẾU NGƯỜI DUYỆT", TRUE, "HỢP LỆ")</f>
        <v/>
      </c>
    </row>
    <row r="155">
      <c r="A155" s="150" t="inlineStr">
        <is>
          <t>2026-08-13</t>
        </is>
      </c>
      <c r="B155" s="150">
        <f>DATE(YEAR(A155), MONTH(A155), 1)</f>
        <v/>
      </c>
      <c r="C155" s="150" t="inlineStr">
        <is>
          <t>NV08</t>
        </is>
      </c>
      <c r="D155" s="151">
        <f>IFERROR(XLOOKUP(C155, '11_Master_Data'!$A:$A, '11_Master_Data'!$B:$B, "KHÔNG CÓ MÃ NV"), "KHÔNG CÓ MÃ NV")</f>
        <v/>
      </c>
      <c r="E155" s="150" t="inlineStr">
        <is>
          <t>C1</t>
        </is>
      </c>
      <c r="F155" s="152" t="n">
        <v>1</v>
      </c>
      <c r="G155" s="152" t="n">
        <v>8</v>
      </c>
      <c r="H155" s="152" t="n">
        <v>2</v>
      </c>
      <c r="I155" s="152" t="n">
        <v>0</v>
      </c>
      <c r="J155" s="152" t="n">
        <v>0</v>
      </c>
      <c r="K155" s="152" t="n">
        <v>0</v>
      </c>
      <c r="L155" s="152" t="n">
        <v>0</v>
      </c>
      <c r="M155" s="152" t="n">
        <v>0</v>
      </c>
      <c r="N155" s="152" t="n">
        <v>0</v>
      </c>
      <c r="O155" s="152">
        <f>SUM(H155:J155, L155:N155)</f>
        <v/>
      </c>
      <c r="P155" s="153" t="n">
        <v>55000</v>
      </c>
      <c r="Q155" s="152" t="n">
        <v>0</v>
      </c>
      <c r="R155" s="151" t="inlineStr">
        <is>
          <t>Đảm bảo tiến độ sản xuất</t>
        </is>
      </c>
      <c r="S155" s="150" t="inlineStr">
        <is>
          <t>CÓ</t>
        </is>
      </c>
      <c r="T155" s="150" t="inlineStr">
        <is>
          <t>ĐÃ DUYỆT</t>
        </is>
      </c>
      <c r="U155" s="151" t="inlineStr">
        <is>
          <t>Quản Đốc Trần Đức Minh</t>
        </is>
      </c>
      <c r="V155" s="150" t="inlineStr">
        <is>
          <t>2026-08-13 16:30</t>
        </is>
      </c>
      <c r="W155" s="150" t="inlineStr">
        <is>
          <t>CC-202608-NV08-13</t>
        </is>
      </c>
      <c r="X155" s="150">
        <f>IFS(C155="", "THIẾU MÃ NV", COUNTIFS(A:A, A155, C:C, C155)&gt;1, "TRÙNG NHÂN VIÊN/NGÀY", O155&gt;4, "VƯỢT 4 GIỜ/NGÀY", AND(O155&gt;0, S155&lt;&gt;"CÓ"), "CHƯA ĐĂNG KÝ TC", AND(O155&gt;0, T155&lt;&gt;"ĐÃ DUYỆT"), "CHƯA DUYỆT TC", AND(T155="ĐÃ DUYỆT", U155=""), "THIẾU NGƯỜI DUYỆT", TRUE, "HỢP LỆ")</f>
        <v/>
      </c>
    </row>
    <row r="156">
      <c r="A156" s="146" t="inlineStr">
        <is>
          <t>2026-08-13</t>
        </is>
      </c>
      <c r="B156" s="146">
        <f>DATE(YEAR(A156), MONTH(A156), 1)</f>
        <v/>
      </c>
      <c r="C156" s="146" t="inlineStr">
        <is>
          <t>NV10</t>
        </is>
      </c>
      <c r="D156" s="147">
        <f>IFERROR(XLOOKUP(C156, '11_Master_Data'!$A:$A, '11_Master_Data'!$B:$B, "KHÔNG CÓ MÃ NV"), "KHÔNG CÓ MÃ NV")</f>
        <v/>
      </c>
      <c r="E156" s="146" t="inlineStr">
        <is>
          <t>C3</t>
        </is>
      </c>
      <c r="F156" s="148" t="n">
        <v>1</v>
      </c>
      <c r="G156" s="148" t="n">
        <v>8</v>
      </c>
      <c r="H156" s="148" t="n">
        <v>2</v>
      </c>
      <c r="I156" s="148" t="n">
        <v>0</v>
      </c>
      <c r="J156" s="148" t="n">
        <v>0</v>
      </c>
      <c r="K156" s="148" t="n">
        <v>8</v>
      </c>
      <c r="L156" s="148" t="n">
        <v>0</v>
      </c>
      <c r="M156" s="148" t="n">
        <v>0</v>
      </c>
      <c r="N156" s="148" t="n">
        <v>0</v>
      </c>
      <c r="O156" s="148">
        <f>SUM(H156:J156, L156:N156)</f>
        <v/>
      </c>
      <c r="P156" s="149" t="n">
        <v>55000</v>
      </c>
      <c r="Q156" s="148" t="n">
        <v>0</v>
      </c>
      <c r="R156" s="147" t="inlineStr">
        <is>
          <t>Đảm bảo tiến độ sản xuất</t>
        </is>
      </c>
      <c r="S156" s="146" t="inlineStr">
        <is>
          <t>CÓ</t>
        </is>
      </c>
      <c r="T156" s="146" t="inlineStr">
        <is>
          <t>ĐÃ DUYỆT</t>
        </is>
      </c>
      <c r="U156" s="147" t="inlineStr">
        <is>
          <t>Quản Đốc Trần Đức Minh</t>
        </is>
      </c>
      <c r="V156" s="146" t="inlineStr">
        <is>
          <t>2026-08-13 16:30</t>
        </is>
      </c>
      <c r="W156" s="146" t="inlineStr">
        <is>
          <t>CC-202608-NV10-13</t>
        </is>
      </c>
      <c r="X156" s="146">
        <f>IFS(C156="", "THIẾU MÃ NV", COUNTIFS(A:A, A156, C:C, C156)&gt;1, "TRÙNG NHÂN VIÊN/NGÀY", O156&gt;4, "VƯỢT 4 GIỜ/NGÀY", AND(O156&gt;0, S156&lt;&gt;"CÓ"), "CHƯA ĐĂNG KÝ TC", AND(O156&gt;0, T156&lt;&gt;"ĐÃ DUYỆT"), "CHƯA DUYỆT TC", AND(T156="ĐÃ DUYỆT", U156=""), "THIẾU NGƯỜI DUYỆT", TRUE, "HỢP LỆ")</f>
        <v/>
      </c>
    </row>
    <row r="157">
      <c r="A157" s="150" t="inlineStr">
        <is>
          <t>2026-08-13</t>
        </is>
      </c>
      <c r="B157" s="150">
        <f>DATE(YEAR(A157), MONTH(A157), 1)</f>
        <v/>
      </c>
      <c r="C157" s="150" t="inlineStr">
        <is>
          <t>NV11</t>
        </is>
      </c>
      <c r="D157" s="151">
        <f>IFERROR(XLOOKUP(C157, '11_Master_Data'!$A:$A, '11_Master_Data'!$B:$B, "KHÔNG CÓ MÃ NV"), "KHÔNG CÓ MÃ NV")</f>
        <v/>
      </c>
      <c r="E157" s="150" t="inlineStr">
        <is>
          <t>C3</t>
        </is>
      </c>
      <c r="F157" s="152" t="n">
        <v>1</v>
      </c>
      <c r="G157" s="152" t="n">
        <v>8</v>
      </c>
      <c r="H157" s="152" t="n">
        <v>0</v>
      </c>
      <c r="I157" s="152" t="n">
        <v>0</v>
      </c>
      <c r="J157" s="152" t="n">
        <v>0</v>
      </c>
      <c r="K157" s="152" t="n">
        <v>8</v>
      </c>
      <c r="L157" s="152" t="n">
        <v>0</v>
      </c>
      <c r="M157" s="152" t="n">
        <v>0</v>
      </c>
      <c r="N157" s="152" t="n">
        <v>0</v>
      </c>
      <c r="O157" s="152">
        <f>SUM(H157:J157, L157:N157)</f>
        <v/>
      </c>
      <c r="P157" s="153" t="n">
        <v>30000</v>
      </c>
      <c r="Q157" s="152" t="n">
        <v>0</v>
      </c>
      <c r="R157" s="151" t="inlineStr"/>
      <c r="S157" s="150" t="inlineStr">
        <is>
          <t>KHÔNG</t>
        </is>
      </c>
      <c r="T157" s="150" t="inlineStr">
        <is>
          <t>ĐÃ DUYỆT</t>
        </is>
      </c>
      <c r="U157" s="151" t="inlineStr">
        <is>
          <t>Quản Đốc Trần Đức Minh</t>
        </is>
      </c>
      <c r="V157" s="150" t="inlineStr">
        <is>
          <t>2026-08-13 16:30</t>
        </is>
      </c>
      <c r="W157" s="150" t="inlineStr">
        <is>
          <t>CC-202608-NV11-13</t>
        </is>
      </c>
      <c r="X157" s="150">
        <f>IFS(C157="", "THIẾU MÃ NV", COUNTIFS(A:A, A157, C:C, C157)&gt;1, "TRÙNG NHÂN VIÊN/NGÀY", O157&gt;4, "VƯỢT 4 GIỜ/NGÀY", AND(O157&gt;0, S157&lt;&gt;"CÓ"), "CHƯA ĐĂNG KÝ TC", AND(O157&gt;0, T157&lt;&gt;"ĐÃ DUYỆT"), "CHƯA DUYỆT TC", AND(T157="ĐÃ DUYỆT", U157=""), "THIẾU NGƯỜI DUYỆT", TRUE, "HỢP LỆ")</f>
        <v/>
      </c>
    </row>
    <row r="158">
      <c r="A158" s="146" t="inlineStr">
        <is>
          <t>2026-08-13</t>
        </is>
      </c>
      <c r="B158" s="146">
        <f>DATE(YEAR(A158), MONTH(A158), 1)</f>
        <v/>
      </c>
      <c r="C158" s="146" t="inlineStr">
        <is>
          <t>NV12</t>
        </is>
      </c>
      <c r="D158" s="147">
        <f>IFERROR(XLOOKUP(C158, '11_Master_Data'!$A:$A, '11_Master_Data'!$B:$B, "KHÔNG CÓ MÃ NV"), "KHÔNG CÓ MÃ NV")</f>
        <v/>
      </c>
      <c r="E158" s="146" t="inlineStr">
        <is>
          <t>C2</t>
        </is>
      </c>
      <c r="F158" s="148" t="n">
        <v>1</v>
      </c>
      <c r="G158" s="148" t="n">
        <v>8</v>
      </c>
      <c r="H158" s="148" t="n">
        <v>0</v>
      </c>
      <c r="I158" s="148" t="n">
        <v>0</v>
      </c>
      <c r="J158" s="148" t="n">
        <v>0</v>
      </c>
      <c r="K158" s="148" t="n">
        <v>0</v>
      </c>
      <c r="L158" s="148" t="n">
        <v>0</v>
      </c>
      <c r="M158" s="148" t="n">
        <v>0</v>
      </c>
      <c r="N158" s="148" t="n">
        <v>0</v>
      </c>
      <c r="O158" s="148">
        <f>SUM(H158:J158, L158:N158)</f>
        <v/>
      </c>
      <c r="P158" s="149" t="n">
        <v>30000</v>
      </c>
      <c r="Q158" s="148" t="n">
        <v>0</v>
      </c>
      <c r="R158" s="147" t="inlineStr"/>
      <c r="S158" s="146" t="inlineStr">
        <is>
          <t>KHÔNG</t>
        </is>
      </c>
      <c r="T158" s="146" t="inlineStr">
        <is>
          <t>ĐÃ DUYỆT</t>
        </is>
      </c>
      <c r="U158" s="147" t="inlineStr">
        <is>
          <t>Quản Đốc Trần Đức Minh</t>
        </is>
      </c>
      <c r="V158" s="146" t="inlineStr">
        <is>
          <t>2026-08-13 16:30</t>
        </is>
      </c>
      <c r="W158" s="146" t="inlineStr">
        <is>
          <t>CC-202608-NV12-13</t>
        </is>
      </c>
      <c r="X158" s="146">
        <f>IFS(C158="", "THIẾU MÃ NV", COUNTIFS(A:A, A158, C:C, C158)&gt;1, "TRÙNG NHÂN VIÊN/NGÀY", O158&gt;4, "VƯỢT 4 GIỜ/NGÀY", AND(O158&gt;0, S158&lt;&gt;"CÓ"), "CHƯA ĐĂNG KÝ TC", AND(O158&gt;0, T158&lt;&gt;"ĐÃ DUYỆT"), "CHƯA DUYỆT TC", AND(T158="ĐÃ DUYỆT", U158=""), "THIẾU NGƯỜI DUYỆT", TRUE, "HỢP LỆ")</f>
        <v/>
      </c>
    </row>
    <row r="159">
      <c r="A159" s="150" t="inlineStr">
        <is>
          <t>2026-08-13</t>
        </is>
      </c>
      <c r="B159" s="150">
        <f>DATE(YEAR(A159), MONTH(A159), 1)</f>
        <v/>
      </c>
      <c r="C159" s="150" t="inlineStr">
        <is>
          <t>NV13</t>
        </is>
      </c>
      <c r="D159" s="151">
        <f>IFERROR(XLOOKUP(C159, '11_Master_Data'!$A:$A, '11_Master_Data'!$B:$B, "KHÔNG CÓ MÃ NV"), "KHÔNG CÓ MÃ NV")</f>
        <v/>
      </c>
      <c r="E159" s="150" t="inlineStr">
        <is>
          <t>C2</t>
        </is>
      </c>
      <c r="F159" s="152" t="n">
        <v>1</v>
      </c>
      <c r="G159" s="152" t="n">
        <v>8</v>
      </c>
      <c r="H159" s="152" t="n">
        <v>0</v>
      </c>
      <c r="I159" s="152" t="n">
        <v>0</v>
      </c>
      <c r="J159" s="152" t="n">
        <v>0</v>
      </c>
      <c r="K159" s="152" t="n">
        <v>0</v>
      </c>
      <c r="L159" s="152" t="n">
        <v>0</v>
      </c>
      <c r="M159" s="152" t="n">
        <v>0</v>
      </c>
      <c r="N159" s="152" t="n">
        <v>0</v>
      </c>
      <c r="O159" s="152">
        <f>SUM(H159:J159, L159:N159)</f>
        <v/>
      </c>
      <c r="P159" s="153" t="n">
        <v>30000</v>
      </c>
      <c r="Q159" s="152" t="n">
        <v>0</v>
      </c>
      <c r="R159" s="151" t="inlineStr"/>
      <c r="S159" s="150" t="inlineStr">
        <is>
          <t>KHÔNG</t>
        </is>
      </c>
      <c r="T159" s="150" t="inlineStr">
        <is>
          <t>ĐÃ DUYỆT</t>
        </is>
      </c>
      <c r="U159" s="151" t="inlineStr">
        <is>
          <t>Quản Đốc Trần Đức Minh</t>
        </is>
      </c>
      <c r="V159" s="150" t="inlineStr">
        <is>
          <t>2026-08-13 16:30</t>
        </is>
      </c>
      <c r="W159" s="150" t="inlineStr">
        <is>
          <t>CC-202608-NV13-13</t>
        </is>
      </c>
      <c r="X159" s="150">
        <f>IFS(C159="", "THIẾU MÃ NV", COUNTIFS(A:A, A159, C:C, C159)&gt;1, "TRÙNG NHÂN VIÊN/NGÀY", O159&gt;4, "VƯỢT 4 GIỜ/NGÀY", AND(O159&gt;0, S159&lt;&gt;"CÓ"), "CHƯA ĐĂNG KÝ TC", AND(O159&gt;0, T159&lt;&gt;"ĐÃ DUYỆT"), "CHƯA DUYỆT TC", AND(T159="ĐÃ DUYỆT", U159=""), "THIẾU NGƯỜI DUYỆT", TRUE, "HỢP LỆ")</f>
        <v/>
      </c>
    </row>
    <row r="160">
      <c r="A160" s="146" t="inlineStr">
        <is>
          <t>2026-08-13</t>
        </is>
      </c>
      <c r="B160" s="146">
        <f>DATE(YEAR(A160), MONTH(A160), 1)</f>
        <v/>
      </c>
      <c r="C160" s="146" t="inlineStr">
        <is>
          <t>NV14</t>
        </is>
      </c>
      <c r="D160" s="147">
        <f>IFERROR(XLOOKUP(C160, '11_Master_Data'!$A:$A, '11_Master_Data'!$B:$B, "KHÔNG CÓ MÃ NV"), "KHÔNG CÓ MÃ NV")</f>
        <v/>
      </c>
      <c r="E160" s="146" t="inlineStr">
        <is>
          <t>C2</t>
        </is>
      </c>
      <c r="F160" s="148" t="n">
        <v>1</v>
      </c>
      <c r="G160" s="148" t="n">
        <v>8</v>
      </c>
      <c r="H160" s="148" t="n">
        <v>2</v>
      </c>
      <c r="I160" s="148" t="n">
        <v>0</v>
      </c>
      <c r="J160" s="148" t="n">
        <v>0</v>
      </c>
      <c r="K160" s="148" t="n">
        <v>0</v>
      </c>
      <c r="L160" s="148" t="n">
        <v>0</v>
      </c>
      <c r="M160" s="148" t="n">
        <v>0</v>
      </c>
      <c r="N160" s="148" t="n">
        <v>0</v>
      </c>
      <c r="O160" s="148">
        <f>SUM(H160:J160, L160:N160)</f>
        <v/>
      </c>
      <c r="P160" s="149" t="n">
        <v>55000</v>
      </c>
      <c r="Q160" s="148" t="n">
        <v>0</v>
      </c>
      <c r="R160" s="147" t="inlineStr">
        <is>
          <t>Đảm bảo tiến độ sản xuất</t>
        </is>
      </c>
      <c r="S160" s="146" t="inlineStr">
        <is>
          <t>CÓ</t>
        </is>
      </c>
      <c r="T160" s="146" t="inlineStr">
        <is>
          <t>ĐÃ DUYỆT</t>
        </is>
      </c>
      <c r="U160" s="147" t="inlineStr">
        <is>
          <t>Quản Đốc Trần Đức Minh</t>
        </is>
      </c>
      <c r="V160" s="146" t="inlineStr">
        <is>
          <t>2026-08-13 16:30</t>
        </is>
      </c>
      <c r="W160" s="146" t="inlineStr">
        <is>
          <t>CC-202608-NV14-13</t>
        </is>
      </c>
      <c r="X160" s="146">
        <f>IFS(C160="", "THIẾU MÃ NV", COUNTIFS(A:A, A160, C:C, C160)&gt;1, "TRÙNG NHÂN VIÊN/NGÀY", O160&gt;4, "VƯỢT 4 GIỜ/NGÀY", AND(O160&gt;0, S160&lt;&gt;"CÓ"), "CHƯA ĐĂNG KÝ TC", AND(O160&gt;0, T160&lt;&gt;"ĐÃ DUYỆT"), "CHƯA DUYỆT TC", AND(T160="ĐÃ DUYỆT", U160=""), "THIẾU NGƯỜI DUYỆT", TRUE, "HỢP LỆ")</f>
        <v/>
      </c>
    </row>
    <row r="161">
      <c r="A161" s="150" t="inlineStr">
        <is>
          <t>2026-08-13</t>
        </is>
      </c>
      <c r="B161" s="150">
        <f>DATE(YEAR(A161), MONTH(A161), 1)</f>
        <v/>
      </c>
      <c r="C161" s="150" t="inlineStr">
        <is>
          <t>NV15</t>
        </is>
      </c>
      <c r="D161" s="151">
        <f>IFERROR(XLOOKUP(C161, '11_Master_Data'!$A:$A, '11_Master_Data'!$B:$B, "KHÔNG CÓ MÃ NV"), "KHÔNG CÓ MÃ NV")</f>
        <v/>
      </c>
      <c r="E161" s="150" t="inlineStr">
        <is>
          <t>C2</t>
        </is>
      </c>
      <c r="F161" s="152" t="n">
        <v>1</v>
      </c>
      <c r="G161" s="152" t="n">
        <v>8</v>
      </c>
      <c r="H161" s="152" t="n">
        <v>2</v>
      </c>
      <c r="I161" s="152" t="n">
        <v>0</v>
      </c>
      <c r="J161" s="152" t="n">
        <v>0</v>
      </c>
      <c r="K161" s="152" t="n">
        <v>0</v>
      </c>
      <c r="L161" s="152" t="n">
        <v>0</v>
      </c>
      <c r="M161" s="152" t="n">
        <v>0</v>
      </c>
      <c r="N161" s="152" t="n">
        <v>0</v>
      </c>
      <c r="O161" s="152">
        <f>SUM(H161:J161, L161:N161)</f>
        <v/>
      </c>
      <c r="P161" s="153" t="n">
        <v>55000</v>
      </c>
      <c r="Q161" s="152" t="n">
        <v>0</v>
      </c>
      <c r="R161" s="151" t="inlineStr">
        <is>
          <t>Đảm bảo tiến độ sản xuất</t>
        </is>
      </c>
      <c r="S161" s="150" t="inlineStr">
        <is>
          <t>CÓ</t>
        </is>
      </c>
      <c r="T161" s="150" t="inlineStr">
        <is>
          <t>ĐÃ DUYỆT</t>
        </is>
      </c>
      <c r="U161" s="151" t="inlineStr">
        <is>
          <t>Quản Đốc Trần Đức Minh</t>
        </is>
      </c>
      <c r="V161" s="150" t="inlineStr">
        <is>
          <t>2026-08-13 16:30</t>
        </is>
      </c>
      <c r="W161" s="150" t="inlineStr">
        <is>
          <t>CC-202608-NV15-13</t>
        </is>
      </c>
      <c r="X161" s="150">
        <f>IFS(C161="", "THIẾU MÃ NV", COUNTIFS(A:A, A161, C:C, C161)&gt;1, "TRÙNG NHÂN VIÊN/NGÀY", O161&gt;4, "VƯỢT 4 GIỜ/NGÀY", AND(O161&gt;0, S161&lt;&gt;"CÓ"), "CHƯA ĐĂNG KÝ TC", AND(O161&gt;0, T161&lt;&gt;"ĐÃ DUYỆT"), "CHƯA DUYỆT TC", AND(T161="ĐÃ DUYỆT", U161=""), "THIẾU NGƯỜI DUYỆT", TRUE, "HỢP LỆ")</f>
        <v/>
      </c>
    </row>
    <row r="162">
      <c r="A162" s="146" t="inlineStr">
        <is>
          <t>2026-08-14</t>
        </is>
      </c>
      <c r="B162" s="146">
        <f>DATE(YEAR(A162), MONTH(A162), 1)</f>
        <v/>
      </c>
      <c r="C162" s="146" t="inlineStr">
        <is>
          <t>NV01</t>
        </is>
      </c>
      <c r="D162" s="147">
        <f>IFERROR(XLOOKUP(C162, '11_Master_Data'!$A:$A, '11_Master_Data'!$B:$B, "KHÔNG CÓ MÃ NV"), "KHÔNG CÓ MÃ NV")</f>
        <v/>
      </c>
      <c r="E162" s="146" t="inlineStr">
        <is>
          <t>C1</t>
        </is>
      </c>
      <c r="F162" s="148" t="n">
        <v>1</v>
      </c>
      <c r="G162" s="148" t="n">
        <v>8</v>
      </c>
      <c r="H162" s="148" t="n">
        <v>0</v>
      </c>
      <c r="I162" s="148" t="n">
        <v>0</v>
      </c>
      <c r="J162" s="148" t="n">
        <v>0</v>
      </c>
      <c r="K162" s="148" t="n">
        <v>0</v>
      </c>
      <c r="L162" s="148" t="n">
        <v>0</v>
      </c>
      <c r="M162" s="148" t="n">
        <v>0</v>
      </c>
      <c r="N162" s="148" t="n">
        <v>0</v>
      </c>
      <c r="O162" s="148">
        <f>SUM(H162:J162, L162:N162)</f>
        <v/>
      </c>
      <c r="P162" s="149" t="n">
        <v>30000</v>
      </c>
      <c r="Q162" s="148" t="n">
        <v>0</v>
      </c>
      <c r="R162" s="147" t="inlineStr"/>
      <c r="S162" s="146" t="inlineStr">
        <is>
          <t>KHÔNG</t>
        </is>
      </c>
      <c r="T162" s="146" t="inlineStr">
        <is>
          <t>ĐÃ DUYỆT</t>
        </is>
      </c>
      <c r="U162" s="147" t="inlineStr">
        <is>
          <t>Quản Đốc Trần Đức Minh</t>
        </is>
      </c>
      <c r="V162" s="146" t="inlineStr">
        <is>
          <t>2026-08-14 16:30</t>
        </is>
      </c>
      <c r="W162" s="146" t="inlineStr">
        <is>
          <t>CC-202608-NV01-14</t>
        </is>
      </c>
      <c r="X162" s="146">
        <f>IFS(C162="", "THIẾU MÃ NV", COUNTIFS(A:A, A162, C:C, C162)&gt;1, "TRÙNG NHÂN VIÊN/NGÀY", O162&gt;4, "VƯỢT 4 GIỜ/NGÀY", AND(O162&gt;0, S162&lt;&gt;"CÓ"), "CHƯA ĐĂNG KÝ TC", AND(O162&gt;0, T162&lt;&gt;"ĐÃ DUYỆT"), "CHƯA DUYỆT TC", AND(T162="ĐÃ DUYỆT", U162=""), "THIẾU NGƯỜI DUYỆT", TRUE, "HỢP LỆ")</f>
        <v/>
      </c>
    </row>
    <row r="163">
      <c r="A163" s="150" t="inlineStr">
        <is>
          <t>2026-08-14</t>
        </is>
      </c>
      <c r="B163" s="150">
        <f>DATE(YEAR(A163), MONTH(A163), 1)</f>
        <v/>
      </c>
      <c r="C163" s="150" t="inlineStr">
        <is>
          <t>NV02</t>
        </is>
      </c>
      <c r="D163" s="151">
        <f>IFERROR(XLOOKUP(C163, '11_Master_Data'!$A:$A, '11_Master_Data'!$B:$B, "KHÔNG CÓ MÃ NV"), "KHÔNG CÓ MÃ NV")</f>
        <v/>
      </c>
      <c r="E163" s="150" t="inlineStr">
        <is>
          <t>C3</t>
        </is>
      </c>
      <c r="F163" s="152" t="n">
        <v>1</v>
      </c>
      <c r="G163" s="152" t="n">
        <v>8</v>
      </c>
      <c r="H163" s="152" t="n">
        <v>0</v>
      </c>
      <c r="I163" s="152" t="n">
        <v>0</v>
      </c>
      <c r="J163" s="152" t="n">
        <v>0</v>
      </c>
      <c r="K163" s="152" t="n">
        <v>8</v>
      </c>
      <c r="L163" s="152" t="n">
        <v>0</v>
      </c>
      <c r="M163" s="152" t="n">
        <v>0</v>
      </c>
      <c r="N163" s="152" t="n">
        <v>0</v>
      </c>
      <c r="O163" s="152">
        <f>SUM(H163:J163, L163:N163)</f>
        <v/>
      </c>
      <c r="P163" s="153" t="n">
        <v>30000</v>
      </c>
      <c r="Q163" s="152" t="n">
        <v>0</v>
      </c>
      <c r="R163" s="151" t="inlineStr"/>
      <c r="S163" s="150" t="inlineStr">
        <is>
          <t>KHÔNG</t>
        </is>
      </c>
      <c r="T163" s="150" t="inlineStr">
        <is>
          <t>ĐÃ DUYỆT</t>
        </is>
      </c>
      <c r="U163" s="151" t="inlineStr">
        <is>
          <t>Quản Đốc Trần Đức Minh</t>
        </is>
      </c>
      <c r="V163" s="150" t="inlineStr">
        <is>
          <t>2026-08-14 16:30</t>
        </is>
      </c>
      <c r="W163" s="150" t="inlineStr">
        <is>
          <t>CC-202608-NV02-14</t>
        </is>
      </c>
      <c r="X163" s="150">
        <f>IFS(C163="", "THIẾU MÃ NV", COUNTIFS(A:A, A163, C:C, C163)&gt;1, "TRÙNG NHÂN VIÊN/NGÀY", O163&gt;4, "VƯỢT 4 GIỜ/NGÀY", AND(O163&gt;0, S163&lt;&gt;"CÓ"), "CHƯA ĐĂNG KÝ TC", AND(O163&gt;0, T163&lt;&gt;"ĐÃ DUYỆT"), "CHƯA DUYỆT TC", AND(T163="ĐÃ DUYỆT", U163=""), "THIẾU NGƯỜI DUYỆT", TRUE, "HỢP LỆ")</f>
        <v/>
      </c>
    </row>
    <row r="164">
      <c r="A164" s="146" t="inlineStr">
        <is>
          <t>2026-08-14</t>
        </is>
      </c>
      <c r="B164" s="146">
        <f>DATE(YEAR(A164), MONTH(A164), 1)</f>
        <v/>
      </c>
      <c r="C164" s="146" t="inlineStr">
        <is>
          <t>NV04</t>
        </is>
      </c>
      <c r="D164" s="147">
        <f>IFERROR(XLOOKUP(C164, '11_Master_Data'!$A:$A, '11_Master_Data'!$B:$B, "KHÔNG CÓ MÃ NV"), "KHÔNG CÓ MÃ NV")</f>
        <v/>
      </c>
      <c r="E164" s="146" t="inlineStr">
        <is>
          <t>C1</t>
        </is>
      </c>
      <c r="F164" s="148" t="n">
        <v>1</v>
      </c>
      <c r="G164" s="148" t="n">
        <v>8</v>
      </c>
      <c r="H164" s="148" t="n">
        <v>2</v>
      </c>
      <c r="I164" s="148" t="n">
        <v>0</v>
      </c>
      <c r="J164" s="148" t="n">
        <v>0</v>
      </c>
      <c r="K164" s="148" t="n">
        <v>0</v>
      </c>
      <c r="L164" s="148" t="n">
        <v>0</v>
      </c>
      <c r="M164" s="148" t="n">
        <v>0</v>
      </c>
      <c r="N164" s="148" t="n">
        <v>0</v>
      </c>
      <c r="O164" s="148">
        <f>SUM(H164:J164, L164:N164)</f>
        <v/>
      </c>
      <c r="P164" s="149" t="n">
        <v>55000</v>
      </c>
      <c r="Q164" s="148" t="n">
        <v>0</v>
      </c>
      <c r="R164" s="147" t="inlineStr">
        <is>
          <t>Đảm bảo tiến độ sản xuất</t>
        </is>
      </c>
      <c r="S164" s="146" t="inlineStr">
        <is>
          <t>CÓ</t>
        </is>
      </c>
      <c r="T164" s="146" t="inlineStr">
        <is>
          <t>ĐÃ DUYỆT</t>
        </is>
      </c>
      <c r="U164" s="147" t="inlineStr">
        <is>
          <t>Quản Đốc Trần Đức Minh</t>
        </is>
      </c>
      <c r="V164" s="146" t="inlineStr">
        <is>
          <t>2026-08-14 16:30</t>
        </is>
      </c>
      <c r="W164" s="146" t="inlineStr">
        <is>
          <t>CC-202608-NV04-14</t>
        </is>
      </c>
      <c r="X164" s="146">
        <f>IFS(C164="", "THIẾU MÃ NV", COUNTIFS(A:A, A164, C:C, C164)&gt;1, "TRÙNG NHÂN VIÊN/NGÀY", O164&gt;4, "VƯỢT 4 GIỜ/NGÀY", AND(O164&gt;0, S164&lt;&gt;"CÓ"), "CHƯA ĐĂNG KÝ TC", AND(O164&gt;0, T164&lt;&gt;"ĐÃ DUYỆT"), "CHƯA DUYỆT TC", AND(T164="ĐÃ DUYỆT", U164=""), "THIẾU NGƯỜI DUYỆT", TRUE, "HỢP LỆ")</f>
        <v/>
      </c>
    </row>
    <row r="165">
      <c r="A165" s="150" t="inlineStr">
        <is>
          <t>2026-08-14</t>
        </is>
      </c>
      <c r="B165" s="150">
        <f>DATE(YEAR(A165), MONTH(A165), 1)</f>
        <v/>
      </c>
      <c r="C165" s="150" t="inlineStr">
        <is>
          <t>NV06</t>
        </is>
      </c>
      <c r="D165" s="151">
        <f>IFERROR(XLOOKUP(C165, '11_Master_Data'!$A:$A, '11_Master_Data'!$B:$B, "KHÔNG CÓ MÃ NV"), "KHÔNG CÓ MÃ NV")</f>
        <v/>
      </c>
      <c r="E165" s="150" t="inlineStr">
        <is>
          <t>C1</t>
        </is>
      </c>
      <c r="F165" s="152" t="n">
        <v>1</v>
      </c>
      <c r="G165" s="152" t="n">
        <v>8</v>
      </c>
      <c r="H165" s="152" t="n">
        <v>2</v>
      </c>
      <c r="I165" s="152" t="n">
        <v>0</v>
      </c>
      <c r="J165" s="152" t="n">
        <v>0</v>
      </c>
      <c r="K165" s="152" t="n">
        <v>0</v>
      </c>
      <c r="L165" s="152" t="n">
        <v>0</v>
      </c>
      <c r="M165" s="152" t="n">
        <v>0</v>
      </c>
      <c r="N165" s="152" t="n">
        <v>0</v>
      </c>
      <c r="O165" s="152">
        <f>SUM(H165:J165, L165:N165)</f>
        <v/>
      </c>
      <c r="P165" s="153" t="n">
        <v>55000</v>
      </c>
      <c r="Q165" s="152" t="n">
        <v>0</v>
      </c>
      <c r="R165" s="151" t="inlineStr">
        <is>
          <t>Đảm bảo tiến độ sản xuất</t>
        </is>
      </c>
      <c r="S165" s="150" t="inlineStr">
        <is>
          <t>CÓ</t>
        </is>
      </c>
      <c r="T165" s="150" t="inlineStr">
        <is>
          <t>ĐÃ DUYỆT</t>
        </is>
      </c>
      <c r="U165" s="151" t="inlineStr">
        <is>
          <t>Quản Đốc Trần Đức Minh</t>
        </is>
      </c>
      <c r="V165" s="150" t="inlineStr">
        <is>
          <t>2026-08-14 16:30</t>
        </is>
      </c>
      <c r="W165" s="150" t="inlineStr">
        <is>
          <t>CC-202608-NV06-14</t>
        </is>
      </c>
      <c r="X165" s="150">
        <f>IFS(C165="", "THIẾU MÃ NV", COUNTIFS(A:A, A165, C:C, C165)&gt;1, "TRÙNG NHÂN VIÊN/NGÀY", O165&gt;4, "VƯỢT 4 GIỜ/NGÀY", AND(O165&gt;0, S165&lt;&gt;"CÓ"), "CHƯA ĐĂNG KÝ TC", AND(O165&gt;0, T165&lt;&gt;"ĐÃ DUYỆT"), "CHƯA DUYỆT TC", AND(T165="ĐÃ DUYỆT", U165=""), "THIẾU NGƯỜI DUYỆT", TRUE, "HỢP LỆ")</f>
        <v/>
      </c>
    </row>
    <row r="166">
      <c r="A166" s="146" t="inlineStr">
        <is>
          <t>2026-08-14</t>
        </is>
      </c>
      <c r="B166" s="146">
        <f>DATE(YEAR(A166), MONTH(A166), 1)</f>
        <v/>
      </c>
      <c r="C166" s="146" t="inlineStr">
        <is>
          <t>NV07</t>
        </is>
      </c>
      <c r="D166" s="147">
        <f>IFERROR(XLOOKUP(C166, '11_Master_Data'!$A:$A, '11_Master_Data'!$B:$B, "KHÔNG CÓ MÃ NV"), "KHÔNG CÓ MÃ NV")</f>
        <v/>
      </c>
      <c r="E166" s="146" t="inlineStr">
        <is>
          <t>C2</t>
        </is>
      </c>
      <c r="F166" s="148" t="n">
        <v>1</v>
      </c>
      <c r="G166" s="148" t="n">
        <v>8</v>
      </c>
      <c r="H166" s="148" t="n">
        <v>2</v>
      </c>
      <c r="I166" s="148" t="n">
        <v>0</v>
      </c>
      <c r="J166" s="148" t="n">
        <v>0</v>
      </c>
      <c r="K166" s="148" t="n">
        <v>0</v>
      </c>
      <c r="L166" s="148" t="n">
        <v>0</v>
      </c>
      <c r="M166" s="148" t="n">
        <v>0</v>
      </c>
      <c r="N166" s="148" t="n">
        <v>0</v>
      </c>
      <c r="O166" s="148">
        <f>SUM(H166:J166, L166:N166)</f>
        <v/>
      </c>
      <c r="P166" s="149" t="n">
        <v>55000</v>
      </c>
      <c r="Q166" s="148" t="n">
        <v>0</v>
      </c>
      <c r="R166" s="147" t="inlineStr">
        <is>
          <t>Đảm bảo tiến độ sản xuất</t>
        </is>
      </c>
      <c r="S166" s="146" t="inlineStr">
        <is>
          <t>CÓ</t>
        </is>
      </c>
      <c r="T166" s="146" t="inlineStr">
        <is>
          <t>ĐÃ DUYỆT</t>
        </is>
      </c>
      <c r="U166" s="147" t="inlineStr">
        <is>
          <t>Quản Đốc Trần Đức Minh</t>
        </is>
      </c>
      <c r="V166" s="146" t="inlineStr">
        <is>
          <t>2026-08-14 16:30</t>
        </is>
      </c>
      <c r="W166" s="146" t="inlineStr">
        <is>
          <t>CC-202608-NV07-14</t>
        </is>
      </c>
      <c r="X166" s="146">
        <f>IFS(C166="", "THIẾU MÃ NV", COUNTIFS(A:A, A166, C:C, C166)&gt;1, "TRÙNG NHÂN VIÊN/NGÀY", O166&gt;4, "VƯỢT 4 GIỜ/NGÀY", AND(O166&gt;0, S166&lt;&gt;"CÓ"), "CHƯA ĐĂNG KÝ TC", AND(O166&gt;0, T166&lt;&gt;"ĐÃ DUYỆT"), "CHƯA DUYỆT TC", AND(T166="ĐÃ DUYỆT", U166=""), "THIẾU NGƯỜI DUYỆT", TRUE, "HỢP LỆ")</f>
        <v/>
      </c>
    </row>
    <row r="167">
      <c r="A167" s="150" t="inlineStr">
        <is>
          <t>2026-08-14</t>
        </is>
      </c>
      <c r="B167" s="150">
        <f>DATE(YEAR(A167), MONTH(A167), 1)</f>
        <v/>
      </c>
      <c r="C167" s="150" t="inlineStr">
        <is>
          <t>NV08</t>
        </is>
      </c>
      <c r="D167" s="151">
        <f>IFERROR(XLOOKUP(C167, '11_Master_Data'!$A:$A, '11_Master_Data'!$B:$B, "KHÔNG CÓ MÃ NV"), "KHÔNG CÓ MÃ NV")</f>
        <v/>
      </c>
      <c r="E167" s="150" t="inlineStr">
        <is>
          <t>C1</t>
        </is>
      </c>
      <c r="F167" s="152" t="n">
        <v>1</v>
      </c>
      <c r="G167" s="152" t="n">
        <v>8</v>
      </c>
      <c r="H167" s="152" t="n">
        <v>2</v>
      </c>
      <c r="I167" s="152" t="n">
        <v>0</v>
      </c>
      <c r="J167" s="152" t="n">
        <v>0</v>
      </c>
      <c r="K167" s="152" t="n">
        <v>0</v>
      </c>
      <c r="L167" s="152" t="n">
        <v>0</v>
      </c>
      <c r="M167" s="152" t="n">
        <v>0</v>
      </c>
      <c r="N167" s="152" t="n">
        <v>0</v>
      </c>
      <c r="O167" s="152">
        <f>SUM(H167:J167, L167:N167)</f>
        <v/>
      </c>
      <c r="P167" s="153" t="n">
        <v>55000</v>
      </c>
      <c r="Q167" s="152" t="n">
        <v>0</v>
      </c>
      <c r="R167" s="151" t="inlineStr">
        <is>
          <t>Đảm bảo tiến độ sản xuất</t>
        </is>
      </c>
      <c r="S167" s="150" t="inlineStr">
        <is>
          <t>CÓ</t>
        </is>
      </c>
      <c r="T167" s="150" t="inlineStr">
        <is>
          <t>ĐÃ DUYỆT</t>
        </is>
      </c>
      <c r="U167" s="151" t="inlineStr">
        <is>
          <t>Quản Đốc Trần Đức Minh</t>
        </is>
      </c>
      <c r="V167" s="150" t="inlineStr">
        <is>
          <t>2026-08-14 16:30</t>
        </is>
      </c>
      <c r="W167" s="150" t="inlineStr">
        <is>
          <t>CC-202608-NV08-14</t>
        </is>
      </c>
      <c r="X167" s="150">
        <f>IFS(C167="", "THIẾU MÃ NV", COUNTIFS(A:A, A167, C:C, C167)&gt;1, "TRÙNG NHÂN VIÊN/NGÀY", O167&gt;4, "VƯỢT 4 GIỜ/NGÀY", AND(O167&gt;0, S167&lt;&gt;"CÓ"), "CHƯA ĐĂNG KÝ TC", AND(O167&gt;0, T167&lt;&gt;"ĐÃ DUYỆT"), "CHƯA DUYỆT TC", AND(T167="ĐÃ DUYỆT", U167=""), "THIẾU NGƯỜI DUYỆT", TRUE, "HỢP LỆ")</f>
        <v/>
      </c>
    </row>
    <row r="168">
      <c r="A168" s="146" t="inlineStr">
        <is>
          <t>2026-08-14</t>
        </is>
      </c>
      <c r="B168" s="146">
        <f>DATE(YEAR(A168), MONTH(A168), 1)</f>
        <v/>
      </c>
      <c r="C168" s="146" t="inlineStr">
        <is>
          <t>NV10</t>
        </is>
      </c>
      <c r="D168" s="147">
        <f>IFERROR(XLOOKUP(C168, '11_Master_Data'!$A:$A, '11_Master_Data'!$B:$B, "KHÔNG CÓ MÃ NV"), "KHÔNG CÓ MÃ NV")</f>
        <v/>
      </c>
      <c r="E168" s="146" t="inlineStr">
        <is>
          <t>C3</t>
        </is>
      </c>
      <c r="F168" s="148" t="n">
        <v>1</v>
      </c>
      <c r="G168" s="148" t="n">
        <v>8</v>
      </c>
      <c r="H168" s="148" t="n">
        <v>2</v>
      </c>
      <c r="I168" s="148" t="n">
        <v>0</v>
      </c>
      <c r="J168" s="148" t="n">
        <v>0</v>
      </c>
      <c r="K168" s="148" t="n">
        <v>8</v>
      </c>
      <c r="L168" s="148" t="n">
        <v>0</v>
      </c>
      <c r="M168" s="148" t="n">
        <v>0</v>
      </c>
      <c r="N168" s="148" t="n">
        <v>0</v>
      </c>
      <c r="O168" s="148">
        <f>SUM(H168:J168, L168:N168)</f>
        <v/>
      </c>
      <c r="P168" s="149" t="n">
        <v>55000</v>
      </c>
      <c r="Q168" s="148" t="n">
        <v>0</v>
      </c>
      <c r="R168" s="147" t="inlineStr">
        <is>
          <t>Đảm bảo tiến độ sản xuất</t>
        </is>
      </c>
      <c r="S168" s="146" t="inlineStr">
        <is>
          <t>CÓ</t>
        </is>
      </c>
      <c r="T168" s="146" t="inlineStr">
        <is>
          <t>ĐÃ DUYỆT</t>
        </is>
      </c>
      <c r="U168" s="147" t="inlineStr">
        <is>
          <t>Quản Đốc Trần Đức Minh</t>
        </is>
      </c>
      <c r="V168" s="146" t="inlineStr">
        <is>
          <t>2026-08-14 16:30</t>
        </is>
      </c>
      <c r="W168" s="146" t="inlineStr">
        <is>
          <t>CC-202608-NV10-14</t>
        </is>
      </c>
      <c r="X168" s="146">
        <f>IFS(C168="", "THIẾU MÃ NV", COUNTIFS(A:A, A168, C:C, C168)&gt;1, "TRÙNG NHÂN VIÊN/NGÀY", O168&gt;4, "VƯỢT 4 GIỜ/NGÀY", AND(O168&gt;0, S168&lt;&gt;"CÓ"), "CHƯA ĐĂNG KÝ TC", AND(O168&gt;0, T168&lt;&gt;"ĐÃ DUYỆT"), "CHƯA DUYỆT TC", AND(T168="ĐÃ DUYỆT", U168=""), "THIẾU NGƯỜI DUYỆT", TRUE, "HỢP LỆ")</f>
        <v/>
      </c>
    </row>
    <row r="169">
      <c r="A169" s="150" t="inlineStr">
        <is>
          <t>2026-08-14</t>
        </is>
      </c>
      <c r="B169" s="150">
        <f>DATE(YEAR(A169), MONTH(A169), 1)</f>
        <v/>
      </c>
      <c r="C169" s="150" t="inlineStr">
        <is>
          <t>NV11</t>
        </is>
      </c>
      <c r="D169" s="151">
        <f>IFERROR(XLOOKUP(C169, '11_Master_Data'!$A:$A, '11_Master_Data'!$B:$B, "KHÔNG CÓ MÃ NV"), "KHÔNG CÓ MÃ NV")</f>
        <v/>
      </c>
      <c r="E169" s="150" t="inlineStr">
        <is>
          <t>C3</t>
        </is>
      </c>
      <c r="F169" s="152" t="n">
        <v>1</v>
      </c>
      <c r="G169" s="152" t="n">
        <v>8</v>
      </c>
      <c r="H169" s="152" t="n">
        <v>2</v>
      </c>
      <c r="I169" s="152" t="n">
        <v>0</v>
      </c>
      <c r="J169" s="152" t="n">
        <v>0</v>
      </c>
      <c r="K169" s="152" t="n">
        <v>8</v>
      </c>
      <c r="L169" s="152" t="n">
        <v>0</v>
      </c>
      <c r="M169" s="152" t="n">
        <v>0</v>
      </c>
      <c r="N169" s="152" t="n">
        <v>0</v>
      </c>
      <c r="O169" s="152">
        <f>SUM(H169:J169, L169:N169)</f>
        <v/>
      </c>
      <c r="P169" s="153" t="n">
        <v>55000</v>
      </c>
      <c r="Q169" s="152" t="n">
        <v>0</v>
      </c>
      <c r="R169" s="151" t="inlineStr">
        <is>
          <t>Đảm bảo tiến độ sản xuất</t>
        </is>
      </c>
      <c r="S169" s="150" t="inlineStr">
        <is>
          <t>CÓ</t>
        </is>
      </c>
      <c r="T169" s="150" t="inlineStr">
        <is>
          <t>ĐÃ DUYỆT</t>
        </is>
      </c>
      <c r="U169" s="151" t="inlineStr">
        <is>
          <t>Quản Đốc Trần Đức Minh</t>
        </is>
      </c>
      <c r="V169" s="150" t="inlineStr">
        <is>
          <t>2026-08-14 16:30</t>
        </is>
      </c>
      <c r="W169" s="150" t="inlineStr">
        <is>
          <t>CC-202608-NV11-14</t>
        </is>
      </c>
      <c r="X169" s="150">
        <f>IFS(C169="", "THIẾU MÃ NV", COUNTIFS(A:A, A169, C:C, C169)&gt;1, "TRÙNG NHÂN VIÊN/NGÀY", O169&gt;4, "VƯỢT 4 GIỜ/NGÀY", AND(O169&gt;0, S169&lt;&gt;"CÓ"), "CHƯA ĐĂNG KÝ TC", AND(O169&gt;0, T169&lt;&gt;"ĐÃ DUYỆT"), "CHƯA DUYỆT TC", AND(T169="ĐÃ DUYỆT", U169=""), "THIẾU NGƯỜI DUYỆT", TRUE, "HỢP LỆ")</f>
        <v/>
      </c>
    </row>
    <row r="170">
      <c r="A170" s="146" t="inlineStr">
        <is>
          <t>2026-08-14</t>
        </is>
      </c>
      <c r="B170" s="146">
        <f>DATE(YEAR(A170), MONTH(A170), 1)</f>
        <v/>
      </c>
      <c r="C170" s="146" t="inlineStr">
        <is>
          <t>NV12</t>
        </is>
      </c>
      <c r="D170" s="147">
        <f>IFERROR(XLOOKUP(C170, '11_Master_Data'!$A:$A, '11_Master_Data'!$B:$B, "KHÔNG CÓ MÃ NV"), "KHÔNG CÓ MÃ NV")</f>
        <v/>
      </c>
      <c r="E170" s="146" t="inlineStr">
        <is>
          <t>C3</t>
        </is>
      </c>
      <c r="F170" s="148" t="n">
        <v>1</v>
      </c>
      <c r="G170" s="148" t="n">
        <v>8</v>
      </c>
      <c r="H170" s="148" t="n">
        <v>0</v>
      </c>
      <c r="I170" s="148" t="n">
        <v>0</v>
      </c>
      <c r="J170" s="148" t="n">
        <v>0</v>
      </c>
      <c r="K170" s="148" t="n">
        <v>8</v>
      </c>
      <c r="L170" s="148" t="n">
        <v>0</v>
      </c>
      <c r="M170" s="148" t="n">
        <v>0</v>
      </c>
      <c r="N170" s="148" t="n">
        <v>0</v>
      </c>
      <c r="O170" s="148">
        <f>SUM(H170:J170, L170:N170)</f>
        <v/>
      </c>
      <c r="P170" s="149" t="n">
        <v>30000</v>
      </c>
      <c r="Q170" s="148" t="n">
        <v>0</v>
      </c>
      <c r="R170" s="147" t="inlineStr"/>
      <c r="S170" s="146" t="inlineStr">
        <is>
          <t>KHÔNG</t>
        </is>
      </c>
      <c r="T170" s="146" t="inlineStr">
        <is>
          <t>ĐÃ DUYỆT</t>
        </is>
      </c>
      <c r="U170" s="147" t="inlineStr">
        <is>
          <t>Quản Đốc Trần Đức Minh</t>
        </is>
      </c>
      <c r="V170" s="146" t="inlineStr">
        <is>
          <t>2026-08-14 16:30</t>
        </is>
      </c>
      <c r="W170" s="146" t="inlineStr">
        <is>
          <t>CC-202608-NV12-14</t>
        </is>
      </c>
      <c r="X170" s="146">
        <f>IFS(C170="", "THIẾU MÃ NV", COUNTIFS(A:A, A170, C:C, C170)&gt;1, "TRÙNG NHÂN VIÊN/NGÀY", O170&gt;4, "VƯỢT 4 GIỜ/NGÀY", AND(O170&gt;0, S170&lt;&gt;"CÓ"), "CHƯA ĐĂNG KÝ TC", AND(O170&gt;0, T170&lt;&gt;"ĐÃ DUYỆT"), "CHƯA DUYỆT TC", AND(T170="ĐÃ DUYỆT", U170=""), "THIẾU NGƯỜI DUYỆT", TRUE, "HỢP LỆ")</f>
        <v/>
      </c>
    </row>
    <row r="171">
      <c r="A171" s="150" t="inlineStr">
        <is>
          <t>2026-08-14</t>
        </is>
      </c>
      <c r="B171" s="150">
        <f>DATE(YEAR(A171), MONTH(A171), 1)</f>
        <v/>
      </c>
      <c r="C171" s="150" t="inlineStr">
        <is>
          <t>NV13</t>
        </is>
      </c>
      <c r="D171" s="151">
        <f>IFERROR(XLOOKUP(C171, '11_Master_Data'!$A:$A, '11_Master_Data'!$B:$B, "KHÔNG CÓ MÃ NV"), "KHÔNG CÓ MÃ NV")</f>
        <v/>
      </c>
      <c r="E171" s="150" t="inlineStr">
        <is>
          <t>C2</t>
        </is>
      </c>
      <c r="F171" s="152" t="n">
        <v>1</v>
      </c>
      <c r="G171" s="152" t="n">
        <v>8</v>
      </c>
      <c r="H171" s="152" t="n">
        <v>0</v>
      </c>
      <c r="I171" s="152" t="n">
        <v>0</v>
      </c>
      <c r="J171" s="152" t="n">
        <v>0</v>
      </c>
      <c r="K171" s="152" t="n">
        <v>0</v>
      </c>
      <c r="L171" s="152" t="n">
        <v>0</v>
      </c>
      <c r="M171" s="152" t="n">
        <v>0</v>
      </c>
      <c r="N171" s="152" t="n">
        <v>0</v>
      </c>
      <c r="O171" s="152">
        <f>SUM(H171:J171, L171:N171)</f>
        <v/>
      </c>
      <c r="P171" s="153" t="n">
        <v>30000</v>
      </c>
      <c r="Q171" s="152" t="n">
        <v>0</v>
      </c>
      <c r="R171" s="151" t="inlineStr"/>
      <c r="S171" s="150" t="inlineStr">
        <is>
          <t>KHÔNG</t>
        </is>
      </c>
      <c r="T171" s="150" t="inlineStr">
        <is>
          <t>ĐÃ DUYỆT</t>
        </is>
      </c>
      <c r="U171" s="151" t="inlineStr">
        <is>
          <t>Quản Đốc Trần Đức Minh</t>
        </is>
      </c>
      <c r="V171" s="150" t="inlineStr">
        <is>
          <t>2026-08-14 16:30</t>
        </is>
      </c>
      <c r="W171" s="150" t="inlineStr">
        <is>
          <t>CC-202608-NV13-14</t>
        </is>
      </c>
      <c r="X171" s="150">
        <f>IFS(C171="", "THIẾU MÃ NV", COUNTIFS(A:A, A171, C:C, C171)&gt;1, "TRÙNG NHÂN VIÊN/NGÀY", O171&gt;4, "VƯỢT 4 GIỜ/NGÀY", AND(O171&gt;0, S171&lt;&gt;"CÓ"), "CHƯA ĐĂNG KÝ TC", AND(O171&gt;0, T171&lt;&gt;"ĐÃ DUYỆT"), "CHƯA DUYỆT TC", AND(T171="ĐÃ DUYỆT", U171=""), "THIẾU NGƯỜI DUYỆT", TRUE, "HỢP LỆ")</f>
        <v/>
      </c>
    </row>
    <row r="172">
      <c r="A172" s="146" t="inlineStr">
        <is>
          <t>2026-08-14</t>
        </is>
      </c>
      <c r="B172" s="146">
        <f>DATE(YEAR(A172), MONTH(A172), 1)</f>
        <v/>
      </c>
      <c r="C172" s="146" t="inlineStr">
        <is>
          <t>NV14</t>
        </is>
      </c>
      <c r="D172" s="147">
        <f>IFERROR(XLOOKUP(C172, '11_Master_Data'!$A:$A, '11_Master_Data'!$B:$B, "KHÔNG CÓ MÃ NV"), "KHÔNG CÓ MÃ NV")</f>
        <v/>
      </c>
      <c r="E172" s="146" t="inlineStr">
        <is>
          <t>C2</t>
        </is>
      </c>
      <c r="F172" s="148" t="n">
        <v>1</v>
      </c>
      <c r="G172" s="148" t="n">
        <v>8</v>
      </c>
      <c r="H172" s="148" t="n">
        <v>2</v>
      </c>
      <c r="I172" s="148" t="n">
        <v>0</v>
      </c>
      <c r="J172" s="148" t="n">
        <v>0</v>
      </c>
      <c r="K172" s="148" t="n">
        <v>0</v>
      </c>
      <c r="L172" s="148" t="n">
        <v>0</v>
      </c>
      <c r="M172" s="148" t="n">
        <v>0</v>
      </c>
      <c r="N172" s="148" t="n">
        <v>0</v>
      </c>
      <c r="O172" s="148">
        <f>SUM(H172:J172, L172:N172)</f>
        <v/>
      </c>
      <c r="P172" s="149" t="n">
        <v>55000</v>
      </c>
      <c r="Q172" s="148" t="n">
        <v>0</v>
      </c>
      <c r="R172" s="147" t="inlineStr">
        <is>
          <t>Đảm bảo tiến độ sản xuất</t>
        </is>
      </c>
      <c r="S172" s="146" t="inlineStr">
        <is>
          <t>CÓ</t>
        </is>
      </c>
      <c r="T172" s="146" t="inlineStr">
        <is>
          <t>ĐÃ DUYỆT</t>
        </is>
      </c>
      <c r="U172" s="147" t="inlineStr">
        <is>
          <t>Quản Đốc Trần Đức Minh</t>
        </is>
      </c>
      <c r="V172" s="146" t="inlineStr">
        <is>
          <t>2026-08-14 16:30</t>
        </is>
      </c>
      <c r="W172" s="146" t="inlineStr">
        <is>
          <t>CC-202608-NV14-14</t>
        </is>
      </c>
      <c r="X172" s="146">
        <f>IFS(C172="", "THIẾU MÃ NV", COUNTIFS(A:A, A172, C:C, C172)&gt;1, "TRÙNG NHÂN VIÊN/NGÀY", O172&gt;4, "VƯỢT 4 GIỜ/NGÀY", AND(O172&gt;0, S172&lt;&gt;"CÓ"), "CHƯA ĐĂNG KÝ TC", AND(O172&gt;0, T172&lt;&gt;"ĐÃ DUYỆT"), "CHƯA DUYỆT TC", AND(T172="ĐÃ DUYỆT", U172=""), "THIẾU NGƯỜI DUYỆT", TRUE, "HỢP LỆ")</f>
        <v/>
      </c>
    </row>
    <row r="173">
      <c r="A173" s="150" t="inlineStr">
        <is>
          <t>2026-08-14</t>
        </is>
      </c>
      <c r="B173" s="150">
        <f>DATE(YEAR(A173), MONTH(A173), 1)</f>
        <v/>
      </c>
      <c r="C173" s="150" t="inlineStr">
        <is>
          <t>NV15</t>
        </is>
      </c>
      <c r="D173" s="151">
        <f>IFERROR(XLOOKUP(C173, '11_Master_Data'!$A:$A, '11_Master_Data'!$B:$B, "KHÔNG CÓ MÃ NV"), "KHÔNG CÓ MÃ NV")</f>
        <v/>
      </c>
      <c r="E173" s="150" t="inlineStr">
        <is>
          <t>C2</t>
        </is>
      </c>
      <c r="F173" s="152" t="n">
        <v>1</v>
      </c>
      <c r="G173" s="152" t="n">
        <v>8</v>
      </c>
      <c r="H173" s="152" t="n">
        <v>2</v>
      </c>
      <c r="I173" s="152" t="n">
        <v>0</v>
      </c>
      <c r="J173" s="152" t="n">
        <v>0</v>
      </c>
      <c r="K173" s="152" t="n">
        <v>0</v>
      </c>
      <c r="L173" s="152" t="n">
        <v>0</v>
      </c>
      <c r="M173" s="152" t="n">
        <v>0</v>
      </c>
      <c r="N173" s="152" t="n">
        <v>0</v>
      </c>
      <c r="O173" s="152">
        <f>SUM(H173:J173, L173:N173)</f>
        <v/>
      </c>
      <c r="P173" s="153" t="n">
        <v>55000</v>
      </c>
      <c r="Q173" s="152" t="n">
        <v>0</v>
      </c>
      <c r="R173" s="151" t="inlineStr">
        <is>
          <t>Đảm bảo tiến độ sản xuất</t>
        </is>
      </c>
      <c r="S173" s="150" t="inlineStr">
        <is>
          <t>CÓ</t>
        </is>
      </c>
      <c r="T173" s="150" t="inlineStr">
        <is>
          <t>ĐÃ DUYỆT</t>
        </is>
      </c>
      <c r="U173" s="151" t="inlineStr">
        <is>
          <t>Quản Đốc Trần Đức Minh</t>
        </is>
      </c>
      <c r="V173" s="150" t="inlineStr">
        <is>
          <t>2026-08-14 16:30</t>
        </is>
      </c>
      <c r="W173" s="150" t="inlineStr">
        <is>
          <t>CC-202608-NV15-14</t>
        </is>
      </c>
      <c r="X173" s="150">
        <f>IFS(C173="", "THIẾU MÃ NV", COUNTIFS(A:A, A173, C:C, C173)&gt;1, "TRÙNG NHÂN VIÊN/NGÀY", O173&gt;4, "VƯỢT 4 GIỜ/NGÀY", AND(O173&gt;0, S173&lt;&gt;"CÓ"), "CHƯA ĐĂNG KÝ TC", AND(O173&gt;0, T173&lt;&gt;"ĐÃ DUYỆT"), "CHƯA DUYỆT TC", AND(T173="ĐÃ DUYỆT", U173=""), "THIẾU NGƯỜI DUYỆT", TRUE, "HỢP LỆ")</f>
        <v/>
      </c>
    </row>
    <row r="174">
      <c r="A174" s="146" t="inlineStr">
        <is>
          <t>2026-08-15</t>
        </is>
      </c>
      <c r="B174" s="146">
        <f>DATE(YEAR(A174), MONTH(A174), 1)</f>
        <v/>
      </c>
      <c r="C174" s="146" t="inlineStr">
        <is>
          <t>NV01</t>
        </is>
      </c>
      <c r="D174" s="147">
        <f>IFERROR(XLOOKUP(C174, '11_Master_Data'!$A:$A, '11_Master_Data'!$B:$B, "KHÔNG CÓ MÃ NV"), "KHÔNG CÓ MÃ NV")</f>
        <v/>
      </c>
      <c r="E174" s="146" t="inlineStr">
        <is>
          <t>C1</t>
        </is>
      </c>
      <c r="F174" s="148" t="n">
        <v>1</v>
      </c>
      <c r="G174" s="148" t="n">
        <v>8</v>
      </c>
      <c r="H174" s="148" t="n">
        <v>0</v>
      </c>
      <c r="I174" s="148" t="n">
        <v>0</v>
      </c>
      <c r="J174" s="148" t="n">
        <v>0</v>
      </c>
      <c r="K174" s="148" t="n">
        <v>0</v>
      </c>
      <c r="L174" s="148" t="n">
        <v>0</v>
      </c>
      <c r="M174" s="148" t="n">
        <v>0</v>
      </c>
      <c r="N174" s="148" t="n">
        <v>0</v>
      </c>
      <c r="O174" s="148">
        <f>SUM(H174:J174, L174:N174)</f>
        <v/>
      </c>
      <c r="P174" s="149" t="n">
        <v>30000</v>
      </c>
      <c r="Q174" s="148" t="n">
        <v>0</v>
      </c>
      <c r="R174" s="147" t="inlineStr"/>
      <c r="S174" s="146" t="inlineStr">
        <is>
          <t>KHÔNG</t>
        </is>
      </c>
      <c r="T174" s="146" t="inlineStr">
        <is>
          <t>ĐÃ DUYỆT</t>
        </is>
      </c>
      <c r="U174" s="147" t="inlineStr">
        <is>
          <t>Quản Đốc Trần Đức Minh</t>
        </is>
      </c>
      <c r="V174" s="146" t="inlineStr">
        <is>
          <t>2026-08-15 16:30</t>
        </is>
      </c>
      <c r="W174" s="146" t="inlineStr">
        <is>
          <t>CC-202608-NV01-15</t>
        </is>
      </c>
      <c r="X174" s="146">
        <f>IFS(C174="", "THIẾU MÃ NV", COUNTIFS(A:A, A174, C:C, C174)&gt;1, "TRÙNG NHÂN VIÊN/NGÀY", O174&gt;4, "VƯỢT 4 GIỜ/NGÀY", AND(O174&gt;0, S174&lt;&gt;"CÓ"), "CHƯA ĐĂNG KÝ TC", AND(O174&gt;0, T174&lt;&gt;"ĐÃ DUYỆT"), "CHƯA DUYỆT TC", AND(T174="ĐÃ DUYỆT", U174=""), "THIẾU NGƯỜI DUYỆT", TRUE, "HỢP LỆ")</f>
        <v/>
      </c>
    </row>
    <row r="175">
      <c r="A175" s="150" t="inlineStr">
        <is>
          <t>2026-08-15</t>
        </is>
      </c>
      <c r="B175" s="150">
        <f>DATE(YEAR(A175), MONTH(A175), 1)</f>
        <v/>
      </c>
      <c r="C175" s="150" t="inlineStr">
        <is>
          <t>NV02</t>
        </is>
      </c>
      <c r="D175" s="151">
        <f>IFERROR(XLOOKUP(C175, '11_Master_Data'!$A:$A, '11_Master_Data'!$B:$B, "KHÔNG CÓ MÃ NV"), "KHÔNG CÓ MÃ NV")</f>
        <v/>
      </c>
      <c r="E175" s="150" t="inlineStr">
        <is>
          <t>C3</t>
        </is>
      </c>
      <c r="F175" s="152" t="n">
        <v>1</v>
      </c>
      <c r="G175" s="152" t="n">
        <v>8</v>
      </c>
      <c r="H175" s="152" t="n">
        <v>0</v>
      </c>
      <c r="I175" s="152" t="n">
        <v>0</v>
      </c>
      <c r="J175" s="152" t="n">
        <v>0</v>
      </c>
      <c r="K175" s="152" t="n">
        <v>8</v>
      </c>
      <c r="L175" s="152" t="n">
        <v>0</v>
      </c>
      <c r="M175" s="152" t="n">
        <v>0</v>
      </c>
      <c r="N175" s="152" t="n">
        <v>0</v>
      </c>
      <c r="O175" s="152">
        <f>SUM(H175:J175, L175:N175)</f>
        <v/>
      </c>
      <c r="P175" s="153" t="n">
        <v>30000</v>
      </c>
      <c r="Q175" s="152" t="n">
        <v>0</v>
      </c>
      <c r="R175" s="151" t="inlineStr"/>
      <c r="S175" s="150" t="inlineStr">
        <is>
          <t>KHÔNG</t>
        </is>
      </c>
      <c r="T175" s="150" t="inlineStr">
        <is>
          <t>ĐÃ DUYỆT</t>
        </is>
      </c>
      <c r="U175" s="151" t="inlineStr">
        <is>
          <t>Quản Đốc Trần Đức Minh</t>
        </is>
      </c>
      <c r="V175" s="150" t="inlineStr">
        <is>
          <t>2026-08-15 16:30</t>
        </is>
      </c>
      <c r="W175" s="150" t="inlineStr">
        <is>
          <t>CC-202608-NV02-15</t>
        </is>
      </c>
      <c r="X175" s="150">
        <f>IFS(C175="", "THIẾU MÃ NV", COUNTIFS(A:A, A175, C:C, C175)&gt;1, "TRÙNG NHÂN VIÊN/NGÀY", O175&gt;4, "VƯỢT 4 GIỜ/NGÀY", AND(O175&gt;0, S175&lt;&gt;"CÓ"), "CHƯA ĐĂNG KÝ TC", AND(O175&gt;0, T175&lt;&gt;"ĐÃ DUYỆT"), "CHƯA DUYỆT TC", AND(T175="ĐÃ DUYỆT", U175=""), "THIẾU NGƯỜI DUYỆT", TRUE, "HỢP LỆ")</f>
        <v/>
      </c>
    </row>
    <row r="176">
      <c r="A176" s="146" t="inlineStr">
        <is>
          <t>2026-08-15</t>
        </is>
      </c>
      <c r="B176" s="146">
        <f>DATE(YEAR(A176), MONTH(A176), 1)</f>
        <v/>
      </c>
      <c r="C176" s="146" t="inlineStr">
        <is>
          <t>NV03</t>
        </is>
      </c>
      <c r="D176" s="147">
        <f>IFERROR(XLOOKUP(C176, '11_Master_Data'!$A:$A, '11_Master_Data'!$B:$B, "KHÔNG CÓ MÃ NV"), "KHÔNG CÓ MÃ NV")</f>
        <v/>
      </c>
      <c r="E176" s="146" t="inlineStr">
        <is>
          <t>C1</t>
        </is>
      </c>
      <c r="F176" s="148" t="n">
        <v>1</v>
      </c>
      <c r="G176" s="148" t="n">
        <v>8</v>
      </c>
      <c r="H176" s="148" t="n">
        <v>0</v>
      </c>
      <c r="I176" s="148" t="n">
        <v>0</v>
      </c>
      <c r="J176" s="148" t="n">
        <v>0</v>
      </c>
      <c r="K176" s="148" t="n">
        <v>0</v>
      </c>
      <c r="L176" s="148" t="n">
        <v>0</v>
      </c>
      <c r="M176" s="148" t="n">
        <v>0</v>
      </c>
      <c r="N176" s="148" t="n">
        <v>0</v>
      </c>
      <c r="O176" s="148">
        <f>SUM(H176:J176, L176:N176)</f>
        <v/>
      </c>
      <c r="P176" s="149" t="n">
        <v>30000</v>
      </c>
      <c r="Q176" s="148" t="n">
        <v>0</v>
      </c>
      <c r="R176" s="147" t="inlineStr"/>
      <c r="S176" s="146" t="inlineStr">
        <is>
          <t>KHÔNG</t>
        </is>
      </c>
      <c r="T176" s="146" t="inlineStr">
        <is>
          <t>ĐÃ DUYỆT</t>
        </is>
      </c>
      <c r="U176" s="147" t="inlineStr">
        <is>
          <t>Quản Đốc Trần Đức Minh</t>
        </is>
      </c>
      <c r="V176" s="146" t="inlineStr">
        <is>
          <t>2026-08-15 16:30</t>
        </is>
      </c>
      <c r="W176" s="146" t="inlineStr">
        <is>
          <t>CC-202608-NV03-15</t>
        </is>
      </c>
      <c r="X176" s="146">
        <f>IFS(C176="", "THIẾU MÃ NV", COUNTIFS(A:A, A176, C:C, C176)&gt;1, "TRÙNG NHÂN VIÊN/NGÀY", O176&gt;4, "VƯỢT 4 GIỜ/NGÀY", AND(O176&gt;0, S176&lt;&gt;"CÓ"), "CHƯA ĐĂNG KÝ TC", AND(O176&gt;0, T176&lt;&gt;"ĐÃ DUYỆT"), "CHƯA DUYỆT TC", AND(T176="ĐÃ DUYỆT", U176=""), "THIẾU NGƯỜI DUYỆT", TRUE, "HỢP LỆ")</f>
        <v/>
      </c>
    </row>
    <row r="177">
      <c r="A177" s="150" t="inlineStr">
        <is>
          <t>2026-08-15</t>
        </is>
      </c>
      <c r="B177" s="150">
        <f>DATE(YEAR(A177), MONTH(A177), 1)</f>
        <v/>
      </c>
      <c r="C177" s="150" t="inlineStr">
        <is>
          <t>NV04</t>
        </is>
      </c>
      <c r="D177" s="151">
        <f>IFERROR(XLOOKUP(C177, '11_Master_Data'!$A:$A, '11_Master_Data'!$B:$B, "KHÔNG CÓ MÃ NV"), "KHÔNG CÓ MÃ NV")</f>
        <v/>
      </c>
      <c r="E177" s="150" t="inlineStr">
        <is>
          <t>C1</t>
        </is>
      </c>
      <c r="F177" s="152" t="n">
        <v>1</v>
      </c>
      <c r="G177" s="152" t="n">
        <v>8</v>
      </c>
      <c r="H177" s="152" t="n">
        <v>2</v>
      </c>
      <c r="I177" s="152" t="n">
        <v>0</v>
      </c>
      <c r="J177" s="152" t="n">
        <v>0</v>
      </c>
      <c r="K177" s="152" t="n">
        <v>0</v>
      </c>
      <c r="L177" s="152" t="n">
        <v>0</v>
      </c>
      <c r="M177" s="152" t="n">
        <v>0</v>
      </c>
      <c r="N177" s="152" t="n">
        <v>0</v>
      </c>
      <c r="O177" s="152">
        <f>SUM(H177:J177, L177:N177)</f>
        <v/>
      </c>
      <c r="P177" s="153" t="n">
        <v>55000</v>
      </c>
      <c r="Q177" s="152" t="n">
        <v>0</v>
      </c>
      <c r="R177" s="151" t="inlineStr">
        <is>
          <t>Đảm bảo tiến độ sản xuất</t>
        </is>
      </c>
      <c r="S177" s="150" t="inlineStr">
        <is>
          <t>CÓ</t>
        </is>
      </c>
      <c r="T177" s="150" t="inlineStr">
        <is>
          <t>ĐÃ DUYỆT</t>
        </is>
      </c>
      <c r="U177" s="151" t="inlineStr">
        <is>
          <t>Quản Đốc Trần Đức Minh</t>
        </is>
      </c>
      <c r="V177" s="150" t="inlineStr">
        <is>
          <t>2026-08-15 16:30</t>
        </is>
      </c>
      <c r="W177" s="150" t="inlineStr">
        <is>
          <t>CC-202608-NV04-15</t>
        </is>
      </c>
      <c r="X177" s="150">
        <f>IFS(C177="", "THIẾU MÃ NV", COUNTIFS(A:A, A177, C:C, C177)&gt;1, "TRÙNG NHÂN VIÊN/NGÀY", O177&gt;4, "VƯỢT 4 GIỜ/NGÀY", AND(O177&gt;0, S177&lt;&gt;"CÓ"), "CHƯA ĐĂNG KÝ TC", AND(O177&gt;0, T177&lt;&gt;"ĐÃ DUYỆT"), "CHƯA DUYỆT TC", AND(T177="ĐÃ DUYỆT", U177=""), "THIẾU NGƯỜI DUYỆT", TRUE, "HỢP LỆ")</f>
        <v/>
      </c>
    </row>
    <row r="178">
      <c r="A178" s="146" t="inlineStr">
        <is>
          <t>2026-08-15</t>
        </is>
      </c>
      <c r="B178" s="146">
        <f>DATE(YEAR(A178), MONTH(A178), 1)</f>
        <v/>
      </c>
      <c r="C178" s="146" t="inlineStr">
        <is>
          <t>NV06</t>
        </is>
      </c>
      <c r="D178" s="147">
        <f>IFERROR(XLOOKUP(C178, '11_Master_Data'!$A:$A, '11_Master_Data'!$B:$B, "KHÔNG CÓ MÃ NV"), "KHÔNG CÓ MÃ NV")</f>
        <v/>
      </c>
      <c r="E178" s="146" t="inlineStr">
        <is>
          <t>C1</t>
        </is>
      </c>
      <c r="F178" s="148" t="n">
        <v>1</v>
      </c>
      <c r="G178" s="148" t="n">
        <v>8</v>
      </c>
      <c r="H178" s="148" t="n">
        <v>2</v>
      </c>
      <c r="I178" s="148" t="n">
        <v>0</v>
      </c>
      <c r="J178" s="148" t="n">
        <v>0</v>
      </c>
      <c r="K178" s="148" t="n">
        <v>0</v>
      </c>
      <c r="L178" s="148" t="n">
        <v>0</v>
      </c>
      <c r="M178" s="148" t="n">
        <v>0</v>
      </c>
      <c r="N178" s="148" t="n">
        <v>0</v>
      </c>
      <c r="O178" s="148">
        <f>SUM(H178:J178, L178:N178)</f>
        <v/>
      </c>
      <c r="P178" s="149" t="n">
        <v>55000</v>
      </c>
      <c r="Q178" s="148" t="n">
        <v>0</v>
      </c>
      <c r="R178" s="147" t="inlineStr">
        <is>
          <t>Đảm bảo tiến độ sản xuất</t>
        </is>
      </c>
      <c r="S178" s="146" t="inlineStr">
        <is>
          <t>CÓ</t>
        </is>
      </c>
      <c r="T178" s="146" t="inlineStr">
        <is>
          <t>ĐÃ DUYỆT</t>
        </is>
      </c>
      <c r="U178" s="147" t="inlineStr">
        <is>
          <t>Quản Đốc Trần Đức Minh</t>
        </is>
      </c>
      <c r="V178" s="146" t="inlineStr">
        <is>
          <t>2026-08-15 16:30</t>
        </is>
      </c>
      <c r="W178" s="146" t="inlineStr">
        <is>
          <t>CC-202608-NV06-15</t>
        </is>
      </c>
      <c r="X178" s="146">
        <f>IFS(C178="", "THIẾU MÃ NV", COUNTIFS(A:A, A178, C:C, C178)&gt;1, "TRÙNG NHÂN VIÊN/NGÀY", O178&gt;4, "VƯỢT 4 GIỜ/NGÀY", AND(O178&gt;0, S178&lt;&gt;"CÓ"), "CHƯA ĐĂNG KÝ TC", AND(O178&gt;0, T178&lt;&gt;"ĐÃ DUYỆT"), "CHƯA DUYỆT TC", AND(T178="ĐÃ DUYỆT", U178=""), "THIẾU NGƯỜI DUYỆT", TRUE, "HỢP LỆ")</f>
        <v/>
      </c>
    </row>
    <row r="179">
      <c r="A179" s="150" t="inlineStr">
        <is>
          <t>2026-08-15</t>
        </is>
      </c>
      <c r="B179" s="150">
        <f>DATE(YEAR(A179), MONTH(A179), 1)</f>
        <v/>
      </c>
      <c r="C179" s="150" t="inlineStr">
        <is>
          <t>NV07</t>
        </is>
      </c>
      <c r="D179" s="151">
        <f>IFERROR(XLOOKUP(C179, '11_Master_Data'!$A:$A, '11_Master_Data'!$B:$B, "KHÔNG CÓ MÃ NV"), "KHÔNG CÓ MÃ NV")</f>
        <v/>
      </c>
      <c r="E179" s="150" t="inlineStr">
        <is>
          <t>C2</t>
        </is>
      </c>
      <c r="F179" s="152" t="n">
        <v>1</v>
      </c>
      <c r="G179" s="152" t="n">
        <v>8</v>
      </c>
      <c r="H179" s="152" t="n">
        <v>2</v>
      </c>
      <c r="I179" s="152" t="n">
        <v>0</v>
      </c>
      <c r="J179" s="152" t="n">
        <v>0</v>
      </c>
      <c r="K179" s="152" t="n">
        <v>0</v>
      </c>
      <c r="L179" s="152" t="n">
        <v>0</v>
      </c>
      <c r="M179" s="152" t="n">
        <v>0</v>
      </c>
      <c r="N179" s="152" t="n">
        <v>0</v>
      </c>
      <c r="O179" s="152">
        <f>SUM(H179:J179, L179:N179)</f>
        <v/>
      </c>
      <c r="P179" s="153" t="n">
        <v>55000</v>
      </c>
      <c r="Q179" s="152" t="n">
        <v>0</v>
      </c>
      <c r="R179" s="151" t="inlineStr">
        <is>
          <t>Đảm bảo tiến độ sản xuất</t>
        </is>
      </c>
      <c r="S179" s="150" t="inlineStr">
        <is>
          <t>CÓ</t>
        </is>
      </c>
      <c r="T179" s="150" t="inlineStr">
        <is>
          <t>ĐÃ DUYỆT</t>
        </is>
      </c>
      <c r="U179" s="151" t="inlineStr">
        <is>
          <t>Quản Đốc Trần Đức Minh</t>
        </is>
      </c>
      <c r="V179" s="150" t="inlineStr">
        <is>
          <t>2026-08-15 16:30</t>
        </is>
      </c>
      <c r="W179" s="150" t="inlineStr">
        <is>
          <t>CC-202608-NV07-15</t>
        </is>
      </c>
      <c r="X179" s="150">
        <f>IFS(C179="", "THIẾU MÃ NV", COUNTIFS(A:A, A179, C:C, C179)&gt;1, "TRÙNG NHÂN VIÊN/NGÀY", O179&gt;4, "VƯỢT 4 GIỜ/NGÀY", AND(O179&gt;0, S179&lt;&gt;"CÓ"), "CHƯA ĐĂNG KÝ TC", AND(O179&gt;0, T179&lt;&gt;"ĐÃ DUYỆT"), "CHƯA DUYỆT TC", AND(T179="ĐÃ DUYỆT", U179=""), "THIẾU NGƯỜI DUYỆT", TRUE, "HỢP LỆ")</f>
        <v/>
      </c>
    </row>
    <row r="180">
      <c r="A180" s="146" t="inlineStr">
        <is>
          <t>2026-08-15</t>
        </is>
      </c>
      <c r="B180" s="146">
        <f>DATE(YEAR(A180), MONTH(A180), 1)</f>
        <v/>
      </c>
      <c r="C180" s="146" t="inlineStr">
        <is>
          <t>NV08</t>
        </is>
      </c>
      <c r="D180" s="147">
        <f>IFERROR(XLOOKUP(C180, '11_Master_Data'!$A:$A, '11_Master_Data'!$B:$B, "KHÔNG CÓ MÃ NV"), "KHÔNG CÓ MÃ NV")</f>
        <v/>
      </c>
      <c r="E180" s="146" t="inlineStr">
        <is>
          <t>C1</t>
        </is>
      </c>
      <c r="F180" s="148" t="n">
        <v>1</v>
      </c>
      <c r="G180" s="148" t="n">
        <v>8</v>
      </c>
      <c r="H180" s="148" t="n">
        <v>2</v>
      </c>
      <c r="I180" s="148" t="n">
        <v>0</v>
      </c>
      <c r="J180" s="148" t="n">
        <v>0</v>
      </c>
      <c r="K180" s="148" t="n">
        <v>0</v>
      </c>
      <c r="L180" s="148" t="n">
        <v>0</v>
      </c>
      <c r="M180" s="148" t="n">
        <v>0</v>
      </c>
      <c r="N180" s="148" t="n">
        <v>0</v>
      </c>
      <c r="O180" s="148">
        <f>SUM(H180:J180, L180:N180)</f>
        <v/>
      </c>
      <c r="P180" s="149" t="n">
        <v>55000</v>
      </c>
      <c r="Q180" s="148" t="n">
        <v>0</v>
      </c>
      <c r="R180" s="147" t="inlineStr">
        <is>
          <t>Đảm bảo tiến độ sản xuất</t>
        </is>
      </c>
      <c r="S180" s="146" t="inlineStr">
        <is>
          <t>CÓ</t>
        </is>
      </c>
      <c r="T180" s="146" t="inlineStr">
        <is>
          <t>ĐÃ DUYỆT</t>
        </is>
      </c>
      <c r="U180" s="147" t="inlineStr">
        <is>
          <t>Quản Đốc Trần Đức Minh</t>
        </is>
      </c>
      <c r="V180" s="146" t="inlineStr">
        <is>
          <t>2026-08-15 16:30</t>
        </is>
      </c>
      <c r="W180" s="146" t="inlineStr">
        <is>
          <t>CC-202608-NV08-15</t>
        </is>
      </c>
      <c r="X180" s="146">
        <f>IFS(C180="", "THIẾU MÃ NV", COUNTIFS(A:A, A180, C:C, C180)&gt;1, "TRÙNG NHÂN VIÊN/NGÀY", O180&gt;4, "VƯỢT 4 GIỜ/NGÀY", AND(O180&gt;0, S180&lt;&gt;"CÓ"), "CHƯA ĐĂNG KÝ TC", AND(O180&gt;0, T180&lt;&gt;"ĐÃ DUYỆT"), "CHƯA DUYỆT TC", AND(T180="ĐÃ DUYỆT", U180=""), "THIẾU NGƯỜI DUYỆT", TRUE, "HỢP LỆ")</f>
        <v/>
      </c>
    </row>
    <row r="181">
      <c r="A181" s="150" t="inlineStr">
        <is>
          <t>2026-08-15</t>
        </is>
      </c>
      <c r="B181" s="150">
        <f>DATE(YEAR(A181), MONTH(A181), 1)</f>
        <v/>
      </c>
      <c r="C181" s="150" t="inlineStr">
        <is>
          <t>NV10</t>
        </is>
      </c>
      <c r="D181" s="151">
        <f>IFERROR(XLOOKUP(C181, '11_Master_Data'!$A:$A, '11_Master_Data'!$B:$B, "KHÔNG CÓ MÃ NV"), "KHÔNG CÓ MÃ NV")</f>
        <v/>
      </c>
      <c r="E181" s="150" t="inlineStr">
        <is>
          <t>C3</t>
        </is>
      </c>
      <c r="F181" s="152" t="n">
        <v>1</v>
      </c>
      <c r="G181" s="152" t="n">
        <v>8</v>
      </c>
      <c r="H181" s="152" t="n">
        <v>2</v>
      </c>
      <c r="I181" s="152" t="n">
        <v>0</v>
      </c>
      <c r="J181" s="152" t="n">
        <v>0</v>
      </c>
      <c r="K181" s="152" t="n">
        <v>8</v>
      </c>
      <c r="L181" s="152" t="n">
        <v>0</v>
      </c>
      <c r="M181" s="152" t="n">
        <v>0</v>
      </c>
      <c r="N181" s="152" t="n">
        <v>0</v>
      </c>
      <c r="O181" s="152">
        <f>SUM(H181:J181, L181:N181)</f>
        <v/>
      </c>
      <c r="P181" s="153" t="n">
        <v>55000</v>
      </c>
      <c r="Q181" s="152" t="n">
        <v>0</v>
      </c>
      <c r="R181" s="151" t="inlineStr">
        <is>
          <t>Đảm bảo tiến độ sản xuất</t>
        </is>
      </c>
      <c r="S181" s="150" t="inlineStr">
        <is>
          <t>CÓ</t>
        </is>
      </c>
      <c r="T181" s="150" t="inlineStr">
        <is>
          <t>ĐÃ DUYỆT</t>
        </is>
      </c>
      <c r="U181" s="151" t="inlineStr">
        <is>
          <t>Quản Đốc Trần Đức Minh</t>
        </is>
      </c>
      <c r="V181" s="150" t="inlineStr">
        <is>
          <t>2026-08-15 16:30</t>
        </is>
      </c>
      <c r="W181" s="150" t="inlineStr">
        <is>
          <t>CC-202608-NV10-15</t>
        </is>
      </c>
      <c r="X181" s="150">
        <f>IFS(C181="", "THIẾU MÃ NV", COUNTIFS(A:A, A181, C:C, C181)&gt;1, "TRÙNG NHÂN VIÊN/NGÀY", O181&gt;4, "VƯỢT 4 GIỜ/NGÀY", AND(O181&gt;0, S181&lt;&gt;"CÓ"), "CHƯA ĐĂNG KÝ TC", AND(O181&gt;0, T181&lt;&gt;"ĐÃ DUYỆT"), "CHƯA DUYỆT TC", AND(T181="ĐÃ DUYỆT", U181=""), "THIẾU NGƯỜI DUYỆT", TRUE, "HỢP LỆ")</f>
        <v/>
      </c>
    </row>
    <row r="182">
      <c r="A182" s="146" t="inlineStr">
        <is>
          <t>2026-08-15</t>
        </is>
      </c>
      <c r="B182" s="146">
        <f>DATE(YEAR(A182), MONTH(A182), 1)</f>
        <v/>
      </c>
      <c r="C182" s="146" t="inlineStr">
        <is>
          <t>NV11</t>
        </is>
      </c>
      <c r="D182" s="147">
        <f>IFERROR(XLOOKUP(C182, '11_Master_Data'!$A:$A, '11_Master_Data'!$B:$B, "KHÔNG CÓ MÃ NV"), "KHÔNG CÓ MÃ NV")</f>
        <v/>
      </c>
      <c r="E182" s="146" t="inlineStr">
        <is>
          <t>C3</t>
        </is>
      </c>
      <c r="F182" s="148" t="n">
        <v>1</v>
      </c>
      <c r="G182" s="148" t="n">
        <v>8</v>
      </c>
      <c r="H182" s="148" t="n">
        <v>0</v>
      </c>
      <c r="I182" s="148" t="n">
        <v>0</v>
      </c>
      <c r="J182" s="148" t="n">
        <v>0</v>
      </c>
      <c r="K182" s="148" t="n">
        <v>8</v>
      </c>
      <c r="L182" s="148" t="n">
        <v>0</v>
      </c>
      <c r="M182" s="148" t="n">
        <v>0</v>
      </c>
      <c r="N182" s="148" t="n">
        <v>0</v>
      </c>
      <c r="O182" s="148">
        <f>SUM(H182:J182, L182:N182)</f>
        <v/>
      </c>
      <c r="P182" s="149" t="n">
        <v>30000</v>
      </c>
      <c r="Q182" s="148" t="n">
        <v>0</v>
      </c>
      <c r="R182" s="147" t="inlineStr"/>
      <c r="S182" s="146" t="inlineStr">
        <is>
          <t>KHÔNG</t>
        </is>
      </c>
      <c r="T182" s="146" t="inlineStr">
        <is>
          <t>ĐÃ DUYỆT</t>
        </is>
      </c>
      <c r="U182" s="147" t="inlineStr">
        <is>
          <t>Quản Đốc Trần Đức Minh</t>
        </is>
      </c>
      <c r="V182" s="146" t="inlineStr">
        <is>
          <t>2026-08-15 16:30</t>
        </is>
      </c>
      <c r="W182" s="146" t="inlineStr">
        <is>
          <t>CC-202608-NV11-15</t>
        </is>
      </c>
      <c r="X182" s="146">
        <f>IFS(C182="", "THIẾU MÃ NV", COUNTIFS(A:A, A182, C:C, C182)&gt;1, "TRÙNG NHÂN VIÊN/NGÀY", O182&gt;4, "VƯỢT 4 GIỜ/NGÀY", AND(O182&gt;0, S182&lt;&gt;"CÓ"), "CHƯA ĐĂNG KÝ TC", AND(O182&gt;0, T182&lt;&gt;"ĐÃ DUYỆT"), "CHƯA DUYỆT TC", AND(T182="ĐÃ DUYỆT", U182=""), "THIẾU NGƯỜI DUYỆT", TRUE, "HỢP LỆ")</f>
        <v/>
      </c>
    </row>
    <row r="183">
      <c r="A183" s="150" t="inlineStr">
        <is>
          <t>2026-08-15</t>
        </is>
      </c>
      <c r="B183" s="150">
        <f>DATE(YEAR(A183), MONTH(A183), 1)</f>
        <v/>
      </c>
      <c r="C183" s="150" t="inlineStr">
        <is>
          <t>NV12</t>
        </is>
      </c>
      <c r="D183" s="151">
        <f>IFERROR(XLOOKUP(C183, '11_Master_Data'!$A:$A, '11_Master_Data'!$B:$B, "KHÔNG CÓ MÃ NV"), "KHÔNG CÓ MÃ NV")</f>
        <v/>
      </c>
      <c r="E183" s="150" t="inlineStr">
        <is>
          <t>C2</t>
        </is>
      </c>
      <c r="F183" s="152" t="n">
        <v>1</v>
      </c>
      <c r="G183" s="152" t="n">
        <v>8</v>
      </c>
      <c r="H183" s="152" t="n">
        <v>0</v>
      </c>
      <c r="I183" s="152" t="n">
        <v>0</v>
      </c>
      <c r="J183" s="152" t="n">
        <v>0</v>
      </c>
      <c r="K183" s="152" t="n">
        <v>0</v>
      </c>
      <c r="L183" s="152" t="n">
        <v>0</v>
      </c>
      <c r="M183" s="152" t="n">
        <v>0</v>
      </c>
      <c r="N183" s="152" t="n">
        <v>0</v>
      </c>
      <c r="O183" s="152">
        <f>SUM(H183:J183, L183:N183)</f>
        <v/>
      </c>
      <c r="P183" s="153" t="n">
        <v>30000</v>
      </c>
      <c r="Q183" s="152" t="n">
        <v>0</v>
      </c>
      <c r="R183" s="151" t="inlineStr"/>
      <c r="S183" s="150" t="inlineStr">
        <is>
          <t>KHÔNG</t>
        </is>
      </c>
      <c r="T183" s="150" t="inlineStr">
        <is>
          <t>ĐÃ DUYỆT</t>
        </is>
      </c>
      <c r="U183" s="151" t="inlineStr">
        <is>
          <t>Quản Đốc Trần Đức Minh</t>
        </is>
      </c>
      <c r="V183" s="150" t="inlineStr">
        <is>
          <t>2026-08-15 16:30</t>
        </is>
      </c>
      <c r="W183" s="150" t="inlineStr">
        <is>
          <t>CC-202608-NV12-15</t>
        </is>
      </c>
      <c r="X183" s="150">
        <f>IFS(C183="", "THIẾU MÃ NV", COUNTIFS(A:A, A183, C:C, C183)&gt;1, "TRÙNG NHÂN VIÊN/NGÀY", O183&gt;4, "VƯỢT 4 GIỜ/NGÀY", AND(O183&gt;0, S183&lt;&gt;"CÓ"), "CHƯA ĐĂNG KÝ TC", AND(O183&gt;0, T183&lt;&gt;"ĐÃ DUYỆT"), "CHƯA DUYỆT TC", AND(T183="ĐÃ DUYỆT", U183=""), "THIẾU NGƯỜI DUYỆT", TRUE, "HỢP LỆ")</f>
        <v/>
      </c>
    </row>
    <row r="184">
      <c r="A184" s="146" t="inlineStr">
        <is>
          <t>2026-08-15</t>
        </is>
      </c>
      <c r="B184" s="146">
        <f>DATE(YEAR(A184), MONTH(A184), 1)</f>
        <v/>
      </c>
      <c r="C184" s="146" t="inlineStr">
        <is>
          <t>NV13</t>
        </is>
      </c>
      <c r="D184" s="147">
        <f>IFERROR(XLOOKUP(C184, '11_Master_Data'!$A:$A, '11_Master_Data'!$B:$B, "KHÔNG CÓ MÃ NV"), "KHÔNG CÓ MÃ NV")</f>
        <v/>
      </c>
      <c r="E184" s="146" t="inlineStr">
        <is>
          <t>C2</t>
        </is>
      </c>
      <c r="F184" s="148" t="n">
        <v>1</v>
      </c>
      <c r="G184" s="148" t="n">
        <v>8</v>
      </c>
      <c r="H184" s="148" t="n">
        <v>0</v>
      </c>
      <c r="I184" s="148" t="n">
        <v>0</v>
      </c>
      <c r="J184" s="148" t="n">
        <v>0</v>
      </c>
      <c r="K184" s="148" t="n">
        <v>0</v>
      </c>
      <c r="L184" s="148" t="n">
        <v>0</v>
      </c>
      <c r="M184" s="148" t="n">
        <v>0</v>
      </c>
      <c r="N184" s="148" t="n">
        <v>0</v>
      </c>
      <c r="O184" s="148">
        <f>SUM(H184:J184, L184:N184)</f>
        <v/>
      </c>
      <c r="P184" s="149" t="n">
        <v>30000</v>
      </c>
      <c r="Q184" s="148" t="n">
        <v>0</v>
      </c>
      <c r="R184" s="147" t="inlineStr"/>
      <c r="S184" s="146" t="inlineStr">
        <is>
          <t>KHÔNG</t>
        </is>
      </c>
      <c r="T184" s="146" t="inlineStr">
        <is>
          <t>ĐÃ DUYỆT</t>
        </is>
      </c>
      <c r="U184" s="147" t="inlineStr">
        <is>
          <t>Quản Đốc Trần Đức Minh</t>
        </is>
      </c>
      <c r="V184" s="146" t="inlineStr">
        <is>
          <t>2026-08-15 16:30</t>
        </is>
      </c>
      <c r="W184" s="146" t="inlineStr">
        <is>
          <t>CC-202608-NV13-15</t>
        </is>
      </c>
      <c r="X184" s="146">
        <f>IFS(C184="", "THIẾU MÃ NV", COUNTIFS(A:A, A184, C:C, C184)&gt;1, "TRÙNG NHÂN VIÊN/NGÀY", O184&gt;4, "VƯỢT 4 GIỜ/NGÀY", AND(O184&gt;0, S184&lt;&gt;"CÓ"), "CHƯA ĐĂNG KÝ TC", AND(O184&gt;0, T184&lt;&gt;"ĐÃ DUYỆT"), "CHƯA DUYỆT TC", AND(T184="ĐÃ DUYỆT", U184=""), "THIẾU NGƯỜI DUYỆT", TRUE, "HỢP LỆ")</f>
        <v/>
      </c>
    </row>
    <row r="185">
      <c r="A185" s="150" t="inlineStr">
        <is>
          <t>2026-08-15</t>
        </is>
      </c>
      <c r="B185" s="150">
        <f>DATE(YEAR(A185), MONTH(A185), 1)</f>
        <v/>
      </c>
      <c r="C185" s="150" t="inlineStr">
        <is>
          <t>NV14</t>
        </is>
      </c>
      <c r="D185" s="151">
        <f>IFERROR(XLOOKUP(C185, '11_Master_Data'!$A:$A, '11_Master_Data'!$B:$B, "KHÔNG CÓ MÃ NV"), "KHÔNG CÓ MÃ NV")</f>
        <v/>
      </c>
      <c r="E185" s="150" t="inlineStr">
        <is>
          <t>C2</t>
        </is>
      </c>
      <c r="F185" s="152" t="n">
        <v>1</v>
      </c>
      <c r="G185" s="152" t="n">
        <v>8</v>
      </c>
      <c r="H185" s="152" t="n">
        <v>2</v>
      </c>
      <c r="I185" s="152" t="n">
        <v>0</v>
      </c>
      <c r="J185" s="152" t="n">
        <v>0</v>
      </c>
      <c r="K185" s="152" t="n">
        <v>0</v>
      </c>
      <c r="L185" s="152" t="n">
        <v>0</v>
      </c>
      <c r="M185" s="152" t="n">
        <v>0</v>
      </c>
      <c r="N185" s="152" t="n">
        <v>0</v>
      </c>
      <c r="O185" s="152">
        <f>SUM(H185:J185, L185:N185)</f>
        <v/>
      </c>
      <c r="P185" s="153" t="n">
        <v>55000</v>
      </c>
      <c r="Q185" s="152" t="n">
        <v>0</v>
      </c>
      <c r="R185" s="151" t="inlineStr">
        <is>
          <t>Đảm bảo tiến độ sản xuất</t>
        </is>
      </c>
      <c r="S185" s="150" t="inlineStr">
        <is>
          <t>CÓ</t>
        </is>
      </c>
      <c r="T185" s="150" t="inlineStr">
        <is>
          <t>ĐÃ DUYỆT</t>
        </is>
      </c>
      <c r="U185" s="151" t="inlineStr">
        <is>
          <t>Quản Đốc Trần Đức Minh</t>
        </is>
      </c>
      <c r="V185" s="150" t="inlineStr">
        <is>
          <t>2026-08-15 16:30</t>
        </is>
      </c>
      <c r="W185" s="150" t="inlineStr">
        <is>
          <t>CC-202608-NV14-15</t>
        </is>
      </c>
      <c r="X185" s="150">
        <f>IFS(C185="", "THIẾU MÃ NV", COUNTIFS(A:A, A185, C:C, C185)&gt;1, "TRÙNG NHÂN VIÊN/NGÀY", O185&gt;4, "VƯỢT 4 GIỜ/NGÀY", AND(O185&gt;0, S185&lt;&gt;"CÓ"), "CHƯA ĐĂNG KÝ TC", AND(O185&gt;0, T185&lt;&gt;"ĐÃ DUYỆT"), "CHƯA DUYỆT TC", AND(T185="ĐÃ DUYỆT", U185=""), "THIẾU NGƯỜI DUYỆT", TRUE, "HỢP LỆ")</f>
        <v/>
      </c>
    </row>
    <row r="186">
      <c r="A186" s="146" t="inlineStr">
        <is>
          <t>2026-08-15</t>
        </is>
      </c>
      <c r="B186" s="146">
        <f>DATE(YEAR(A186), MONTH(A186), 1)</f>
        <v/>
      </c>
      <c r="C186" s="146" t="inlineStr">
        <is>
          <t>NV15</t>
        </is>
      </c>
      <c r="D186" s="147">
        <f>IFERROR(XLOOKUP(C186, '11_Master_Data'!$A:$A, '11_Master_Data'!$B:$B, "KHÔNG CÓ MÃ NV"), "KHÔNG CÓ MÃ NV")</f>
        <v/>
      </c>
      <c r="E186" s="146" t="inlineStr">
        <is>
          <t>C2</t>
        </is>
      </c>
      <c r="F186" s="148" t="n">
        <v>1</v>
      </c>
      <c r="G186" s="148" t="n">
        <v>8</v>
      </c>
      <c r="H186" s="148" t="n">
        <v>2</v>
      </c>
      <c r="I186" s="148" t="n">
        <v>0</v>
      </c>
      <c r="J186" s="148" t="n">
        <v>0</v>
      </c>
      <c r="K186" s="148" t="n">
        <v>0</v>
      </c>
      <c r="L186" s="148" t="n">
        <v>0</v>
      </c>
      <c r="M186" s="148" t="n">
        <v>0</v>
      </c>
      <c r="N186" s="148" t="n">
        <v>0</v>
      </c>
      <c r="O186" s="148">
        <f>SUM(H186:J186, L186:N186)</f>
        <v/>
      </c>
      <c r="P186" s="149" t="n">
        <v>55000</v>
      </c>
      <c r="Q186" s="148" t="n">
        <v>0</v>
      </c>
      <c r="R186" s="147" t="inlineStr">
        <is>
          <t>Đảm bảo tiến độ sản xuất</t>
        </is>
      </c>
      <c r="S186" s="146" t="inlineStr">
        <is>
          <t>CÓ</t>
        </is>
      </c>
      <c r="T186" s="146" t="inlineStr">
        <is>
          <t>ĐÃ DUYỆT</t>
        </is>
      </c>
      <c r="U186" s="147" t="inlineStr">
        <is>
          <t>Quản Đốc Trần Đức Minh</t>
        </is>
      </c>
      <c r="V186" s="146" t="inlineStr">
        <is>
          <t>2026-08-15 16:30</t>
        </is>
      </c>
      <c r="W186" s="146" t="inlineStr">
        <is>
          <t>CC-202608-NV15-15</t>
        </is>
      </c>
      <c r="X186" s="146">
        <f>IFS(C186="", "THIẾU MÃ NV", COUNTIFS(A:A, A186, C:C, C186)&gt;1, "TRÙNG NHÂN VIÊN/NGÀY", O186&gt;4, "VƯỢT 4 GIỜ/NGÀY", AND(O186&gt;0, S186&lt;&gt;"CÓ"), "CHƯA ĐĂNG KÝ TC", AND(O186&gt;0, T186&lt;&gt;"ĐÃ DUYỆT"), "CHƯA DUYỆT TC", AND(T186="ĐÃ DUYỆT", U186=""), "THIẾU NGƯỜI DUYỆT", TRUE, "HỢP LỆ")</f>
        <v/>
      </c>
    </row>
    <row r="187">
      <c r="A187" s="150" t="inlineStr">
        <is>
          <t>2026-08-16</t>
        </is>
      </c>
      <c r="B187" s="150">
        <f>DATE(YEAR(A187), MONTH(A187), 1)</f>
        <v/>
      </c>
      <c r="C187" s="150" t="inlineStr">
        <is>
          <t>NV01</t>
        </is>
      </c>
      <c r="D187" s="151">
        <f>IFERROR(XLOOKUP(C187, '11_Master_Data'!$A:$A, '11_Master_Data'!$B:$B, "KHÔNG CÓ MÃ NV"), "KHÔNG CÓ MÃ NV")</f>
        <v/>
      </c>
      <c r="E187" s="150" t="inlineStr">
        <is>
          <t>C1</t>
        </is>
      </c>
      <c r="F187" s="152" t="n">
        <v>1</v>
      </c>
      <c r="G187" s="152" t="n">
        <v>8</v>
      </c>
      <c r="H187" s="152" t="n">
        <v>0</v>
      </c>
      <c r="I187" s="152" t="n">
        <v>0</v>
      </c>
      <c r="J187" s="152" t="n">
        <v>0</v>
      </c>
      <c r="K187" s="152" t="n">
        <v>0</v>
      </c>
      <c r="L187" s="152" t="n">
        <v>0</v>
      </c>
      <c r="M187" s="152" t="n">
        <v>0</v>
      </c>
      <c r="N187" s="152" t="n">
        <v>0</v>
      </c>
      <c r="O187" s="152">
        <f>SUM(H187:J187, L187:N187)</f>
        <v/>
      </c>
      <c r="P187" s="153" t="n">
        <v>30000</v>
      </c>
      <c r="Q187" s="152" t="n">
        <v>0</v>
      </c>
      <c r="R187" s="151" t="inlineStr"/>
      <c r="S187" s="150" t="inlineStr">
        <is>
          <t>KHÔNG</t>
        </is>
      </c>
      <c r="T187" s="150" t="inlineStr">
        <is>
          <t>ĐÃ DUYỆT</t>
        </is>
      </c>
      <c r="U187" s="151" t="inlineStr">
        <is>
          <t>Quản Đốc Trần Đức Minh</t>
        </is>
      </c>
      <c r="V187" s="150" t="inlineStr">
        <is>
          <t>2026-08-16 16:30</t>
        </is>
      </c>
      <c r="W187" s="150" t="inlineStr">
        <is>
          <t>CC-202608-NV01-16</t>
        </is>
      </c>
      <c r="X187" s="150">
        <f>IFS(C187="", "THIẾU MÃ NV", COUNTIFS(A:A, A187, C:C, C187)&gt;1, "TRÙNG NHÂN VIÊN/NGÀY", O187&gt;4, "VƯỢT 4 GIỜ/NGÀY", AND(O187&gt;0, S187&lt;&gt;"CÓ"), "CHƯA ĐĂNG KÝ TC", AND(O187&gt;0, T187&lt;&gt;"ĐÃ DUYỆT"), "CHƯA DUYỆT TC", AND(T187="ĐÃ DUYỆT", U187=""), "THIẾU NGƯỜI DUYỆT", TRUE, "HỢP LỆ")</f>
        <v/>
      </c>
    </row>
    <row r="188">
      <c r="A188" s="146" t="inlineStr">
        <is>
          <t>2026-08-16</t>
        </is>
      </c>
      <c r="B188" s="146">
        <f>DATE(YEAR(A188), MONTH(A188), 1)</f>
        <v/>
      </c>
      <c r="C188" s="146" t="inlineStr">
        <is>
          <t>NV04</t>
        </is>
      </c>
      <c r="D188" s="147">
        <f>IFERROR(XLOOKUP(C188, '11_Master_Data'!$A:$A, '11_Master_Data'!$B:$B, "KHÔNG CÓ MÃ NV"), "KHÔNG CÓ MÃ NV")</f>
        <v/>
      </c>
      <c r="E188" s="146" t="inlineStr">
        <is>
          <t>C3</t>
        </is>
      </c>
      <c r="F188" s="148" t="n">
        <v>1</v>
      </c>
      <c r="G188" s="148" t="n">
        <v>8</v>
      </c>
      <c r="H188" s="148" t="n">
        <v>0</v>
      </c>
      <c r="I188" s="148" t="n">
        <v>0</v>
      </c>
      <c r="J188" s="148" t="n">
        <v>0</v>
      </c>
      <c r="K188" s="148" t="n">
        <v>8</v>
      </c>
      <c r="L188" s="148" t="n">
        <v>0</v>
      </c>
      <c r="M188" s="148" t="n">
        <v>0</v>
      </c>
      <c r="N188" s="148" t="n">
        <v>0</v>
      </c>
      <c r="O188" s="148">
        <f>SUM(H188:J188, L188:N188)</f>
        <v/>
      </c>
      <c r="P188" s="149" t="n">
        <v>30000</v>
      </c>
      <c r="Q188" s="148" t="n">
        <v>0</v>
      </c>
      <c r="R188" s="147" t="inlineStr"/>
      <c r="S188" s="146" t="inlineStr">
        <is>
          <t>KHÔNG</t>
        </is>
      </c>
      <c r="T188" s="146" t="inlineStr">
        <is>
          <t>ĐÃ DUYỆT</t>
        </is>
      </c>
      <c r="U188" s="147" t="inlineStr">
        <is>
          <t>Quản Đốc Trần Đức Minh</t>
        </is>
      </c>
      <c r="V188" s="146" t="inlineStr">
        <is>
          <t>2026-08-16 16:30</t>
        </is>
      </c>
      <c r="W188" s="146" t="inlineStr">
        <is>
          <t>CC-202608-NV04-16</t>
        </is>
      </c>
      <c r="X188" s="146">
        <f>IFS(C188="", "THIẾU MÃ NV", COUNTIFS(A:A, A188, C:C, C188)&gt;1, "TRÙNG NHÂN VIÊN/NGÀY", O188&gt;4, "VƯỢT 4 GIỜ/NGÀY", AND(O188&gt;0, S188&lt;&gt;"CÓ"), "CHƯA ĐĂNG KÝ TC", AND(O188&gt;0, T188&lt;&gt;"ĐÃ DUYỆT"), "CHƯA DUYỆT TC", AND(T188="ĐÃ DUYỆT", U188=""), "THIẾU NGƯỜI DUYỆT", TRUE, "HỢP LỆ")</f>
        <v/>
      </c>
    </row>
    <row r="189">
      <c r="A189" s="150" t="inlineStr">
        <is>
          <t>2026-08-16</t>
        </is>
      </c>
      <c r="B189" s="150">
        <f>DATE(YEAR(A189), MONTH(A189), 1)</f>
        <v/>
      </c>
      <c r="C189" s="150" t="inlineStr">
        <is>
          <t>NV06</t>
        </is>
      </c>
      <c r="D189" s="151">
        <f>IFERROR(XLOOKUP(C189, '11_Master_Data'!$A:$A, '11_Master_Data'!$B:$B, "KHÔNG CÓ MÃ NV"), "KHÔNG CÓ MÃ NV")</f>
        <v/>
      </c>
      <c r="E189" s="150" t="inlineStr">
        <is>
          <t>C3</t>
        </is>
      </c>
      <c r="F189" s="152" t="n">
        <v>1</v>
      </c>
      <c r="G189" s="152" t="n">
        <v>8</v>
      </c>
      <c r="H189" s="152" t="n">
        <v>0</v>
      </c>
      <c r="I189" s="152" t="n">
        <v>0</v>
      </c>
      <c r="J189" s="152" t="n">
        <v>0</v>
      </c>
      <c r="K189" s="152" t="n">
        <v>8</v>
      </c>
      <c r="L189" s="152" t="n">
        <v>0</v>
      </c>
      <c r="M189" s="152" t="n">
        <v>0</v>
      </c>
      <c r="N189" s="152" t="n">
        <v>0</v>
      </c>
      <c r="O189" s="152">
        <f>SUM(H189:J189, L189:N189)</f>
        <v/>
      </c>
      <c r="P189" s="153" t="n">
        <v>30000</v>
      </c>
      <c r="Q189" s="152" t="n">
        <v>0</v>
      </c>
      <c r="R189" s="151" t="inlineStr"/>
      <c r="S189" s="150" t="inlineStr">
        <is>
          <t>KHÔNG</t>
        </is>
      </c>
      <c r="T189" s="150" t="inlineStr">
        <is>
          <t>ĐÃ DUYỆT</t>
        </is>
      </c>
      <c r="U189" s="151" t="inlineStr">
        <is>
          <t>Quản Đốc Trần Đức Minh</t>
        </is>
      </c>
      <c r="V189" s="150" t="inlineStr">
        <is>
          <t>2026-08-16 16:30</t>
        </is>
      </c>
      <c r="W189" s="150" t="inlineStr">
        <is>
          <t>CC-202608-NV06-16</t>
        </is>
      </c>
      <c r="X189" s="150">
        <f>IFS(C189="", "THIẾU MÃ NV", COUNTIFS(A:A, A189, C:C, C189)&gt;1, "TRÙNG NHÂN VIÊN/NGÀY", O189&gt;4, "VƯỢT 4 GIỜ/NGÀY", AND(O189&gt;0, S189&lt;&gt;"CÓ"), "CHƯA ĐĂNG KÝ TC", AND(O189&gt;0, T189&lt;&gt;"ĐÃ DUYỆT"), "CHƯA DUYỆT TC", AND(T189="ĐÃ DUYỆT", U189=""), "THIẾU NGƯỜI DUYỆT", TRUE, "HỢP LỆ")</f>
        <v/>
      </c>
    </row>
    <row r="190">
      <c r="A190" s="146" t="inlineStr">
        <is>
          <t>2026-08-16</t>
        </is>
      </c>
      <c r="B190" s="146">
        <f>DATE(YEAR(A190), MONTH(A190), 1)</f>
        <v/>
      </c>
      <c r="C190" s="146" t="inlineStr">
        <is>
          <t>NV07</t>
        </is>
      </c>
      <c r="D190" s="147">
        <f>IFERROR(XLOOKUP(C190, '11_Master_Data'!$A:$A, '11_Master_Data'!$B:$B, "KHÔNG CÓ MÃ NV"), "KHÔNG CÓ MÃ NV")</f>
        <v/>
      </c>
      <c r="E190" s="146" t="inlineStr">
        <is>
          <t>C1</t>
        </is>
      </c>
      <c r="F190" s="148" t="n">
        <v>1</v>
      </c>
      <c r="G190" s="148" t="n">
        <v>8</v>
      </c>
      <c r="H190" s="148" t="n">
        <v>0</v>
      </c>
      <c r="I190" s="148" t="n">
        <v>0</v>
      </c>
      <c r="J190" s="148" t="n">
        <v>0</v>
      </c>
      <c r="K190" s="148" t="n">
        <v>0</v>
      </c>
      <c r="L190" s="148" t="n">
        <v>0</v>
      </c>
      <c r="M190" s="148" t="n">
        <v>0</v>
      </c>
      <c r="N190" s="148" t="n">
        <v>0</v>
      </c>
      <c r="O190" s="148">
        <f>SUM(H190:J190, L190:N190)</f>
        <v/>
      </c>
      <c r="P190" s="149" t="n">
        <v>30000</v>
      </c>
      <c r="Q190" s="148" t="n">
        <v>0</v>
      </c>
      <c r="R190" s="147" t="inlineStr"/>
      <c r="S190" s="146" t="inlineStr">
        <is>
          <t>KHÔNG</t>
        </is>
      </c>
      <c r="T190" s="146" t="inlineStr">
        <is>
          <t>ĐÃ DUYỆT</t>
        </is>
      </c>
      <c r="U190" s="147" t="inlineStr">
        <is>
          <t>Quản Đốc Trần Đức Minh</t>
        </is>
      </c>
      <c r="V190" s="146" t="inlineStr">
        <is>
          <t>2026-08-16 16:30</t>
        </is>
      </c>
      <c r="W190" s="146" t="inlineStr">
        <is>
          <t>CC-202608-NV07-16</t>
        </is>
      </c>
      <c r="X190" s="146">
        <f>IFS(C190="", "THIẾU MÃ NV", COUNTIFS(A:A, A190, C:C, C190)&gt;1, "TRÙNG NHÂN VIÊN/NGÀY", O190&gt;4, "VƯỢT 4 GIỜ/NGÀY", AND(O190&gt;0, S190&lt;&gt;"CÓ"), "CHƯA ĐĂNG KÝ TC", AND(O190&gt;0, T190&lt;&gt;"ĐÃ DUYỆT"), "CHƯA DUYỆT TC", AND(T190="ĐÃ DUYỆT", U190=""), "THIẾU NGƯỜI DUYỆT", TRUE, "HỢP LỆ")</f>
        <v/>
      </c>
    </row>
    <row r="191">
      <c r="A191" s="150" t="inlineStr">
        <is>
          <t>2026-08-16</t>
        </is>
      </c>
      <c r="B191" s="150">
        <f>DATE(YEAR(A191), MONTH(A191), 1)</f>
        <v/>
      </c>
      <c r="C191" s="150" t="inlineStr">
        <is>
          <t>NV08</t>
        </is>
      </c>
      <c r="D191" s="151">
        <f>IFERROR(XLOOKUP(C191, '11_Master_Data'!$A:$A, '11_Master_Data'!$B:$B, "KHÔNG CÓ MÃ NV"), "KHÔNG CÓ MÃ NV")</f>
        <v/>
      </c>
      <c r="E191" s="150" t="inlineStr">
        <is>
          <t>C3</t>
        </is>
      </c>
      <c r="F191" s="152" t="n">
        <v>1</v>
      </c>
      <c r="G191" s="152" t="n">
        <v>8</v>
      </c>
      <c r="H191" s="152" t="n">
        <v>0</v>
      </c>
      <c r="I191" s="152" t="n">
        <v>0</v>
      </c>
      <c r="J191" s="152" t="n">
        <v>0</v>
      </c>
      <c r="K191" s="152" t="n">
        <v>8</v>
      </c>
      <c r="L191" s="152" t="n">
        <v>0</v>
      </c>
      <c r="M191" s="152" t="n">
        <v>0</v>
      </c>
      <c r="N191" s="152" t="n">
        <v>0</v>
      </c>
      <c r="O191" s="152">
        <f>SUM(H191:J191, L191:N191)</f>
        <v/>
      </c>
      <c r="P191" s="153" t="n">
        <v>30000</v>
      </c>
      <c r="Q191" s="152" t="n">
        <v>0</v>
      </c>
      <c r="R191" s="151" t="inlineStr"/>
      <c r="S191" s="150" t="inlineStr">
        <is>
          <t>KHÔNG</t>
        </is>
      </c>
      <c r="T191" s="150" t="inlineStr">
        <is>
          <t>ĐÃ DUYỆT</t>
        </is>
      </c>
      <c r="U191" s="151" t="inlineStr">
        <is>
          <t>Quản Đốc Trần Đức Minh</t>
        </is>
      </c>
      <c r="V191" s="150" t="inlineStr">
        <is>
          <t>2026-08-16 16:30</t>
        </is>
      </c>
      <c r="W191" s="150" t="inlineStr">
        <is>
          <t>CC-202608-NV08-16</t>
        </is>
      </c>
      <c r="X191" s="150">
        <f>IFS(C191="", "THIẾU MÃ NV", COUNTIFS(A:A, A191, C:C, C191)&gt;1, "TRÙNG NHÂN VIÊN/NGÀY", O191&gt;4, "VƯỢT 4 GIỜ/NGÀY", AND(O191&gt;0, S191&lt;&gt;"CÓ"), "CHƯA ĐĂNG KÝ TC", AND(O191&gt;0, T191&lt;&gt;"ĐÃ DUYỆT"), "CHƯA DUYỆT TC", AND(T191="ĐÃ DUYỆT", U191=""), "THIẾU NGƯỜI DUYỆT", TRUE, "HỢP LỆ")</f>
        <v/>
      </c>
    </row>
    <row r="192">
      <c r="A192" s="146" t="inlineStr">
        <is>
          <t>2026-08-16</t>
        </is>
      </c>
      <c r="B192" s="146">
        <f>DATE(YEAR(A192), MONTH(A192), 1)</f>
        <v/>
      </c>
      <c r="C192" s="146" t="inlineStr">
        <is>
          <t>NV10</t>
        </is>
      </c>
      <c r="D192" s="147">
        <f>IFERROR(XLOOKUP(C192, '11_Master_Data'!$A:$A, '11_Master_Data'!$B:$B, "KHÔNG CÓ MÃ NV"), "KHÔNG CÓ MÃ NV")</f>
        <v/>
      </c>
      <c r="E192" s="146" t="inlineStr">
        <is>
          <t>C2</t>
        </is>
      </c>
      <c r="F192" s="148" t="n">
        <v>1</v>
      </c>
      <c r="G192" s="148" t="n">
        <v>8</v>
      </c>
      <c r="H192" s="148" t="n">
        <v>0</v>
      </c>
      <c r="I192" s="148" t="n">
        <v>0</v>
      </c>
      <c r="J192" s="148" t="n">
        <v>0</v>
      </c>
      <c r="K192" s="148" t="n">
        <v>0</v>
      </c>
      <c r="L192" s="148" t="n">
        <v>0</v>
      </c>
      <c r="M192" s="148" t="n">
        <v>0</v>
      </c>
      <c r="N192" s="148" t="n">
        <v>0</v>
      </c>
      <c r="O192" s="148">
        <f>SUM(H192:J192, L192:N192)</f>
        <v/>
      </c>
      <c r="P192" s="149" t="n">
        <v>30000</v>
      </c>
      <c r="Q192" s="148" t="n">
        <v>0</v>
      </c>
      <c r="R192" s="147" t="inlineStr"/>
      <c r="S192" s="146" t="inlineStr">
        <is>
          <t>KHÔNG</t>
        </is>
      </c>
      <c r="T192" s="146" t="inlineStr">
        <is>
          <t>ĐÃ DUYỆT</t>
        </is>
      </c>
      <c r="U192" s="147" t="inlineStr">
        <is>
          <t>Quản Đốc Trần Đức Minh</t>
        </is>
      </c>
      <c r="V192" s="146" t="inlineStr">
        <is>
          <t>2026-08-16 16:30</t>
        </is>
      </c>
      <c r="W192" s="146" t="inlineStr">
        <is>
          <t>CC-202608-NV10-16</t>
        </is>
      </c>
      <c r="X192" s="146">
        <f>IFS(C192="", "THIẾU MÃ NV", COUNTIFS(A:A, A192, C:C, C192)&gt;1, "TRÙNG NHÂN VIÊN/NGÀY", O192&gt;4, "VƯỢT 4 GIỜ/NGÀY", AND(O192&gt;0, S192&lt;&gt;"CÓ"), "CHƯA ĐĂNG KÝ TC", AND(O192&gt;0, T192&lt;&gt;"ĐÃ DUYỆT"), "CHƯA DUYỆT TC", AND(T192="ĐÃ DUYỆT", U192=""), "THIẾU NGƯỜI DUYỆT", TRUE, "HỢP LỆ")</f>
        <v/>
      </c>
    </row>
    <row r="193">
      <c r="A193" s="150" t="inlineStr">
        <is>
          <t>2026-08-16</t>
        </is>
      </c>
      <c r="B193" s="150">
        <f>DATE(YEAR(A193), MONTH(A193), 1)</f>
        <v/>
      </c>
      <c r="C193" s="150" t="inlineStr">
        <is>
          <t>NV11</t>
        </is>
      </c>
      <c r="D193" s="151">
        <f>IFERROR(XLOOKUP(C193, '11_Master_Data'!$A:$A, '11_Master_Data'!$B:$B, "KHÔNG CÓ MÃ NV"), "KHÔNG CÓ MÃ NV")</f>
        <v/>
      </c>
      <c r="E193" s="150" t="inlineStr">
        <is>
          <t>C2</t>
        </is>
      </c>
      <c r="F193" s="152" t="n">
        <v>1</v>
      </c>
      <c r="G193" s="152" t="n">
        <v>8</v>
      </c>
      <c r="H193" s="152" t="n">
        <v>0</v>
      </c>
      <c r="I193" s="152" t="n">
        <v>0</v>
      </c>
      <c r="J193" s="152" t="n">
        <v>0</v>
      </c>
      <c r="K193" s="152" t="n">
        <v>0</v>
      </c>
      <c r="L193" s="152" t="n">
        <v>0</v>
      </c>
      <c r="M193" s="152" t="n">
        <v>0</v>
      </c>
      <c r="N193" s="152" t="n">
        <v>0</v>
      </c>
      <c r="O193" s="152">
        <f>SUM(H193:J193, L193:N193)</f>
        <v/>
      </c>
      <c r="P193" s="153" t="n">
        <v>30000</v>
      </c>
      <c r="Q193" s="152" t="n">
        <v>0</v>
      </c>
      <c r="R193" s="151" t="inlineStr"/>
      <c r="S193" s="150" t="inlineStr">
        <is>
          <t>KHÔNG</t>
        </is>
      </c>
      <c r="T193" s="150" t="inlineStr">
        <is>
          <t>ĐÃ DUYỆT</t>
        </is>
      </c>
      <c r="U193" s="151" t="inlineStr">
        <is>
          <t>Quản Đốc Trần Đức Minh</t>
        </is>
      </c>
      <c r="V193" s="150" t="inlineStr">
        <is>
          <t>2026-08-16 16:30</t>
        </is>
      </c>
      <c r="W193" s="150" t="inlineStr">
        <is>
          <t>CC-202608-NV11-16</t>
        </is>
      </c>
      <c r="X193" s="150">
        <f>IFS(C193="", "THIẾU MÃ NV", COUNTIFS(A:A, A193, C:C, C193)&gt;1, "TRÙNG NHÂN VIÊN/NGÀY", O193&gt;4, "VƯỢT 4 GIỜ/NGÀY", AND(O193&gt;0, S193&lt;&gt;"CÓ"), "CHƯA ĐĂNG KÝ TC", AND(O193&gt;0, T193&lt;&gt;"ĐÃ DUYỆT"), "CHƯA DUYỆT TC", AND(T193="ĐÃ DUYỆT", U193=""), "THIẾU NGƯỜI DUYỆT", TRUE, "HỢP LỆ")</f>
        <v/>
      </c>
    </row>
    <row r="194">
      <c r="A194" s="146" t="inlineStr">
        <is>
          <t>2026-08-16</t>
        </is>
      </c>
      <c r="B194" s="146">
        <f>DATE(YEAR(A194), MONTH(A194), 1)</f>
        <v/>
      </c>
      <c r="C194" s="146" t="inlineStr">
        <is>
          <t>NV12</t>
        </is>
      </c>
      <c r="D194" s="147">
        <f>IFERROR(XLOOKUP(C194, '11_Master_Data'!$A:$A, '11_Master_Data'!$B:$B, "KHÔNG CÓ MÃ NV"), "KHÔNG CÓ MÃ NV")</f>
        <v/>
      </c>
      <c r="E194" s="146" t="inlineStr">
        <is>
          <t>C1</t>
        </is>
      </c>
      <c r="F194" s="148" t="n">
        <v>1</v>
      </c>
      <c r="G194" s="148" t="n">
        <v>8</v>
      </c>
      <c r="H194" s="148" t="n">
        <v>0</v>
      </c>
      <c r="I194" s="148" t="n">
        <v>0</v>
      </c>
      <c r="J194" s="148" t="n">
        <v>0</v>
      </c>
      <c r="K194" s="148" t="n">
        <v>0</v>
      </c>
      <c r="L194" s="148" t="n">
        <v>0</v>
      </c>
      <c r="M194" s="148" t="n">
        <v>0</v>
      </c>
      <c r="N194" s="148" t="n">
        <v>0</v>
      </c>
      <c r="O194" s="148">
        <f>SUM(H194:J194, L194:N194)</f>
        <v/>
      </c>
      <c r="P194" s="149" t="n">
        <v>30000</v>
      </c>
      <c r="Q194" s="148" t="n">
        <v>0</v>
      </c>
      <c r="R194" s="147" t="inlineStr"/>
      <c r="S194" s="146" t="inlineStr">
        <is>
          <t>KHÔNG</t>
        </is>
      </c>
      <c r="T194" s="146" t="inlineStr">
        <is>
          <t>ĐÃ DUYỆT</t>
        </is>
      </c>
      <c r="U194" s="147" t="inlineStr">
        <is>
          <t>Quản Đốc Trần Đức Minh</t>
        </is>
      </c>
      <c r="V194" s="146" t="inlineStr">
        <is>
          <t>2026-08-16 16:30</t>
        </is>
      </c>
      <c r="W194" s="146" t="inlineStr">
        <is>
          <t>CC-202608-NV12-16</t>
        </is>
      </c>
      <c r="X194" s="146">
        <f>IFS(C194="", "THIẾU MÃ NV", COUNTIFS(A:A, A194, C:C, C194)&gt;1, "TRÙNG NHÂN VIÊN/NGÀY", O194&gt;4, "VƯỢT 4 GIỜ/NGÀY", AND(O194&gt;0, S194&lt;&gt;"CÓ"), "CHƯA ĐĂNG KÝ TC", AND(O194&gt;0, T194&lt;&gt;"ĐÃ DUYỆT"), "CHƯA DUYỆT TC", AND(T194="ĐÃ DUYỆT", U194=""), "THIẾU NGƯỜI DUYỆT", TRUE, "HỢP LỆ")</f>
        <v/>
      </c>
    </row>
    <row r="195">
      <c r="A195" s="150" t="inlineStr">
        <is>
          <t>2026-08-16</t>
        </is>
      </c>
      <c r="B195" s="150">
        <f>DATE(YEAR(A195), MONTH(A195), 1)</f>
        <v/>
      </c>
      <c r="C195" s="150" t="inlineStr">
        <is>
          <t>NV13</t>
        </is>
      </c>
      <c r="D195" s="151">
        <f>IFERROR(XLOOKUP(C195, '11_Master_Data'!$A:$A, '11_Master_Data'!$B:$B, "KHÔNG CÓ MÃ NV"), "KHÔNG CÓ MÃ NV")</f>
        <v/>
      </c>
      <c r="E195" s="150" t="inlineStr">
        <is>
          <t>C1</t>
        </is>
      </c>
      <c r="F195" s="152" t="n">
        <v>1</v>
      </c>
      <c r="G195" s="152" t="n">
        <v>8</v>
      </c>
      <c r="H195" s="152" t="n">
        <v>0</v>
      </c>
      <c r="I195" s="152" t="n">
        <v>0</v>
      </c>
      <c r="J195" s="152" t="n">
        <v>0</v>
      </c>
      <c r="K195" s="152" t="n">
        <v>0</v>
      </c>
      <c r="L195" s="152" t="n">
        <v>0</v>
      </c>
      <c r="M195" s="152" t="n">
        <v>0</v>
      </c>
      <c r="N195" s="152" t="n">
        <v>0</v>
      </c>
      <c r="O195" s="152">
        <f>SUM(H195:J195, L195:N195)</f>
        <v/>
      </c>
      <c r="P195" s="153" t="n">
        <v>30000</v>
      </c>
      <c r="Q195" s="152" t="n">
        <v>0</v>
      </c>
      <c r="R195" s="151" t="inlineStr"/>
      <c r="S195" s="150" t="inlineStr">
        <is>
          <t>KHÔNG</t>
        </is>
      </c>
      <c r="T195" s="150" t="inlineStr">
        <is>
          <t>ĐÃ DUYỆT</t>
        </is>
      </c>
      <c r="U195" s="151" t="inlineStr">
        <is>
          <t>Quản Đốc Trần Đức Minh</t>
        </is>
      </c>
      <c r="V195" s="150" t="inlineStr">
        <is>
          <t>2026-08-16 16:30</t>
        </is>
      </c>
      <c r="W195" s="150" t="inlineStr">
        <is>
          <t>CC-202608-NV13-16</t>
        </is>
      </c>
      <c r="X195" s="150">
        <f>IFS(C195="", "THIẾU MÃ NV", COUNTIFS(A:A, A195, C:C, C195)&gt;1, "TRÙNG NHÂN VIÊN/NGÀY", O195&gt;4, "VƯỢT 4 GIỜ/NGÀY", AND(O195&gt;0, S195&lt;&gt;"CÓ"), "CHƯA ĐĂNG KÝ TC", AND(O195&gt;0, T195&lt;&gt;"ĐÃ DUYỆT"), "CHƯA DUYỆT TC", AND(T195="ĐÃ DUYỆT", U195=""), "THIẾU NGƯỜI DUYỆT", TRUE, "HỢP LỆ")</f>
        <v/>
      </c>
    </row>
    <row r="196">
      <c r="A196" s="146" t="inlineStr">
        <is>
          <t>2026-08-16</t>
        </is>
      </c>
      <c r="B196" s="146">
        <f>DATE(YEAR(A196), MONTH(A196), 1)</f>
        <v/>
      </c>
      <c r="C196" s="146" t="inlineStr">
        <is>
          <t>NV14</t>
        </is>
      </c>
      <c r="D196" s="147">
        <f>IFERROR(XLOOKUP(C196, '11_Master_Data'!$A:$A, '11_Master_Data'!$B:$B, "KHÔNG CÓ MÃ NV"), "KHÔNG CÓ MÃ NV")</f>
        <v/>
      </c>
      <c r="E196" s="146" t="inlineStr">
        <is>
          <t>C1</t>
        </is>
      </c>
      <c r="F196" s="148" t="n">
        <v>1</v>
      </c>
      <c r="G196" s="148" t="n">
        <v>8</v>
      </c>
      <c r="H196" s="148" t="n">
        <v>0</v>
      </c>
      <c r="I196" s="148" t="n">
        <v>0</v>
      </c>
      <c r="J196" s="148" t="n">
        <v>0</v>
      </c>
      <c r="K196" s="148" t="n">
        <v>0</v>
      </c>
      <c r="L196" s="148" t="n">
        <v>0</v>
      </c>
      <c r="M196" s="148" t="n">
        <v>0</v>
      </c>
      <c r="N196" s="148" t="n">
        <v>0</v>
      </c>
      <c r="O196" s="148">
        <f>SUM(H196:J196, L196:N196)</f>
        <v/>
      </c>
      <c r="P196" s="149" t="n">
        <v>30000</v>
      </c>
      <c r="Q196" s="148" t="n">
        <v>0</v>
      </c>
      <c r="R196" s="147" t="inlineStr"/>
      <c r="S196" s="146" t="inlineStr">
        <is>
          <t>KHÔNG</t>
        </is>
      </c>
      <c r="T196" s="146" t="inlineStr">
        <is>
          <t>ĐÃ DUYỆT</t>
        </is>
      </c>
      <c r="U196" s="147" t="inlineStr">
        <is>
          <t>Quản Đốc Trần Đức Minh</t>
        </is>
      </c>
      <c r="V196" s="146" t="inlineStr">
        <is>
          <t>2026-08-16 16:30</t>
        </is>
      </c>
      <c r="W196" s="146" t="inlineStr">
        <is>
          <t>CC-202608-NV14-16</t>
        </is>
      </c>
      <c r="X196" s="146">
        <f>IFS(C196="", "THIẾU MÃ NV", COUNTIFS(A:A, A196, C:C, C196)&gt;1, "TRÙNG NHÂN VIÊN/NGÀY", O196&gt;4, "VƯỢT 4 GIỜ/NGÀY", AND(O196&gt;0, S196&lt;&gt;"CÓ"), "CHƯA ĐĂNG KÝ TC", AND(O196&gt;0, T196&lt;&gt;"ĐÃ DUYỆT"), "CHƯA DUYỆT TC", AND(T196="ĐÃ DUYỆT", U196=""), "THIẾU NGƯỜI DUYỆT", TRUE, "HỢP LỆ")</f>
        <v/>
      </c>
    </row>
    <row r="197">
      <c r="A197" s="150" t="inlineStr">
        <is>
          <t>2026-08-16</t>
        </is>
      </c>
      <c r="B197" s="150">
        <f>DATE(YEAR(A197), MONTH(A197), 1)</f>
        <v/>
      </c>
      <c r="C197" s="150" t="inlineStr">
        <is>
          <t>NV15</t>
        </is>
      </c>
      <c r="D197" s="151">
        <f>IFERROR(XLOOKUP(C197, '11_Master_Data'!$A:$A, '11_Master_Data'!$B:$B, "KHÔNG CÓ MÃ NV"), "KHÔNG CÓ MÃ NV")</f>
        <v/>
      </c>
      <c r="E197" s="150" t="inlineStr">
        <is>
          <t>C2</t>
        </is>
      </c>
      <c r="F197" s="152" t="n">
        <v>1</v>
      </c>
      <c r="G197" s="152" t="n">
        <v>8</v>
      </c>
      <c r="H197" s="152" t="n">
        <v>0</v>
      </c>
      <c r="I197" s="152" t="n">
        <v>0</v>
      </c>
      <c r="J197" s="152" t="n">
        <v>0</v>
      </c>
      <c r="K197" s="152" t="n">
        <v>0</v>
      </c>
      <c r="L197" s="152" t="n">
        <v>0</v>
      </c>
      <c r="M197" s="152" t="n">
        <v>0</v>
      </c>
      <c r="N197" s="152" t="n">
        <v>0</v>
      </c>
      <c r="O197" s="152">
        <f>SUM(H197:J197, L197:N197)</f>
        <v/>
      </c>
      <c r="P197" s="153" t="n">
        <v>30000</v>
      </c>
      <c r="Q197" s="152" t="n">
        <v>0</v>
      </c>
      <c r="R197" s="151" t="inlineStr"/>
      <c r="S197" s="150" t="inlineStr">
        <is>
          <t>KHÔNG</t>
        </is>
      </c>
      <c r="T197" s="150" t="inlineStr">
        <is>
          <t>ĐÃ DUYỆT</t>
        </is>
      </c>
      <c r="U197" s="151" t="inlineStr">
        <is>
          <t>Quản Đốc Trần Đức Minh</t>
        </is>
      </c>
      <c r="V197" s="150" t="inlineStr">
        <is>
          <t>2026-08-16 16:30</t>
        </is>
      </c>
      <c r="W197" s="150" t="inlineStr">
        <is>
          <t>CC-202608-NV15-16</t>
        </is>
      </c>
      <c r="X197" s="150">
        <f>IFS(C197="", "THIẾU MÃ NV", COUNTIFS(A:A, A197, C:C, C197)&gt;1, "TRÙNG NHÂN VIÊN/NGÀY", O197&gt;4, "VƯỢT 4 GIỜ/NGÀY", AND(O197&gt;0, S197&lt;&gt;"CÓ"), "CHƯA ĐĂNG KÝ TC", AND(O197&gt;0, T197&lt;&gt;"ĐÃ DUYỆT"), "CHƯA DUYỆT TC", AND(T197="ĐÃ DUYỆT", U197=""), "THIẾU NGƯỜI DUYỆT", TRUE, "HỢP LỆ")</f>
        <v/>
      </c>
    </row>
    <row r="198">
      <c r="A198" s="146" t="inlineStr">
        <is>
          <t>2026-08-17</t>
        </is>
      </c>
      <c r="B198" s="146">
        <f>DATE(YEAR(A198), MONTH(A198), 1)</f>
        <v/>
      </c>
      <c r="C198" s="146" t="inlineStr">
        <is>
          <t>NV01</t>
        </is>
      </c>
      <c r="D198" s="147">
        <f>IFERROR(XLOOKUP(C198, '11_Master_Data'!$A:$A, '11_Master_Data'!$B:$B, "KHÔNG CÓ MÃ NV"), "KHÔNG CÓ MÃ NV")</f>
        <v/>
      </c>
      <c r="E198" s="146" t="inlineStr">
        <is>
          <t>C1</t>
        </is>
      </c>
      <c r="F198" s="148" t="n">
        <v>1</v>
      </c>
      <c r="G198" s="148" t="n">
        <v>8</v>
      </c>
      <c r="H198" s="148" t="n">
        <v>0</v>
      </c>
      <c r="I198" s="148" t="n">
        <v>0</v>
      </c>
      <c r="J198" s="148" t="n">
        <v>0</v>
      </c>
      <c r="K198" s="148" t="n">
        <v>0</v>
      </c>
      <c r="L198" s="148" t="n">
        <v>0</v>
      </c>
      <c r="M198" s="148" t="n">
        <v>0</v>
      </c>
      <c r="N198" s="148" t="n">
        <v>0</v>
      </c>
      <c r="O198" s="148">
        <f>SUM(H198:J198, L198:N198)</f>
        <v/>
      </c>
      <c r="P198" s="149" t="n">
        <v>30000</v>
      </c>
      <c r="Q198" s="148" t="n">
        <v>0</v>
      </c>
      <c r="R198" s="147" t="inlineStr"/>
      <c r="S198" s="146" t="inlineStr">
        <is>
          <t>KHÔNG</t>
        </is>
      </c>
      <c r="T198" s="146" t="inlineStr">
        <is>
          <t>ĐÃ DUYỆT</t>
        </is>
      </c>
      <c r="U198" s="147" t="inlineStr">
        <is>
          <t>Quản Đốc Trần Đức Minh</t>
        </is>
      </c>
      <c r="V198" s="146" t="inlineStr">
        <is>
          <t>2026-08-17 16:30</t>
        </is>
      </c>
      <c r="W198" s="146" t="inlineStr">
        <is>
          <t>CC-202608-NV01-17</t>
        </is>
      </c>
      <c r="X198" s="146">
        <f>IFS(C198="", "THIẾU MÃ NV", COUNTIFS(A:A, A198, C:C, C198)&gt;1, "TRÙNG NHÂN VIÊN/NGÀY", O198&gt;4, "VƯỢT 4 GIỜ/NGÀY", AND(O198&gt;0, S198&lt;&gt;"CÓ"), "CHƯA ĐĂNG KÝ TC", AND(O198&gt;0, T198&lt;&gt;"ĐÃ DUYỆT"), "CHƯA DUYỆT TC", AND(T198="ĐÃ DUYỆT", U198=""), "THIẾU NGƯỜI DUYỆT", TRUE, "HỢP LỆ")</f>
        <v/>
      </c>
    </row>
    <row r="199">
      <c r="A199" s="150" t="inlineStr">
        <is>
          <t>2026-08-17</t>
        </is>
      </c>
      <c r="B199" s="150">
        <f>DATE(YEAR(A199), MONTH(A199), 1)</f>
        <v/>
      </c>
      <c r="C199" s="150" t="inlineStr">
        <is>
          <t>NV02</t>
        </is>
      </c>
      <c r="D199" s="151">
        <f>IFERROR(XLOOKUP(C199, '11_Master_Data'!$A:$A, '11_Master_Data'!$B:$B, "KHÔNG CÓ MÃ NV"), "KHÔNG CÓ MÃ NV")</f>
        <v/>
      </c>
      <c r="E199" s="150" t="inlineStr">
        <is>
          <t>C2</t>
        </is>
      </c>
      <c r="F199" s="152" t="n">
        <v>1</v>
      </c>
      <c r="G199" s="152" t="n">
        <v>8</v>
      </c>
      <c r="H199" s="152" t="n">
        <v>0</v>
      </c>
      <c r="I199" s="152" t="n">
        <v>0</v>
      </c>
      <c r="J199" s="152" t="n">
        <v>0</v>
      </c>
      <c r="K199" s="152" t="n">
        <v>0</v>
      </c>
      <c r="L199" s="152" t="n">
        <v>0</v>
      </c>
      <c r="M199" s="152" t="n">
        <v>0</v>
      </c>
      <c r="N199" s="152" t="n">
        <v>0</v>
      </c>
      <c r="O199" s="152">
        <f>SUM(H199:J199, L199:N199)</f>
        <v/>
      </c>
      <c r="P199" s="153" t="n">
        <v>30000</v>
      </c>
      <c r="Q199" s="152" t="n">
        <v>0</v>
      </c>
      <c r="R199" s="151" t="inlineStr"/>
      <c r="S199" s="150" t="inlineStr">
        <is>
          <t>KHÔNG</t>
        </is>
      </c>
      <c r="T199" s="150" t="inlineStr">
        <is>
          <t>ĐÃ DUYỆT</t>
        </is>
      </c>
      <c r="U199" s="151" t="inlineStr">
        <is>
          <t>Quản Đốc Trần Đức Minh</t>
        </is>
      </c>
      <c r="V199" s="150" t="inlineStr">
        <is>
          <t>2026-08-17 16:30</t>
        </is>
      </c>
      <c r="W199" s="150" t="inlineStr">
        <is>
          <t>CC-202608-NV02-17</t>
        </is>
      </c>
      <c r="X199" s="150">
        <f>IFS(C199="", "THIẾU MÃ NV", COUNTIFS(A:A, A199, C:C, C199)&gt;1, "TRÙNG NHÂN VIÊN/NGÀY", O199&gt;4, "VƯỢT 4 GIỜ/NGÀY", AND(O199&gt;0, S199&lt;&gt;"CÓ"), "CHƯA ĐĂNG KÝ TC", AND(O199&gt;0, T199&lt;&gt;"ĐÃ DUYỆT"), "CHƯA DUYỆT TC", AND(T199="ĐÃ DUYỆT", U199=""), "THIẾU NGƯỜI DUYỆT", TRUE, "HỢP LỆ")</f>
        <v/>
      </c>
    </row>
    <row r="200">
      <c r="A200" s="146" t="inlineStr">
        <is>
          <t>2026-08-17</t>
        </is>
      </c>
      <c r="B200" s="146">
        <f>DATE(YEAR(A200), MONTH(A200), 1)</f>
        <v/>
      </c>
      <c r="C200" s="146" t="inlineStr">
        <is>
          <t>NV03</t>
        </is>
      </c>
      <c r="D200" s="147">
        <f>IFERROR(XLOOKUP(C200, '11_Master_Data'!$A:$A, '11_Master_Data'!$B:$B, "KHÔNG CÓ MÃ NV"), "KHÔNG CÓ MÃ NV")</f>
        <v/>
      </c>
      <c r="E200" s="146" t="inlineStr">
        <is>
          <t>C2</t>
        </is>
      </c>
      <c r="F200" s="148" t="n">
        <v>1</v>
      </c>
      <c r="G200" s="148" t="n">
        <v>8</v>
      </c>
      <c r="H200" s="148" t="n">
        <v>0</v>
      </c>
      <c r="I200" s="148" t="n">
        <v>0</v>
      </c>
      <c r="J200" s="148" t="n">
        <v>0</v>
      </c>
      <c r="K200" s="148" t="n">
        <v>0</v>
      </c>
      <c r="L200" s="148" t="n">
        <v>0</v>
      </c>
      <c r="M200" s="148" t="n">
        <v>0</v>
      </c>
      <c r="N200" s="148" t="n">
        <v>0</v>
      </c>
      <c r="O200" s="148">
        <f>SUM(H200:J200, L200:N200)</f>
        <v/>
      </c>
      <c r="P200" s="149" t="n">
        <v>30000</v>
      </c>
      <c r="Q200" s="148" t="n">
        <v>0</v>
      </c>
      <c r="R200" s="147" t="inlineStr"/>
      <c r="S200" s="146" t="inlineStr">
        <is>
          <t>KHÔNG</t>
        </is>
      </c>
      <c r="T200" s="146" t="inlineStr">
        <is>
          <t>ĐÃ DUYỆT</t>
        </is>
      </c>
      <c r="U200" s="147" t="inlineStr">
        <is>
          <t>Quản Đốc Trần Đức Minh</t>
        </is>
      </c>
      <c r="V200" s="146" t="inlineStr">
        <is>
          <t>2026-08-17 16:30</t>
        </is>
      </c>
      <c r="W200" s="146" t="inlineStr">
        <is>
          <t>CC-202608-NV03-17</t>
        </is>
      </c>
      <c r="X200" s="146">
        <f>IFS(C200="", "THIẾU MÃ NV", COUNTIFS(A:A, A200, C:C, C200)&gt;1, "TRÙNG NHÂN VIÊN/NGÀY", O200&gt;4, "VƯỢT 4 GIỜ/NGÀY", AND(O200&gt;0, S200&lt;&gt;"CÓ"), "CHƯA ĐĂNG KÝ TC", AND(O200&gt;0, T200&lt;&gt;"ĐÃ DUYỆT"), "CHƯA DUYỆT TC", AND(T200="ĐÃ DUYỆT", U200=""), "THIẾU NGƯỜI DUYỆT", TRUE, "HỢP LỆ")</f>
        <v/>
      </c>
    </row>
    <row r="201">
      <c r="A201" s="150" t="inlineStr">
        <is>
          <t>2026-08-17</t>
        </is>
      </c>
      <c r="B201" s="150">
        <f>DATE(YEAR(A201), MONTH(A201), 1)</f>
        <v/>
      </c>
      <c r="C201" s="150" t="inlineStr">
        <is>
          <t>NV04</t>
        </is>
      </c>
      <c r="D201" s="151">
        <f>IFERROR(XLOOKUP(C201, '11_Master_Data'!$A:$A, '11_Master_Data'!$B:$B, "KHÔNG CÓ MÃ NV"), "KHÔNG CÓ MÃ NV")</f>
        <v/>
      </c>
      <c r="E201" s="150" t="inlineStr">
        <is>
          <t>C3</t>
        </is>
      </c>
      <c r="F201" s="152" t="n">
        <v>1</v>
      </c>
      <c r="G201" s="152" t="n">
        <v>8</v>
      </c>
      <c r="H201" s="152" t="n">
        <v>0</v>
      </c>
      <c r="I201" s="152" t="n">
        <v>0</v>
      </c>
      <c r="J201" s="152" t="n">
        <v>0</v>
      </c>
      <c r="K201" s="152" t="n">
        <v>8</v>
      </c>
      <c r="L201" s="152" t="n">
        <v>0</v>
      </c>
      <c r="M201" s="152" t="n">
        <v>0</v>
      </c>
      <c r="N201" s="152" t="n">
        <v>0</v>
      </c>
      <c r="O201" s="152">
        <f>SUM(H201:J201, L201:N201)</f>
        <v/>
      </c>
      <c r="P201" s="153" t="n">
        <v>30000</v>
      </c>
      <c r="Q201" s="152" t="n">
        <v>0</v>
      </c>
      <c r="R201" s="151" t="inlineStr"/>
      <c r="S201" s="150" t="inlineStr">
        <is>
          <t>KHÔNG</t>
        </is>
      </c>
      <c r="T201" s="150" t="inlineStr">
        <is>
          <t>ĐÃ DUYỆT</t>
        </is>
      </c>
      <c r="U201" s="151" t="inlineStr">
        <is>
          <t>Quản Đốc Trần Đức Minh</t>
        </is>
      </c>
      <c r="V201" s="150" t="inlineStr">
        <is>
          <t>2026-08-17 16:30</t>
        </is>
      </c>
      <c r="W201" s="150" t="inlineStr">
        <is>
          <t>CC-202608-NV04-17</t>
        </is>
      </c>
      <c r="X201" s="150">
        <f>IFS(C201="", "THIẾU MÃ NV", COUNTIFS(A:A, A201, C:C, C201)&gt;1, "TRÙNG NHÂN VIÊN/NGÀY", O201&gt;4, "VƯỢT 4 GIỜ/NGÀY", AND(O201&gt;0, S201&lt;&gt;"CÓ"), "CHƯA ĐĂNG KÝ TC", AND(O201&gt;0, T201&lt;&gt;"ĐÃ DUYỆT"), "CHƯA DUYỆT TC", AND(T201="ĐÃ DUYỆT", U201=""), "THIẾU NGƯỜI DUYỆT", TRUE, "HỢP LỆ")</f>
        <v/>
      </c>
    </row>
    <row r="202">
      <c r="A202" s="146" t="inlineStr">
        <is>
          <t>2026-08-17</t>
        </is>
      </c>
      <c r="B202" s="146">
        <f>DATE(YEAR(A202), MONTH(A202), 1)</f>
        <v/>
      </c>
      <c r="C202" s="146" t="inlineStr">
        <is>
          <t>NV06</t>
        </is>
      </c>
      <c r="D202" s="147">
        <f>IFERROR(XLOOKUP(C202, '11_Master_Data'!$A:$A, '11_Master_Data'!$B:$B, "KHÔNG CÓ MÃ NV"), "KHÔNG CÓ MÃ NV")</f>
        <v/>
      </c>
      <c r="E202" s="146" t="inlineStr">
        <is>
          <t>C3</t>
        </is>
      </c>
      <c r="F202" s="148" t="n">
        <v>1</v>
      </c>
      <c r="G202" s="148" t="n">
        <v>8</v>
      </c>
      <c r="H202" s="148" t="n">
        <v>2</v>
      </c>
      <c r="I202" s="148" t="n">
        <v>0</v>
      </c>
      <c r="J202" s="148" t="n">
        <v>0</v>
      </c>
      <c r="K202" s="148" t="n">
        <v>8</v>
      </c>
      <c r="L202" s="148" t="n">
        <v>0</v>
      </c>
      <c r="M202" s="148" t="n">
        <v>0</v>
      </c>
      <c r="N202" s="148" t="n">
        <v>0</v>
      </c>
      <c r="O202" s="148">
        <f>SUM(H202:J202, L202:N202)</f>
        <v/>
      </c>
      <c r="P202" s="149" t="n">
        <v>55000</v>
      </c>
      <c r="Q202" s="148" t="n">
        <v>0</v>
      </c>
      <c r="R202" s="147" t="inlineStr">
        <is>
          <t>Đảm bảo tiến độ sản xuất</t>
        </is>
      </c>
      <c r="S202" s="146" t="inlineStr">
        <is>
          <t>CÓ</t>
        </is>
      </c>
      <c r="T202" s="146" t="inlineStr">
        <is>
          <t>ĐÃ DUYỆT</t>
        </is>
      </c>
      <c r="U202" s="147" t="inlineStr">
        <is>
          <t>Quản Đốc Trần Đức Minh</t>
        </is>
      </c>
      <c r="V202" s="146" t="inlineStr">
        <is>
          <t>2026-08-17 16:30</t>
        </is>
      </c>
      <c r="W202" s="146" t="inlineStr">
        <is>
          <t>CC-202608-NV06-17</t>
        </is>
      </c>
      <c r="X202" s="146">
        <f>IFS(C202="", "THIẾU MÃ NV", COUNTIFS(A:A, A202, C:C, C202)&gt;1, "TRÙNG NHÂN VIÊN/NGÀY", O202&gt;4, "VƯỢT 4 GIỜ/NGÀY", AND(O202&gt;0, S202&lt;&gt;"CÓ"), "CHƯA ĐĂNG KÝ TC", AND(O202&gt;0, T202&lt;&gt;"ĐÃ DUYỆT"), "CHƯA DUYỆT TC", AND(T202="ĐÃ DUYỆT", U202=""), "THIẾU NGƯỜI DUYỆT", TRUE, "HỢP LỆ")</f>
        <v/>
      </c>
    </row>
    <row r="203">
      <c r="A203" s="150" t="inlineStr">
        <is>
          <t>2026-08-17</t>
        </is>
      </c>
      <c r="B203" s="150">
        <f>DATE(YEAR(A203), MONTH(A203), 1)</f>
        <v/>
      </c>
      <c r="C203" s="150" t="inlineStr">
        <is>
          <t>NV07</t>
        </is>
      </c>
      <c r="D203" s="151">
        <f>IFERROR(XLOOKUP(C203, '11_Master_Data'!$A:$A, '11_Master_Data'!$B:$B, "KHÔNG CÓ MÃ NV"), "KHÔNG CÓ MÃ NV")</f>
        <v/>
      </c>
      <c r="E203" s="150" t="inlineStr">
        <is>
          <t>C1</t>
        </is>
      </c>
      <c r="F203" s="152" t="n">
        <v>1</v>
      </c>
      <c r="G203" s="152" t="n">
        <v>8</v>
      </c>
      <c r="H203" s="152" t="n">
        <v>0</v>
      </c>
      <c r="I203" s="152" t="n">
        <v>0</v>
      </c>
      <c r="J203" s="152" t="n">
        <v>0</v>
      </c>
      <c r="K203" s="152" t="n">
        <v>0</v>
      </c>
      <c r="L203" s="152" t="n">
        <v>0</v>
      </c>
      <c r="M203" s="152" t="n">
        <v>0</v>
      </c>
      <c r="N203" s="152" t="n">
        <v>0</v>
      </c>
      <c r="O203" s="152">
        <f>SUM(H203:J203, L203:N203)</f>
        <v/>
      </c>
      <c r="P203" s="153" t="n">
        <v>30000</v>
      </c>
      <c r="Q203" s="152" t="n">
        <v>0</v>
      </c>
      <c r="R203" s="151" t="inlineStr"/>
      <c r="S203" s="150" t="inlineStr">
        <is>
          <t>KHÔNG</t>
        </is>
      </c>
      <c r="T203" s="150" t="inlineStr">
        <is>
          <t>ĐÃ DUYỆT</t>
        </is>
      </c>
      <c r="U203" s="151" t="inlineStr">
        <is>
          <t>Quản Đốc Trần Đức Minh</t>
        </is>
      </c>
      <c r="V203" s="150" t="inlineStr">
        <is>
          <t>2026-08-17 16:30</t>
        </is>
      </c>
      <c r="W203" s="150" t="inlineStr">
        <is>
          <t>CC-202608-NV07-17</t>
        </is>
      </c>
      <c r="X203" s="150">
        <f>IFS(C203="", "THIẾU MÃ NV", COUNTIFS(A:A, A203, C:C, C203)&gt;1, "TRÙNG NHÂN VIÊN/NGÀY", O203&gt;4, "VƯỢT 4 GIỜ/NGÀY", AND(O203&gt;0, S203&lt;&gt;"CÓ"), "CHƯA ĐĂNG KÝ TC", AND(O203&gt;0, T203&lt;&gt;"ĐÃ DUYỆT"), "CHƯA DUYỆT TC", AND(T203="ĐÃ DUYỆT", U203=""), "THIẾU NGƯỜI DUYỆT", TRUE, "HỢP LỆ")</f>
        <v/>
      </c>
    </row>
    <row r="204">
      <c r="A204" s="146" t="inlineStr">
        <is>
          <t>2026-08-17</t>
        </is>
      </c>
      <c r="B204" s="146">
        <f>DATE(YEAR(A204), MONTH(A204), 1)</f>
        <v/>
      </c>
      <c r="C204" s="146" t="inlineStr">
        <is>
          <t>NV08</t>
        </is>
      </c>
      <c r="D204" s="147">
        <f>IFERROR(XLOOKUP(C204, '11_Master_Data'!$A:$A, '11_Master_Data'!$B:$B, "KHÔNG CÓ MÃ NV"), "KHÔNG CÓ MÃ NV")</f>
        <v/>
      </c>
      <c r="E204" s="146" t="inlineStr">
        <is>
          <t>C3</t>
        </is>
      </c>
      <c r="F204" s="148" t="n">
        <v>1</v>
      </c>
      <c r="G204" s="148" t="n">
        <v>8</v>
      </c>
      <c r="H204" s="148" t="n">
        <v>2</v>
      </c>
      <c r="I204" s="148" t="n">
        <v>0</v>
      </c>
      <c r="J204" s="148" t="n">
        <v>0</v>
      </c>
      <c r="K204" s="148" t="n">
        <v>8</v>
      </c>
      <c r="L204" s="148" t="n">
        <v>0</v>
      </c>
      <c r="M204" s="148" t="n">
        <v>0</v>
      </c>
      <c r="N204" s="148" t="n">
        <v>0</v>
      </c>
      <c r="O204" s="148">
        <f>SUM(H204:J204, L204:N204)</f>
        <v/>
      </c>
      <c r="P204" s="149" t="n">
        <v>55000</v>
      </c>
      <c r="Q204" s="148" t="n">
        <v>0</v>
      </c>
      <c r="R204" s="147" t="inlineStr">
        <is>
          <t>Đảm bảo tiến độ sản xuất</t>
        </is>
      </c>
      <c r="S204" s="146" t="inlineStr">
        <is>
          <t>CÓ</t>
        </is>
      </c>
      <c r="T204" s="146" t="inlineStr">
        <is>
          <t>ĐÃ DUYỆT</t>
        </is>
      </c>
      <c r="U204" s="147" t="inlineStr">
        <is>
          <t>Quản Đốc Trần Đức Minh</t>
        </is>
      </c>
      <c r="V204" s="146" t="inlineStr">
        <is>
          <t>2026-08-17 16:30</t>
        </is>
      </c>
      <c r="W204" s="146" t="inlineStr">
        <is>
          <t>CC-202608-NV08-17</t>
        </is>
      </c>
      <c r="X204" s="146">
        <f>IFS(C204="", "THIẾU MÃ NV", COUNTIFS(A:A, A204, C:C, C204)&gt;1, "TRÙNG NHÂN VIÊN/NGÀY", O204&gt;4, "VƯỢT 4 GIỜ/NGÀY", AND(O204&gt;0, S204&lt;&gt;"CÓ"), "CHƯA ĐĂNG KÝ TC", AND(O204&gt;0, T204&lt;&gt;"ĐÃ DUYỆT"), "CHƯA DUYỆT TC", AND(T204="ĐÃ DUYỆT", U204=""), "THIẾU NGƯỜI DUYỆT", TRUE, "HỢP LỆ")</f>
        <v/>
      </c>
    </row>
    <row r="205">
      <c r="A205" s="150" t="inlineStr">
        <is>
          <t>2026-08-17</t>
        </is>
      </c>
      <c r="B205" s="150">
        <f>DATE(YEAR(A205), MONTH(A205), 1)</f>
        <v/>
      </c>
      <c r="C205" s="150" t="inlineStr">
        <is>
          <t>NV10</t>
        </is>
      </c>
      <c r="D205" s="151">
        <f>IFERROR(XLOOKUP(C205, '11_Master_Data'!$A:$A, '11_Master_Data'!$B:$B, "KHÔNG CÓ MÃ NV"), "KHÔNG CÓ MÃ NV")</f>
        <v/>
      </c>
      <c r="E205" s="150" t="inlineStr">
        <is>
          <t>C2</t>
        </is>
      </c>
      <c r="F205" s="152" t="n">
        <v>1</v>
      </c>
      <c r="G205" s="152" t="n">
        <v>8</v>
      </c>
      <c r="H205" s="152" t="n">
        <v>2</v>
      </c>
      <c r="I205" s="152" t="n">
        <v>0</v>
      </c>
      <c r="J205" s="152" t="n">
        <v>0</v>
      </c>
      <c r="K205" s="152" t="n">
        <v>0</v>
      </c>
      <c r="L205" s="152" t="n">
        <v>0</v>
      </c>
      <c r="M205" s="152" t="n">
        <v>0</v>
      </c>
      <c r="N205" s="152" t="n">
        <v>0</v>
      </c>
      <c r="O205" s="152">
        <f>SUM(H205:J205, L205:N205)</f>
        <v/>
      </c>
      <c r="P205" s="153" t="n">
        <v>55000</v>
      </c>
      <c r="Q205" s="152" t="n">
        <v>0</v>
      </c>
      <c r="R205" s="151" t="inlineStr">
        <is>
          <t>Đảm bảo tiến độ sản xuất</t>
        </is>
      </c>
      <c r="S205" s="150" t="inlineStr">
        <is>
          <t>CÓ</t>
        </is>
      </c>
      <c r="T205" s="150" t="inlineStr">
        <is>
          <t>ĐÃ DUYỆT</t>
        </is>
      </c>
      <c r="U205" s="151" t="inlineStr">
        <is>
          <t>Quản Đốc Trần Đức Minh</t>
        </is>
      </c>
      <c r="V205" s="150" t="inlineStr">
        <is>
          <t>2026-08-17 16:30</t>
        </is>
      </c>
      <c r="W205" s="150" t="inlineStr">
        <is>
          <t>CC-202608-NV10-17</t>
        </is>
      </c>
      <c r="X205" s="150">
        <f>IFS(C205="", "THIẾU MÃ NV", COUNTIFS(A:A, A205, C:C, C205)&gt;1, "TRÙNG NHÂN VIÊN/NGÀY", O205&gt;4, "VƯỢT 4 GIỜ/NGÀY", AND(O205&gt;0, S205&lt;&gt;"CÓ"), "CHƯA ĐĂNG KÝ TC", AND(O205&gt;0, T205&lt;&gt;"ĐÃ DUYỆT"), "CHƯA DUYỆT TC", AND(T205="ĐÃ DUYỆT", U205=""), "THIẾU NGƯỜI DUYỆT", TRUE, "HỢP LỆ")</f>
        <v/>
      </c>
    </row>
    <row r="206">
      <c r="A206" s="146" t="inlineStr">
        <is>
          <t>2026-08-17</t>
        </is>
      </c>
      <c r="B206" s="146">
        <f>DATE(YEAR(A206), MONTH(A206), 1)</f>
        <v/>
      </c>
      <c r="C206" s="146" t="inlineStr">
        <is>
          <t>NV11</t>
        </is>
      </c>
      <c r="D206" s="147">
        <f>IFERROR(XLOOKUP(C206, '11_Master_Data'!$A:$A, '11_Master_Data'!$B:$B, "KHÔNG CÓ MÃ NV"), "KHÔNG CÓ MÃ NV")</f>
        <v/>
      </c>
      <c r="E206" s="146" t="inlineStr">
        <is>
          <t>C2</t>
        </is>
      </c>
      <c r="F206" s="148" t="n">
        <v>1</v>
      </c>
      <c r="G206" s="148" t="n">
        <v>8</v>
      </c>
      <c r="H206" s="148" t="n">
        <v>2</v>
      </c>
      <c r="I206" s="148" t="n">
        <v>0</v>
      </c>
      <c r="J206" s="148" t="n">
        <v>0</v>
      </c>
      <c r="K206" s="148" t="n">
        <v>0</v>
      </c>
      <c r="L206" s="148" t="n">
        <v>0</v>
      </c>
      <c r="M206" s="148" t="n">
        <v>0</v>
      </c>
      <c r="N206" s="148" t="n">
        <v>0</v>
      </c>
      <c r="O206" s="148">
        <f>SUM(H206:J206, L206:N206)</f>
        <v/>
      </c>
      <c r="P206" s="149" t="n">
        <v>55000</v>
      </c>
      <c r="Q206" s="148" t="n">
        <v>0</v>
      </c>
      <c r="R206" s="147" t="inlineStr">
        <is>
          <t>Đảm bảo tiến độ sản xuất</t>
        </is>
      </c>
      <c r="S206" s="146" t="inlineStr">
        <is>
          <t>CÓ</t>
        </is>
      </c>
      <c r="T206" s="146" t="inlineStr">
        <is>
          <t>ĐÃ DUYỆT</t>
        </is>
      </c>
      <c r="U206" s="147" t="inlineStr">
        <is>
          <t>Quản Đốc Trần Đức Minh</t>
        </is>
      </c>
      <c r="V206" s="146" t="inlineStr">
        <is>
          <t>2026-08-17 16:30</t>
        </is>
      </c>
      <c r="W206" s="146" t="inlineStr">
        <is>
          <t>CC-202608-NV11-17</t>
        </is>
      </c>
      <c r="X206" s="146">
        <f>IFS(C206="", "THIẾU MÃ NV", COUNTIFS(A:A, A206, C:C, C206)&gt;1, "TRÙNG NHÂN VIÊN/NGÀY", O206&gt;4, "VƯỢT 4 GIỜ/NGÀY", AND(O206&gt;0, S206&lt;&gt;"CÓ"), "CHƯA ĐĂNG KÝ TC", AND(O206&gt;0, T206&lt;&gt;"ĐÃ DUYỆT"), "CHƯA DUYỆT TC", AND(T206="ĐÃ DUYỆT", U206=""), "THIẾU NGƯỜI DUYỆT", TRUE, "HỢP LỆ")</f>
        <v/>
      </c>
    </row>
    <row r="207">
      <c r="A207" s="150" t="inlineStr">
        <is>
          <t>2026-08-17</t>
        </is>
      </c>
      <c r="B207" s="150">
        <f>DATE(YEAR(A207), MONTH(A207), 1)</f>
        <v/>
      </c>
      <c r="C207" s="150" t="inlineStr">
        <is>
          <t>NV12</t>
        </is>
      </c>
      <c r="D207" s="151">
        <f>IFERROR(XLOOKUP(C207, '11_Master_Data'!$A:$A, '11_Master_Data'!$B:$B, "KHÔNG CÓ MÃ NV"), "KHÔNG CÓ MÃ NV")</f>
        <v/>
      </c>
      <c r="E207" s="150" t="inlineStr">
        <is>
          <t>C1</t>
        </is>
      </c>
      <c r="F207" s="152" t="n">
        <v>1</v>
      </c>
      <c r="G207" s="152" t="n">
        <v>8</v>
      </c>
      <c r="H207" s="152" t="n">
        <v>2</v>
      </c>
      <c r="I207" s="152" t="n">
        <v>0</v>
      </c>
      <c r="J207" s="152" t="n">
        <v>0</v>
      </c>
      <c r="K207" s="152" t="n">
        <v>0</v>
      </c>
      <c r="L207" s="152" t="n">
        <v>0</v>
      </c>
      <c r="M207" s="152" t="n">
        <v>0</v>
      </c>
      <c r="N207" s="152" t="n">
        <v>0</v>
      </c>
      <c r="O207" s="152">
        <f>SUM(H207:J207, L207:N207)</f>
        <v/>
      </c>
      <c r="P207" s="153" t="n">
        <v>55000</v>
      </c>
      <c r="Q207" s="152" t="n">
        <v>0</v>
      </c>
      <c r="R207" s="151" t="inlineStr">
        <is>
          <t>Đảm bảo tiến độ sản xuất</t>
        </is>
      </c>
      <c r="S207" s="150" t="inlineStr">
        <is>
          <t>CÓ</t>
        </is>
      </c>
      <c r="T207" s="150" t="inlineStr">
        <is>
          <t>ĐÃ DUYỆT</t>
        </is>
      </c>
      <c r="U207" s="151" t="inlineStr">
        <is>
          <t>Quản Đốc Trần Đức Minh</t>
        </is>
      </c>
      <c r="V207" s="150" t="inlineStr">
        <is>
          <t>2026-08-17 16:30</t>
        </is>
      </c>
      <c r="W207" s="150" t="inlineStr">
        <is>
          <t>CC-202608-NV12-17</t>
        </is>
      </c>
      <c r="X207" s="150">
        <f>IFS(C207="", "THIẾU MÃ NV", COUNTIFS(A:A, A207, C:C, C207)&gt;1, "TRÙNG NHÂN VIÊN/NGÀY", O207&gt;4, "VƯỢT 4 GIỜ/NGÀY", AND(O207&gt;0, S207&lt;&gt;"CÓ"), "CHƯA ĐĂNG KÝ TC", AND(O207&gt;0, T207&lt;&gt;"ĐÃ DUYỆT"), "CHƯA DUYỆT TC", AND(T207="ĐÃ DUYỆT", U207=""), "THIẾU NGƯỜI DUYỆT", TRUE, "HỢP LỆ")</f>
        <v/>
      </c>
    </row>
    <row r="208">
      <c r="A208" s="146" t="inlineStr">
        <is>
          <t>2026-08-17</t>
        </is>
      </c>
      <c r="B208" s="146">
        <f>DATE(YEAR(A208), MONTH(A208), 1)</f>
        <v/>
      </c>
      <c r="C208" s="146" t="inlineStr">
        <is>
          <t>NV13</t>
        </is>
      </c>
      <c r="D208" s="147">
        <f>IFERROR(XLOOKUP(C208, '11_Master_Data'!$A:$A, '11_Master_Data'!$B:$B, "KHÔNG CÓ MÃ NV"), "KHÔNG CÓ MÃ NV")</f>
        <v/>
      </c>
      <c r="E208" s="146" t="inlineStr">
        <is>
          <t>C2</t>
        </is>
      </c>
      <c r="F208" s="148" t="n">
        <v>1</v>
      </c>
      <c r="G208" s="148" t="n">
        <v>8</v>
      </c>
      <c r="H208" s="148" t="n">
        <v>2</v>
      </c>
      <c r="I208" s="148" t="n">
        <v>0</v>
      </c>
      <c r="J208" s="148" t="n">
        <v>0</v>
      </c>
      <c r="K208" s="148" t="n">
        <v>0</v>
      </c>
      <c r="L208" s="148" t="n">
        <v>0</v>
      </c>
      <c r="M208" s="148" t="n">
        <v>0</v>
      </c>
      <c r="N208" s="148" t="n">
        <v>0</v>
      </c>
      <c r="O208" s="148">
        <f>SUM(H208:J208, L208:N208)</f>
        <v/>
      </c>
      <c r="P208" s="149" t="n">
        <v>55000</v>
      </c>
      <c r="Q208" s="148" t="n">
        <v>0</v>
      </c>
      <c r="R208" s="147" t="inlineStr">
        <is>
          <t>Đảm bảo tiến độ sản xuất</t>
        </is>
      </c>
      <c r="S208" s="146" t="inlineStr">
        <is>
          <t>CÓ</t>
        </is>
      </c>
      <c r="T208" s="146" t="inlineStr">
        <is>
          <t>ĐÃ DUYỆT</t>
        </is>
      </c>
      <c r="U208" s="147" t="inlineStr">
        <is>
          <t>Quản Đốc Trần Đức Minh</t>
        </is>
      </c>
      <c r="V208" s="146" t="inlineStr">
        <is>
          <t>2026-08-17 16:30</t>
        </is>
      </c>
      <c r="W208" s="146" t="inlineStr">
        <is>
          <t>CC-202608-NV13-17</t>
        </is>
      </c>
      <c r="X208" s="146">
        <f>IFS(C208="", "THIẾU MÃ NV", COUNTIFS(A:A, A208, C:C, C208)&gt;1, "TRÙNG NHÂN VIÊN/NGÀY", O208&gt;4, "VƯỢT 4 GIỜ/NGÀY", AND(O208&gt;0, S208&lt;&gt;"CÓ"), "CHƯA ĐĂNG KÝ TC", AND(O208&gt;0, T208&lt;&gt;"ĐÃ DUYỆT"), "CHƯA DUYỆT TC", AND(T208="ĐÃ DUYỆT", U208=""), "THIẾU NGƯỜI DUYỆT", TRUE, "HỢP LỆ")</f>
        <v/>
      </c>
    </row>
    <row r="209">
      <c r="A209" s="150" t="inlineStr">
        <is>
          <t>2026-08-17</t>
        </is>
      </c>
      <c r="B209" s="150">
        <f>DATE(YEAR(A209), MONTH(A209), 1)</f>
        <v/>
      </c>
      <c r="C209" s="150" t="inlineStr">
        <is>
          <t>NV14</t>
        </is>
      </c>
      <c r="D209" s="151">
        <f>IFERROR(XLOOKUP(C209, '11_Master_Data'!$A:$A, '11_Master_Data'!$B:$B, "KHÔNG CÓ MÃ NV"), "KHÔNG CÓ MÃ NV")</f>
        <v/>
      </c>
      <c r="E209" s="150" t="inlineStr">
        <is>
          <t>C1</t>
        </is>
      </c>
      <c r="F209" s="152" t="n">
        <v>1</v>
      </c>
      <c r="G209" s="152" t="n">
        <v>8</v>
      </c>
      <c r="H209" s="152" t="n">
        <v>2</v>
      </c>
      <c r="I209" s="152" t="n">
        <v>0</v>
      </c>
      <c r="J209" s="152" t="n">
        <v>0</v>
      </c>
      <c r="K209" s="152" t="n">
        <v>0</v>
      </c>
      <c r="L209" s="152" t="n">
        <v>0</v>
      </c>
      <c r="M209" s="152" t="n">
        <v>0</v>
      </c>
      <c r="N209" s="152" t="n">
        <v>0</v>
      </c>
      <c r="O209" s="152">
        <f>SUM(H209:J209, L209:N209)</f>
        <v/>
      </c>
      <c r="P209" s="153" t="n">
        <v>55000</v>
      </c>
      <c r="Q209" s="152" t="n">
        <v>0</v>
      </c>
      <c r="R209" s="151" t="inlineStr">
        <is>
          <t>Đảm bảo tiến độ sản xuất</t>
        </is>
      </c>
      <c r="S209" s="150" t="inlineStr">
        <is>
          <t>CÓ</t>
        </is>
      </c>
      <c r="T209" s="150" t="inlineStr">
        <is>
          <t>ĐÃ DUYỆT</t>
        </is>
      </c>
      <c r="U209" s="151" t="inlineStr">
        <is>
          <t>Quản Đốc Trần Đức Minh</t>
        </is>
      </c>
      <c r="V209" s="150" t="inlineStr">
        <is>
          <t>2026-08-17 16:30</t>
        </is>
      </c>
      <c r="W209" s="150" t="inlineStr">
        <is>
          <t>CC-202608-NV14-17</t>
        </is>
      </c>
      <c r="X209" s="150">
        <f>IFS(C209="", "THIẾU MÃ NV", COUNTIFS(A:A, A209, C:C, C209)&gt;1, "TRÙNG NHÂN VIÊN/NGÀY", O209&gt;4, "VƯỢT 4 GIỜ/NGÀY", AND(O209&gt;0, S209&lt;&gt;"CÓ"), "CHƯA ĐĂNG KÝ TC", AND(O209&gt;0, T209&lt;&gt;"ĐÃ DUYỆT"), "CHƯA DUYỆT TC", AND(T209="ĐÃ DUYỆT", U209=""), "THIẾU NGƯỜI DUYỆT", TRUE, "HỢP LỆ")</f>
        <v/>
      </c>
    </row>
    <row r="210">
      <c r="A210" s="146" t="inlineStr">
        <is>
          <t>2026-08-17</t>
        </is>
      </c>
      <c r="B210" s="146">
        <f>DATE(YEAR(A210), MONTH(A210), 1)</f>
        <v/>
      </c>
      <c r="C210" s="146" t="inlineStr">
        <is>
          <t>NV15</t>
        </is>
      </c>
      <c r="D210" s="147">
        <f>IFERROR(XLOOKUP(C210, '11_Master_Data'!$A:$A, '11_Master_Data'!$B:$B, "KHÔNG CÓ MÃ NV"), "KHÔNG CÓ MÃ NV")</f>
        <v/>
      </c>
      <c r="E210" s="146" t="inlineStr">
        <is>
          <t>C2</t>
        </is>
      </c>
      <c r="F210" s="148" t="n">
        <v>1</v>
      </c>
      <c r="G210" s="148" t="n">
        <v>8</v>
      </c>
      <c r="H210" s="148" t="n">
        <v>0</v>
      </c>
      <c r="I210" s="148" t="n">
        <v>0</v>
      </c>
      <c r="J210" s="148" t="n">
        <v>0</v>
      </c>
      <c r="K210" s="148" t="n">
        <v>0</v>
      </c>
      <c r="L210" s="148" t="n">
        <v>0</v>
      </c>
      <c r="M210" s="148" t="n">
        <v>0</v>
      </c>
      <c r="N210" s="148" t="n">
        <v>0</v>
      </c>
      <c r="O210" s="148">
        <f>SUM(H210:J210, L210:N210)</f>
        <v/>
      </c>
      <c r="P210" s="149" t="n">
        <v>30000</v>
      </c>
      <c r="Q210" s="148" t="n">
        <v>0</v>
      </c>
      <c r="R210" s="147" t="inlineStr"/>
      <c r="S210" s="146" t="inlineStr">
        <is>
          <t>KHÔNG</t>
        </is>
      </c>
      <c r="T210" s="146" t="inlineStr">
        <is>
          <t>ĐÃ DUYỆT</t>
        </is>
      </c>
      <c r="U210" s="147" t="inlineStr">
        <is>
          <t>Quản Đốc Trần Đức Minh</t>
        </is>
      </c>
      <c r="V210" s="146" t="inlineStr">
        <is>
          <t>2026-08-17 16:30</t>
        </is>
      </c>
      <c r="W210" s="146" t="inlineStr">
        <is>
          <t>CC-202608-NV15-17</t>
        </is>
      </c>
      <c r="X210" s="146">
        <f>IFS(C210="", "THIẾU MÃ NV", COUNTIFS(A:A, A210, C:C, C210)&gt;1, "TRÙNG NHÂN VIÊN/NGÀY", O210&gt;4, "VƯỢT 4 GIỜ/NGÀY", AND(O210&gt;0, S210&lt;&gt;"CÓ"), "CHƯA ĐĂNG KÝ TC", AND(O210&gt;0, T210&lt;&gt;"ĐÃ DUYỆT"), "CHƯA DUYỆT TC", AND(T210="ĐÃ DUYỆT", U210=""), "THIẾU NGƯỜI DUYỆT", TRUE, "HỢP LỆ")</f>
        <v/>
      </c>
    </row>
    <row r="211">
      <c r="A211" s="150" t="inlineStr">
        <is>
          <t>2026-08-18</t>
        </is>
      </c>
      <c r="B211" s="150">
        <f>DATE(YEAR(A211), MONTH(A211), 1)</f>
        <v/>
      </c>
      <c r="C211" s="150" t="inlineStr">
        <is>
          <t>NV01</t>
        </is>
      </c>
      <c r="D211" s="151">
        <f>IFERROR(XLOOKUP(C211, '11_Master_Data'!$A:$A, '11_Master_Data'!$B:$B, "KHÔNG CÓ MÃ NV"), "KHÔNG CÓ MÃ NV")</f>
        <v/>
      </c>
      <c r="E211" s="150" t="inlineStr">
        <is>
          <t>C1</t>
        </is>
      </c>
      <c r="F211" s="152" t="n">
        <v>1</v>
      </c>
      <c r="G211" s="152" t="n">
        <v>8</v>
      </c>
      <c r="H211" s="152" t="n">
        <v>0</v>
      </c>
      <c r="I211" s="152" t="n">
        <v>0</v>
      </c>
      <c r="J211" s="152" t="n">
        <v>0</v>
      </c>
      <c r="K211" s="152" t="n">
        <v>0</v>
      </c>
      <c r="L211" s="152" t="n">
        <v>0</v>
      </c>
      <c r="M211" s="152" t="n">
        <v>0</v>
      </c>
      <c r="N211" s="152" t="n">
        <v>0</v>
      </c>
      <c r="O211" s="152">
        <f>SUM(H211:J211, L211:N211)</f>
        <v/>
      </c>
      <c r="P211" s="153" t="n">
        <v>30000</v>
      </c>
      <c r="Q211" s="152" t="n">
        <v>0</v>
      </c>
      <c r="R211" s="151" t="inlineStr"/>
      <c r="S211" s="150" t="inlineStr">
        <is>
          <t>KHÔNG</t>
        </is>
      </c>
      <c r="T211" s="150" t="inlineStr">
        <is>
          <t>ĐÃ DUYỆT</t>
        </is>
      </c>
      <c r="U211" s="151" t="inlineStr">
        <is>
          <t>Quản Đốc Trần Đức Minh</t>
        </is>
      </c>
      <c r="V211" s="150" t="inlineStr">
        <is>
          <t>2026-08-18 16:30</t>
        </is>
      </c>
      <c r="W211" s="150" t="inlineStr">
        <is>
          <t>CC-202608-NV01-18</t>
        </is>
      </c>
      <c r="X211" s="150">
        <f>IFS(C211="", "THIẾU MÃ NV", COUNTIFS(A:A, A211, C:C, C211)&gt;1, "TRÙNG NHÂN VIÊN/NGÀY", O211&gt;4, "VƯỢT 4 GIỜ/NGÀY", AND(O211&gt;0, S211&lt;&gt;"CÓ"), "CHƯA ĐĂNG KÝ TC", AND(O211&gt;0, T211&lt;&gt;"ĐÃ DUYỆT"), "CHƯA DUYỆT TC", AND(T211="ĐÃ DUYỆT", U211=""), "THIẾU NGƯỜI DUYỆT", TRUE, "HỢP LỆ")</f>
        <v/>
      </c>
    </row>
    <row r="212">
      <c r="A212" s="146" t="inlineStr">
        <is>
          <t>2026-08-18</t>
        </is>
      </c>
      <c r="B212" s="146">
        <f>DATE(YEAR(A212), MONTH(A212), 1)</f>
        <v/>
      </c>
      <c r="C212" s="146" t="inlineStr">
        <is>
          <t>NV02</t>
        </is>
      </c>
      <c r="D212" s="147">
        <f>IFERROR(XLOOKUP(C212, '11_Master_Data'!$A:$A, '11_Master_Data'!$B:$B, "KHÔNG CÓ MÃ NV"), "KHÔNG CÓ MÃ NV")</f>
        <v/>
      </c>
      <c r="E212" s="146" t="inlineStr">
        <is>
          <t>C2</t>
        </is>
      </c>
      <c r="F212" s="148" t="n">
        <v>1</v>
      </c>
      <c r="G212" s="148" t="n">
        <v>8</v>
      </c>
      <c r="H212" s="148" t="n">
        <v>0</v>
      </c>
      <c r="I212" s="148" t="n">
        <v>0</v>
      </c>
      <c r="J212" s="148" t="n">
        <v>0</v>
      </c>
      <c r="K212" s="148" t="n">
        <v>0</v>
      </c>
      <c r="L212" s="148" t="n">
        <v>0</v>
      </c>
      <c r="M212" s="148" t="n">
        <v>0</v>
      </c>
      <c r="N212" s="148" t="n">
        <v>0</v>
      </c>
      <c r="O212" s="148">
        <f>SUM(H212:J212, L212:N212)</f>
        <v/>
      </c>
      <c r="P212" s="149" t="n">
        <v>30000</v>
      </c>
      <c r="Q212" s="148" t="n">
        <v>0</v>
      </c>
      <c r="R212" s="147" t="inlineStr"/>
      <c r="S212" s="146" t="inlineStr">
        <is>
          <t>KHÔNG</t>
        </is>
      </c>
      <c r="T212" s="146" t="inlineStr">
        <is>
          <t>ĐÃ DUYỆT</t>
        </is>
      </c>
      <c r="U212" s="147" t="inlineStr">
        <is>
          <t>Quản Đốc Trần Đức Minh</t>
        </is>
      </c>
      <c r="V212" s="146" t="inlineStr">
        <is>
          <t>2026-08-18 16:30</t>
        </is>
      </c>
      <c r="W212" s="146" t="inlineStr">
        <is>
          <t>CC-202608-NV02-18</t>
        </is>
      </c>
      <c r="X212" s="146">
        <f>IFS(C212="", "THIẾU MÃ NV", COUNTIFS(A:A, A212, C:C, C212)&gt;1, "TRÙNG NHÂN VIÊN/NGÀY", O212&gt;4, "VƯỢT 4 GIỜ/NGÀY", AND(O212&gt;0, S212&lt;&gt;"CÓ"), "CHƯA ĐĂNG KÝ TC", AND(O212&gt;0, T212&lt;&gt;"ĐÃ DUYỆT"), "CHƯA DUYỆT TC", AND(T212="ĐÃ DUYỆT", U212=""), "THIẾU NGƯỜI DUYỆT", TRUE, "HỢP LỆ")</f>
        <v/>
      </c>
    </row>
    <row r="213">
      <c r="A213" s="150" t="inlineStr">
        <is>
          <t>2026-08-18</t>
        </is>
      </c>
      <c r="B213" s="150">
        <f>DATE(YEAR(A213), MONTH(A213), 1)</f>
        <v/>
      </c>
      <c r="C213" s="150" t="inlineStr">
        <is>
          <t>NV03</t>
        </is>
      </c>
      <c r="D213" s="151">
        <f>IFERROR(XLOOKUP(C213, '11_Master_Data'!$A:$A, '11_Master_Data'!$B:$B, "KHÔNG CÓ MÃ NV"), "KHÔNG CÓ MÃ NV")</f>
        <v/>
      </c>
      <c r="E213" s="150" t="inlineStr">
        <is>
          <t>C2</t>
        </is>
      </c>
      <c r="F213" s="152" t="n">
        <v>1</v>
      </c>
      <c r="G213" s="152" t="n">
        <v>8</v>
      </c>
      <c r="H213" s="152" t="n">
        <v>0</v>
      </c>
      <c r="I213" s="152" t="n">
        <v>0</v>
      </c>
      <c r="J213" s="152" t="n">
        <v>0</v>
      </c>
      <c r="K213" s="152" t="n">
        <v>0</v>
      </c>
      <c r="L213" s="152" t="n">
        <v>0</v>
      </c>
      <c r="M213" s="152" t="n">
        <v>0</v>
      </c>
      <c r="N213" s="152" t="n">
        <v>0</v>
      </c>
      <c r="O213" s="152">
        <f>SUM(H213:J213, L213:N213)</f>
        <v/>
      </c>
      <c r="P213" s="153" t="n">
        <v>30000</v>
      </c>
      <c r="Q213" s="152" t="n">
        <v>0</v>
      </c>
      <c r="R213" s="151" t="inlineStr"/>
      <c r="S213" s="150" t="inlineStr">
        <is>
          <t>KHÔNG</t>
        </is>
      </c>
      <c r="T213" s="150" t="inlineStr">
        <is>
          <t>ĐÃ DUYỆT</t>
        </is>
      </c>
      <c r="U213" s="151" t="inlineStr">
        <is>
          <t>Quản Đốc Trần Đức Minh</t>
        </is>
      </c>
      <c r="V213" s="150" t="inlineStr">
        <is>
          <t>2026-08-18 16:30</t>
        </is>
      </c>
      <c r="W213" s="150" t="inlineStr">
        <is>
          <t>CC-202608-NV03-18</t>
        </is>
      </c>
      <c r="X213" s="150">
        <f>IFS(C213="", "THIẾU MÃ NV", COUNTIFS(A:A, A213, C:C, C213)&gt;1, "TRÙNG NHÂN VIÊN/NGÀY", O213&gt;4, "VƯỢT 4 GIỜ/NGÀY", AND(O213&gt;0, S213&lt;&gt;"CÓ"), "CHƯA ĐĂNG KÝ TC", AND(O213&gt;0, T213&lt;&gt;"ĐÃ DUYỆT"), "CHƯA DUYỆT TC", AND(T213="ĐÃ DUYỆT", U213=""), "THIẾU NGƯỜI DUYỆT", TRUE, "HỢP LỆ")</f>
        <v/>
      </c>
    </row>
    <row r="214">
      <c r="A214" s="146" t="inlineStr">
        <is>
          <t>2026-08-18</t>
        </is>
      </c>
      <c r="B214" s="146">
        <f>DATE(YEAR(A214), MONTH(A214), 1)</f>
        <v/>
      </c>
      <c r="C214" s="146" t="inlineStr">
        <is>
          <t>NV04</t>
        </is>
      </c>
      <c r="D214" s="147">
        <f>IFERROR(XLOOKUP(C214, '11_Master_Data'!$A:$A, '11_Master_Data'!$B:$B, "KHÔNG CÓ MÃ NV"), "KHÔNG CÓ MÃ NV")</f>
        <v/>
      </c>
      <c r="E214" s="146" t="inlineStr">
        <is>
          <t>C3</t>
        </is>
      </c>
      <c r="F214" s="148" t="n">
        <v>1</v>
      </c>
      <c r="G214" s="148" t="n">
        <v>8</v>
      </c>
      <c r="H214" s="148" t="n">
        <v>0</v>
      </c>
      <c r="I214" s="148" t="n">
        <v>0</v>
      </c>
      <c r="J214" s="148" t="n">
        <v>0</v>
      </c>
      <c r="K214" s="148" t="n">
        <v>8</v>
      </c>
      <c r="L214" s="148" t="n">
        <v>0</v>
      </c>
      <c r="M214" s="148" t="n">
        <v>0</v>
      </c>
      <c r="N214" s="148" t="n">
        <v>0</v>
      </c>
      <c r="O214" s="148">
        <f>SUM(H214:J214, L214:N214)</f>
        <v/>
      </c>
      <c r="P214" s="149" t="n">
        <v>30000</v>
      </c>
      <c r="Q214" s="148" t="n">
        <v>0</v>
      </c>
      <c r="R214" s="147" t="inlineStr"/>
      <c r="S214" s="146" t="inlineStr">
        <is>
          <t>KHÔNG</t>
        </is>
      </c>
      <c r="T214" s="146" t="inlineStr">
        <is>
          <t>ĐÃ DUYỆT</t>
        </is>
      </c>
      <c r="U214" s="147" t="inlineStr">
        <is>
          <t>Quản Đốc Trần Đức Minh</t>
        </is>
      </c>
      <c r="V214" s="146" t="inlineStr">
        <is>
          <t>2026-08-18 16:30</t>
        </is>
      </c>
      <c r="W214" s="146" t="inlineStr">
        <is>
          <t>CC-202608-NV04-18</t>
        </is>
      </c>
      <c r="X214" s="146">
        <f>IFS(C214="", "THIẾU MÃ NV", COUNTIFS(A:A, A214, C:C, C214)&gt;1, "TRÙNG NHÂN VIÊN/NGÀY", O214&gt;4, "VƯỢT 4 GIỜ/NGÀY", AND(O214&gt;0, S214&lt;&gt;"CÓ"), "CHƯA ĐĂNG KÝ TC", AND(O214&gt;0, T214&lt;&gt;"ĐÃ DUYỆT"), "CHƯA DUYỆT TC", AND(T214="ĐÃ DUYỆT", U214=""), "THIẾU NGƯỜI DUYỆT", TRUE, "HỢP LỆ")</f>
        <v/>
      </c>
    </row>
    <row r="215">
      <c r="A215" s="150" t="inlineStr">
        <is>
          <t>2026-08-18</t>
        </is>
      </c>
      <c r="B215" s="150">
        <f>DATE(YEAR(A215), MONTH(A215), 1)</f>
        <v/>
      </c>
      <c r="C215" s="150" t="inlineStr">
        <is>
          <t>NV06</t>
        </is>
      </c>
      <c r="D215" s="151">
        <f>IFERROR(XLOOKUP(C215, '11_Master_Data'!$A:$A, '11_Master_Data'!$B:$B, "KHÔNG CÓ MÃ NV"), "KHÔNG CÓ MÃ NV")</f>
        <v/>
      </c>
      <c r="E215" s="150" t="inlineStr">
        <is>
          <t>C3</t>
        </is>
      </c>
      <c r="F215" s="152" t="n">
        <v>1</v>
      </c>
      <c r="G215" s="152" t="n">
        <v>8</v>
      </c>
      <c r="H215" s="152" t="n">
        <v>2</v>
      </c>
      <c r="I215" s="152" t="n">
        <v>0</v>
      </c>
      <c r="J215" s="152" t="n">
        <v>0</v>
      </c>
      <c r="K215" s="152" t="n">
        <v>8</v>
      </c>
      <c r="L215" s="152" t="n">
        <v>0</v>
      </c>
      <c r="M215" s="152" t="n">
        <v>0</v>
      </c>
      <c r="N215" s="152" t="n">
        <v>0</v>
      </c>
      <c r="O215" s="152">
        <f>SUM(H215:J215, L215:N215)</f>
        <v/>
      </c>
      <c r="P215" s="153" t="n">
        <v>55000</v>
      </c>
      <c r="Q215" s="152" t="n">
        <v>0</v>
      </c>
      <c r="R215" s="151" t="inlineStr">
        <is>
          <t>Đảm bảo tiến độ sản xuất</t>
        </is>
      </c>
      <c r="S215" s="150" t="inlineStr">
        <is>
          <t>CÓ</t>
        </is>
      </c>
      <c r="T215" s="150" t="inlineStr">
        <is>
          <t>ĐÃ DUYỆT</t>
        </is>
      </c>
      <c r="U215" s="151" t="inlineStr">
        <is>
          <t>Quản Đốc Trần Đức Minh</t>
        </is>
      </c>
      <c r="V215" s="150" t="inlineStr">
        <is>
          <t>2026-08-18 16:30</t>
        </is>
      </c>
      <c r="W215" s="150" t="inlineStr">
        <is>
          <t>CC-202608-NV06-18</t>
        </is>
      </c>
      <c r="X215" s="150">
        <f>IFS(C215="", "THIẾU MÃ NV", COUNTIFS(A:A, A215, C:C, C215)&gt;1, "TRÙNG NHÂN VIÊN/NGÀY", O215&gt;4, "VƯỢT 4 GIỜ/NGÀY", AND(O215&gt;0, S215&lt;&gt;"CÓ"), "CHƯA ĐĂNG KÝ TC", AND(O215&gt;0, T215&lt;&gt;"ĐÃ DUYỆT"), "CHƯA DUYỆT TC", AND(T215="ĐÃ DUYỆT", U215=""), "THIẾU NGƯỜI DUYỆT", TRUE, "HỢP LỆ")</f>
        <v/>
      </c>
    </row>
    <row r="216">
      <c r="A216" s="146" t="inlineStr">
        <is>
          <t>2026-08-18</t>
        </is>
      </c>
      <c r="B216" s="146">
        <f>DATE(YEAR(A216), MONTH(A216), 1)</f>
        <v/>
      </c>
      <c r="C216" s="146" t="inlineStr">
        <is>
          <t>NV08</t>
        </is>
      </c>
      <c r="D216" s="147">
        <f>IFERROR(XLOOKUP(C216, '11_Master_Data'!$A:$A, '11_Master_Data'!$B:$B, "KHÔNG CÓ MÃ NV"), "KHÔNG CÓ MÃ NV")</f>
        <v/>
      </c>
      <c r="E216" s="146" t="inlineStr">
        <is>
          <t>C3</t>
        </is>
      </c>
      <c r="F216" s="148" t="n">
        <v>1</v>
      </c>
      <c r="G216" s="148" t="n">
        <v>8</v>
      </c>
      <c r="H216" s="148" t="n">
        <v>2</v>
      </c>
      <c r="I216" s="148" t="n">
        <v>0</v>
      </c>
      <c r="J216" s="148" t="n">
        <v>0</v>
      </c>
      <c r="K216" s="148" t="n">
        <v>8</v>
      </c>
      <c r="L216" s="148" t="n">
        <v>0</v>
      </c>
      <c r="M216" s="148" t="n">
        <v>0</v>
      </c>
      <c r="N216" s="148" t="n">
        <v>0</v>
      </c>
      <c r="O216" s="148">
        <f>SUM(H216:J216, L216:N216)</f>
        <v/>
      </c>
      <c r="P216" s="149" t="n">
        <v>55000</v>
      </c>
      <c r="Q216" s="148" t="n">
        <v>0</v>
      </c>
      <c r="R216" s="147" t="inlineStr">
        <is>
          <t>Đảm bảo tiến độ sản xuất</t>
        </is>
      </c>
      <c r="S216" s="146" t="inlineStr">
        <is>
          <t>CÓ</t>
        </is>
      </c>
      <c r="T216" s="146" t="inlineStr">
        <is>
          <t>ĐÃ DUYỆT</t>
        </is>
      </c>
      <c r="U216" s="147" t="inlineStr">
        <is>
          <t>Quản Đốc Trần Đức Minh</t>
        </is>
      </c>
      <c r="V216" s="146" t="inlineStr">
        <is>
          <t>2026-08-18 16:30</t>
        </is>
      </c>
      <c r="W216" s="146" t="inlineStr">
        <is>
          <t>CC-202608-NV08-18</t>
        </is>
      </c>
      <c r="X216" s="146">
        <f>IFS(C216="", "THIẾU MÃ NV", COUNTIFS(A:A, A216, C:C, C216)&gt;1, "TRÙNG NHÂN VIÊN/NGÀY", O216&gt;4, "VƯỢT 4 GIỜ/NGÀY", AND(O216&gt;0, S216&lt;&gt;"CÓ"), "CHƯA ĐĂNG KÝ TC", AND(O216&gt;0, T216&lt;&gt;"ĐÃ DUYỆT"), "CHƯA DUYỆT TC", AND(T216="ĐÃ DUYỆT", U216=""), "THIẾU NGƯỜI DUYỆT", TRUE, "HỢP LỆ")</f>
        <v/>
      </c>
    </row>
    <row r="217">
      <c r="A217" s="150" t="inlineStr">
        <is>
          <t>2026-08-18</t>
        </is>
      </c>
      <c r="B217" s="150">
        <f>DATE(YEAR(A217), MONTH(A217), 1)</f>
        <v/>
      </c>
      <c r="C217" s="150" t="inlineStr">
        <is>
          <t>NV10</t>
        </is>
      </c>
      <c r="D217" s="151">
        <f>IFERROR(XLOOKUP(C217, '11_Master_Data'!$A:$A, '11_Master_Data'!$B:$B, "KHÔNG CÓ MÃ NV"), "KHÔNG CÓ MÃ NV")</f>
        <v/>
      </c>
      <c r="E217" s="150" t="inlineStr">
        <is>
          <t>C2</t>
        </is>
      </c>
      <c r="F217" s="152" t="n">
        <v>1</v>
      </c>
      <c r="G217" s="152" t="n">
        <v>8</v>
      </c>
      <c r="H217" s="152" t="n">
        <v>2</v>
      </c>
      <c r="I217" s="152" t="n">
        <v>0</v>
      </c>
      <c r="J217" s="152" t="n">
        <v>0</v>
      </c>
      <c r="K217" s="152" t="n">
        <v>0</v>
      </c>
      <c r="L217" s="152" t="n">
        <v>0</v>
      </c>
      <c r="M217" s="152" t="n">
        <v>0</v>
      </c>
      <c r="N217" s="152" t="n">
        <v>0</v>
      </c>
      <c r="O217" s="152">
        <f>SUM(H217:J217, L217:N217)</f>
        <v/>
      </c>
      <c r="P217" s="153" t="n">
        <v>55000</v>
      </c>
      <c r="Q217" s="152" t="n">
        <v>0</v>
      </c>
      <c r="R217" s="151" t="inlineStr">
        <is>
          <t>Đảm bảo tiến độ sản xuất</t>
        </is>
      </c>
      <c r="S217" s="150" t="inlineStr">
        <is>
          <t>CÓ</t>
        </is>
      </c>
      <c r="T217" s="150" t="inlineStr">
        <is>
          <t>ĐÃ DUYỆT</t>
        </is>
      </c>
      <c r="U217" s="151" t="inlineStr">
        <is>
          <t>Quản Đốc Trần Đức Minh</t>
        </is>
      </c>
      <c r="V217" s="150" t="inlineStr">
        <is>
          <t>2026-08-18 16:30</t>
        </is>
      </c>
      <c r="W217" s="150" t="inlineStr">
        <is>
          <t>CC-202608-NV10-18</t>
        </is>
      </c>
      <c r="X217" s="150">
        <f>IFS(C217="", "THIẾU MÃ NV", COUNTIFS(A:A, A217, C:C, C217)&gt;1, "TRÙNG NHÂN VIÊN/NGÀY", O217&gt;4, "VƯỢT 4 GIỜ/NGÀY", AND(O217&gt;0, S217&lt;&gt;"CÓ"), "CHƯA ĐĂNG KÝ TC", AND(O217&gt;0, T217&lt;&gt;"ĐÃ DUYỆT"), "CHƯA DUYỆT TC", AND(T217="ĐÃ DUYỆT", U217=""), "THIẾU NGƯỜI DUYỆT", TRUE, "HỢP LỆ")</f>
        <v/>
      </c>
    </row>
    <row r="218">
      <c r="A218" s="146" t="inlineStr">
        <is>
          <t>2026-08-18</t>
        </is>
      </c>
      <c r="B218" s="146">
        <f>DATE(YEAR(A218), MONTH(A218), 1)</f>
        <v/>
      </c>
      <c r="C218" s="146" t="inlineStr">
        <is>
          <t>NV11</t>
        </is>
      </c>
      <c r="D218" s="147">
        <f>IFERROR(XLOOKUP(C218, '11_Master_Data'!$A:$A, '11_Master_Data'!$B:$B, "KHÔNG CÓ MÃ NV"), "KHÔNG CÓ MÃ NV")</f>
        <v/>
      </c>
      <c r="E218" s="146" t="inlineStr">
        <is>
          <t>C2</t>
        </is>
      </c>
      <c r="F218" s="148" t="n">
        <v>1</v>
      </c>
      <c r="G218" s="148" t="n">
        <v>8</v>
      </c>
      <c r="H218" s="148" t="n">
        <v>2</v>
      </c>
      <c r="I218" s="148" t="n">
        <v>0</v>
      </c>
      <c r="J218" s="148" t="n">
        <v>0</v>
      </c>
      <c r="K218" s="148" t="n">
        <v>0</v>
      </c>
      <c r="L218" s="148" t="n">
        <v>0</v>
      </c>
      <c r="M218" s="148" t="n">
        <v>0</v>
      </c>
      <c r="N218" s="148" t="n">
        <v>0</v>
      </c>
      <c r="O218" s="148">
        <f>SUM(H218:J218, L218:N218)</f>
        <v/>
      </c>
      <c r="P218" s="149" t="n">
        <v>55000</v>
      </c>
      <c r="Q218" s="148" t="n">
        <v>0</v>
      </c>
      <c r="R218" s="147" t="inlineStr">
        <is>
          <t>Đảm bảo tiến độ sản xuất</t>
        </is>
      </c>
      <c r="S218" s="146" t="inlineStr">
        <is>
          <t>CÓ</t>
        </is>
      </c>
      <c r="T218" s="146" t="inlineStr">
        <is>
          <t>ĐÃ DUYỆT</t>
        </is>
      </c>
      <c r="U218" s="147" t="inlineStr">
        <is>
          <t>Quản Đốc Trần Đức Minh</t>
        </is>
      </c>
      <c r="V218" s="146" t="inlineStr">
        <is>
          <t>2026-08-18 16:30</t>
        </is>
      </c>
      <c r="W218" s="146" t="inlineStr">
        <is>
          <t>CC-202608-NV11-18</t>
        </is>
      </c>
      <c r="X218" s="146">
        <f>IFS(C218="", "THIẾU MÃ NV", COUNTIFS(A:A, A218, C:C, C218)&gt;1, "TRÙNG NHÂN VIÊN/NGÀY", O218&gt;4, "VƯỢT 4 GIỜ/NGÀY", AND(O218&gt;0, S218&lt;&gt;"CÓ"), "CHƯA ĐĂNG KÝ TC", AND(O218&gt;0, T218&lt;&gt;"ĐÃ DUYỆT"), "CHƯA DUYỆT TC", AND(T218="ĐÃ DUYỆT", U218=""), "THIẾU NGƯỜI DUYỆT", TRUE, "HỢP LỆ")</f>
        <v/>
      </c>
    </row>
    <row r="219">
      <c r="A219" s="150" t="inlineStr">
        <is>
          <t>2026-08-18</t>
        </is>
      </c>
      <c r="B219" s="150">
        <f>DATE(YEAR(A219), MONTH(A219), 1)</f>
        <v/>
      </c>
      <c r="C219" s="150" t="inlineStr">
        <is>
          <t>NV12</t>
        </is>
      </c>
      <c r="D219" s="151">
        <f>IFERROR(XLOOKUP(C219, '11_Master_Data'!$A:$A, '11_Master_Data'!$B:$B, "KHÔNG CÓ MÃ NV"), "KHÔNG CÓ MÃ NV")</f>
        <v/>
      </c>
      <c r="E219" s="150" t="inlineStr">
        <is>
          <t>C1</t>
        </is>
      </c>
      <c r="F219" s="152" t="n">
        <v>1</v>
      </c>
      <c r="G219" s="152" t="n">
        <v>8</v>
      </c>
      <c r="H219" s="152" t="n">
        <v>2</v>
      </c>
      <c r="I219" s="152" t="n">
        <v>0</v>
      </c>
      <c r="J219" s="152" t="n">
        <v>0</v>
      </c>
      <c r="K219" s="152" t="n">
        <v>0</v>
      </c>
      <c r="L219" s="152" t="n">
        <v>0</v>
      </c>
      <c r="M219" s="152" t="n">
        <v>0</v>
      </c>
      <c r="N219" s="152" t="n">
        <v>0</v>
      </c>
      <c r="O219" s="152">
        <f>SUM(H219:J219, L219:N219)</f>
        <v/>
      </c>
      <c r="P219" s="153" t="n">
        <v>55000</v>
      </c>
      <c r="Q219" s="152" t="n">
        <v>0</v>
      </c>
      <c r="R219" s="151" t="inlineStr">
        <is>
          <t>Đảm bảo tiến độ sản xuất</t>
        </is>
      </c>
      <c r="S219" s="150" t="inlineStr">
        <is>
          <t>CÓ</t>
        </is>
      </c>
      <c r="T219" s="150" t="inlineStr">
        <is>
          <t>ĐÃ DUYỆT</t>
        </is>
      </c>
      <c r="U219" s="151" t="inlineStr">
        <is>
          <t>Quản Đốc Trần Đức Minh</t>
        </is>
      </c>
      <c r="V219" s="150" t="inlineStr">
        <is>
          <t>2026-08-18 16:30</t>
        </is>
      </c>
      <c r="W219" s="150" t="inlineStr">
        <is>
          <t>CC-202608-NV12-18</t>
        </is>
      </c>
      <c r="X219" s="150">
        <f>IFS(C219="", "THIẾU MÃ NV", COUNTIFS(A:A, A219, C:C, C219)&gt;1, "TRÙNG NHÂN VIÊN/NGÀY", O219&gt;4, "VƯỢT 4 GIỜ/NGÀY", AND(O219&gt;0, S219&lt;&gt;"CÓ"), "CHƯA ĐĂNG KÝ TC", AND(O219&gt;0, T219&lt;&gt;"ĐÃ DUYỆT"), "CHƯA DUYỆT TC", AND(T219="ĐÃ DUYỆT", U219=""), "THIẾU NGƯỜI DUYỆT", TRUE, "HỢP LỆ")</f>
        <v/>
      </c>
    </row>
    <row r="220">
      <c r="A220" s="146" t="inlineStr">
        <is>
          <t>2026-08-18</t>
        </is>
      </c>
      <c r="B220" s="146">
        <f>DATE(YEAR(A220), MONTH(A220), 1)</f>
        <v/>
      </c>
      <c r="C220" s="146" t="inlineStr">
        <is>
          <t>NV13</t>
        </is>
      </c>
      <c r="D220" s="147">
        <f>IFERROR(XLOOKUP(C220, '11_Master_Data'!$A:$A, '11_Master_Data'!$B:$B, "KHÔNG CÓ MÃ NV"), "KHÔNG CÓ MÃ NV")</f>
        <v/>
      </c>
      <c r="E220" s="146" t="inlineStr">
        <is>
          <t>C2</t>
        </is>
      </c>
      <c r="F220" s="148" t="n">
        <v>1</v>
      </c>
      <c r="G220" s="148" t="n">
        <v>8</v>
      </c>
      <c r="H220" s="148" t="n">
        <v>2</v>
      </c>
      <c r="I220" s="148" t="n">
        <v>0</v>
      </c>
      <c r="J220" s="148" t="n">
        <v>0</v>
      </c>
      <c r="K220" s="148" t="n">
        <v>0</v>
      </c>
      <c r="L220" s="148" t="n">
        <v>0</v>
      </c>
      <c r="M220" s="148" t="n">
        <v>0</v>
      </c>
      <c r="N220" s="148" t="n">
        <v>0</v>
      </c>
      <c r="O220" s="148">
        <f>SUM(H220:J220, L220:N220)</f>
        <v/>
      </c>
      <c r="P220" s="149" t="n">
        <v>55000</v>
      </c>
      <c r="Q220" s="148" t="n">
        <v>0</v>
      </c>
      <c r="R220" s="147" t="inlineStr">
        <is>
          <t>Đảm bảo tiến độ sản xuất</t>
        </is>
      </c>
      <c r="S220" s="146" t="inlineStr">
        <is>
          <t>CÓ</t>
        </is>
      </c>
      <c r="T220" s="146" t="inlineStr">
        <is>
          <t>ĐÃ DUYỆT</t>
        </is>
      </c>
      <c r="U220" s="147" t="inlineStr">
        <is>
          <t>Quản Đốc Trần Đức Minh</t>
        </is>
      </c>
      <c r="V220" s="146" t="inlineStr">
        <is>
          <t>2026-08-18 16:30</t>
        </is>
      </c>
      <c r="W220" s="146" t="inlineStr">
        <is>
          <t>CC-202608-NV13-18</t>
        </is>
      </c>
      <c r="X220" s="146">
        <f>IFS(C220="", "THIẾU MÃ NV", COUNTIFS(A:A, A220, C:C, C220)&gt;1, "TRÙNG NHÂN VIÊN/NGÀY", O220&gt;4, "VƯỢT 4 GIỜ/NGÀY", AND(O220&gt;0, S220&lt;&gt;"CÓ"), "CHƯA ĐĂNG KÝ TC", AND(O220&gt;0, T220&lt;&gt;"ĐÃ DUYỆT"), "CHƯA DUYỆT TC", AND(T220="ĐÃ DUYỆT", U220=""), "THIẾU NGƯỜI DUYỆT", TRUE, "HỢP LỆ")</f>
        <v/>
      </c>
    </row>
    <row r="221">
      <c r="A221" s="150" t="inlineStr">
        <is>
          <t>2026-08-18</t>
        </is>
      </c>
      <c r="B221" s="150">
        <f>DATE(YEAR(A221), MONTH(A221), 1)</f>
        <v/>
      </c>
      <c r="C221" s="150" t="inlineStr">
        <is>
          <t>NV14</t>
        </is>
      </c>
      <c r="D221" s="151">
        <f>IFERROR(XLOOKUP(C221, '11_Master_Data'!$A:$A, '11_Master_Data'!$B:$B, "KHÔNG CÓ MÃ NV"), "KHÔNG CÓ MÃ NV")</f>
        <v/>
      </c>
      <c r="E221" s="150" t="inlineStr">
        <is>
          <t>C1</t>
        </is>
      </c>
      <c r="F221" s="152" t="n">
        <v>1</v>
      </c>
      <c r="G221" s="152" t="n">
        <v>8</v>
      </c>
      <c r="H221" s="152" t="n">
        <v>2</v>
      </c>
      <c r="I221" s="152" t="n">
        <v>0</v>
      </c>
      <c r="J221" s="152" t="n">
        <v>0</v>
      </c>
      <c r="K221" s="152" t="n">
        <v>0</v>
      </c>
      <c r="L221" s="152" t="n">
        <v>0</v>
      </c>
      <c r="M221" s="152" t="n">
        <v>0</v>
      </c>
      <c r="N221" s="152" t="n">
        <v>0</v>
      </c>
      <c r="O221" s="152">
        <f>SUM(H221:J221, L221:N221)</f>
        <v/>
      </c>
      <c r="P221" s="153" t="n">
        <v>55000</v>
      </c>
      <c r="Q221" s="152" t="n">
        <v>0</v>
      </c>
      <c r="R221" s="151" t="inlineStr">
        <is>
          <t>Đảm bảo tiến độ sản xuất</t>
        </is>
      </c>
      <c r="S221" s="150" t="inlineStr">
        <is>
          <t>CÓ</t>
        </is>
      </c>
      <c r="T221" s="150" t="inlineStr">
        <is>
          <t>ĐÃ DUYỆT</t>
        </is>
      </c>
      <c r="U221" s="151" t="inlineStr">
        <is>
          <t>Quản Đốc Trần Đức Minh</t>
        </is>
      </c>
      <c r="V221" s="150" t="inlineStr">
        <is>
          <t>2026-08-18 16:30</t>
        </is>
      </c>
      <c r="W221" s="150" t="inlineStr">
        <is>
          <t>CC-202608-NV14-18</t>
        </is>
      </c>
      <c r="X221" s="150">
        <f>IFS(C221="", "THIẾU MÃ NV", COUNTIFS(A:A, A221, C:C, C221)&gt;1, "TRÙNG NHÂN VIÊN/NGÀY", O221&gt;4, "VƯỢT 4 GIỜ/NGÀY", AND(O221&gt;0, S221&lt;&gt;"CÓ"), "CHƯA ĐĂNG KÝ TC", AND(O221&gt;0, T221&lt;&gt;"ĐÃ DUYỆT"), "CHƯA DUYỆT TC", AND(T221="ĐÃ DUYỆT", U221=""), "THIẾU NGƯỜI DUYỆT", TRUE, "HỢP LỆ")</f>
        <v/>
      </c>
    </row>
    <row r="222">
      <c r="A222" s="146" t="inlineStr">
        <is>
          <t>2026-08-18</t>
        </is>
      </c>
      <c r="B222" s="146">
        <f>DATE(YEAR(A222), MONTH(A222), 1)</f>
        <v/>
      </c>
      <c r="C222" s="146" t="inlineStr">
        <is>
          <t>NV15</t>
        </is>
      </c>
      <c r="D222" s="147">
        <f>IFERROR(XLOOKUP(C222, '11_Master_Data'!$A:$A, '11_Master_Data'!$B:$B, "KHÔNG CÓ MÃ NV"), "KHÔNG CÓ MÃ NV")</f>
        <v/>
      </c>
      <c r="E222" s="146" t="inlineStr">
        <is>
          <t>C2</t>
        </is>
      </c>
      <c r="F222" s="148" t="n">
        <v>1</v>
      </c>
      <c r="G222" s="148" t="n">
        <v>8</v>
      </c>
      <c r="H222" s="148" t="n">
        <v>2</v>
      </c>
      <c r="I222" s="148" t="n">
        <v>0</v>
      </c>
      <c r="J222" s="148" t="n">
        <v>0</v>
      </c>
      <c r="K222" s="148" t="n">
        <v>0</v>
      </c>
      <c r="L222" s="148" t="n">
        <v>0</v>
      </c>
      <c r="M222" s="148" t="n">
        <v>0</v>
      </c>
      <c r="N222" s="148" t="n">
        <v>0</v>
      </c>
      <c r="O222" s="148">
        <f>SUM(H222:J222, L222:N222)</f>
        <v/>
      </c>
      <c r="P222" s="149" t="n">
        <v>55000</v>
      </c>
      <c r="Q222" s="148" t="n">
        <v>0</v>
      </c>
      <c r="R222" s="147" t="inlineStr">
        <is>
          <t>Đảm bảo tiến độ sản xuất</t>
        </is>
      </c>
      <c r="S222" s="146" t="inlineStr">
        <is>
          <t>CÓ</t>
        </is>
      </c>
      <c r="T222" s="146" t="inlineStr">
        <is>
          <t>ĐÃ DUYỆT</t>
        </is>
      </c>
      <c r="U222" s="147" t="inlineStr">
        <is>
          <t>Quản Đốc Trần Đức Minh</t>
        </is>
      </c>
      <c r="V222" s="146" t="inlineStr">
        <is>
          <t>2026-08-18 16:30</t>
        </is>
      </c>
      <c r="W222" s="146" t="inlineStr">
        <is>
          <t>CC-202608-NV15-18</t>
        </is>
      </c>
      <c r="X222" s="146">
        <f>IFS(C222="", "THIẾU MÃ NV", COUNTIFS(A:A, A222, C:C, C222)&gt;1, "TRÙNG NHÂN VIÊN/NGÀY", O222&gt;4, "VƯỢT 4 GIỜ/NGÀY", AND(O222&gt;0, S222&lt;&gt;"CÓ"), "CHƯA ĐĂNG KÝ TC", AND(O222&gt;0, T222&lt;&gt;"ĐÃ DUYỆT"), "CHƯA DUYỆT TC", AND(T222="ĐÃ DUYỆT", U222=""), "THIẾU NGƯỜI DUYỆT", TRUE, "HỢP LỆ")</f>
        <v/>
      </c>
    </row>
    <row r="223">
      <c r="A223" s="150" t="inlineStr">
        <is>
          <t>2026-08-19</t>
        </is>
      </c>
      <c r="B223" s="150">
        <f>DATE(YEAR(A223), MONTH(A223), 1)</f>
        <v/>
      </c>
      <c r="C223" s="150" t="inlineStr">
        <is>
          <t>NV01</t>
        </is>
      </c>
      <c r="D223" s="151">
        <f>IFERROR(XLOOKUP(C223, '11_Master_Data'!$A:$A, '11_Master_Data'!$B:$B, "KHÔNG CÓ MÃ NV"), "KHÔNG CÓ MÃ NV")</f>
        <v/>
      </c>
      <c r="E223" s="150" t="inlineStr">
        <is>
          <t>C1</t>
        </is>
      </c>
      <c r="F223" s="152" t="n">
        <v>1</v>
      </c>
      <c r="G223" s="152" t="n">
        <v>8</v>
      </c>
      <c r="H223" s="152" t="n">
        <v>0</v>
      </c>
      <c r="I223" s="152" t="n">
        <v>0</v>
      </c>
      <c r="J223" s="152" t="n">
        <v>0</v>
      </c>
      <c r="K223" s="152" t="n">
        <v>0</v>
      </c>
      <c r="L223" s="152" t="n">
        <v>0</v>
      </c>
      <c r="M223" s="152" t="n">
        <v>0</v>
      </c>
      <c r="N223" s="152" t="n">
        <v>0</v>
      </c>
      <c r="O223" s="152">
        <f>SUM(H223:J223, L223:N223)</f>
        <v/>
      </c>
      <c r="P223" s="153" t="n">
        <v>30000</v>
      </c>
      <c r="Q223" s="152" t="n">
        <v>0</v>
      </c>
      <c r="R223" s="151" t="inlineStr"/>
      <c r="S223" s="150" t="inlineStr">
        <is>
          <t>KHÔNG</t>
        </is>
      </c>
      <c r="T223" s="150" t="inlineStr">
        <is>
          <t>ĐÃ DUYỆT</t>
        </is>
      </c>
      <c r="U223" s="151" t="inlineStr">
        <is>
          <t>Quản Đốc Trần Đức Minh</t>
        </is>
      </c>
      <c r="V223" s="150" t="inlineStr">
        <is>
          <t>2026-08-19 16:30</t>
        </is>
      </c>
      <c r="W223" s="150" t="inlineStr">
        <is>
          <t>CC-202608-NV01-19</t>
        </is>
      </c>
      <c r="X223" s="150">
        <f>IFS(C223="", "THIẾU MÃ NV", COUNTIFS(A:A, A223, C:C, C223)&gt;1, "TRÙNG NHÂN VIÊN/NGÀY", O223&gt;4, "VƯỢT 4 GIỜ/NGÀY", AND(O223&gt;0, S223&lt;&gt;"CÓ"), "CHƯA ĐĂNG KÝ TC", AND(O223&gt;0, T223&lt;&gt;"ĐÃ DUYỆT"), "CHƯA DUYỆT TC", AND(T223="ĐÃ DUYỆT", U223=""), "THIẾU NGƯỜI DUYỆT", TRUE, "HỢP LỆ")</f>
        <v/>
      </c>
    </row>
    <row r="224">
      <c r="A224" s="146" t="inlineStr">
        <is>
          <t>2026-08-19</t>
        </is>
      </c>
      <c r="B224" s="146">
        <f>DATE(YEAR(A224), MONTH(A224), 1)</f>
        <v/>
      </c>
      <c r="C224" s="146" t="inlineStr">
        <is>
          <t>NV02</t>
        </is>
      </c>
      <c r="D224" s="147">
        <f>IFERROR(XLOOKUP(C224, '11_Master_Data'!$A:$A, '11_Master_Data'!$B:$B, "KHÔNG CÓ MÃ NV"), "KHÔNG CÓ MÃ NV")</f>
        <v/>
      </c>
      <c r="E224" s="146" t="inlineStr">
        <is>
          <t>C2</t>
        </is>
      </c>
      <c r="F224" s="148" t="n">
        <v>1</v>
      </c>
      <c r="G224" s="148" t="n">
        <v>8</v>
      </c>
      <c r="H224" s="148" t="n">
        <v>0</v>
      </c>
      <c r="I224" s="148" t="n">
        <v>0</v>
      </c>
      <c r="J224" s="148" t="n">
        <v>0</v>
      </c>
      <c r="K224" s="148" t="n">
        <v>0</v>
      </c>
      <c r="L224" s="148" t="n">
        <v>0</v>
      </c>
      <c r="M224" s="148" t="n">
        <v>0</v>
      </c>
      <c r="N224" s="148" t="n">
        <v>0</v>
      </c>
      <c r="O224" s="148">
        <f>SUM(H224:J224, L224:N224)</f>
        <v/>
      </c>
      <c r="P224" s="149" t="n">
        <v>30000</v>
      </c>
      <c r="Q224" s="148" t="n">
        <v>0</v>
      </c>
      <c r="R224" s="147" t="inlineStr"/>
      <c r="S224" s="146" t="inlineStr">
        <is>
          <t>KHÔNG</t>
        </is>
      </c>
      <c r="T224" s="146" t="inlineStr">
        <is>
          <t>ĐÃ DUYỆT</t>
        </is>
      </c>
      <c r="U224" s="147" t="inlineStr">
        <is>
          <t>Quản Đốc Trần Đức Minh</t>
        </is>
      </c>
      <c r="V224" s="146" t="inlineStr">
        <is>
          <t>2026-08-19 16:30</t>
        </is>
      </c>
      <c r="W224" s="146" t="inlineStr">
        <is>
          <t>CC-202608-NV02-19</t>
        </is>
      </c>
      <c r="X224" s="146">
        <f>IFS(C224="", "THIẾU MÃ NV", COUNTIFS(A:A, A224, C:C, C224)&gt;1, "TRÙNG NHÂN VIÊN/NGÀY", O224&gt;4, "VƯỢT 4 GIỜ/NGÀY", AND(O224&gt;0, S224&lt;&gt;"CÓ"), "CHƯA ĐĂNG KÝ TC", AND(O224&gt;0, T224&lt;&gt;"ĐÃ DUYỆT"), "CHƯA DUYỆT TC", AND(T224="ĐÃ DUYỆT", U224=""), "THIẾU NGƯỜI DUYỆT", TRUE, "HỢP LỆ")</f>
        <v/>
      </c>
    </row>
    <row r="225">
      <c r="A225" s="150" t="inlineStr">
        <is>
          <t>2026-08-19</t>
        </is>
      </c>
      <c r="B225" s="150">
        <f>DATE(YEAR(A225), MONTH(A225), 1)</f>
        <v/>
      </c>
      <c r="C225" s="150" t="inlineStr">
        <is>
          <t>NV04</t>
        </is>
      </c>
      <c r="D225" s="151">
        <f>IFERROR(XLOOKUP(C225, '11_Master_Data'!$A:$A, '11_Master_Data'!$B:$B, "KHÔNG CÓ MÃ NV"), "KHÔNG CÓ MÃ NV")</f>
        <v/>
      </c>
      <c r="E225" s="150" t="inlineStr">
        <is>
          <t>C3</t>
        </is>
      </c>
      <c r="F225" s="152" t="n">
        <v>1</v>
      </c>
      <c r="G225" s="152" t="n">
        <v>8</v>
      </c>
      <c r="H225" s="152" t="n">
        <v>0</v>
      </c>
      <c r="I225" s="152" t="n">
        <v>0</v>
      </c>
      <c r="J225" s="152" t="n">
        <v>0</v>
      </c>
      <c r="K225" s="152" t="n">
        <v>8</v>
      </c>
      <c r="L225" s="152" t="n">
        <v>0</v>
      </c>
      <c r="M225" s="152" t="n">
        <v>0</v>
      </c>
      <c r="N225" s="152" t="n">
        <v>0</v>
      </c>
      <c r="O225" s="152">
        <f>SUM(H225:J225, L225:N225)</f>
        <v/>
      </c>
      <c r="P225" s="153" t="n">
        <v>30000</v>
      </c>
      <c r="Q225" s="152" t="n">
        <v>0</v>
      </c>
      <c r="R225" s="151" t="inlineStr"/>
      <c r="S225" s="150" t="inlineStr">
        <is>
          <t>KHÔNG</t>
        </is>
      </c>
      <c r="T225" s="150" t="inlineStr">
        <is>
          <t>ĐÃ DUYỆT</t>
        </is>
      </c>
      <c r="U225" s="151" t="inlineStr">
        <is>
          <t>Quản Đốc Trần Đức Minh</t>
        </is>
      </c>
      <c r="V225" s="150" t="inlineStr">
        <is>
          <t>2026-08-19 16:30</t>
        </is>
      </c>
      <c r="W225" s="150" t="inlineStr">
        <is>
          <t>CC-202608-NV04-19</t>
        </is>
      </c>
      <c r="X225" s="150">
        <f>IFS(C225="", "THIẾU MÃ NV", COUNTIFS(A:A, A225, C:C, C225)&gt;1, "TRÙNG NHÂN VIÊN/NGÀY", O225&gt;4, "VƯỢT 4 GIỜ/NGÀY", AND(O225&gt;0, S225&lt;&gt;"CÓ"), "CHƯA ĐĂNG KÝ TC", AND(O225&gt;0, T225&lt;&gt;"ĐÃ DUYỆT"), "CHƯA DUYỆT TC", AND(T225="ĐÃ DUYỆT", U225=""), "THIẾU NGƯỜI DUYỆT", TRUE, "HỢP LỆ")</f>
        <v/>
      </c>
    </row>
    <row r="226">
      <c r="A226" s="146" t="inlineStr">
        <is>
          <t>2026-08-19</t>
        </is>
      </c>
      <c r="B226" s="146">
        <f>DATE(YEAR(A226), MONTH(A226), 1)</f>
        <v/>
      </c>
      <c r="C226" s="146" t="inlineStr">
        <is>
          <t>NV06</t>
        </is>
      </c>
      <c r="D226" s="147">
        <f>IFERROR(XLOOKUP(C226, '11_Master_Data'!$A:$A, '11_Master_Data'!$B:$B, "KHÔNG CÓ MÃ NV"), "KHÔNG CÓ MÃ NV")</f>
        <v/>
      </c>
      <c r="E226" s="146" t="inlineStr">
        <is>
          <t>C3</t>
        </is>
      </c>
      <c r="F226" s="148" t="n">
        <v>1</v>
      </c>
      <c r="G226" s="148" t="n">
        <v>8</v>
      </c>
      <c r="H226" s="148" t="n">
        <v>2</v>
      </c>
      <c r="I226" s="148" t="n">
        <v>0</v>
      </c>
      <c r="J226" s="148" t="n">
        <v>0</v>
      </c>
      <c r="K226" s="148" t="n">
        <v>8</v>
      </c>
      <c r="L226" s="148" t="n">
        <v>0</v>
      </c>
      <c r="M226" s="148" t="n">
        <v>0</v>
      </c>
      <c r="N226" s="148" t="n">
        <v>0</v>
      </c>
      <c r="O226" s="148">
        <f>SUM(H226:J226, L226:N226)</f>
        <v/>
      </c>
      <c r="P226" s="149" t="n">
        <v>55000</v>
      </c>
      <c r="Q226" s="148" t="n">
        <v>0</v>
      </c>
      <c r="R226" s="147" t="inlineStr">
        <is>
          <t>Đảm bảo tiến độ sản xuất</t>
        </is>
      </c>
      <c r="S226" s="146" t="inlineStr">
        <is>
          <t>CÓ</t>
        </is>
      </c>
      <c r="T226" s="146" t="inlineStr">
        <is>
          <t>ĐÃ DUYỆT</t>
        </is>
      </c>
      <c r="U226" s="147" t="inlineStr">
        <is>
          <t>Quản Đốc Trần Đức Minh</t>
        </is>
      </c>
      <c r="V226" s="146" t="inlineStr">
        <is>
          <t>2026-08-19 16:30</t>
        </is>
      </c>
      <c r="W226" s="146" t="inlineStr">
        <is>
          <t>CC-202608-NV06-19</t>
        </is>
      </c>
      <c r="X226" s="146">
        <f>IFS(C226="", "THIẾU MÃ NV", COUNTIFS(A:A, A226, C:C, C226)&gt;1, "TRÙNG NHÂN VIÊN/NGÀY", O226&gt;4, "VƯỢT 4 GIỜ/NGÀY", AND(O226&gt;0, S226&lt;&gt;"CÓ"), "CHƯA ĐĂNG KÝ TC", AND(O226&gt;0, T226&lt;&gt;"ĐÃ DUYỆT"), "CHƯA DUYỆT TC", AND(T226="ĐÃ DUYỆT", U226=""), "THIẾU NGƯỜI DUYỆT", TRUE, "HỢP LỆ")</f>
        <v/>
      </c>
    </row>
    <row r="227">
      <c r="A227" s="150" t="inlineStr">
        <is>
          <t>2026-08-19</t>
        </is>
      </c>
      <c r="B227" s="150">
        <f>DATE(YEAR(A227), MONTH(A227), 1)</f>
        <v/>
      </c>
      <c r="C227" s="150" t="inlineStr">
        <is>
          <t>NV07</t>
        </is>
      </c>
      <c r="D227" s="151">
        <f>IFERROR(XLOOKUP(C227, '11_Master_Data'!$A:$A, '11_Master_Data'!$B:$B, "KHÔNG CÓ MÃ NV"), "KHÔNG CÓ MÃ NV")</f>
        <v/>
      </c>
      <c r="E227" s="150" t="inlineStr">
        <is>
          <t>C1</t>
        </is>
      </c>
      <c r="F227" s="152" t="n">
        <v>1</v>
      </c>
      <c r="G227" s="152" t="n">
        <v>8</v>
      </c>
      <c r="H227" s="152" t="n">
        <v>0</v>
      </c>
      <c r="I227" s="152" t="n">
        <v>0</v>
      </c>
      <c r="J227" s="152" t="n">
        <v>0</v>
      </c>
      <c r="K227" s="152" t="n">
        <v>0</v>
      </c>
      <c r="L227" s="152" t="n">
        <v>0</v>
      </c>
      <c r="M227" s="152" t="n">
        <v>0</v>
      </c>
      <c r="N227" s="152" t="n">
        <v>0</v>
      </c>
      <c r="O227" s="152">
        <f>SUM(H227:J227, L227:N227)</f>
        <v/>
      </c>
      <c r="P227" s="153" t="n">
        <v>30000</v>
      </c>
      <c r="Q227" s="152" t="n">
        <v>0</v>
      </c>
      <c r="R227" s="151" t="inlineStr"/>
      <c r="S227" s="150" t="inlineStr">
        <is>
          <t>KHÔNG</t>
        </is>
      </c>
      <c r="T227" s="150" t="inlineStr">
        <is>
          <t>ĐÃ DUYỆT</t>
        </is>
      </c>
      <c r="U227" s="151" t="inlineStr">
        <is>
          <t>Quản Đốc Trần Đức Minh</t>
        </is>
      </c>
      <c r="V227" s="150" t="inlineStr">
        <is>
          <t>2026-08-19 16:30</t>
        </is>
      </c>
      <c r="W227" s="150" t="inlineStr">
        <is>
          <t>CC-202608-NV07-19</t>
        </is>
      </c>
      <c r="X227" s="150">
        <f>IFS(C227="", "THIẾU MÃ NV", COUNTIFS(A:A, A227, C:C, C227)&gt;1, "TRÙNG NHÂN VIÊN/NGÀY", O227&gt;4, "VƯỢT 4 GIỜ/NGÀY", AND(O227&gt;0, S227&lt;&gt;"CÓ"), "CHƯA ĐĂNG KÝ TC", AND(O227&gt;0, T227&lt;&gt;"ĐÃ DUYỆT"), "CHƯA DUYỆT TC", AND(T227="ĐÃ DUYỆT", U227=""), "THIẾU NGƯỜI DUYỆT", TRUE, "HỢP LỆ")</f>
        <v/>
      </c>
    </row>
    <row r="228">
      <c r="A228" s="146" t="inlineStr">
        <is>
          <t>2026-08-19</t>
        </is>
      </c>
      <c r="B228" s="146">
        <f>DATE(YEAR(A228), MONTH(A228), 1)</f>
        <v/>
      </c>
      <c r="C228" s="146" t="inlineStr">
        <is>
          <t>NV08</t>
        </is>
      </c>
      <c r="D228" s="147">
        <f>IFERROR(XLOOKUP(C228, '11_Master_Data'!$A:$A, '11_Master_Data'!$B:$B, "KHÔNG CÓ MÃ NV"), "KHÔNG CÓ MÃ NV")</f>
        <v/>
      </c>
      <c r="E228" s="146" t="inlineStr">
        <is>
          <t>C3</t>
        </is>
      </c>
      <c r="F228" s="148" t="n">
        <v>1</v>
      </c>
      <c r="G228" s="148" t="n">
        <v>8</v>
      </c>
      <c r="H228" s="148" t="n">
        <v>2</v>
      </c>
      <c r="I228" s="148" t="n">
        <v>0</v>
      </c>
      <c r="J228" s="148" t="n">
        <v>0</v>
      </c>
      <c r="K228" s="148" t="n">
        <v>8</v>
      </c>
      <c r="L228" s="148" t="n">
        <v>0</v>
      </c>
      <c r="M228" s="148" t="n">
        <v>0</v>
      </c>
      <c r="N228" s="148" t="n">
        <v>0</v>
      </c>
      <c r="O228" s="148">
        <f>SUM(H228:J228, L228:N228)</f>
        <v/>
      </c>
      <c r="P228" s="149" t="n">
        <v>55000</v>
      </c>
      <c r="Q228" s="148" t="n">
        <v>0</v>
      </c>
      <c r="R228" s="147" t="inlineStr">
        <is>
          <t>Đảm bảo tiến độ sản xuất</t>
        </is>
      </c>
      <c r="S228" s="146" t="inlineStr">
        <is>
          <t>CÓ</t>
        </is>
      </c>
      <c r="T228" s="146" t="inlineStr">
        <is>
          <t>ĐÃ DUYỆT</t>
        </is>
      </c>
      <c r="U228" s="147" t="inlineStr">
        <is>
          <t>Quản Đốc Trần Đức Minh</t>
        </is>
      </c>
      <c r="V228" s="146" t="inlineStr">
        <is>
          <t>2026-08-19 16:30</t>
        </is>
      </c>
      <c r="W228" s="146" t="inlineStr">
        <is>
          <t>CC-202608-NV08-19</t>
        </is>
      </c>
      <c r="X228" s="146">
        <f>IFS(C228="", "THIẾU MÃ NV", COUNTIFS(A:A, A228, C:C, C228)&gt;1, "TRÙNG NHÂN VIÊN/NGÀY", O228&gt;4, "VƯỢT 4 GIỜ/NGÀY", AND(O228&gt;0, S228&lt;&gt;"CÓ"), "CHƯA ĐĂNG KÝ TC", AND(O228&gt;0, T228&lt;&gt;"ĐÃ DUYỆT"), "CHƯA DUYỆT TC", AND(T228="ĐÃ DUYỆT", U228=""), "THIẾU NGƯỜI DUYỆT", TRUE, "HỢP LỆ")</f>
        <v/>
      </c>
    </row>
    <row r="229">
      <c r="A229" s="150" t="inlineStr">
        <is>
          <t>2026-08-19</t>
        </is>
      </c>
      <c r="B229" s="150">
        <f>DATE(YEAR(A229), MONTH(A229), 1)</f>
        <v/>
      </c>
      <c r="C229" s="150" t="inlineStr">
        <is>
          <t>NV10</t>
        </is>
      </c>
      <c r="D229" s="151">
        <f>IFERROR(XLOOKUP(C229, '11_Master_Data'!$A:$A, '11_Master_Data'!$B:$B, "KHÔNG CÓ MÃ NV"), "KHÔNG CÓ MÃ NV")</f>
        <v/>
      </c>
      <c r="E229" s="150" t="inlineStr">
        <is>
          <t>C2</t>
        </is>
      </c>
      <c r="F229" s="152" t="n">
        <v>1</v>
      </c>
      <c r="G229" s="152" t="n">
        <v>8</v>
      </c>
      <c r="H229" s="152" t="n">
        <v>0</v>
      </c>
      <c r="I229" s="152" t="n">
        <v>0</v>
      </c>
      <c r="J229" s="152" t="n">
        <v>0</v>
      </c>
      <c r="K229" s="152" t="n">
        <v>0</v>
      </c>
      <c r="L229" s="152" t="n">
        <v>0</v>
      </c>
      <c r="M229" s="152" t="n">
        <v>0</v>
      </c>
      <c r="N229" s="152" t="n">
        <v>0</v>
      </c>
      <c r="O229" s="152">
        <f>SUM(H229:J229, L229:N229)</f>
        <v/>
      </c>
      <c r="P229" s="153" t="n">
        <v>30000</v>
      </c>
      <c r="Q229" s="152" t="n">
        <v>0</v>
      </c>
      <c r="R229" s="151" t="inlineStr"/>
      <c r="S229" s="150" t="inlineStr">
        <is>
          <t>KHÔNG</t>
        </is>
      </c>
      <c r="T229" s="150" t="inlineStr">
        <is>
          <t>ĐÃ DUYỆT</t>
        </is>
      </c>
      <c r="U229" s="151" t="inlineStr">
        <is>
          <t>Quản Đốc Trần Đức Minh</t>
        </is>
      </c>
      <c r="V229" s="150" t="inlineStr">
        <is>
          <t>2026-08-19 16:30</t>
        </is>
      </c>
      <c r="W229" s="150" t="inlineStr">
        <is>
          <t>CC-202608-NV10-19</t>
        </is>
      </c>
      <c r="X229" s="150">
        <f>IFS(C229="", "THIẾU MÃ NV", COUNTIFS(A:A, A229, C:C, C229)&gt;1, "TRÙNG NHÂN VIÊN/NGÀY", O229&gt;4, "VƯỢT 4 GIỜ/NGÀY", AND(O229&gt;0, S229&lt;&gt;"CÓ"), "CHƯA ĐĂNG KÝ TC", AND(O229&gt;0, T229&lt;&gt;"ĐÃ DUYỆT"), "CHƯA DUYỆT TC", AND(T229="ĐÃ DUYỆT", U229=""), "THIẾU NGƯỜI DUYỆT", TRUE, "HỢP LỆ")</f>
        <v/>
      </c>
    </row>
    <row r="230">
      <c r="A230" s="146" t="inlineStr">
        <is>
          <t>2026-08-19</t>
        </is>
      </c>
      <c r="B230" s="146">
        <f>DATE(YEAR(A230), MONTH(A230), 1)</f>
        <v/>
      </c>
      <c r="C230" s="146" t="inlineStr">
        <is>
          <t>NV11</t>
        </is>
      </c>
      <c r="D230" s="147">
        <f>IFERROR(XLOOKUP(C230, '11_Master_Data'!$A:$A, '11_Master_Data'!$B:$B, "KHÔNG CÓ MÃ NV"), "KHÔNG CÓ MÃ NV")</f>
        <v/>
      </c>
      <c r="E230" s="146" t="inlineStr">
        <is>
          <t>C2</t>
        </is>
      </c>
      <c r="F230" s="148" t="n">
        <v>1</v>
      </c>
      <c r="G230" s="148" t="n">
        <v>8</v>
      </c>
      <c r="H230" s="148" t="n">
        <v>2</v>
      </c>
      <c r="I230" s="148" t="n">
        <v>0</v>
      </c>
      <c r="J230" s="148" t="n">
        <v>0</v>
      </c>
      <c r="K230" s="148" t="n">
        <v>0</v>
      </c>
      <c r="L230" s="148" t="n">
        <v>0</v>
      </c>
      <c r="M230" s="148" t="n">
        <v>0</v>
      </c>
      <c r="N230" s="148" t="n">
        <v>0</v>
      </c>
      <c r="O230" s="148">
        <f>SUM(H230:J230, L230:N230)</f>
        <v/>
      </c>
      <c r="P230" s="149" t="n">
        <v>55000</v>
      </c>
      <c r="Q230" s="148" t="n">
        <v>0</v>
      </c>
      <c r="R230" s="147" t="inlineStr">
        <is>
          <t>Đảm bảo tiến độ sản xuất</t>
        </is>
      </c>
      <c r="S230" s="146" t="inlineStr">
        <is>
          <t>CÓ</t>
        </is>
      </c>
      <c r="T230" s="146" t="inlineStr">
        <is>
          <t>ĐÃ DUYỆT</t>
        </is>
      </c>
      <c r="U230" s="147" t="inlineStr">
        <is>
          <t>Quản Đốc Trần Đức Minh</t>
        </is>
      </c>
      <c r="V230" s="146" t="inlineStr">
        <is>
          <t>2026-08-19 16:30</t>
        </is>
      </c>
      <c r="W230" s="146" t="inlineStr">
        <is>
          <t>CC-202608-NV11-19</t>
        </is>
      </c>
      <c r="X230" s="146">
        <f>IFS(C230="", "THIẾU MÃ NV", COUNTIFS(A:A, A230, C:C, C230)&gt;1, "TRÙNG NHÂN VIÊN/NGÀY", O230&gt;4, "VƯỢT 4 GIỜ/NGÀY", AND(O230&gt;0, S230&lt;&gt;"CÓ"), "CHƯA ĐĂNG KÝ TC", AND(O230&gt;0, T230&lt;&gt;"ĐÃ DUYỆT"), "CHƯA DUYỆT TC", AND(T230="ĐÃ DUYỆT", U230=""), "THIẾU NGƯỜI DUYỆT", TRUE, "HỢP LỆ")</f>
        <v/>
      </c>
    </row>
    <row r="231">
      <c r="A231" s="150" t="inlineStr">
        <is>
          <t>2026-08-19</t>
        </is>
      </c>
      <c r="B231" s="150">
        <f>DATE(YEAR(A231), MONTH(A231), 1)</f>
        <v/>
      </c>
      <c r="C231" s="150" t="inlineStr">
        <is>
          <t>NV12</t>
        </is>
      </c>
      <c r="D231" s="151">
        <f>IFERROR(XLOOKUP(C231, '11_Master_Data'!$A:$A, '11_Master_Data'!$B:$B, "KHÔNG CÓ MÃ NV"), "KHÔNG CÓ MÃ NV")</f>
        <v/>
      </c>
      <c r="E231" s="150" t="inlineStr">
        <is>
          <t>C1</t>
        </is>
      </c>
      <c r="F231" s="152" t="n">
        <v>1</v>
      </c>
      <c r="G231" s="152" t="n">
        <v>8</v>
      </c>
      <c r="H231" s="152" t="n">
        <v>2</v>
      </c>
      <c r="I231" s="152" t="n">
        <v>0</v>
      </c>
      <c r="J231" s="152" t="n">
        <v>0</v>
      </c>
      <c r="K231" s="152" t="n">
        <v>0</v>
      </c>
      <c r="L231" s="152" t="n">
        <v>0</v>
      </c>
      <c r="M231" s="152" t="n">
        <v>0</v>
      </c>
      <c r="N231" s="152" t="n">
        <v>0</v>
      </c>
      <c r="O231" s="152">
        <f>SUM(H231:J231, L231:N231)</f>
        <v/>
      </c>
      <c r="P231" s="153" t="n">
        <v>55000</v>
      </c>
      <c r="Q231" s="152" t="n">
        <v>0</v>
      </c>
      <c r="R231" s="151" t="inlineStr">
        <is>
          <t>Đảm bảo tiến độ sản xuất</t>
        </is>
      </c>
      <c r="S231" s="150" t="inlineStr">
        <is>
          <t>CÓ</t>
        </is>
      </c>
      <c r="T231" s="150" t="inlineStr">
        <is>
          <t>ĐÃ DUYỆT</t>
        </is>
      </c>
      <c r="U231" s="151" t="inlineStr">
        <is>
          <t>Quản Đốc Trần Đức Minh</t>
        </is>
      </c>
      <c r="V231" s="150" t="inlineStr">
        <is>
          <t>2026-08-19 16:30</t>
        </is>
      </c>
      <c r="W231" s="150" t="inlineStr">
        <is>
          <t>CC-202608-NV12-19</t>
        </is>
      </c>
      <c r="X231" s="150">
        <f>IFS(C231="", "THIẾU MÃ NV", COUNTIFS(A:A, A231, C:C, C231)&gt;1, "TRÙNG NHÂN VIÊN/NGÀY", O231&gt;4, "VƯỢT 4 GIỜ/NGÀY", AND(O231&gt;0, S231&lt;&gt;"CÓ"), "CHƯA ĐĂNG KÝ TC", AND(O231&gt;0, T231&lt;&gt;"ĐÃ DUYỆT"), "CHƯA DUYỆT TC", AND(T231="ĐÃ DUYỆT", U231=""), "THIẾU NGƯỜI DUYỆT", TRUE, "HỢP LỆ")</f>
        <v/>
      </c>
    </row>
    <row r="232">
      <c r="A232" s="146" t="inlineStr">
        <is>
          <t>2026-08-19</t>
        </is>
      </c>
      <c r="B232" s="146">
        <f>DATE(YEAR(A232), MONTH(A232), 1)</f>
        <v/>
      </c>
      <c r="C232" s="146" t="inlineStr">
        <is>
          <t>NV13</t>
        </is>
      </c>
      <c r="D232" s="147">
        <f>IFERROR(XLOOKUP(C232, '11_Master_Data'!$A:$A, '11_Master_Data'!$B:$B, "KHÔNG CÓ MÃ NV"), "KHÔNG CÓ MÃ NV")</f>
        <v/>
      </c>
      <c r="E232" s="146" t="inlineStr">
        <is>
          <t>C2</t>
        </is>
      </c>
      <c r="F232" s="148" t="n">
        <v>1</v>
      </c>
      <c r="G232" s="148" t="n">
        <v>8</v>
      </c>
      <c r="H232" s="148" t="n">
        <v>0</v>
      </c>
      <c r="I232" s="148" t="n">
        <v>0</v>
      </c>
      <c r="J232" s="148" t="n">
        <v>0</v>
      </c>
      <c r="K232" s="148" t="n">
        <v>0</v>
      </c>
      <c r="L232" s="148" t="n">
        <v>0</v>
      </c>
      <c r="M232" s="148" t="n">
        <v>0</v>
      </c>
      <c r="N232" s="148" t="n">
        <v>0</v>
      </c>
      <c r="O232" s="148">
        <f>SUM(H232:J232, L232:N232)</f>
        <v/>
      </c>
      <c r="P232" s="149" t="n">
        <v>30000</v>
      </c>
      <c r="Q232" s="148" t="n">
        <v>0</v>
      </c>
      <c r="R232" s="147" t="inlineStr"/>
      <c r="S232" s="146" t="inlineStr">
        <is>
          <t>KHÔNG</t>
        </is>
      </c>
      <c r="T232" s="146" t="inlineStr">
        <is>
          <t>ĐÃ DUYỆT</t>
        </is>
      </c>
      <c r="U232" s="147" t="inlineStr">
        <is>
          <t>Quản Đốc Trần Đức Minh</t>
        </is>
      </c>
      <c r="V232" s="146" t="inlineStr">
        <is>
          <t>2026-08-19 16:30</t>
        </is>
      </c>
      <c r="W232" s="146" t="inlineStr">
        <is>
          <t>CC-202608-NV13-19</t>
        </is>
      </c>
      <c r="X232" s="146">
        <f>IFS(C232="", "THIẾU MÃ NV", COUNTIFS(A:A, A232, C:C, C232)&gt;1, "TRÙNG NHÂN VIÊN/NGÀY", O232&gt;4, "VƯỢT 4 GIỜ/NGÀY", AND(O232&gt;0, S232&lt;&gt;"CÓ"), "CHƯA ĐĂNG KÝ TC", AND(O232&gt;0, T232&lt;&gt;"ĐÃ DUYỆT"), "CHƯA DUYỆT TC", AND(T232="ĐÃ DUYỆT", U232=""), "THIẾU NGƯỜI DUYỆT", TRUE, "HỢP LỆ")</f>
        <v/>
      </c>
    </row>
    <row r="233">
      <c r="A233" s="150" t="inlineStr">
        <is>
          <t>2026-08-19</t>
        </is>
      </c>
      <c r="B233" s="150">
        <f>DATE(YEAR(A233), MONTH(A233), 1)</f>
        <v/>
      </c>
      <c r="C233" s="150" t="inlineStr">
        <is>
          <t>NV14</t>
        </is>
      </c>
      <c r="D233" s="151">
        <f>IFERROR(XLOOKUP(C233, '11_Master_Data'!$A:$A, '11_Master_Data'!$B:$B, "KHÔNG CÓ MÃ NV"), "KHÔNG CÓ MÃ NV")</f>
        <v/>
      </c>
      <c r="E233" s="150" t="inlineStr">
        <is>
          <t>C1</t>
        </is>
      </c>
      <c r="F233" s="152" t="n">
        <v>1</v>
      </c>
      <c r="G233" s="152" t="n">
        <v>8</v>
      </c>
      <c r="H233" s="152" t="n">
        <v>2</v>
      </c>
      <c r="I233" s="152" t="n">
        <v>0</v>
      </c>
      <c r="J233" s="152" t="n">
        <v>0</v>
      </c>
      <c r="K233" s="152" t="n">
        <v>0</v>
      </c>
      <c r="L233" s="152" t="n">
        <v>0</v>
      </c>
      <c r="M233" s="152" t="n">
        <v>0</v>
      </c>
      <c r="N233" s="152" t="n">
        <v>0</v>
      </c>
      <c r="O233" s="152">
        <f>SUM(H233:J233, L233:N233)</f>
        <v/>
      </c>
      <c r="P233" s="153" t="n">
        <v>55000</v>
      </c>
      <c r="Q233" s="152" t="n">
        <v>0</v>
      </c>
      <c r="R233" s="151" t="inlineStr">
        <is>
          <t>Đảm bảo tiến độ sản xuất</t>
        </is>
      </c>
      <c r="S233" s="150" t="inlineStr">
        <is>
          <t>CÓ</t>
        </is>
      </c>
      <c r="T233" s="150" t="inlineStr">
        <is>
          <t>ĐÃ DUYỆT</t>
        </is>
      </c>
      <c r="U233" s="151" t="inlineStr">
        <is>
          <t>Quản Đốc Trần Đức Minh</t>
        </is>
      </c>
      <c r="V233" s="150" t="inlineStr">
        <is>
          <t>2026-08-19 16:30</t>
        </is>
      </c>
      <c r="W233" s="150" t="inlineStr">
        <is>
          <t>CC-202608-NV14-19</t>
        </is>
      </c>
      <c r="X233" s="150">
        <f>IFS(C233="", "THIẾU MÃ NV", COUNTIFS(A:A, A233, C:C, C233)&gt;1, "TRÙNG NHÂN VIÊN/NGÀY", O233&gt;4, "VƯỢT 4 GIỜ/NGÀY", AND(O233&gt;0, S233&lt;&gt;"CÓ"), "CHƯA ĐĂNG KÝ TC", AND(O233&gt;0, T233&lt;&gt;"ĐÃ DUYỆT"), "CHƯA DUYỆT TC", AND(T233="ĐÃ DUYỆT", U233=""), "THIẾU NGƯỜI DUYỆT", TRUE, "HỢP LỆ")</f>
        <v/>
      </c>
    </row>
    <row r="234">
      <c r="A234" s="146" t="inlineStr">
        <is>
          <t>2026-08-19</t>
        </is>
      </c>
      <c r="B234" s="146">
        <f>DATE(YEAR(A234), MONTH(A234), 1)</f>
        <v/>
      </c>
      <c r="C234" s="146" t="inlineStr">
        <is>
          <t>NV15</t>
        </is>
      </c>
      <c r="D234" s="147">
        <f>IFERROR(XLOOKUP(C234, '11_Master_Data'!$A:$A, '11_Master_Data'!$B:$B, "KHÔNG CÓ MÃ NV"), "KHÔNG CÓ MÃ NV")</f>
        <v/>
      </c>
      <c r="E234" s="146" t="inlineStr">
        <is>
          <t>C2</t>
        </is>
      </c>
      <c r="F234" s="148" t="n">
        <v>1</v>
      </c>
      <c r="G234" s="148" t="n">
        <v>8</v>
      </c>
      <c r="H234" s="148" t="n">
        <v>2</v>
      </c>
      <c r="I234" s="148" t="n">
        <v>0</v>
      </c>
      <c r="J234" s="148" t="n">
        <v>0</v>
      </c>
      <c r="K234" s="148" t="n">
        <v>0</v>
      </c>
      <c r="L234" s="148" t="n">
        <v>0</v>
      </c>
      <c r="M234" s="148" t="n">
        <v>0</v>
      </c>
      <c r="N234" s="148" t="n">
        <v>0</v>
      </c>
      <c r="O234" s="148">
        <f>SUM(H234:J234, L234:N234)</f>
        <v/>
      </c>
      <c r="P234" s="149" t="n">
        <v>55000</v>
      </c>
      <c r="Q234" s="148" t="n">
        <v>0</v>
      </c>
      <c r="R234" s="147" t="inlineStr">
        <is>
          <t>Đảm bảo tiến độ sản xuất</t>
        </is>
      </c>
      <c r="S234" s="146" t="inlineStr">
        <is>
          <t>CÓ</t>
        </is>
      </c>
      <c r="T234" s="146" t="inlineStr">
        <is>
          <t>ĐÃ DUYỆT</t>
        </is>
      </c>
      <c r="U234" s="147" t="inlineStr">
        <is>
          <t>Quản Đốc Trần Đức Minh</t>
        </is>
      </c>
      <c r="V234" s="146" t="inlineStr">
        <is>
          <t>2026-08-19 16:30</t>
        </is>
      </c>
      <c r="W234" s="146" t="inlineStr">
        <is>
          <t>CC-202608-NV15-19</t>
        </is>
      </c>
      <c r="X234" s="146">
        <f>IFS(C234="", "THIẾU MÃ NV", COUNTIFS(A:A, A234, C:C, C234)&gt;1, "TRÙNG NHÂN VIÊN/NGÀY", O234&gt;4, "VƯỢT 4 GIỜ/NGÀY", AND(O234&gt;0, S234&lt;&gt;"CÓ"), "CHƯA ĐĂNG KÝ TC", AND(O234&gt;0, T234&lt;&gt;"ĐÃ DUYỆT"), "CHƯA DUYỆT TC", AND(T234="ĐÃ DUYỆT", U234=""), "THIẾU NGƯỜI DUYỆT", TRUE, "HỢP LỆ")</f>
        <v/>
      </c>
    </row>
    <row r="235">
      <c r="A235" s="150" t="inlineStr">
        <is>
          <t>2026-09-03</t>
        </is>
      </c>
      <c r="B235" s="150">
        <f>DATE(YEAR(A235), MONTH(A235), 1)</f>
        <v/>
      </c>
      <c r="C235" s="150" t="inlineStr">
        <is>
          <t>NV03</t>
        </is>
      </c>
      <c r="D235" s="151">
        <f>IFERROR(XLOOKUP(C235, '11_Master_Data'!$A:$A, '11_Master_Data'!$B:$B, "KHÔNG CÓ MÃ NV"), "KHÔNG CÓ MÃ NV")</f>
        <v/>
      </c>
      <c r="E235" s="150" t="inlineStr">
        <is>
          <t>M-FUJI-01</t>
        </is>
      </c>
      <c r="F235" s="152" t="n">
        <v>1</v>
      </c>
      <c r="G235" s="152" t="n">
        <v>8</v>
      </c>
      <c r="H235" s="152" t="n">
        <v>4</v>
      </c>
      <c r="I235" s="152" t="n">
        <v>0</v>
      </c>
      <c r="J235" s="152" t="n">
        <v>0</v>
      </c>
      <c r="K235" s="152" t="n">
        <v>0</v>
      </c>
      <c r="L235" s="152" t="n">
        <v>0</v>
      </c>
      <c r="M235" s="152" t="n">
        <v>0</v>
      </c>
      <c r="N235" s="152" t="n">
        <v>0</v>
      </c>
      <c r="O235" s="152">
        <f>SUM(H235:J235, L235:N235)</f>
        <v/>
      </c>
      <c r="P235" s="153" t="n">
        <v>55000</v>
      </c>
      <c r="Q235" s="152" t="n">
        <v>0</v>
      </c>
      <c r="R235" s="151" t="inlineStr">
        <is>
          <t>Đảm bảo tiến độ sản xuất</t>
        </is>
      </c>
      <c r="S235" s="150" t="inlineStr">
        <is>
          <t>CÓ</t>
        </is>
      </c>
      <c r="T235" s="150" t="inlineStr">
        <is>
          <t>ĐÃ DUYỆT</t>
        </is>
      </c>
      <c r="U235" s="151" t="inlineStr">
        <is>
          <t>Quản Đốc Trần Đức Minh</t>
        </is>
      </c>
      <c r="V235" s="150" t="inlineStr">
        <is>
          <t>2026-09-03 16:30</t>
        </is>
      </c>
      <c r="W235" s="150" t="inlineStr">
        <is>
          <t>CC-202609-NV03-03</t>
        </is>
      </c>
      <c r="X235" s="150">
        <f>IFS(C235="", "THIẾU MÃ NV", COUNTIFS(A:A, A235, C:C, C235)&gt;1, "TRÙNG NHÂN VIÊN/NGÀY", O235&gt;4, "VƯỢT 4 GIỜ/NGÀY", AND(O235&gt;0, S235&lt;&gt;"CÓ"), "CHƯA ĐĂNG KÝ TC", AND(O235&gt;0, T235&lt;&gt;"ĐÃ DUYỆT"), "CHƯA DUYỆT TC", AND(T235="ĐÃ DUYỆT", U235=""), "THIẾU NGƯỜI DUYỆT", TRUE, "HỢP LỆ")</f>
        <v/>
      </c>
    </row>
    <row r="236">
      <c r="A236" s="146" t="inlineStr">
        <is>
          <t>2026-09-03</t>
        </is>
      </c>
      <c r="B236" s="146">
        <f>DATE(YEAR(A236), MONTH(A236), 1)</f>
        <v/>
      </c>
      <c r="C236" s="146" t="inlineStr">
        <is>
          <t>NV04</t>
        </is>
      </c>
      <c r="D236" s="147">
        <f>IFERROR(XLOOKUP(C236, '11_Master_Data'!$A:$A, '11_Master_Data'!$B:$B, "KHÔNG CÓ MÃ NV"), "KHÔNG CÓ MÃ NV")</f>
        <v/>
      </c>
      <c r="E236" s="146" t="inlineStr">
        <is>
          <t>M-FUJI-01</t>
        </is>
      </c>
      <c r="F236" s="148" t="n">
        <v>1</v>
      </c>
      <c r="G236" s="148" t="n">
        <v>8</v>
      </c>
      <c r="H236" s="148" t="n">
        <v>4</v>
      </c>
      <c r="I236" s="148" t="n">
        <v>0</v>
      </c>
      <c r="J236" s="148" t="n">
        <v>0</v>
      </c>
      <c r="K236" s="148" t="n">
        <v>0</v>
      </c>
      <c r="L236" s="148" t="n">
        <v>0</v>
      </c>
      <c r="M236" s="148" t="n">
        <v>0</v>
      </c>
      <c r="N236" s="148" t="n">
        <v>0</v>
      </c>
      <c r="O236" s="148">
        <f>SUM(H236:J236, L236:N236)</f>
        <v/>
      </c>
      <c r="P236" s="149" t="n">
        <v>55000</v>
      </c>
      <c r="Q236" s="148" t="n">
        <v>0</v>
      </c>
      <c r="R236" s="147" t="inlineStr">
        <is>
          <t>Đảm bảo tiến độ sản xuất</t>
        </is>
      </c>
      <c r="S236" s="146" t="inlineStr">
        <is>
          <t>CÓ</t>
        </is>
      </c>
      <c r="T236" s="146" t="inlineStr">
        <is>
          <t>ĐÃ DUYỆT</t>
        </is>
      </c>
      <c r="U236" s="147" t="inlineStr">
        <is>
          <t>Quản Đốc Trần Đức Minh</t>
        </is>
      </c>
      <c r="V236" s="146" t="inlineStr">
        <is>
          <t>2026-09-03 16:30</t>
        </is>
      </c>
      <c r="W236" s="146" t="inlineStr">
        <is>
          <t>CC-202609-NV04-03</t>
        </is>
      </c>
      <c r="X236" s="146">
        <f>IFS(C236="", "THIẾU MÃ NV", COUNTIFS(A:A, A236, C:C, C236)&gt;1, "TRÙNG NHÂN VIÊN/NGÀY", O236&gt;4, "VƯỢT 4 GIỜ/NGÀY", AND(O236&gt;0, S236&lt;&gt;"CÓ"), "CHƯA ĐĂNG KÝ TC", AND(O236&gt;0, T236&lt;&gt;"ĐÃ DUYỆT"), "CHƯA DUYỆT TC", AND(T236="ĐÃ DUYỆT", U236=""), "THIẾU NGƯỜI DUYỆT", TRUE, "HỢP LỆ")</f>
        <v/>
      </c>
    </row>
    <row r="237">
      <c r="A237" s="150" t="inlineStr">
        <is>
          <t>2026-09-03</t>
        </is>
      </c>
      <c r="B237" s="150">
        <f>DATE(YEAR(A237), MONTH(A237), 1)</f>
        <v/>
      </c>
      <c r="C237" s="150" t="inlineStr">
        <is>
          <t>NV06</t>
        </is>
      </c>
      <c r="D237" s="151">
        <f>IFERROR(XLOOKUP(C237, '11_Master_Data'!$A:$A, '11_Master_Data'!$B:$B, "KHÔNG CÓ MÃ NV"), "KHÔNG CÓ MÃ NV")</f>
        <v/>
      </c>
      <c r="E237" s="150" t="inlineStr">
        <is>
          <t>M-FUJI-01</t>
        </is>
      </c>
      <c r="F237" s="152" t="n">
        <v>1</v>
      </c>
      <c r="G237" s="152" t="n">
        <v>8</v>
      </c>
      <c r="H237" s="152" t="n">
        <v>4</v>
      </c>
      <c r="I237" s="152" t="n">
        <v>0</v>
      </c>
      <c r="J237" s="152" t="n">
        <v>0</v>
      </c>
      <c r="K237" s="152" t="n">
        <v>0</v>
      </c>
      <c r="L237" s="152" t="n">
        <v>0</v>
      </c>
      <c r="M237" s="152" t="n">
        <v>0</v>
      </c>
      <c r="N237" s="152" t="n">
        <v>0</v>
      </c>
      <c r="O237" s="152">
        <f>SUM(H237:J237, L237:N237)</f>
        <v/>
      </c>
      <c r="P237" s="153" t="n">
        <v>55000</v>
      </c>
      <c r="Q237" s="152" t="n">
        <v>0</v>
      </c>
      <c r="R237" s="151" t="inlineStr">
        <is>
          <t>Đảm bảo tiến độ sản xuất</t>
        </is>
      </c>
      <c r="S237" s="150" t="inlineStr">
        <is>
          <t>CÓ</t>
        </is>
      </c>
      <c r="T237" s="150" t="inlineStr">
        <is>
          <t>ĐÃ DUYỆT</t>
        </is>
      </c>
      <c r="U237" s="151" t="inlineStr">
        <is>
          <t>Quản Đốc Trần Đức Minh</t>
        </is>
      </c>
      <c r="V237" s="150" t="inlineStr">
        <is>
          <t>2026-09-03 16:30</t>
        </is>
      </c>
      <c r="W237" s="150" t="inlineStr">
        <is>
          <t>CC-202609-NV06-03</t>
        </is>
      </c>
      <c r="X237" s="150">
        <f>IFS(C237="", "THIẾU MÃ NV", COUNTIFS(A:A, A237, C:C, C237)&gt;1, "TRÙNG NHÂN VIÊN/NGÀY", O237&gt;4, "VƯỢT 4 GIỜ/NGÀY", AND(O237&gt;0, S237&lt;&gt;"CÓ"), "CHƯA ĐĂNG KÝ TC", AND(O237&gt;0, T237&lt;&gt;"ĐÃ DUYỆT"), "CHƯA DUYỆT TC", AND(T237="ĐÃ DUYỆT", U237=""), "THIẾU NGƯỜI DUYỆT", TRUE, "HỢP LỆ")</f>
        <v/>
      </c>
    </row>
    <row r="238">
      <c r="A238" s="146" t="inlineStr">
        <is>
          <t>2026-09-03</t>
        </is>
      </c>
      <c r="B238" s="146">
        <f>DATE(YEAR(A238), MONTH(A238), 1)</f>
        <v/>
      </c>
      <c r="C238" s="146" t="inlineStr">
        <is>
          <t>NV07</t>
        </is>
      </c>
      <c r="D238" s="147">
        <f>IFERROR(XLOOKUP(C238, '11_Master_Data'!$A:$A, '11_Master_Data'!$B:$B, "KHÔNG CÓ MÃ NV"), "KHÔNG CÓ MÃ NV")</f>
        <v/>
      </c>
      <c r="E238" s="146" t="inlineStr">
        <is>
          <t>M-OKK1-01</t>
        </is>
      </c>
      <c r="F238" s="148" t="n">
        <v>1</v>
      </c>
      <c r="G238" s="148" t="n">
        <v>8</v>
      </c>
      <c r="H238" s="148" t="n">
        <v>4</v>
      </c>
      <c r="I238" s="148" t="n">
        <v>0</v>
      </c>
      <c r="J238" s="148" t="n">
        <v>0</v>
      </c>
      <c r="K238" s="148" t="n">
        <v>0</v>
      </c>
      <c r="L238" s="148" t="n">
        <v>0</v>
      </c>
      <c r="M238" s="148" t="n">
        <v>0</v>
      </c>
      <c r="N238" s="148" t="n">
        <v>0</v>
      </c>
      <c r="O238" s="148">
        <f>SUM(H238:J238, L238:N238)</f>
        <v/>
      </c>
      <c r="P238" s="149" t="n">
        <v>55000</v>
      </c>
      <c r="Q238" s="148" t="n">
        <v>0</v>
      </c>
      <c r="R238" s="147" t="inlineStr">
        <is>
          <t>Đảm bảo tiến độ sản xuất</t>
        </is>
      </c>
      <c r="S238" s="146" t="inlineStr">
        <is>
          <t>CÓ</t>
        </is>
      </c>
      <c r="T238" s="146" t="inlineStr">
        <is>
          <t>ĐÃ DUYỆT</t>
        </is>
      </c>
      <c r="U238" s="147" t="inlineStr">
        <is>
          <t>Quản Đốc Trần Đức Minh</t>
        </is>
      </c>
      <c r="V238" s="146" t="inlineStr">
        <is>
          <t>2026-09-03 16:30</t>
        </is>
      </c>
      <c r="W238" s="146" t="inlineStr">
        <is>
          <t>CC-202609-NV07-03</t>
        </is>
      </c>
      <c r="X238" s="146">
        <f>IFS(C238="", "THIẾU MÃ NV", COUNTIFS(A:A, A238, C:C, C238)&gt;1, "TRÙNG NHÂN VIÊN/NGÀY", O238&gt;4, "VƯỢT 4 GIỜ/NGÀY", AND(O238&gt;0, S238&lt;&gt;"CÓ"), "CHƯA ĐĂNG KÝ TC", AND(O238&gt;0, T238&lt;&gt;"ĐÃ DUYỆT"), "CHƯA DUYỆT TC", AND(T238="ĐÃ DUYỆT", U238=""), "THIẾU NGƯỜI DUYỆT", TRUE, "HỢP LỆ")</f>
        <v/>
      </c>
    </row>
    <row r="239">
      <c r="A239" s="150" t="inlineStr">
        <is>
          <t>2026-09-03</t>
        </is>
      </c>
      <c r="B239" s="150">
        <f>DATE(YEAR(A239), MONTH(A239), 1)</f>
        <v/>
      </c>
      <c r="C239" s="150" t="inlineStr">
        <is>
          <t>NV08</t>
        </is>
      </c>
      <c r="D239" s="151">
        <f>IFERROR(XLOOKUP(C239, '11_Master_Data'!$A:$A, '11_Master_Data'!$B:$B, "KHÔNG CÓ MÃ NV"), "KHÔNG CÓ MÃ NV")</f>
        <v/>
      </c>
      <c r="E239" s="150" t="inlineStr">
        <is>
          <t>M-PCNC2-01</t>
        </is>
      </c>
      <c r="F239" s="152" t="n">
        <v>1</v>
      </c>
      <c r="G239" s="152" t="n">
        <v>8</v>
      </c>
      <c r="H239" s="152" t="n">
        <v>4</v>
      </c>
      <c r="I239" s="152" t="n">
        <v>0</v>
      </c>
      <c r="J239" s="152" t="n">
        <v>0</v>
      </c>
      <c r="K239" s="152" t="n">
        <v>0</v>
      </c>
      <c r="L239" s="152" t="n">
        <v>0</v>
      </c>
      <c r="M239" s="152" t="n">
        <v>0</v>
      </c>
      <c r="N239" s="152" t="n">
        <v>0</v>
      </c>
      <c r="O239" s="152">
        <f>SUM(H239:J239, L239:N239)</f>
        <v/>
      </c>
      <c r="P239" s="153" t="n">
        <v>55000</v>
      </c>
      <c r="Q239" s="152" t="n">
        <v>0</v>
      </c>
      <c r="R239" s="151" t="inlineStr">
        <is>
          <t>Đảm bảo tiến độ sản xuất</t>
        </is>
      </c>
      <c r="S239" s="150" t="inlineStr">
        <is>
          <t>CÓ</t>
        </is>
      </c>
      <c r="T239" s="150" t="inlineStr">
        <is>
          <t>ĐÃ DUYỆT</t>
        </is>
      </c>
      <c r="U239" s="151" t="inlineStr">
        <is>
          <t>Quản Đốc Trần Đức Minh</t>
        </is>
      </c>
      <c r="V239" s="150" t="inlineStr">
        <is>
          <t>2026-09-03 16:30</t>
        </is>
      </c>
      <c r="W239" s="150" t="inlineStr">
        <is>
          <t>CC-202609-NV08-03</t>
        </is>
      </c>
      <c r="X239" s="150">
        <f>IFS(C239="", "THIẾU MÃ NV", COUNTIFS(A:A, A239, C:C, C239)&gt;1, "TRÙNG NHÂN VIÊN/NGÀY", O239&gt;4, "VƯỢT 4 GIỜ/NGÀY", AND(O239&gt;0, S239&lt;&gt;"CÓ"), "CHƯA ĐĂNG KÝ TC", AND(O239&gt;0, T239&lt;&gt;"ĐÃ DUYỆT"), "CHƯA DUYỆT TC", AND(T239="ĐÃ DUYỆT", U239=""), "THIẾU NGƯỜI DUYỆT", TRUE, "HỢP LỆ")</f>
        <v/>
      </c>
    </row>
    <row r="240">
      <c r="A240" s="146" t="inlineStr">
        <is>
          <t>2026-09-03</t>
        </is>
      </c>
      <c r="B240" s="146">
        <f>DATE(YEAR(A240), MONTH(A240), 1)</f>
        <v/>
      </c>
      <c r="C240" s="146" t="inlineStr">
        <is>
          <t>NV10</t>
        </is>
      </c>
      <c r="D240" s="147">
        <f>IFERROR(XLOOKUP(C240, '11_Master_Data'!$A:$A, '11_Master_Data'!$B:$B, "KHÔNG CÓ MÃ NV"), "KHÔNG CÓ MÃ NV")</f>
        <v/>
      </c>
      <c r="E240" s="146" t="inlineStr">
        <is>
          <t>M-OKK3-01</t>
        </is>
      </c>
      <c r="F240" s="148" t="n">
        <v>1</v>
      </c>
      <c r="G240" s="148" t="n">
        <v>8</v>
      </c>
      <c r="H240" s="148" t="n">
        <v>4</v>
      </c>
      <c r="I240" s="148" t="n">
        <v>0</v>
      </c>
      <c r="J240" s="148" t="n">
        <v>0</v>
      </c>
      <c r="K240" s="148" t="n">
        <v>0</v>
      </c>
      <c r="L240" s="148" t="n">
        <v>0</v>
      </c>
      <c r="M240" s="148" t="n">
        <v>0</v>
      </c>
      <c r="N240" s="148" t="n">
        <v>0</v>
      </c>
      <c r="O240" s="148">
        <f>SUM(H240:J240, L240:N240)</f>
        <v/>
      </c>
      <c r="P240" s="149" t="n">
        <v>55000</v>
      </c>
      <c r="Q240" s="148" t="n">
        <v>0</v>
      </c>
      <c r="R240" s="147" t="inlineStr">
        <is>
          <t>Đảm bảo tiến độ sản xuất</t>
        </is>
      </c>
      <c r="S240" s="146" t="inlineStr">
        <is>
          <t>CÓ</t>
        </is>
      </c>
      <c r="T240" s="146" t="inlineStr">
        <is>
          <t>ĐÃ DUYỆT</t>
        </is>
      </c>
      <c r="U240" s="147" t="inlineStr">
        <is>
          <t>Quản Đốc Trần Đức Minh</t>
        </is>
      </c>
      <c r="V240" s="146" t="inlineStr">
        <is>
          <t>2026-09-03 16:30</t>
        </is>
      </c>
      <c r="W240" s="146" t="inlineStr">
        <is>
          <t>CC-202609-NV10-03</t>
        </is>
      </c>
      <c r="X240" s="146">
        <f>IFS(C240="", "THIẾU MÃ NV", COUNTIFS(A:A, A240, C:C, C240)&gt;1, "TRÙNG NHÂN VIÊN/NGÀY", O240&gt;4, "VƯỢT 4 GIỜ/NGÀY", AND(O240&gt;0, S240&lt;&gt;"CÓ"), "CHƯA ĐĂNG KÝ TC", AND(O240&gt;0, T240&lt;&gt;"ĐÃ DUYỆT"), "CHƯA DUYỆT TC", AND(T240="ĐÃ DUYỆT", U240=""), "THIẾU NGƯỜI DUYỆT", TRUE, "HỢP LỆ")</f>
        <v/>
      </c>
    </row>
    <row r="241">
      <c r="A241" s="150" t="inlineStr">
        <is>
          <t>2026-09-03</t>
        </is>
      </c>
      <c r="B241" s="150">
        <f>DATE(YEAR(A241), MONTH(A241), 1)</f>
        <v/>
      </c>
      <c r="C241" s="150" t="inlineStr">
        <is>
          <t>NV11</t>
        </is>
      </c>
      <c r="D241" s="151">
        <f>IFERROR(XLOOKUP(C241, '11_Master_Data'!$A:$A, '11_Master_Data'!$B:$B, "KHÔNG CÓ MÃ NV"), "KHÔNG CÓ MÃ NV")</f>
        <v/>
      </c>
      <c r="E241" s="150" t="inlineStr">
        <is>
          <t>M-PODA-01</t>
        </is>
      </c>
      <c r="F241" s="152" t="n">
        <v>1</v>
      </c>
      <c r="G241" s="152" t="n">
        <v>8</v>
      </c>
      <c r="H241" s="152" t="n">
        <v>4</v>
      </c>
      <c r="I241" s="152" t="n">
        <v>0</v>
      </c>
      <c r="J241" s="152" t="n">
        <v>0</v>
      </c>
      <c r="K241" s="152" t="n">
        <v>0</v>
      </c>
      <c r="L241" s="152" t="n">
        <v>0</v>
      </c>
      <c r="M241" s="152" t="n">
        <v>0</v>
      </c>
      <c r="N241" s="152" t="n">
        <v>0</v>
      </c>
      <c r="O241" s="152">
        <f>SUM(H241:J241, L241:N241)</f>
        <v/>
      </c>
      <c r="P241" s="153" t="n">
        <v>55000</v>
      </c>
      <c r="Q241" s="152" t="n">
        <v>0</v>
      </c>
      <c r="R241" s="151" t="inlineStr">
        <is>
          <t>Đảm bảo tiến độ sản xuất</t>
        </is>
      </c>
      <c r="S241" s="150" t="inlineStr">
        <is>
          <t>CÓ</t>
        </is>
      </c>
      <c r="T241" s="150" t="inlineStr">
        <is>
          <t>ĐÃ DUYỆT</t>
        </is>
      </c>
      <c r="U241" s="151" t="inlineStr">
        <is>
          <t>Quản Đốc Trần Đức Minh</t>
        </is>
      </c>
      <c r="V241" s="150" t="inlineStr">
        <is>
          <t>2026-09-03 16:30</t>
        </is>
      </c>
      <c r="W241" s="150" t="inlineStr">
        <is>
          <t>CC-202609-NV11-03</t>
        </is>
      </c>
      <c r="X241" s="150">
        <f>IFS(C241="", "THIẾU MÃ NV", COUNTIFS(A:A, A241, C:C, C241)&gt;1, "TRÙNG NHÂN VIÊN/NGÀY", O241&gt;4, "VƯỢT 4 GIỜ/NGÀY", AND(O241&gt;0, S241&lt;&gt;"CÓ"), "CHƯA ĐĂNG KÝ TC", AND(O241&gt;0, T241&lt;&gt;"ĐÃ DUYỆT"), "CHƯA DUYỆT TC", AND(T241="ĐÃ DUYỆT", U241=""), "THIẾU NGƯỜI DUYỆT", TRUE, "HỢP LỆ")</f>
        <v/>
      </c>
    </row>
    <row r="242">
      <c r="A242" s="146" t="inlineStr">
        <is>
          <t>2026-09-03</t>
        </is>
      </c>
      <c r="B242" s="146">
        <f>DATE(YEAR(A242), MONTH(A242), 1)</f>
        <v/>
      </c>
      <c r="C242" s="146" t="inlineStr">
        <is>
          <t>NV12</t>
        </is>
      </c>
      <c r="D242" s="147">
        <f>IFERROR(XLOOKUP(C242, '11_Master_Data'!$A:$A, '11_Master_Data'!$B:$B, "KHÔNG CÓ MÃ NV"), "KHÔNG CÓ MÃ NV")</f>
        <v/>
      </c>
      <c r="E242" s="146" t="inlineStr">
        <is>
          <t>M-DK7745-01</t>
        </is>
      </c>
      <c r="F242" s="148" t="n">
        <v>1</v>
      </c>
      <c r="G242" s="148" t="n">
        <v>8</v>
      </c>
      <c r="H242" s="148" t="n">
        <v>4</v>
      </c>
      <c r="I242" s="148" t="n">
        <v>0</v>
      </c>
      <c r="J242" s="148" t="n">
        <v>0</v>
      </c>
      <c r="K242" s="148" t="n">
        <v>0</v>
      </c>
      <c r="L242" s="148" t="n">
        <v>0</v>
      </c>
      <c r="M242" s="148" t="n">
        <v>0</v>
      </c>
      <c r="N242" s="148" t="n">
        <v>0</v>
      </c>
      <c r="O242" s="148">
        <f>SUM(H242:J242, L242:N242)</f>
        <v/>
      </c>
      <c r="P242" s="149" t="n">
        <v>55000</v>
      </c>
      <c r="Q242" s="148" t="n">
        <v>0</v>
      </c>
      <c r="R242" s="147" t="inlineStr">
        <is>
          <t>Đảm bảo tiến độ sản xuất</t>
        </is>
      </c>
      <c r="S242" s="146" t="inlineStr">
        <is>
          <t>CÓ</t>
        </is>
      </c>
      <c r="T242" s="146" t="inlineStr">
        <is>
          <t>ĐÃ DUYỆT</t>
        </is>
      </c>
      <c r="U242" s="147" t="inlineStr">
        <is>
          <t>Quản Đốc Trần Đức Minh</t>
        </is>
      </c>
      <c r="V242" s="146" t="inlineStr">
        <is>
          <t>2026-09-03 16:30</t>
        </is>
      </c>
      <c r="W242" s="146" t="inlineStr">
        <is>
          <t>CC-202609-NV12-03</t>
        </is>
      </c>
      <c r="X242" s="146">
        <f>IFS(C242="", "THIẾU MÃ NV", COUNTIFS(A:A, A242, C:C, C242)&gt;1, "TRÙNG NHÂN VIÊN/NGÀY", O242&gt;4, "VƯỢT 4 GIỜ/NGÀY", AND(O242&gt;0, S242&lt;&gt;"CÓ"), "CHƯA ĐĂNG KÝ TC", AND(O242&gt;0, T242&lt;&gt;"ĐÃ DUYỆT"), "CHƯA DUYỆT TC", AND(T242="ĐÃ DUYỆT", U242=""), "THIẾU NGƯỜI DUYỆT", TRUE, "HỢP LỆ")</f>
        <v/>
      </c>
    </row>
    <row r="243">
      <c r="A243" s="150" t="inlineStr">
        <is>
          <t>2026-09-04</t>
        </is>
      </c>
      <c r="B243" s="150">
        <f>DATE(YEAR(A243), MONTH(A243), 1)</f>
        <v/>
      </c>
      <c r="C243" s="150" t="inlineStr">
        <is>
          <t>NV01</t>
        </is>
      </c>
      <c r="D243" s="151">
        <f>IFERROR(XLOOKUP(C243, '11_Master_Data'!$A:$A, '11_Master_Data'!$B:$B, "KHÔNG CÓ MÃ NV"), "KHÔNG CÓ MÃ NV")</f>
        <v/>
      </c>
      <c r="E243" s="150" t="inlineStr">
        <is>
          <t>M-PCNC2-01</t>
        </is>
      </c>
      <c r="F243" s="152" t="n">
        <v>1</v>
      </c>
      <c r="G243" s="152" t="n">
        <v>8</v>
      </c>
      <c r="H243" s="152" t="n">
        <v>4</v>
      </c>
      <c r="I243" s="152" t="n">
        <v>0</v>
      </c>
      <c r="J243" s="152" t="n">
        <v>0</v>
      </c>
      <c r="K243" s="152" t="n">
        <v>0</v>
      </c>
      <c r="L243" s="152" t="n">
        <v>0</v>
      </c>
      <c r="M243" s="152" t="n">
        <v>0</v>
      </c>
      <c r="N243" s="152" t="n">
        <v>0</v>
      </c>
      <c r="O243" s="152">
        <f>SUM(H243:J243, L243:N243)</f>
        <v/>
      </c>
      <c r="P243" s="153" t="n">
        <v>55000</v>
      </c>
      <c r="Q243" s="152" t="n">
        <v>0</v>
      </c>
      <c r="R243" s="151" t="inlineStr">
        <is>
          <t>Đảm bảo tiến độ sản xuất</t>
        </is>
      </c>
      <c r="S243" s="150" t="inlineStr">
        <is>
          <t>CÓ</t>
        </is>
      </c>
      <c r="T243" s="150" t="inlineStr">
        <is>
          <t>ĐÃ DUYỆT</t>
        </is>
      </c>
      <c r="U243" s="151" t="inlineStr">
        <is>
          <t>Quản Đốc Trần Đức Minh</t>
        </is>
      </c>
      <c r="V243" s="150" t="inlineStr">
        <is>
          <t>2026-09-04 16:30</t>
        </is>
      </c>
      <c r="W243" s="150" t="inlineStr">
        <is>
          <t>CC-202609-NV01-04</t>
        </is>
      </c>
      <c r="X243" s="150">
        <f>IFS(C243="", "THIẾU MÃ NV", COUNTIFS(A:A, A243, C:C, C243)&gt;1, "TRÙNG NHÂN VIÊN/NGÀY", O243&gt;4, "VƯỢT 4 GIỜ/NGÀY", AND(O243&gt;0, S243&lt;&gt;"CÓ"), "CHƯA ĐĂNG KÝ TC", AND(O243&gt;0, T243&lt;&gt;"ĐÃ DUYỆT"), "CHƯA DUYỆT TC", AND(T243="ĐÃ DUYỆT", U243=""), "THIẾU NGƯỜI DUYỆT", TRUE, "HỢP LỆ")</f>
        <v/>
      </c>
    </row>
    <row r="244">
      <c r="A244" s="146" t="inlineStr">
        <is>
          <t>2026-09-04</t>
        </is>
      </c>
      <c r="B244" s="146">
        <f>DATE(YEAR(A244), MONTH(A244), 1)</f>
        <v/>
      </c>
      <c r="C244" s="146" t="inlineStr">
        <is>
          <t>NV02</t>
        </is>
      </c>
      <c r="D244" s="147">
        <f>IFERROR(XLOOKUP(C244, '11_Master_Data'!$A:$A, '11_Master_Data'!$B:$B, "KHÔNG CÓ MÃ NV"), "KHÔNG CÓ MÃ NV")</f>
        <v/>
      </c>
      <c r="E244" s="146" t="inlineStr">
        <is>
          <t>M-DK7780-01</t>
        </is>
      </c>
      <c r="F244" s="148" t="n">
        <v>1</v>
      </c>
      <c r="G244" s="148" t="n">
        <v>8</v>
      </c>
      <c r="H244" s="148" t="n">
        <v>4</v>
      </c>
      <c r="I244" s="148" t="n">
        <v>0</v>
      </c>
      <c r="J244" s="148" t="n">
        <v>0</v>
      </c>
      <c r="K244" s="148" t="n">
        <v>0</v>
      </c>
      <c r="L244" s="148" t="n">
        <v>0</v>
      </c>
      <c r="M244" s="148" t="n">
        <v>0</v>
      </c>
      <c r="N244" s="148" t="n">
        <v>0</v>
      </c>
      <c r="O244" s="148">
        <f>SUM(H244:J244, L244:N244)</f>
        <v/>
      </c>
      <c r="P244" s="149" t="n">
        <v>55000</v>
      </c>
      <c r="Q244" s="148" t="n">
        <v>0</v>
      </c>
      <c r="R244" s="147" t="inlineStr">
        <is>
          <t>Đảm bảo tiến độ sản xuất</t>
        </is>
      </c>
      <c r="S244" s="146" t="inlineStr">
        <is>
          <t>CÓ</t>
        </is>
      </c>
      <c r="T244" s="146" t="inlineStr">
        <is>
          <t>ĐÃ DUYỆT</t>
        </is>
      </c>
      <c r="U244" s="147" t="inlineStr">
        <is>
          <t>Quản Đốc Trần Đức Minh</t>
        </is>
      </c>
      <c r="V244" s="146" t="inlineStr">
        <is>
          <t>2026-09-04 16:30</t>
        </is>
      </c>
      <c r="W244" s="146" t="inlineStr">
        <is>
          <t>CC-202609-NV02-04</t>
        </is>
      </c>
      <c r="X244" s="146">
        <f>IFS(C244="", "THIẾU MÃ NV", COUNTIFS(A:A, A244, C:C, C244)&gt;1, "TRÙNG NHÂN VIÊN/NGÀY", O244&gt;4, "VƯỢT 4 GIỜ/NGÀY", AND(O244&gt;0, S244&lt;&gt;"CÓ"), "CHƯA ĐĂNG KÝ TC", AND(O244&gt;0, T244&lt;&gt;"ĐÃ DUYỆT"), "CHƯA DUYỆT TC", AND(T244="ĐÃ DUYỆT", U244=""), "THIẾU NGƯỜI DUYỆT", TRUE, "HỢP LỆ")</f>
        <v/>
      </c>
    </row>
    <row r="245">
      <c r="A245" s="150" t="inlineStr">
        <is>
          <t>2026-09-04</t>
        </is>
      </c>
      <c r="B245" s="150">
        <f>DATE(YEAR(A245), MONTH(A245), 1)</f>
        <v/>
      </c>
      <c r="C245" s="150" t="inlineStr">
        <is>
          <t>NV03</t>
        </is>
      </c>
      <c r="D245" s="151">
        <f>IFERROR(XLOOKUP(C245, '11_Master_Data'!$A:$A, '11_Master_Data'!$B:$B, "KHÔNG CÓ MÃ NV"), "KHÔNG CÓ MÃ NV")</f>
        <v/>
      </c>
      <c r="E245" s="150" t="inlineStr">
        <is>
          <t>M-FUJI-01</t>
        </is>
      </c>
      <c r="F245" s="152" t="n">
        <v>1</v>
      </c>
      <c r="G245" s="152" t="n">
        <v>8</v>
      </c>
      <c r="H245" s="152" t="n">
        <v>0</v>
      </c>
      <c r="I245" s="152" t="n">
        <v>0</v>
      </c>
      <c r="J245" s="152" t="n">
        <v>0</v>
      </c>
      <c r="K245" s="152" t="n">
        <v>0</v>
      </c>
      <c r="L245" s="152" t="n">
        <v>0</v>
      </c>
      <c r="M245" s="152" t="n">
        <v>0</v>
      </c>
      <c r="N245" s="152" t="n">
        <v>0</v>
      </c>
      <c r="O245" s="152">
        <f>SUM(H245:J245, L245:N245)</f>
        <v/>
      </c>
      <c r="P245" s="153" t="n">
        <v>30000</v>
      </c>
      <c r="Q245" s="152" t="n">
        <v>0</v>
      </c>
      <c r="R245" s="151" t="inlineStr"/>
      <c r="S245" s="150" t="inlineStr">
        <is>
          <t>KHÔNG</t>
        </is>
      </c>
      <c r="T245" s="150" t="inlineStr">
        <is>
          <t>ĐÃ DUYỆT</t>
        </is>
      </c>
      <c r="U245" s="151" t="inlineStr">
        <is>
          <t>Quản Đốc Trần Đức Minh</t>
        </is>
      </c>
      <c r="V245" s="150" t="inlineStr">
        <is>
          <t>2026-09-04 16:30</t>
        </is>
      </c>
      <c r="W245" s="150" t="inlineStr">
        <is>
          <t>CC-202609-NV03-04</t>
        </is>
      </c>
      <c r="X245" s="150">
        <f>IFS(C245="", "THIẾU MÃ NV", COUNTIFS(A:A, A245, C:C, C245)&gt;1, "TRÙNG NHÂN VIÊN/NGÀY", O245&gt;4, "VƯỢT 4 GIỜ/NGÀY", AND(O245&gt;0, S245&lt;&gt;"CÓ"), "CHƯA ĐĂNG KÝ TC", AND(O245&gt;0, T245&lt;&gt;"ĐÃ DUYỆT"), "CHƯA DUYỆT TC", AND(T245="ĐÃ DUYỆT", U245=""), "THIẾU NGƯỜI DUYỆT", TRUE, "HỢP LỆ")</f>
        <v/>
      </c>
    </row>
    <row r="246">
      <c r="A246" s="146" t="inlineStr">
        <is>
          <t>2026-09-04</t>
        </is>
      </c>
      <c r="B246" s="146">
        <f>DATE(YEAR(A246), MONTH(A246), 1)</f>
        <v/>
      </c>
      <c r="C246" s="146" t="inlineStr">
        <is>
          <t>NV04</t>
        </is>
      </c>
      <c r="D246" s="147">
        <f>IFERROR(XLOOKUP(C246, '11_Master_Data'!$A:$A, '11_Master_Data'!$B:$B, "KHÔNG CÓ MÃ NV"), "KHÔNG CÓ MÃ NV")</f>
        <v/>
      </c>
      <c r="E246" s="146" t="inlineStr">
        <is>
          <t>M-FUJI-01</t>
        </is>
      </c>
      <c r="F246" s="148" t="n">
        <v>1</v>
      </c>
      <c r="G246" s="148" t="n">
        <v>8</v>
      </c>
      <c r="H246" s="148" t="n">
        <v>4</v>
      </c>
      <c r="I246" s="148" t="n">
        <v>0</v>
      </c>
      <c r="J246" s="148" t="n">
        <v>0</v>
      </c>
      <c r="K246" s="148" t="n">
        <v>0</v>
      </c>
      <c r="L246" s="148" t="n">
        <v>0</v>
      </c>
      <c r="M246" s="148" t="n">
        <v>0</v>
      </c>
      <c r="N246" s="148" t="n">
        <v>0</v>
      </c>
      <c r="O246" s="148">
        <f>SUM(H246:J246, L246:N246)</f>
        <v/>
      </c>
      <c r="P246" s="149" t="n">
        <v>55000</v>
      </c>
      <c r="Q246" s="148" t="n">
        <v>0</v>
      </c>
      <c r="R246" s="147" t="inlineStr">
        <is>
          <t>Đảm bảo tiến độ sản xuất</t>
        </is>
      </c>
      <c r="S246" s="146" t="inlineStr">
        <is>
          <t>CÓ</t>
        </is>
      </c>
      <c r="T246" s="146" t="inlineStr">
        <is>
          <t>ĐÃ DUYỆT</t>
        </is>
      </c>
      <c r="U246" s="147" t="inlineStr">
        <is>
          <t>Quản Đốc Trần Đức Minh</t>
        </is>
      </c>
      <c r="V246" s="146" t="inlineStr">
        <is>
          <t>2026-09-04 16:30</t>
        </is>
      </c>
      <c r="W246" s="146" t="inlineStr">
        <is>
          <t>CC-202609-NV04-04</t>
        </is>
      </c>
      <c r="X246" s="146">
        <f>IFS(C246="", "THIẾU MÃ NV", COUNTIFS(A:A, A246, C:C, C246)&gt;1, "TRÙNG NHÂN VIÊN/NGÀY", O246&gt;4, "VƯỢT 4 GIỜ/NGÀY", AND(O246&gt;0, S246&lt;&gt;"CÓ"), "CHƯA ĐĂNG KÝ TC", AND(O246&gt;0, T246&lt;&gt;"ĐÃ DUYỆT"), "CHƯA DUYỆT TC", AND(T246="ĐÃ DUYỆT", U246=""), "THIẾU NGƯỜI DUYỆT", TRUE, "HỢP LỆ")</f>
        <v/>
      </c>
    </row>
    <row r="247">
      <c r="A247" s="150" t="inlineStr">
        <is>
          <t>2026-09-04</t>
        </is>
      </c>
      <c r="B247" s="150">
        <f>DATE(YEAR(A247), MONTH(A247), 1)</f>
        <v/>
      </c>
      <c r="C247" s="150" t="inlineStr">
        <is>
          <t>NV06</t>
        </is>
      </c>
      <c r="D247" s="151">
        <f>IFERROR(XLOOKUP(C247, '11_Master_Data'!$A:$A, '11_Master_Data'!$B:$B, "KHÔNG CÓ MÃ NV"), "KHÔNG CÓ MÃ NV")</f>
        <v/>
      </c>
      <c r="E247" s="150" t="inlineStr">
        <is>
          <t>M-FUJI-01</t>
        </is>
      </c>
      <c r="F247" s="152" t="n">
        <v>1</v>
      </c>
      <c r="G247" s="152" t="n">
        <v>8</v>
      </c>
      <c r="H247" s="152" t="n">
        <v>4</v>
      </c>
      <c r="I247" s="152" t="n">
        <v>0</v>
      </c>
      <c r="J247" s="152" t="n">
        <v>0</v>
      </c>
      <c r="K247" s="152" t="n">
        <v>0</v>
      </c>
      <c r="L247" s="152" t="n">
        <v>0</v>
      </c>
      <c r="M247" s="152" t="n">
        <v>0</v>
      </c>
      <c r="N247" s="152" t="n">
        <v>0</v>
      </c>
      <c r="O247" s="152">
        <f>SUM(H247:J247, L247:N247)</f>
        <v/>
      </c>
      <c r="P247" s="153" t="n">
        <v>55000</v>
      </c>
      <c r="Q247" s="152" t="n">
        <v>0</v>
      </c>
      <c r="R247" s="151" t="inlineStr">
        <is>
          <t>Đảm bảo tiến độ sản xuất</t>
        </is>
      </c>
      <c r="S247" s="150" t="inlineStr">
        <is>
          <t>CÓ</t>
        </is>
      </c>
      <c r="T247" s="150" t="inlineStr">
        <is>
          <t>ĐÃ DUYỆT</t>
        </is>
      </c>
      <c r="U247" s="151" t="inlineStr">
        <is>
          <t>Quản Đốc Trần Đức Minh</t>
        </is>
      </c>
      <c r="V247" s="150" t="inlineStr">
        <is>
          <t>2026-09-04 16:30</t>
        </is>
      </c>
      <c r="W247" s="150" t="inlineStr">
        <is>
          <t>CC-202609-NV06-04</t>
        </is>
      </c>
      <c r="X247" s="150">
        <f>IFS(C247="", "THIẾU MÃ NV", COUNTIFS(A:A, A247, C:C, C247)&gt;1, "TRÙNG NHÂN VIÊN/NGÀY", O247&gt;4, "VƯỢT 4 GIỜ/NGÀY", AND(O247&gt;0, S247&lt;&gt;"CÓ"), "CHƯA ĐĂNG KÝ TC", AND(O247&gt;0, T247&lt;&gt;"ĐÃ DUYỆT"), "CHƯA DUYỆT TC", AND(T247="ĐÃ DUYỆT", U247=""), "THIẾU NGƯỜI DUYỆT", TRUE, "HỢP LỆ")</f>
        <v/>
      </c>
    </row>
    <row r="248">
      <c r="A248" s="146" t="inlineStr">
        <is>
          <t>2026-09-04</t>
        </is>
      </c>
      <c r="B248" s="146">
        <f>DATE(YEAR(A248), MONTH(A248), 1)</f>
        <v/>
      </c>
      <c r="C248" s="146" t="inlineStr">
        <is>
          <t>NV07</t>
        </is>
      </c>
      <c r="D248" s="147">
        <f>IFERROR(XLOOKUP(C248, '11_Master_Data'!$A:$A, '11_Master_Data'!$B:$B, "KHÔNG CÓ MÃ NV"), "KHÔNG CÓ MÃ NV")</f>
        <v/>
      </c>
      <c r="E248" s="146" t="inlineStr">
        <is>
          <t>M-OKK1-01</t>
        </is>
      </c>
      <c r="F248" s="148" t="n">
        <v>1</v>
      </c>
      <c r="G248" s="148" t="n">
        <v>8</v>
      </c>
      <c r="H248" s="148" t="n">
        <v>4</v>
      </c>
      <c r="I248" s="148" t="n">
        <v>0</v>
      </c>
      <c r="J248" s="148" t="n">
        <v>0</v>
      </c>
      <c r="K248" s="148" t="n">
        <v>0</v>
      </c>
      <c r="L248" s="148" t="n">
        <v>0</v>
      </c>
      <c r="M248" s="148" t="n">
        <v>0</v>
      </c>
      <c r="N248" s="148" t="n">
        <v>0</v>
      </c>
      <c r="O248" s="148">
        <f>SUM(H248:J248, L248:N248)</f>
        <v/>
      </c>
      <c r="P248" s="149" t="n">
        <v>55000</v>
      </c>
      <c r="Q248" s="148" t="n">
        <v>0</v>
      </c>
      <c r="R248" s="147" t="inlineStr">
        <is>
          <t>Đảm bảo tiến độ sản xuất</t>
        </is>
      </c>
      <c r="S248" s="146" t="inlineStr">
        <is>
          <t>CÓ</t>
        </is>
      </c>
      <c r="T248" s="146" t="inlineStr">
        <is>
          <t>ĐÃ DUYỆT</t>
        </is>
      </c>
      <c r="U248" s="147" t="inlineStr">
        <is>
          <t>Quản Đốc Trần Đức Minh</t>
        </is>
      </c>
      <c r="V248" s="146" t="inlineStr">
        <is>
          <t>2026-09-04 16:30</t>
        </is>
      </c>
      <c r="W248" s="146" t="inlineStr">
        <is>
          <t>CC-202609-NV07-04</t>
        </is>
      </c>
      <c r="X248" s="146">
        <f>IFS(C248="", "THIẾU MÃ NV", COUNTIFS(A:A, A248, C:C, C248)&gt;1, "TRÙNG NHÂN VIÊN/NGÀY", O248&gt;4, "VƯỢT 4 GIỜ/NGÀY", AND(O248&gt;0, S248&lt;&gt;"CÓ"), "CHƯA ĐĂNG KÝ TC", AND(O248&gt;0, T248&lt;&gt;"ĐÃ DUYỆT"), "CHƯA DUYỆT TC", AND(T248="ĐÃ DUYỆT", U248=""), "THIẾU NGƯỜI DUYỆT", TRUE, "HỢP LỆ")</f>
        <v/>
      </c>
    </row>
    <row r="249">
      <c r="A249" s="150" t="inlineStr">
        <is>
          <t>2026-09-04</t>
        </is>
      </c>
      <c r="B249" s="150">
        <f>DATE(YEAR(A249), MONTH(A249), 1)</f>
        <v/>
      </c>
      <c r="C249" s="150" t="inlineStr">
        <is>
          <t>NV08</t>
        </is>
      </c>
      <c r="D249" s="151">
        <f>IFERROR(XLOOKUP(C249, '11_Master_Data'!$A:$A, '11_Master_Data'!$B:$B, "KHÔNG CÓ MÃ NV"), "KHÔNG CÓ MÃ NV")</f>
        <v/>
      </c>
      <c r="E249" s="150" t="inlineStr">
        <is>
          <t>M-PCNC1-01</t>
        </is>
      </c>
      <c r="F249" s="152" t="n">
        <v>1</v>
      </c>
      <c r="G249" s="152" t="n">
        <v>8</v>
      </c>
      <c r="H249" s="152" t="n">
        <v>4</v>
      </c>
      <c r="I249" s="152" t="n">
        <v>0</v>
      </c>
      <c r="J249" s="152" t="n">
        <v>0</v>
      </c>
      <c r="K249" s="152" t="n">
        <v>0</v>
      </c>
      <c r="L249" s="152" t="n">
        <v>0</v>
      </c>
      <c r="M249" s="152" t="n">
        <v>0</v>
      </c>
      <c r="N249" s="152" t="n">
        <v>0</v>
      </c>
      <c r="O249" s="152">
        <f>SUM(H249:J249, L249:N249)</f>
        <v/>
      </c>
      <c r="P249" s="153" t="n">
        <v>55000</v>
      </c>
      <c r="Q249" s="152" t="n">
        <v>0</v>
      </c>
      <c r="R249" s="151" t="inlineStr">
        <is>
          <t>Đảm bảo tiến độ sản xuất</t>
        </is>
      </c>
      <c r="S249" s="150" t="inlineStr">
        <is>
          <t>CÓ</t>
        </is>
      </c>
      <c r="T249" s="150" t="inlineStr">
        <is>
          <t>ĐÃ DUYỆT</t>
        </is>
      </c>
      <c r="U249" s="151" t="inlineStr">
        <is>
          <t>Quản Đốc Trần Đức Minh</t>
        </is>
      </c>
      <c r="V249" s="150" t="inlineStr">
        <is>
          <t>2026-09-04 16:30</t>
        </is>
      </c>
      <c r="W249" s="150" t="inlineStr">
        <is>
          <t>CC-202609-NV08-04</t>
        </is>
      </c>
      <c r="X249" s="150">
        <f>IFS(C249="", "THIẾU MÃ NV", COUNTIFS(A:A, A249, C:C, C249)&gt;1, "TRÙNG NHÂN VIÊN/NGÀY", O249&gt;4, "VƯỢT 4 GIỜ/NGÀY", AND(O249&gt;0, S249&lt;&gt;"CÓ"), "CHƯA ĐĂNG KÝ TC", AND(O249&gt;0, T249&lt;&gt;"ĐÃ DUYỆT"), "CHƯA DUYỆT TC", AND(T249="ĐÃ DUYỆT", U249=""), "THIẾU NGƯỜI DUYỆT", TRUE, "HỢP LỆ")</f>
        <v/>
      </c>
    </row>
    <row r="250">
      <c r="A250" s="146" t="inlineStr">
        <is>
          <t>2026-09-04</t>
        </is>
      </c>
      <c r="B250" s="146">
        <f>DATE(YEAR(A250), MONTH(A250), 1)</f>
        <v/>
      </c>
      <c r="C250" s="146" t="inlineStr">
        <is>
          <t>NV10</t>
        </is>
      </c>
      <c r="D250" s="147">
        <f>IFERROR(XLOOKUP(C250, '11_Master_Data'!$A:$A, '11_Master_Data'!$B:$B, "KHÔNG CÓ MÃ NV"), "KHÔNG CÓ MÃ NV")</f>
        <v/>
      </c>
      <c r="E250" s="146" t="inlineStr">
        <is>
          <t>M-OKK2-01</t>
        </is>
      </c>
      <c r="F250" s="148" t="n">
        <v>1</v>
      </c>
      <c r="G250" s="148" t="n">
        <v>8</v>
      </c>
      <c r="H250" s="148" t="n">
        <v>4</v>
      </c>
      <c r="I250" s="148" t="n">
        <v>0</v>
      </c>
      <c r="J250" s="148" t="n">
        <v>0</v>
      </c>
      <c r="K250" s="148" t="n">
        <v>0</v>
      </c>
      <c r="L250" s="148" t="n">
        <v>0</v>
      </c>
      <c r="M250" s="148" t="n">
        <v>0</v>
      </c>
      <c r="N250" s="148" t="n">
        <v>0</v>
      </c>
      <c r="O250" s="148">
        <f>SUM(H250:J250, L250:N250)</f>
        <v/>
      </c>
      <c r="P250" s="149" t="n">
        <v>55000</v>
      </c>
      <c r="Q250" s="148" t="n">
        <v>0</v>
      </c>
      <c r="R250" s="147" t="inlineStr">
        <is>
          <t>Đảm bảo tiến độ sản xuất</t>
        </is>
      </c>
      <c r="S250" s="146" t="inlineStr">
        <is>
          <t>CÓ</t>
        </is>
      </c>
      <c r="T250" s="146" t="inlineStr">
        <is>
          <t>ĐÃ DUYỆT</t>
        </is>
      </c>
      <c r="U250" s="147" t="inlineStr">
        <is>
          <t>Quản Đốc Trần Đức Minh</t>
        </is>
      </c>
      <c r="V250" s="146" t="inlineStr">
        <is>
          <t>2026-09-04 16:30</t>
        </is>
      </c>
      <c r="W250" s="146" t="inlineStr">
        <is>
          <t>CC-202609-NV10-04</t>
        </is>
      </c>
      <c r="X250" s="146">
        <f>IFS(C250="", "THIẾU MÃ NV", COUNTIFS(A:A, A250, C:C, C250)&gt;1, "TRÙNG NHÂN VIÊN/NGÀY", O250&gt;4, "VƯỢT 4 GIỜ/NGÀY", AND(O250&gt;0, S250&lt;&gt;"CÓ"), "CHƯA ĐĂNG KÝ TC", AND(O250&gt;0, T250&lt;&gt;"ĐÃ DUYỆT"), "CHƯA DUYỆT TC", AND(T250="ĐÃ DUYỆT", U250=""), "THIẾU NGƯỜI DUYỆT", TRUE, "HỢP LỆ")</f>
        <v/>
      </c>
    </row>
    <row r="251">
      <c r="A251" s="150" t="inlineStr">
        <is>
          <t>2026-09-04</t>
        </is>
      </c>
      <c r="B251" s="150">
        <f>DATE(YEAR(A251), MONTH(A251), 1)</f>
        <v/>
      </c>
      <c r="C251" s="150" t="inlineStr">
        <is>
          <t>NV11</t>
        </is>
      </c>
      <c r="D251" s="151">
        <f>IFERROR(XLOOKUP(C251, '11_Master_Data'!$A:$A, '11_Master_Data'!$B:$B, "KHÔNG CÓ MÃ NV"), "KHÔNG CÓ MÃ NV")</f>
        <v/>
      </c>
      <c r="E251" s="150" t="inlineStr">
        <is>
          <t>M-FUJI-01</t>
        </is>
      </c>
      <c r="F251" s="152" t="n">
        <v>1</v>
      </c>
      <c r="G251" s="152" t="n">
        <v>8</v>
      </c>
      <c r="H251" s="152" t="n">
        <v>4</v>
      </c>
      <c r="I251" s="152" t="n">
        <v>0</v>
      </c>
      <c r="J251" s="152" t="n">
        <v>0</v>
      </c>
      <c r="K251" s="152" t="n">
        <v>0</v>
      </c>
      <c r="L251" s="152" t="n">
        <v>0</v>
      </c>
      <c r="M251" s="152" t="n">
        <v>0</v>
      </c>
      <c r="N251" s="152" t="n">
        <v>0</v>
      </c>
      <c r="O251" s="152">
        <f>SUM(H251:J251, L251:N251)</f>
        <v/>
      </c>
      <c r="P251" s="153" t="n">
        <v>55000</v>
      </c>
      <c r="Q251" s="152" t="n">
        <v>0</v>
      </c>
      <c r="R251" s="151" t="inlineStr">
        <is>
          <t>Đảm bảo tiến độ sản xuất</t>
        </is>
      </c>
      <c r="S251" s="150" t="inlineStr">
        <is>
          <t>CÓ</t>
        </is>
      </c>
      <c r="T251" s="150" t="inlineStr">
        <is>
          <t>ĐÃ DUYỆT</t>
        </is>
      </c>
      <c r="U251" s="151" t="inlineStr">
        <is>
          <t>Quản Đốc Trần Đức Minh</t>
        </is>
      </c>
      <c r="V251" s="150" t="inlineStr">
        <is>
          <t>2026-09-04 16:30</t>
        </is>
      </c>
      <c r="W251" s="150" t="inlineStr">
        <is>
          <t>CC-202609-NV11-04</t>
        </is>
      </c>
      <c r="X251" s="150">
        <f>IFS(C251="", "THIẾU MÃ NV", COUNTIFS(A:A, A251, C:C, C251)&gt;1, "TRÙNG NHÂN VIÊN/NGÀY", O251&gt;4, "VƯỢT 4 GIỜ/NGÀY", AND(O251&gt;0, S251&lt;&gt;"CÓ"), "CHƯA ĐĂNG KÝ TC", AND(O251&gt;0, T251&lt;&gt;"ĐÃ DUYỆT"), "CHƯA DUYỆT TC", AND(T251="ĐÃ DUYỆT", U251=""), "THIẾU NGƯỜI DUYỆT", TRUE, "HỢP LỆ")</f>
        <v/>
      </c>
    </row>
    <row r="252">
      <c r="A252" s="146" t="inlineStr">
        <is>
          <t>2026-09-04</t>
        </is>
      </c>
      <c r="B252" s="146">
        <f>DATE(YEAR(A252), MONTH(A252), 1)</f>
        <v/>
      </c>
      <c r="C252" s="146" t="inlineStr">
        <is>
          <t>NV12</t>
        </is>
      </c>
      <c r="D252" s="147">
        <f>IFERROR(XLOOKUP(C252, '11_Master_Data'!$A:$A, '11_Master_Data'!$B:$B, "KHÔNG CÓ MÃ NV"), "KHÔNG CÓ MÃ NV")</f>
        <v/>
      </c>
      <c r="E252" s="146" t="inlineStr">
        <is>
          <t>M-DK7745-01</t>
        </is>
      </c>
      <c r="F252" s="148" t="n">
        <v>1</v>
      </c>
      <c r="G252" s="148" t="n">
        <v>8</v>
      </c>
      <c r="H252" s="148" t="n">
        <v>4</v>
      </c>
      <c r="I252" s="148" t="n">
        <v>0</v>
      </c>
      <c r="J252" s="148" t="n">
        <v>0</v>
      </c>
      <c r="K252" s="148" t="n">
        <v>0</v>
      </c>
      <c r="L252" s="148" t="n">
        <v>0</v>
      </c>
      <c r="M252" s="148" t="n">
        <v>0</v>
      </c>
      <c r="N252" s="148" t="n">
        <v>0</v>
      </c>
      <c r="O252" s="148">
        <f>SUM(H252:J252, L252:N252)</f>
        <v/>
      </c>
      <c r="P252" s="149" t="n">
        <v>55000</v>
      </c>
      <c r="Q252" s="148" t="n">
        <v>0</v>
      </c>
      <c r="R252" s="147" t="inlineStr">
        <is>
          <t>Đảm bảo tiến độ sản xuất</t>
        </is>
      </c>
      <c r="S252" s="146" t="inlineStr">
        <is>
          <t>CÓ</t>
        </is>
      </c>
      <c r="T252" s="146" t="inlineStr">
        <is>
          <t>ĐÃ DUYỆT</t>
        </is>
      </c>
      <c r="U252" s="147" t="inlineStr">
        <is>
          <t>Quản Đốc Trần Đức Minh</t>
        </is>
      </c>
      <c r="V252" s="146" t="inlineStr">
        <is>
          <t>2026-09-04 16:30</t>
        </is>
      </c>
      <c r="W252" s="146" t="inlineStr">
        <is>
          <t>CC-202609-NV12-04</t>
        </is>
      </c>
      <c r="X252" s="146">
        <f>IFS(C252="", "THIẾU MÃ NV", COUNTIFS(A:A, A252, C:C, C252)&gt;1, "TRÙNG NHÂN VIÊN/NGÀY", O252&gt;4, "VƯỢT 4 GIỜ/NGÀY", AND(O252&gt;0, S252&lt;&gt;"CÓ"), "CHƯA ĐĂNG KÝ TC", AND(O252&gt;0, T252&lt;&gt;"ĐÃ DUYỆT"), "CHƯA DUYỆT TC", AND(T252="ĐÃ DUYỆT", U252=""), "THIẾU NGƯỜI DUYỆT", TRUE, "HỢP LỆ")</f>
        <v/>
      </c>
    </row>
    <row r="253">
      <c r="A253" s="150" t="inlineStr">
        <is>
          <t>2026-09-05</t>
        </is>
      </c>
      <c r="B253" s="150">
        <f>DATE(YEAR(A253), MONTH(A253), 1)</f>
        <v/>
      </c>
      <c r="C253" s="150" t="inlineStr">
        <is>
          <t>NV01</t>
        </is>
      </c>
      <c r="D253" s="151">
        <f>IFERROR(XLOOKUP(C253, '11_Master_Data'!$A:$A, '11_Master_Data'!$B:$B, "KHÔNG CÓ MÃ NV"), "KHÔNG CÓ MÃ NV")</f>
        <v/>
      </c>
      <c r="E253" s="150" t="inlineStr">
        <is>
          <t>M-PCNC1-01</t>
        </is>
      </c>
      <c r="F253" s="152" t="n">
        <v>1</v>
      </c>
      <c r="G253" s="152" t="n">
        <v>8</v>
      </c>
      <c r="H253" s="152" t="n">
        <v>4</v>
      </c>
      <c r="I253" s="152" t="n">
        <v>0</v>
      </c>
      <c r="J253" s="152" t="n">
        <v>0</v>
      </c>
      <c r="K253" s="152" t="n">
        <v>0</v>
      </c>
      <c r="L253" s="152" t="n">
        <v>0</v>
      </c>
      <c r="M253" s="152" t="n">
        <v>0</v>
      </c>
      <c r="N253" s="152" t="n">
        <v>0</v>
      </c>
      <c r="O253" s="152">
        <f>SUM(H253:J253, L253:N253)</f>
        <v/>
      </c>
      <c r="P253" s="153" t="n">
        <v>55000</v>
      </c>
      <c r="Q253" s="152" t="n">
        <v>0</v>
      </c>
      <c r="R253" s="151" t="inlineStr">
        <is>
          <t>Đảm bảo tiến độ sản xuất</t>
        </is>
      </c>
      <c r="S253" s="150" t="inlineStr">
        <is>
          <t>CÓ</t>
        </is>
      </c>
      <c r="T253" s="150" t="inlineStr">
        <is>
          <t>ĐÃ DUYỆT</t>
        </is>
      </c>
      <c r="U253" s="151" t="inlineStr">
        <is>
          <t>Quản Đốc Trần Đức Minh</t>
        </is>
      </c>
      <c r="V253" s="150" t="inlineStr">
        <is>
          <t>2026-09-05 16:30</t>
        </is>
      </c>
      <c r="W253" s="150" t="inlineStr">
        <is>
          <t>CC-202609-NV01-05</t>
        </is>
      </c>
      <c r="X253" s="150">
        <f>IFS(C253="", "THIẾU MÃ NV", COUNTIFS(A:A, A253, C:C, C253)&gt;1, "TRÙNG NHÂN VIÊN/NGÀY", O253&gt;4, "VƯỢT 4 GIỜ/NGÀY", AND(O253&gt;0, S253&lt;&gt;"CÓ"), "CHƯA ĐĂNG KÝ TC", AND(O253&gt;0, T253&lt;&gt;"ĐÃ DUYỆT"), "CHƯA DUYỆT TC", AND(T253="ĐÃ DUYỆT", U253=""), "THIẾU NGƯỜI DUYỆT", TRUE, "HỢP LỆ")</f>
        <v/>
      </c>
    </row>
    <row r="254">
      <c r="A254" s="146" t="inlineStr">
        <is>
          <t>2026-09-05</t>
        </is>
      </c>
      <c r="B254" s="146">
        <f>DATE(YEAR(A254), MONTH(A254), 1)</f>
        <v/>
      </c>
      <c r="C254" s="146" t="inlineStr">
        <is>
          <t>NV02</t>
        </is>
      </c>
      <c r="D254" s="147">
        <f>IFERROR(XLOOKUP(C254, '11_Master_Data'!$A:$A, '11_Master_Data'!$B:$B, "KHÔNG CÓ MÃ NV"), "KHÔNG CÓ MÃ NV")</f>
        <v/>
      </c>
      <c r="E254" s="146" t="inlineStr">
        <is>
          <t>M-DK7780-01</t>
        </is>
      </c>
      <c r="F254" s="148" t="n">
        <v>1</v>
      </c>
      <c r="G254" s="148" t="n">
        <v>8</v>
      </c>
      <c r="H254" s="148" t="n">
        <v>4</v>
      </c>
      <c r="I254" s="148" t="n">
        <v>0</v>
      </c>
      <c r="J254" s="148" t="n">
        <v>0</v>
      </c>
      <c r="K254" s="148" t="n">
        <v>0</v>
      </c>
      <c r="L254" s="148" t="n">
        <v>0</v>
      </c>
      <c r="M254" s="148" t="n">
        <v>0</v>
      </c>
      <c r="N254" s="148" t="n">
        <v>0</v>
      </c>
      <c r="O254" s="148">
        <f>SUM(H254:J254, L254:N254)</f>
        <v/>
      </c>
      <c r="P254" s="149" t="n">
        <v>55000</v>
      </c>
      <c r="Q254" s="148" t="n">
        <v>0</v>
      </c>
      <c r="R254" s="147" t="inlineStr">
        <is>
          <t>Đảm bảo tiến độ sản xuất</t>
        </is>
      </c>
      <c r="S254" s="146" t="inlineStr">
        <is>
          <t>CÓ</t>
        </is>
      </c>
      <c r="T254" s="146" t="inlineStr">
        <is>
          <t>ĐÃ DUYỆT</t>
        </is>
      </c>
      <c r="U254" s="147" t="inlineStr">
        <is>
          <t>Quản Đốc Trần Đức Minh</t>
        </is>
      </c>
      <c r="V254" s="146" t="inlineStr">
        <is>
          <t>2026-09-05 16:30</t>
        </is>
      </c>
      <c r="W254" s="146" t="inlineStr">
        <is>
          <t>CC-202609-NV02-05</t>
        </is>
      </c>
      <c r="X254" s="146">
        <f>IFS(C254="", "THIẾU MÃ NV", COUNTIFS(A:A, A254, C:C, C254)&gt;1, "TRÙNG NHÂN VIÊN/NGÀY", O254&gt;4, "VƯỢT 4 GIỜ/NGÀY", AND(O254&gt;0, S254&lt;&gt;"CÓ"), "CHƯA ĐĂNG KÝ TC", AND(O254&gt;0, T254&lt;&gt;"ĐÃ DUYỆT"), "CHƯA DUYỆT TC", AND(T254="ĐÃ DUYỆT", U254=""), "THIẾU NGƯỜI DUYỆT", TRUE, "HỢP LỆ")</f>
        <v/>
      </c>
    </row>
    <row r="255">
      <c r="A255" s="150" t="inlineStr">
        <is>
          <t>2026-09-05</t>
        </is>
      </c>
      <c r="B255" s="150">
        <f>DATE(YEAR(A255), MONTH(A255), 1)</f>
        <v/>
      </c>
      <c r="C255" s="150" t="inlineStr">
        <is>
          <t>NV03</t>
        </is>
      </c>
      <c r="D255" s="151">
        <f>IFERROR(XLOOKUP(C255, '11_Master_Data'!$A:$A, '11_Master_Data'!$B:$B, "KHÔNG CÓ MÃ NV"), "KHÔNG CÓ MÃ NV")</f>
        <v/>
      </c>
      <c r="E255" s="150" t="inlineStr">
        <is>
          <t>M-FUJI-01</t>
        </is>
      </c>
      <c r="F255" s="152" t="n">
        <v>1</v>
      </c>
      <c r="G255" s="152" t="n">
        <v>8</v>
      </c>
      <c r="H255" s="152" t="n">
        <v>4</v>
      </c>
      <c r="I255" s="152" t="n">
        <v>0</v>
      </c>
      <c r="J255" s="152" t="n">
        <v>0</v>
      </c>
      <c r="K255" s="152" t="n">
        <v>0</v>
      </c>
      <c r="L255" s="152" t="n">
        <v>0</v>
      </c>
      <c r="M255" s="152" t="n">
        <v>0</v>
      </c>
      <c r="N255" s="152" t="n">
        <v>0</v>
      </c>
      <c r="O255" s="152">
        <f>SUM(H255:J255, L255:N255)</f>
        <v/>
      </c>
      <c r="P255" s="153" t="n">
        <v>55000</v>
      </c>
      <c r="Q255" s="152" t="n">
        <v>0</v>
      </c>
      <c r="R255" s="151" t="inlineStr">
        <is>
          <t>Đảm bảo tiến độ sản xuất</t>
        </is>
      </c>
      <c r="S255" s="150" t="inlineStr">
        <is>
          <t>CÓ</t>
        </is>
      </c>
      <c r="T255" s="150" t="inlineStr">
        <is>
          <t>ĐÃ DUYỆT</t>
        </is>
      </c>
      <c r="U255" s="151" t="inlineStr">
        <is>
          <t>Quản Đốc Trần Đức Minh</t>
        </is>
      </c>
      <c r="V255" s="150" t="inlineStr">
        <is>
          <t>2026-09-05 16:30</t>
        </is>
      </c>
      <c r="W255" s="150" t="inlineStr">
        <is>
          <t>CC-202609-NV03-05</t>
        </is>
      </c>
      <c r="X255" s="150">
        <f>IFS(C255="", "THIẾU MÃ NV", COUNTIFS(A:A, A255, C:C, C255)&gt;1, "TRÙNG NHÂN VIÊN/NGÀY", O255&gt;4, "VƯỢT 4 GIỜ/NGÀY", AND(O255&gt;0, S255&lt;&gt;"CÓ"), "CHƯA ĐĂNG KÝ TC", AND(O255&gt;0, T255&lt;&gt;"ĐÃ DUYỆT"), "CHƯA DUYỆT TC", AND(T255="ĐÃ DUYỆT", U255=""), "THIẾU NGƯỜI DUYỆT", TRUE, "HỢP LỆ")</f>
        <v/>
      </c>
    </row>
    <row r="256">
      <c r="A256" s="146" t="inlineStr">
        <is>
          <t>2026-09-05</t>
        </is>
      </c>
      <c r="B256" s="146">
        <f>DATE(YEAR(A256), MONTH(A256), 1)</f>
        <v/>
      </c>
      <c r="C256" s="146" t="inlineStr">
        <is>
          <t>NV06</t>
        </is>
      </c>
      <c r="D256" s="147">
        <f>IFERROR(XLOOKUP(C256, '11_Master_Data'!$A:$A, '11_Master_Data'!$B:$B, "KHÔNG CÓ MÃ NV"), "KHÔNG CÓ MÃ NV")</f>
        <v/>
      </c>
      <c r="E256" s="146" t="inlineStr">
        <is>
          <t>M-FUJI-01</t>
        </is>
      </c>
      <c r="F256" s="148" t="n">
        <v>1</v>
      </c>
      <c r="G256" s="148" t="n">
        <v>8</v>
      </c>
      <c r="H256" s="148" t="n">
        <v>4</v>
      </c>
      <c r="I256" s="148" t="n">
        <v>0</v>
      </c>
      <c r="J256" s="148" t="n">
        <v>0</v>
      </c>
      <c r="K256" s="148" t="n">
        <v>0</v>
      </c>
      <c r="L256" s="148" t="n">
        <v>0</v>
      </c>
      <c r="M256" s="148" t="n">
        <v>0</v>
      </c>
      <c r="N256" s="148" t="n">
        <v>0</v>
      </c>
      <c r="O256" s="148">
        <f>SUM(H256:J256, L256:N256)</f>
        <v/>
      </c>
      <c r="P256" s="149" t="n">
        <v>55000</v>
      </c>
      <c r="Q256" s="148" t="n">
        <v>0</v>
      </c>
      <c r="R256" s="147" t="inlineStr">
        <is>
          <t>Đảm bảo tiến độ sản xuất</t>
        </is>
      </c>
      <c r="S256" s="146" t="inlineStr">
        <is>
          <t>CÓ</t>
        </is>
      </c>
      <c r="T256" s="146" t="inlineStr">
        <is>
          <t>ĐÃ DUYỆT</t>
        </is>
      </c>
      <c r="U256" s="147" t="inlineStr">
        <is>
          <t>Quản Đốc Trần Đức Minh</t>
        </is>
      </c>
      <c r="V256" s="146" t="inlineStr">
        <is>
          <t>2026-09-05 16:30</t>
        </is>
      </c>
      <c r="W256" s="146" t="inlineStr">
        <is>
          <t>CC-202609-NV06-05</t>
        </is>
      </c>
      <c r="X256" s="146">
        <f>IFS(C256="", "THIẾU MÃ NV", COUNTIFS(A:A, A256, C:C, C256)&gt;1, "TRÙNG NHÂN VIÊN/NGÀY", O256&gt;4, "VƯỢT 4 GIỜ/NGÀY", AND(O256&gt;0, S256&lt;&gt;"CÓ"), "CHƯA ĐĂNG KÝ TC", AND(O256&gt;0, T256&lt;&gt;"ĐÃ DUYỆT"), "CHƯA DUYỆT TC", AND(T256="ĐÃ DUYỆT", U256=""), "THIẾU NGƯỜI DUYỆT", TRUE, "HỢP LỆ")</f>
        <v/>
      </c>
    </row>
    <row r="257">
      <c r="A257" s="150" t="inlineStr">
        <is>
          <t>2026-09-05</t>
        </is>
      </c>
      <c r="B257" s="150">
        <f>DATE(YEAR(A257), MONTH(A257), 1)</f>
        <v/>
      </c>
      <c r="C257" s="150" t="inlineStr">
        <is>
          <t>NV10</t>
        </is>
      </c>
      <c r="D257" s="151">
        <f>IFERROR(XLOOKUP(C257, '11_Master_Data'!$A:$A, '11_Master_Data'!$B:$B, "KHÔNG CÓ MÃ NV"), "KHÔNG CÓ MÃ NV")</f>
        <v/>
      </c>
      <c r="E257" s="150" t="inlineStr">
        <is>
          <t>M-OKK3-01</t>
        </is>
      </c>
      <c r="F257" s="152" t="n">
        <v>1</v>
      </c>
      <c r="G257" s="152" t="n">
        <v>8</v>
      </c>
      <c r="H257" s="152" t="n">
        <v>4</v>
      </c>
      <c r="I257" s="152" t="n">
        <v>0</v>
      </c>
      <c r="J257" s="152" t="n">
        <v>0</v>
      </c>
      <c r="K257" s="152" t="n">
        <v>0</v>
      </c>
      <c r="L257" s="152" t="n">
        <v>0</v>
      </c>
      <c r="M257" s="152" t="n">
        <v>0</v>
      </c>
      <c r="N257" s="152" t="n">
        <v>0</v>
      </c>
      <c r="O257" s="152">
        <f>SUM(H257:J257, L257:N257)</f>
        <v/>
      </c>
      <c r="P257" s="153" t="n">
        <v>55000</v>
      </c>
      <c r="Q257" s="152" t="n">
        <v>0</v>
      </c>
      <c r="R257" s="151" t="inlineStr">
        <is>
          <t>Đảm bảo tiến độ sản xuất</t>
        </is>
      </c>
      <c r="S257" s="150" t="inlineStr">
        <is>
          <t>CÓ</t>
        </is>
      </c>
      <c r="T257" s="150" t="inlineStr">
        <is>
          <t>ĐÃ DUYỆT</t>
        </is>
      </c>
      <c r="U257" s="151" t="inlineStr">
        <is>
          <t>Quản Đốc Trần Đức Minh</t>
        </is>
      </c>
      <c r="V257" s="150" t="inlineStr">
        <is>
          <t>2026-09-05 16:30</t>
        </is>
      </c>
      <c r="W257" s="150" t="inlineStr">
        <is>
          <t>CC-202609-NV10-05</t>
        </is>
      </c>
      <c r="X257" s="150">
        <f>IFS(C257="", "THIẾU MÃ NV", COUNTIFS(A:A, A257, C:C, C257)&gt;1, "TRÙNG NHÂN VIÊN/NGÀY", O257&gt;4, "VƯỢT 4 GIỜ/NGÀY", AND(O257&gt;0, S257&lt;&gt;"CÓ"), "CHƯA ĐĂNG KÝ TC", AND(O257&gt;0, T257&lt;&gt;"ĐÃ DUYỆT"), "CHƯA DUYỆT TC", AND(T257="ĐÃ DUYỆT", U257=""), "THIẾU NGƯỜI DUYỆT", TRUE, "HỢP LỆ")</f>
        <v/>
      </c>
    </row>
    <row r="258">
      <c r="A258" s="146" t="inlineStr">
        <is>
          <t>2026-09-05</t>
        </is>
      </c>
      <c r="B258" s="146">
        <f>DATE(YEAR(A258), MONTH(A258), 1)</f>
        <v/>
      </c>
      <c r="C258" s="146" t="inlineStr">
        <is>
          <t>NV11</t>
        </is>
      </c>
      <c r="D258" s="147">
        <f>IFERROR(XLOOKUP(C258, '11_Master_Data'!$A:$A, '11_Master_Data'!$B:$B, "KHÔNG CÓ MÃ NV"), "KHÔNG CÓ MÃ NV")</f>
        <v/>
      </c>
      <c r="E258" s="146" t="inlineStr">
        <is>
          <t>M-PODA-01</t>
        </is>
      </c>
      <c r="F258" s="148" t="n">
        <v>1</v>
      </c>
      <c r="G258" s="148" t="n">
        <v>8</v>
      </c>
      <c r="H258" s="148" t="n">
        <v>4</v>
      </c>
      <c r="I258" s="148" t="n">
        <v>0</v>
      </c>
      <c r="J258" s="148" t="n">
        <v>0</v>
      </c>
      <c r="K258" s="148" t="n">
        <v>0</v>
      </c>
      <c r="L258" s="148" t="n">
        <v>0</v>
      </c>
      <c r="M258" s="148" t="n">
        <v>0</v>
      </c>
      <c r="N258" s="148" t="n">
        <v>0</v>
      </c>
      <c r="O258" s="148">
        <f>SUM(H258:J258, L258:N258)</f>
        <v/>
      </c>
      <c r="P258" s="149" t="n">
        <v>55000</v>
      </c>
      <c r="Q258" s="148" t="n">
        <v>0</v>
      </c>
      <c r="R258" s="147" t="inlineStr">
        <is>
          <t>Đảm bảo tiến độ sản xuất</t>
        </is>
      </c>
      <c r="S258" s="146" t="inlineStr">
        <is>
          <t>CÓ</t>
        </is>
      </c>
      <c r="T258" s="146" t="inlineStr">
        <is>
          <t>ĐÃ DUYỆT</t>
        </is>
      </c>
      <c r="U258" s="147" t="inlineStr">
        <is>
          <t>Quản Đốc Trần Đức Minh</t>
        </is>
      </c>
      <c r="V258" s="146" t="inlineStr">
        <is>
          <t>2026-09-05 16:30</t>
        </is>
      </c>
      <c r="W258" s="146" t="inlineStr">
        <is>
          <t>CC-202609-NV11-05</t>
        </is>
      </c>
      <c r="X258" s="146">
        <f>IFS(C258="", "THIẾU MÃ NV", COUNTIFS(A:A, A258, C:C, C258)&gt;1, "TRÙNG NHÂN VIÊN/NGÀY", O258&gt;4, "VƯỢT 4 GIỜ/NGÀY", AND(O258&gt;0, S258&lt;&gt;"CÓ"), "CHƯA ĐĂNG KÝ TC", AND(O258&gt;0, T258&lt;&gt;"ĐÃ DUYỆT"), "CHƯA DUYỆT TC", AND(T258="ĐÃ DUYỆT", U258=""), "THIẾU NGƯỜI DUYỆT", TRUE, "HỢP LỆ")</f>
        <v/>
      </c>
    </row>
    <row r="259">
      <c r="A259" s="150" t="inlineStr">
        <is>
          <t>2026-09-05</t>
        </is>
      </c>
      <c r="B259" s="150">
        <f>DATE(YEAR(A259), MONTH(A259), 1)</f>
        <v/>
      </c>
      <c r="C259" s="150" t="inlineStr">
        <is>
          <t>NV12</t>
        </is>
      </c>
      <c r="D259" s="151">
        <f>IFERROR(XLOOKUP(C259, '11_Master_Data'!$A:$A, '11_Master_Data'!$B:$B, "KHÔNG CÓ MÃ NV"), "KHÔNG CÓ MÃ NV")</f>
        <v/>
      </c>
      <c r="E259" s="150" t="inlineStr">
        <is>
          <t>M-DK7745-01</t>
        </is>
      </c>
      <c r="F259" s="152" t="n">
        <v>1</v>
      </c>
      <c r="G259" s="152" t="n">
        <v>8</v>
      </c>
      <c r="H259" s="152" t="n">
        <v>4</v>
      </c>
      <c r="I259" s="152" t="n">
        <v>0</v>
      </c>
      <c r="J259" s="152" t="n">
        <v>0</v>
      </c>
      <c r="K259" s="152" t="n">
        <v>0</v>
      </c>
      <c r="L259" s="152" t="n">
        <v>0</v>
      </c>
      <c r="M259" s="152" t="n">
        <v>0</v>
      </c>
      <c r="N259" s="152" t="n">
        <v>0</v>
      </c>
      <c r="O259" s="152">
        <f>SUM(H259:J259, L259:N259)</f>
        <v/>
      </c>
      <c r="P259" s="153" t="n">
        <v>55000</v>
      </c>
      <c r="Q259" s="152" t="n">
        <v>0</v>
      </c>
      <c r="R259" s="151" t="inlineStr">
        <is>
          <t>Đảm bảo tiến độ sản xuất</t>
        </is>
      </c>
      <c r="S259" s="150" t="inlineStr">
        <is>
          <t>CÓ</t>
        </is>
      </c>
      <c r="T259" s="150" t="inlineStr">
        <is>
          <t>ĐÃ DUYỆT</t>
        </is>
      </c>
      <c r="U259" s="151" t="inlineStr">
        <is>
          <t>Quản Đốc Trần Đức Minh</t>
        </is>
      </c>
      <c r="V259" s="150" t="inlineStr">
        <is>
          <t>2026-09-05 16:30</t>
        </is>
      </c>
      <c r="W259" s="150" t="inlineStr">
        <is>
          <t>CC-202609-NV12-05</t>
        </is>
      </c>
      <c r="X259" s="150">
        <f>IFS(C259="", "THIẾU MÃ NV", COUNTIFS(A:A, A259, C:C, C259)&gt;1, "TRÙNG NHÂN VIÊN/NGÀY", O259&gt;4, "VƯỢT 4 GIỜ/NGÀY", AND(O259&gt;0, S259&lt;&gt;"CÓ"), "CHƯA ĐĂNG KÝ TC", AND(O259&gt;0, T259&lt;&gt;"ĐÃ DUYỆT"), "CHƯA DUYỆT TC", AND(T259="ĐÃ DUYỆT", U259=""), "THIẾU NGƯỜI DUYỆT", TRUE, "HỢP LỆ")</f>
        <v/>
      </c>
    </row>
    <row r="260">
      <c r="A260" s="146" t="inlineStr">
        <is>
          <t>2026-09-06</t>
        </is>
      </c>
      <c r="B260" s="146">
        <f>DATE(YEAR(A260), MONTH(A260), 1)</f>
        <v/>
      </c>
      <c r="C260" s="146" t="inlineStr">
        <is>
          <t>NV03</t>
        </is>
      </c>
      <c r="D260" s="147">
        <f>IFERROR(XLOOKUP(C260, '11_Master_Data'!$A:$A, '11_Master_Data'!$B:$B, "KHÔNG CÓ MÃ NV"), "KHÔNG CÓ MÃ NV")</f>
        <v/>
      </c>
      <c r="E260" s="146" t="inlineStr">
        <is>
          <t>M-OIGO-01</t>
        </is>
      </c>
      <c r="F260" s="148" t="n">
        <v>1</v>
      </c>
      <c r="G260" s="148" t="n">
        <v>8</v>
      </c>
      <c r="H260" s="148" t="n">
        <v>0</v>
      </c>
      <c r="I260" s="148" t="n">
        <v>4</v>
      </c>
      <c r="J260" s="148" t="n">
        <v>0</v>
      </c>
      <c r="K260" s="148" t="n">
        <v>0</v>
      </c>
      <c r="L260" s="148" t="n">
        <v>0</v>
      </c>
      <c r="M260" s="148" t="n">
        <v>0</v>
      </c>
      <c r="N260" s="148" t="n">
        <v>0</v>
      </c>
      <c r="O260" s="148">
        <f>SUM(H260:J260, L260:N260)</f>
        <v/>
      </c>
      <c r="P260" s="149" t="n">
        <v>55000</v>
      </c>
      <c r="Q260" s="148" t="n">
        <v>0</v>
      </c>
      <c r="R260" s="147" t="inlineStr">
        <is>
          <t>Đảm bảo tiến độ sản xuất</t>
        </is>
      </c>
      <c r="S260" s="146" t="inlineStr">
        <is>
          <t>CÓ</t>
        </is>
      </c>
      <c r="T260" s="146" t="inlineStr">
        <is>
          <t>ĐÃ DUYỆT</t>
        </is>
      </c>
      <c r="U260" s="147" t="inlineStr">
        <is>
          <t>Quản Đốc Trần Đức Minh</t>
        </is>
      </c>
      <c r="V260" s="146" t="inlineStr">
        <is>
          <t>2026-09-06 16:30</t>
        </is>
      </c>
      <c r="W260" s="146" t="inlineStr">
        <is>
          <t>CC-202609-NV03-06</t>
        </is>
      </c>
      <c r="X260" s="146">
        <f>IFS(C260="", "THIẾU MÃ NV", COUNTIFS(A:A, A260, C:C, C260)&gt;1, "TRÙNG NHÂN VIÊN/NGÀY", O260&gt;4, "VƯỢT 4 GIỜ/NGÀY", AND(O260&gt;0, S260&lt;&gt;"CÓ"), "CHƯA ĐĂNG KÝ TC", AND(O260&gt;0, T260&lt;&gt;"ĐÃ DUYỆT"), "CHƯA DUYỆT TC", AND(T260="ĐÃ DUYỆT", U260=""), "THIẾU NGƯỜI DUYỆT", TRUE, "HỢP LỆ")</f>
        <v/>
      </c>
    </row>
    <row r="261">
      <c r="A261" s="150" t="inlineStr">
        <is>
          <t>2026-09-06</t>
        </is>
      </c>
      <c r="B261" s="150">
        <f>DATE(YEAR(A261), MONTH(A261), 1)</f>
        <v/>
      </c>
      <c r="C261" s="150" t="inlineStr">
        <is>
          <t>NV04</t>
        </is>
      </c>
      <c r="D261" s="151">
        <f>IFERROR(XLOOKUP(C261, '11_Master_Data'!$A:$A, '11_Master_Data'!$B:$B, "KHÔNG CÓ MÃ NV"), "KHÔNG CÓ MÃ NV")</f>
        <v/>
      </c>
      <c r="E261" s="150" t="inlineStr">
        <is>
          <t>M-FUJI-01</t>
        </is>
      </c>
      <c r="F261" s="152" t="n">
        <v>1</v>
      </c>
      <c r="G261" s="152" t="n">
        <v>8</v>
      </c>
      <c r="H261" s="152" t="n">
        <v>0</v>
      </c>
      <c r="I261" s="152" t="n">
        <v>4</v>
      </c>
      <c r="J261" s="152" t="n">
        <v>0</v>
      </c>
      <c r="K261" s="152" t="n">
        <v>0</v>
      </c>
      <c r="L261" s="152" t="n">
        <v>0</v>
      </c>
      <c r="M261" s="152" t="n">
        <v>0</v>
      </c>
      <c r="N261" s="152" t="n">
        <v>0</v>
      </c>
      <c r="O261" s="152">
        <f>SUM(H261:J261, L261:N261)</f>
        <v/>
      </c>
      <c r="P261" s="153" t="n">
        <v>55000</v>
      </c>
      <c r="Q261" s="152" t="n">
        <v>0</v>
      </c>
      <c r="R261" s="151" t="inlineStr">
        <is>
          <t>Đảm bảo tiến độ sản xuất</t>
        </is>
      </c>
      <c r="S261" s="150" t="inlineStr">
        <is>
          <t>CÓ</t>
        </is>
      </c>
      <c r="T261" s="150" t="inlineStr">
        <is>
          <t>ĐÃ DUYỆT</t>
        </is>
      </c>
      <c r="U261" s="151" t="inlineStr">
        <is>
          <t>Quản Đốc Trần Đức Minh</t>
        </is>
      </c>
      <c r="V261" s="150" t="inlineStr">
        <is>
          <t>2026-09-06 16:30</t>
        </is>
      </c>
      <c r="W261" s="150" t="inlineStr">
        <is>
          <t>CC-202609-NV04-06</t>
        </is>
      </c>
      <c r="X261" s="150">
        <f>IFS(C261="", "THIẾU MÃ NV", COUNTIFS(A:A, A261, C:C, C261)&gt;1, "TRÙNG NHÂN VIÊN/NGÀY", O261&gt;4, "VƯỢT 4 GIỜ/NGÀY", AND(O261&gt;0, S261&lt;&gt;"CÓ"), "CHƯA ĐĂNG KÝ TC", AND(O261&gt;0, T261&lt;&gt;"ĐÃ DUYỆT"), "CHƯA DUYỆT TC", AND(T261="ĐÃ DUYỆT", U261=""), "THIẾU NGƯỜI DUYỆT", TRUE, "HỢP LỆ")</f>
        <v/>
      </c>
    </row>
    <row r="262">
      <c r="A262" s="146" t="inlineStr">
        <is>
          <t>2026-09-06</t>
        </is>
      </c>
      <c r="B262" s="146">
        <f>DATE(YEAR(A262), MONTH(A262), 1)</f>
        <v/>
      </c>
      <c r="C262" s="146" t="inlineStr">
        <is>
          <t>NV06</t>
        </is>
      </c>
      <c r="D262" s="147">
        <f>IFERROR(XLOOKUP(C262, '11_Master_Data'!$A:$A, '11_Master_Data'!$B:$B, "KHÔNG CÓ MÃ NV"), "KHÔNG CÓ MÃ NV")</f>
        <v/>
      </c>
      <c r="E262" s="146" t="inlineStr">
        <is>
          <t>M-FUJI-01</t>
        </is>
      </c>
      <c r="F262" s="148" t="n">
        <v>1</v>
      </c>
      <c r="G262" s="148" t="n">
        <v>8</v>
      </c>
      <c r="H262" s="148" t="n">
        <v>0</v>
      </c>
      <c r="I262" s="148" t="n">
        <v>4</v>
      </c>
      <c r="J262" s="148" t="n">
        <v>0</v>
      </c>
      <c r="K262" s="148" t="n">
        <v>0</v>
      </c>
      <c r="L262" s="148" t="n">
        <v>0</v>
      </c>
      <c r="M262" s="148" t="n">
        <v>0</v>
      </c>
      <c r="N262" s="148" t="n">
        <v>0</v>
      </c>
      <c r="O262" s="148">
        <f>SUM(H262:J262, L262:N262)</f>
        <v/>
      </c>
      <c r="P262" s="149" t="n">
        <v>55000</v>
      </c>
      <c r="Q262" s="148" t="n">
        <v>0</v>
      </c>
      <c r="R262" s="147" t="inlineStr">
        <is>
          <t>Đảm bảo tiến độ sản xuất</t>
        </is>
      </c>
      <c r="S262" s="146" t="inlineStr">
        <is>
          <t>CÓ</t>
        </is>
      </c>
      <c r="T262" s="146" t="inlineStr">
        <is>
          <t>ĐÃ DUYỆT</t>
        </is>
      </c>
      <c r="U262" s="147" t="inlineStr">
        <is>
          <t>Quản Đốc Trần Đức Minh</t>
        </is>
      </c>
      <c r="V262" s="146" t="inlineStr">
        <is>
          <t>2026-09-06 16:30</t>
        </is>
      </c>
      <c r="W262" s="146" t="inlineStr">
        <is>
          <t>CC-202609-NV06-06</t>
        </is>
      </c>
      <c r="X262" s="146">
        <f>IFS(C262="", "THIẾU MÃ NV", COUNTIFS(A:A, A262, C:C, C262)&gt;1, "TRÙNG NHÂN VIÊN/NGÀY", O262&gt;4, "VƯỢT 4 GIỜ/NGÀY", AND(O262&gt;0, S262&lt;&gt;"CÓ"), "CHƯA ĐĂNG KÝ TC", AND(O262&gt;0, T262&lt;&gt;"ĐÃ DUYỆT"), "CHƯA DUYỆT TC", AND(T262="ĐÃ DUYỆT", U262=""), "THIẾU NGƯỜI DUYỆT", TRUE, "HỢP LỆ")</f>
        <v/>
      </c>
    </row>
    <row r="263">
      <c r="A263" s="150" t="inlineStr">
        <is>
          <t>2026-09-06</t>
        </is>
      </c>
      <c r="B263" s="150">
        <f>DATE(YEAR(A263), MONTH(A263), 1)</f>
        <v/>
      </c>
      <c r="C263" s="150" t="inlineStr">
        <is>
          <t>NV07</t>
        </is>
      </c>
      <c r="D263" s="151">
        <f>IFERROR(XLOOKUP(C263, '11_Master_Data'!$A:$A, '11_Master_Data'!$B:$B, "KHÔNG CÓ MÃ NV"), "KHÔNG CÓ MÃ NV")</f>
        <v/>
      </c>
      <c r="E263" s="150" t="inlineStr">
        <is>
          <t>M-OKK1-01</t>
        </is>
      </c>
      <c r="F263" s="152" t="n">
        <v>1</v>
      </c>
      <c r="G263" s="152" t="n">
        <v>8</v>
      </c>
      <c r="H263" s="152" t="n">
        <v>0</v>
      </c>
      <c r="I263" s="152" t="n">
        <v>4</v>
      </c>
      <c r="J263" s="152" t="n">
        <v>0</v>
      </c>
      <c r="K263" s="152" t="n">
        <v>0</v>
      </c>
      <c r="L263" s="152" t="n">
        <v>0</v>
      </c>
      <c r="M263" s="152" t="n">
        <v>0</v>
      </c>
      <c r="N263" s="152" t="n">
        <v>0</v>
      </c>
      <c r="O263" s="152">
        <f>SUM(H263:J263, L263:N263)</f>
        <v/>
      </c>
      <c r="P263" s="153" t="n">
        <v>55000</v>
      </c>
      <c r="Q263" s="152" t="n">
        <v>0</v>
      </c>
      <c r="R263" s="151" t="inlineStr">
        <is>
          <t>Đảm bảo tiến độ sản xuất</t>
        </is>
      </c>
      <c r="S263" s="150" t="inlineStr">
        <is>
          <t>CÓ</t>
        </is>
      </c>
      <c r="T263" s="150" t="inlineStr">
        <is>
          <t>ĐÃ DUYỆT</t>
        </is>
      </c>
      <c r="U263" s="151" t="inlineStr">
        <is>
          <t>Quản Đốc Trần Đức Minh</t>
        </is>
      </c>
      <c r="V263" s="150" t="inlineStr">
        <is>
          <t>2026-09-06 16:30</t>
        </is>
      </c>
      <c r="W263" s="150" t="inlineStr">
        <is>
          <t>CC-202609-NV07-06</t>
        </is>
      </c>
      <c r="X263" s="150">
        <f>IFS(C263="", "THIẾU MÃ NV", COUNTIFS(A:A, A263, C:C, C263)&gt;1, "TRÙNG NHÂN VIÊN/NGÀY", O263&gt;4, "VƯỢT 4 GIỜ/NGÀY", AND(O263&gt;0, S263&lt;&gt;"CÓ"), "CHƯA ĐĂNG KÝ TC", AND(O263&gt;0, T263&lt;&gt;"ĐÃ DUYỆT"), "CHƯA DUYỆT TC", AND(T263="ĐÃ DUYỆT", U263=""), "THIẾU NGƯỜI DUYỆT", TRUE, "HỢP LỆ")</f>
        <v/>
      </c>
    </row>
    <row r="264">
      <c r="A264" s="146" t="inlineStr">
        <is>
          <t>2026-09-06</t>
        </is>
      </c>
      <c r="B264" s="146">
        <f>DATE(YEAR(A264), MONTH(A264), 1)</f>
        <v/>
      </c>
      <c r="C264" s="146" t="inlineStr">
        <is>
          <t>NV11</t>
        </is>
      </c>
      <c r="D264" s="147">
        <f>IFERROR(XLOOKUP(C264, '11_Master_Data'!$A:$A, '11_Master_Data'!$B:$B, "KHÔNG CÓ MÃ NV"), "KHÔNG CÓ MÃ NV")</f>
        <v/>
      </c>
      <c r="E264" s="146" t="inlineStr">
        <is>
          <t>M-PODA-01</t>
        </is>
      </c>
      <c r="F264" s="148" t="n">
        <v>1</v>
      </c>
      <c r="G264" s="148" t="n">
        <v>8</v>
      </c>
      <c r="H264" s="148" t="n">
        <v>0</v>
      </c>
      <c r="I264" s="148" t="n">
        <v>4</v>
      </c>
      <c r="J264" s="148" t="n">
        <v>0</v>
      </c>
      <c r="K264" s="148" t="n">
        <v>0</v>
      </c>
      <c r="L264" s="148" t="n">
        <v>0</v>
      </c>
      <c r="M264" s="148" t="n">
        <v>0</v>
      </c>
      <c r="N264" s="148" t="n">
        <v>0</v>
      </c>
      <c r="O264" s="148">
        <f>SUM(H264:J264, L264:N264)</f>
        <v/>
      </c>
      <c r="P264" s="149" t="n">
        <v>55000</v>
      </c>
      <c r="Q264" s="148" t="n">
        <v>0</v>
      </c>
      <c r="R264" s="147" t="inlineStr">
        <is>
          <t>Đảm bảo tiến độ sản xuất</t>
        </is>
      </c>
      <c r="S264" s="146" t="inlineStr">
        <is>
          <t>CÓ</t>
        </is>
      </c>
      <c r="T264" s="146" t="inlineStr">
        <is>
          <t>ĐÃ DUYỆT</t>
        </is>
      </c>
      <c r="U264" s="147" t="inlineStr">
        <is>
          <t>Quản Đốc Trần Đức Minh</t>
        </is>
      </c>
      <c r="V264" s="146" t="inlineStr">
        <is>
          <t>2026-09-06 16:30</t>
        </is>
      </c>
      <c r="W264" s="146" t="inlineStr">
        <is>
          <t>CC-202609-NV11-06</t>
        </is>
      </c>
      <c r="X264" s="146">
        <f>IFS(C264="", "THIẾU MÃ NV", COUNTIFS(A:A, A264, C:C, C264)&gt;1, "TRÙNG NHÂN VIÊN/NGÀY", O264&gt;4, "VƯỢT 4 GIỜ/NGÀY", AND(O264&gt;0, S264&lt;&gt;"CÓ"), "CHƯA ĐĂNG KÝ TC", AND(O264&gt;0, T264&lt;&gt;"ĐÃ DUYỆT"), "CHƯA DUYỆT TC", AND(T264="ĐÃ DUYỆT", U264=""), "THIẾU NGƯỜI DUYỆT", TRUE, "HỢP LỆ")</f>
        <v/>
      </c>
    </row>
    <row r="265">
      <c r="A265" s="150" t="inlineStr">
        <is>
          <t>2026-09-06</t>
        </is>
      </c>
      <c r="B265" s="150">
        <f>DATE(YEAR(A265), MONTH(A265), 1)</f>
        <v/>
      </c>
      <c r="C265" s="150" t="inlineStr">
        <is>
          <t>NV12</t>
        </is>
      </c>
      <c r="D265" s="151">
        <f>IFERROR(XLOOKUP(C265, '11_Master_Data'!$A:$A, '11_Master_Data'!$B:$B, "KHÔNG CÓ MÃ NV"), "KHÔNG CÓ MÃ NV")</f>
        <v/>
      </c>
      <c r="E265" s="150" t="inlineStr">
        <is>
          <t>M-TCNC1-01</t>
        </is>
      </c>
      <c r="F265" s="152" t="n">
        <v>1</v>
      </c>
      <c r="G265" s="152" t="n">
        <v>8</v>
      </c>
      <c r="H265" s="152" t="n">
        <v>0</v>
      </c>
      <c r="I265" s="152" t="n">
        <v>4</v>
      </c>
      <c r="J265" s="152" t="n">
        <v>0</v>
      </c>
      <c r="K265" s="152" t="n">
        <v>0</v>
      </c>
      <c r="L265" s="152" t="n">
        <v>0</v>
      </c>
      <c r="M265" s="152" t="n">
        <v>0</v>
      </c>
      <c r="N265" s="152" t="n">
        <v>0</v>
      </c>
      <c r="O265" s="152">
        <f>SUM(H265:J265, L265:N265)</f>
        <v/>
      </c>
      <c r="P265" s="153" t="n">
        <v>55000</v>
      </c>
      <c r="Q265" s="152" t="n">
        <v>0</v>
      </c>
      <c r="R265" s="151" t="inlineStr">
        <is>
          <t>Đảm bảo tiến độ sản xuất</t>
        </is>
      </c>
      <c r="S265" s="150" t="inlineStr">
        <is>
          <t>CÓ</t>
        </is>
      </c>
      <c r="T265" s="150" t="inlineStr">
        <is>
          <t>ĐÃ DUYỆT</t>
        </is>
      </c>
      <c r="U265" s="151" t="inlineStr">
        <is>
          <t>Quản Đốc Trần Đức Minh</t>
        </is>
      </c>
      <c r="V265" s="150" t="inlineStr">
        <is>
          <t>2026-09-06 16:30</t>
        </is>
      </c>
      <c r="W265" s="150" t="inlineStr">
        <is>
          <t>CC-202609-NV12-06</t>
        </is>
      </c>
      <c r="X265" s="150">
        <f>IFS(C265="", "THIẾU MÃ NV", COUNTIFS(A:A, A265, C:C, C265)&gt;1, "TRÙNG NHÂN VIÊN/NGÀY", O265&gt;4, "VƯỢT 4 GIỜ/NGÀY", AND(O265&gt;0, S265&lt;&gt;"CÓ"), "CHƯA ĐĂNG KÝ TC", AND(O265&gt;0, T265&lt;&gt;"ĐÃ DUYỆT"), "CHƯA DUYỆT TC", AND(T265="ĐÃ DUYỆT", U265=""), "THIẾU NGƯỜI DUYỆT", TRUE, "HỢP LỆ")</f>
        <v/>
      </c>
    </row>
    <row r="266">
      <c r="A266" s="146" t="inlineStr">
        <is>
          <t>2026-09-07</t>
        </is>
      </c>
      <c r="B266" s="146">
        <f>DATE(YEAR(A266), MONTH(A266), 1)</f>
        <v/>
      </c>
      <c r="C266" s="146" t="inlineStr">
        <is>
          <t>NV01</t>
        </is>
      </c>
      <c r="D266" s="147">
        <f>IFERROR(XLOOKUP(C266, '11_Master_Data'!$A:$A, '11_Master_Data'!$B:$B, "KHÔNG CÓ MÃ NV"), "KHÔNG CÓ MÃ NV")</f>
        <v/>
      </c>
      <c r="E266" s="146" t="inlineStr">
        <is>
          <t>M-FUJI-01</t>
        </is>
      </c>
      <c r="F266" s="148" t="n">
        <v>1</v>
      </c>
      <c r="G266" s="148" t="n">
        <v>8</v>
      </c>
      <c r="H266" s="148" t="n">
        <v>4</v>
      </c>
      <c r="I266" s="148" t="n">
        <v>0</v>
      </c>
      <c r="J266" s="148" t="n">
        <v>0</v>
      </c>
      <c r="K266" s="148" t="n">
        <v>0</v>
      </c>
      <c r="L266" s="148" t="n">
        <v>0</v>
      </c>
      <c r="M266" s="148" t="n">
        <v>0</v>
      </c>
      <c r="N266" s="148" t="n">
        <v>0</v>
      </c>
      <c r="O266" s="148">
        <f>SUM(H266:J266, L266:N266)</f>
        <v/>
      </c>
      <c r="P266" s="149" t="n">
        <v>55000</v>
      </c>
      <c r="Q266" s="148" t="n">
        <v>0</v>
      </c>
      <c r="R266" s="147" t="inlineStr">
        <is>
          <t>Đảm bảo tiến độ sản xuất</t>
        </is>
      </c>
      <c r="S266" s="146" t="inlineStr">
        <is>
          <t>CÓ</t>
        </is>
      </c>
      <c r="T266" s="146" t="inlineStr">
        <is>
          <t>ĐÃ DUYỆT</t>
        </is>
      </c>
      <c r="U266" s="147" t="inlineStr">
        <is>
          <t>Quản Đốc Trần Đức Minh</t>
        </is>
      </c>
      <c r="V266" s="146" t="inlineStr">
        <is>
          <t>2026-09-07 16:30</t>
        </is>
      </c>
      <c r="W266" s="146" t="inlineStr">
        <is>
          <t>CC-202609-NV01-07</t>
        </is>
      </c>
      <c r="X266" s="146">
        <f>IFS(C266="", "THIẾU MÃ NV", COUNTIFS(A:A, A266, C:C, C266)&gt;1, "TRÙNG NHÂN VIÊN/NGÀY", O266&gt;4, "VƯỢT 4 GIỜ/NGÀY", AND(O266&gt;0, S266&lt;&gt;"CÓ"), "CHƯA ĐĂNG KÝ TC", AND(O266&gt;0, T266&lt;&gt;"ĐÃ DUYỆT"), "CHƯA DUYỆT TC", AND(T266="ĐÃ DUYỆT", U266=""), "THIẾU NGƯỜI DUYỆT", TRUE, "HỢP LỆ")</f>
        <v/>
      </c>
    </row>
    <row r="267">
      <c r="A267" s="150" t="inlineStr">
        <is>
          <t>2026-09-07</t>
        </is>
      </c>
      <c r="B267" s="150">
        <f>DATE(YEAR(A267), MONTH(A267), 1)</f>
        <v/>
      </c>
      <c r="C267" s="150" t="inlineStr">
        <is>
          <t>NV02</t>
        </is>
      </c>
      <c r="D267" s="151">
        <f>IFERROR(XLOOKUP(C267, '11_Master_Data'!$A:$A, '11_Master_Data'!$B:$B, "KHÔNG CÓ MÃ NV"), "KHÔNG CÓ MÃ NV")</f>
        <v/>
      </c>
      <c r="E267" s="150" t="inlineStr">
        <is>
          <t>M-FUJI-01</t>
        </is>
      </c>
      <c r="F267" s="152" t="n">
        <v>1</v>
      </c>
      <c r="G267" s="152" t="n">
        <v>8</v>
      </c>
      <c r="H267" s="152" t="n">
        <v>4</v>
      </c>
      <c r="I267" s="152" t="n">
        <v>0</v>
      </c>
      <c r="J267" s="152" t="n">
        <v>0</v>
      </c>
      <c r="K267" s="152" t="n">
        <v>0</v>
      </c>
      <c r="L267" s="152" t="n">
        <v>0</v>
      </c>
      <c r="M267" s="152" t="n">
        <v>0</v>
      </c>
      <c r="N267" s="152" t="n">
        <v>0</v>
      </c>
      <c r="O267" s="152">
        <f>SUM(H267:J267, L267:N267)</f>
        <v/>
      </c>
      <c r="P267" s="153" t="n">
        <v>55000</v>
      </c>
      <c r="Q267" s="152" t="n">
        <v>0</v>
      </c>
      <c r="R267" s="151" t="inlineStr">
        <is>
          <t>Đảm bảo tiến độ sản xuất</t>
        </is>
      </c>
      <c r="S267" s="150" t="inlineStr">
        <is>
          <t>CÓ</t>
        </is>
      </c>
      <c r="T267" s="150" t="inlineStr">
        <is>
          <t>ĐÃ DUYỆT</t>
        </is>
      </c>
      <c r="U267" s="151" t="inlineStr">
        <is>
          <t>Quản Đốc Trần Đức Minh</t>
        </is>
      </c>
      <c r="V267" s="150" t="inlineStr">
        <is>
          <t>2026-09-07 16:30</t>
        </is>
      </c>
      <c r="W267" s="150" t="inlineStr">
        <is>
          <t>CC-202609-NV02-07</t>
        </is>
      </c>
      <c r="X267" s="150">
        <f>IFS(C267="", "THIẾU MÃ NV", COUNTIFS(A:A, A267, C:C, C267)&gt;1, "TRÙNG NHÂN VIÊN/NGÀY", O267&gt;4, "VƯỢT 4 GIỜ/NGÀY", AND(O267&gt;0, S267&lt;&gt;"CÓ"), "CHƯA ĐĂNG KÝ TC", AND(O267&gt;0, T267&lt;&gt;"ĐÃ DUYỆT"), "CHƯA DUYỆT TC", AND(T267="ĐÃ DUYỆT", U267=""), "THIẾU NGƯỜI DUYỆT", TRUE, "HỢP LỆ")</f>
        <v/>
      </c>
    </row>
    <row r="268">
      <c r="A268" s="146" t="inlineStr">
        <is>
          <t>2026-09-07</t>
        </is>
      </c>
      <c r="B268" s="146">
        <f>DATE(YEAR(A268), MONTH(A268), 1)</f>
        <v/>
      </c>
      <c r="C268" s="146" t="inlineStr">
        <is>
          <t>NV03</t>
        </is>
      </c>
      <c r="D268" s="147">
        <f>IFERROR(XLOOKUP(C268, '11_Master_Data'!$A:$A, '11_Master_Data'!$B:$B, "KHÔNG CÓ MÃ NV"), "KHÔNG CÓ MÃ NV")</f>
        <v/>
      </c>
      <c r="E268" s="146" t="inlineStr">
        <is>
          <t>M-OIGO-01</t>
        </is>
      </c>
      <c r="F268" s="148" t="n">
        <v>1</v>
      </c>
      <c r="G268" s="148" t="n">
        <v>8</v>
      </c>
      <c r="H268" s="148" t="n">
        <v>4</v>
      </c>
      <c r="I268" s="148" t="n">
        <v>0</v>
      </c>
      <c r="J268" s="148" t="n">
        <v>0</v>
      </c>
      <c r="K268" s="148" t="n">
        <v>0</v>
      </c>
      <c r="L268" s="148" t="n">
        <v>0</v>
      </c>
      <c r="M268" s="148" t="n">
        <v>0</v>
      </c>
      <c r="N268" s="148" t="n">
        <v>0</v>
      </c>
      <c r="O268" s="148">
        <f>SUM(H268:J268, L268:N268)</f>
        <v/>
      </c>
      <c r="P268" s="149" t="n">
        <v>55000</v>
      </c>
      <c r="Q268" s="148" t="n">
        <v>0</v>
      </c>
      <c r="R268" s="147" t="inlineStr">
        <is>
          <t>Đảm bảo tiến độ sản xuất</t>
        </is>
      </c>
      <c r="S268" s="146" t="inlineStr">
        <is>
          <t>CÓ</t>
        </is>
      </c>
      <c r="T268" s="146" t="inlineStr">
        <is>
          <t>ĐÃ DUYỆT</t>
        </is>
      </c>
      <c r="U268" s="147" t="inlineStr">
        <is>
          <t>Quản Đốc Trần Đức Minh</t>
        </is>
      </c>
      <c r="V268" s="146" t="inlineStr">
        <is>
          <t>2026-09-07 16:30</t>
        </is>
      </c>
      <c r="W268" s="146" t="inlineStr">
        <is>
          <t>CC-202609-NV03-07</t>
        </is>
      </c>
      <c r="X268" s="146">
        <f>IFS(C268="", "THIẾU MÃ NV", COUNTIFS(A:A, A268, C:C, C268)&gt;1, "TRÙNG NHÂN VIÊN/NGÀY", O268&gt;4, "VƯỢT 4 GIỜ/NGÀY", AND(O268&gt;0, S268&lt;&gt;"CÓ"), "CHƯA ĐĂNG KÝ TC", AND(O268&gt;0, T268&lt;&gt;"ĐÃ DUYỆT"), "CHƯA DUYỆT TC", AND(T268="ĐÃ DUYỆT", U268=""), "THIẾU NGƯỜI DUYỆT", TRUE, "HỢP LỆ")</f>
        <v/>
      </c>
    </row>
    <row r="269">
      <c r="A269" s="150" t="inlineStr">
        <is>
          <t>2026-09-07</t>
        </is>
      </c>
      <c r="B269" s="150">
        <f>DATE(YEAR(A269), MONTH(A269), 1)</f>
        <v/>
      </c>
      <c r="C269" s="150" t="inlineStr">
        <is>
          <t>NV04</t>
        </is>
      </c>
      <c r="D269" s="151">
        <f>IFERROR(XLOOKUP(C269, '11_Master_Data'!$A:$A, '11_Master_Data'!$B:$B, "KHÔNG CÓ MÃ NV"), "KHÔNG CÓ MÃ NV")</f>
        <v/>
      </c>
      <c r="E269" s="150" t="inlineStr">
        <is>
          <t>M-FUJI-01</t>
        </is>
      </c>
      <c r="F269" s="152" t="n">
        <v>1</v>
      </c>
      <c r="G269" s="152" t="n">
        <v>8</v>
      </c>
      <c r="H269" s="152" t="n">
        <v>4</v>
      </c>
      <c r="I269" s="152" t="n">
        <v>0</v>
      </c>
      <c r="J269" s="152" t="n">
        <v>0</v>
      </c>
      <c r="K269" s="152" t="n">
        <v>0</v>
      </c>
      <c r="L269" s="152" t="n">
        <v>0</v>
      </c>
      <c r="M269" s="152" t="n">
        <v>0</v>
      </c>
      <c r="N269" s="152" t="n">
        <v>0</v>
      </c>
      <c r="O269" s="152">
        <f>SUM(H269:J269, L269:N269)</f>
        <v/>
      </c>
      <c r="P269" s="153" t="n">
        <v>55000</v>
      </c>
      <c r="Q269" s="152" t="n">
        <v>0</v>
      </c>
      <c r="R269" s="151" t="inlineStr">
        <is>
          <t>Đảm bảo tiến độ sản xuất</t>
        </is>
      </c>
      <c r="S269" s="150" t="inlineStr">
        <is>
          <t>CÓ</t>
        </is>
      </c>
      <c r="T269" s="150" t="inlineStr">
        <is>
          <t>ĐÃ DUYỆT</t>
        </is>
      </c>
      <c r="U269" s="151" t="inlineStr">
        <is>
          <t>Quản Đốc Trần Đức Minh</t>
        </is>
      </c>
      <c r="V269" s="150" t="inlineStr">
        <is>
          <t>2026-09-07 16:30</t>
        </is>
      </c>
      <c r="W269" s="150" t="inlineStr">
        <is>
          <t>CC-202609-NV04-07</t>
        </is>
      </c>
      <c r="X269" s="150">
        <f>IFS(C269="", "THIẾU MÃ NV", COUNTIFS(A:A, A269, C:C, C269)&gt;1, "TRÙNG NHÂN VIÊN/NGÀY", O269&gt;4, "VƯỢT 4 GIỜ/NGÀY", AND(O269&gt;0, S269&lt;&gt;"CÓ"), "CHƯA ĐĂNG KÝ TC", AND(O269&gt;0, T269&lt;&gt;"ĐÃ DUYỆT"), "CHƯA DUYỆT TC", AND(T269="ĐÃ DUYỆT", U269=""), "THIẾU NGƯỜI DUYỆT", TRUE, "HỢP LỆ")</f>
        <v/>
      </c>
    </row>
    <row r="270">
      <c r="A270" s="146" t="inlineStr">
        <is>
          <t>2026-09-07</t>
        </is>
      </c>
      <c r="B270" s="146">
        <f>DATE(YEAR(A270), MONTH(A270), 1)</f>
        <v/>
      </c>
      <c r="C270" s="146" t="inlineStr">
        <is>
          <t>NV06</t>
        </is>
      </c>
      <c r="D270" s="147">
        <f>IFERROR(XLOOKUP(C270, '11_Master_Data'!$A:$A, '11_Master_Data'!$B:$B, "KHÔNG CÓ MÃ NV"), "KHÔNG CÓ MÃ NV")</f>
        <v/>
      </c>
      <c r="E270" s="146" t="inlineStr">
        <is>
          <t>M-OKUMA-01</t>
        </is>
      </c>
      <c r="F270" s="148" t="n">
        <v>1</v>
      </c>
      <c r="G270" s="148" t="n">
        <v>8</v>
      </c>
      <c r="H270" s="148" t="n">
        <v>4</v>
      </c>
      <c r="I270" s="148" t="n">
        <v>0</v>
      </c>
      <c r="J270" s="148" t="n">
        <v>0</v>
      </c>
      <c r="K270" s="148" t="n">
        <v>0</v>
      </c>
      <c r="L270" s="148" t="n">
        <v>0</v>
      </c>
      <c r="M270" s="148" t="n">
        <v>0</v>
      </c>
      <c r="N270" s="148" t="n">
        <v>0</v>
      </c>
      <c r="O270" s="148">
        <f>SUM(H270:J270, L270:N270)</f>
        <v/>
      </c>
      <c r="P270" s="149" t="n">
        <v>55000</v>
      </c>
      <c r="Q270" s="148" t="n">
        <v>0</v>
      </c>
      <c r="R270" s="147" t="inlineStr">
        <is>
          <t>Đảm bảo tiến độ sản xuất</t>
        </is>
      </c>
      <c r="S270" s="146" t="inlineStr">
        <is>
          <t>CÓ</t>
        </is>
      </c>
      <c r="T270" s="146" t="inlineStr">
        <is>
          <t>ĐÃ DUYỆT</t>
        </is>
      </c>
      <c r="U270" s="147" t="inlineStr">
        <is>
          <t>Quản Đốc Trần Đức Minh</t>
        </is>
      </c>
      <c r="V270" s="146" t="inlineStr">
        <is>
          <t>2026-09-07 16:30</t>
        </is>
      </c>
      <c r="W270" s="146" t="inlineStr">
        <is>
          <t>CC-202609-NV06-07</t>
        </is>
      </c>
      <c r="X270" s="146">
        <f>IFS(C270="", "THIẾU MÃ NV", COUNTIFS(A:A, A270, C:C, C270)&gt;1, "TRÙNG NHÂN VIÊN/NGÀY", O270&gt;4, "VƯỢT 4 GIỜ/NGÀY", AND(O270&gt;0, S270&lt;&gt;"CÓ"), "CHƯA ĐĂNG KÝ TC", AND(O270&gt;0, T270&lt;&gt;"ĐÃ DUYỆT"), "CHƯA DUYỆT TC", AND(T270="ĐÃ DUYỆT", U270=""), "THIẾU NGƯỜI DUYỆT", TRUE, "HỢP LỆ")</f>
        <v/>
      </c>
    </row>
    <row r="271">
      <c r="A271" s="150" t="inlineStr">
        <is>
          <t>2026-09-07</t>
        </is>
      </c>
      <c r="B271" s="150">
        <f>DATE(YEAR(A271), MONTH(A271), 1)</f>
        <v/>
      </c>
      <c r="C271" s="150" t="inlineStr">
        <is>
          <t>NV07</t>
        </is>
      </c>
      <c r="D271" s="151">
        <f>IFERROR(XLOOKUP(C271, '11_Master_Data'!$A:$A, '11_Master_Data'!$B:$B, "KHÔNG CÓ MÃ NV"), "KHÔNG CÓ MÃ NV")</f>
        <v/>
      </c>
      <c r="E271" s="150" t="inlineStr">
        <is>
          <t>M-OKK1-01</t>
        </is>
      </c>
      <c r="F271" s="152" t="n">
        <v>1</v>
      </c>
      <c r="G271" s="152" t="n">
        <v>8</v>
      </c>
      <c r="H271" s="152" t="n">
        <v>4</v>
      </c>
      <c r="I271" s="152" t="n">
        <v>0</v>
      </c>
      <c r="J271" s="152" t="n">
        <v>0</v>
      </c>
      <c r="K271" s="152" t="n">
        <v>0</v>
      </c>
      <c r="L271" s="152" t="n">
        <v>0</v>
      </c>
      <c r="M271" s="152" t="n">
        <v>0</v>
      </c>
      <c r="N271" s="152" t="n">
        <v>0</v>
      </c>
      <c r="O271" s="152">
        <f>SUM(H271:J271, L271:N271)</f>
        <v/>
      </c>
      <c r="P271" s="153" t="n">
        <v>55000</v>
      </c>
      <c r="Q271" s="152" t="n">
        <v>0</v>
      </c>
      <c r="R271" s="151" t="inlineStr">
        <is>
          <t>Đảm bảo tiến độ sản xuất</t>
        </is>
      </c>
      <c r="S271" s="150" t="inlineStr">
        <is>
          <t>CÓ</t>
        </is>
      </c>
      <c r="T271" s="150" t="inlineStr">
        <is>
          <t>ĐÃ DUYỆT</t>
        </is>
      </c>
      <c r="U271" s="151" t="inlineStr">
        <is>
          <t>Quản Đốc Trần Đức Minh</t>
        </is>
      </c>
      <c r="V271" s="150" t="inlineStr">
        <is>
          <t>2026-09-07 16:30</t>
        </is>
      </c>
      <c r="W271" s="150" t="inlineStr">
        <is>
          <t>CC-202609-NV07-07</t>
        </is>
      </c>
      <c r="X271" s="150">
        <f>IFS(C271="", "THIẾU MÃ NV", COUNTIFS(A:A, A271, C:C, C271)&gt;1, "TRÙNG NHÂN VIÊN/NGÀY", O271&gt;4, "VƯỢT 4 GIỜ/NGÀY", AND(O271&gt;0, S271&lt;&gt;"CÓ"), "CHƯA ĐĂNG KÝ TC", AND(O271&gt;0, T271&lt;&gt;"ĐÃ DUYỆT"), "CHƯA DUYỆT TC", AND(T271="ĐÃ DUYỆT", U271=""), "THIẾU NGƯỜI DUYỆT", TRUE, "HỢP LỆ")</f>
        <v/>
      </c>
    </row>
    <row r="272">
      <c r="A272" s="146" t="inlineStr">
        <is>
          <t>2026-09-07</t>
        </is>
      </c>
      <c r="B272" s="146">
        <f>DATE(YEAR(A272), MONTH(A272), 1)</f>
        <v/>
      </c>
      <c r="C272" s="146" t="inlineStr">
        <is>
          <t>NV08</t>
        </is>
      </c>
      <c r="D272" s="147">
        <f>IFERROR(XLOOKUP(C272, '11_Master_Data'!$A:$A, '11_Master_Data'!$B:$B, "KHÔNG CÓ MÃ NV"), "KHÔNG CÓ MÃ NV")</f>
        <v/>
      </c>
      <c r="E272" s="146" t="inlineStr">
        <is>
          <t>M-PCNC2-01</t>
        </is>
      </c>
      <c r="F272" s="148" t="n">
        <v>1</v>
      </c>
      <c r="G272" s="148" t="n">
        <v>8</v>
      </c>
      <c r="H272" s="148" t="n">
        <v>4</v>
      </c>
      <c r="I272" s="148" t="n">
        <v>0</v>
      </c>
      <c r="J272" s="148" t="n">
        <v>0</v>
      </c>
      <c r="K272" s="148" t="n">
        <v>0</v>
      </c>
      <c r="L272" s="148" t="n">
        <v>0</v>
      </c>
      <c r="M272" s="148" t="n">
        <v>0</v>
      </c>
      <c r="N272" s="148" t="n">
        <v>0</v>
      </c>
      <c r="O272" s="148">
        <f>SUM(H272:J272, L272:N272)</f>
        <v/>
      </c>
      <c r="P272" s="149" t="n">
        <v>55000</v>
      </c>
      <c r="Q272" s="148" t="n">
        <v>0</v>
      </c>
      <c r="R272" s="147" t="inlineStr">
        <is>
          <t>Đảm bảo tiến độ sản xuất</t>
        </is>
      </c>
      <c r="S272" s="146" t="inlineStr">
        <is>
          <t>CÓ</t>
        </is>
      </c>
      <c r="T272" s="146" t="inlineStr">
        <is>
          <t>ĐÃ DUYỆT</t>
        </is>
      </c>
      <c r="U272" s="147" t="inlineStr">
        <is>
          <t>Quản Đốc Trần Đức Minh</t>
        </is>
      </c>
      <c r="V272" s="146" t="inlineStr">
        <is>
          <t>2026-09-07 16:30</t>
        </is>
      </c>
      <c r="W272" s="146" t="inlineStr">
        <is>
          <t>CC-202609-NV08-07</t>
        </is>
      </c>
      <c r="X272" s="146">
        <f>IFS(C272="", "THIẾU MÃ NV", COUNTIFS(A:A, A272, C:C, C272)&gt;1, "TRÙNG NHÂN VIÊN/NGÀY", O272&gt;4, "VƯỢT 4 GIỜ/NGÀY", AND(O272&gt;0, S272&lt;&gt;"CÓ"), "CHƯA ĐĂNG KÝ TC", AND(O272&gt;0, T272&lt;&gt;"ĐÃ DUYỆT"), "CHƯA DUYỆT TC", AND(T272="ĐÃ DUYỆT", U272=""), "THIẾU NGƯỜI DUYỆT", TRUE, "HỢP LỆ")</f>
        <v/>
      </c>
    </row>
    <row r="273">
      <c r="A273" s="150" t="inlineStr">
        <is>
          <t>2026-09-07</t>
        </is>
      </c>
      <c r="B273" s="150">
        <f>DATE(YEAR(A273), MONTH(A273), 1)</f>
        <v/>
      </c>
      <c r="C273" s="150" t="inlineStr">
        <is>
          <t>NV10</t>
        </is>
      </c>
      <c r="D273" s="151">
        <f>IFERROR(XLOOKUP(C273, '11_Master_Data'!$A:$A, '11_Master_Data'!$B:$B, "KHÔNG CÓ MÃ NV"), "KHÔNG CÓ MÃ NV")</f>
        <v/>
      </c>
      <c r="E273" s="150" t="inlineStr">
        <is>
          <t>M-OKK2-01</t>
        </is>
      </c>
      <c r="F273" s="152" t="n">
        <v>1</v>
      </c>
      <c r="G273" s="152" t="n">
        <v>8</v>
      </c>
      <c r="H273" s="152" t="n">
        <v>4</v>
      </c>
      <c r="I273" s="152" t="n">
        <v>0</v>
      </c>
      <c r="J273" s="152" t="n">
        <v>0</v>
      </c>
      <c r="K273" s="152" t="n">
        <v>0</v>
      </c>
      <c r="L273" s="152" t="n">
        <v>0</v>
      </c>
      <c r="M273" s="152" t="n">
        <v>0</v>
      </c>
      <c r="N273" s="152" t="n">
        <v>0</v>
      </c>
      <c r="O273" s="152">
        <f>SUM(H273:J273, L273:N273)</f>
        <v/>
      </c>
      <c r="P273" s="153" t="n">
        <v>55000</v>
      </c>
      <c r="Q273" s="152" t="n">
        <v>0</v>
      </c>
      <c r="R273" s="151" t="inlineStr">
        <is>
          <t>Đảm bảo tiến độ sản xuất</t>
        </is>
      </c>
      <c r="S273" s="150" t="inlineStr">
        <is>
          <t>CÓ</t>
        </is>
      </c>
      <c r="T273" s="150" t="inlineStr">
        <is>
          <t>ĐÃ DUYỆT</t>
        </is>
      </c>
      <c r="U273" s="151" t="inlineStr">
        <is>
          <t>Quản Đốc Trần Đức Minh</t>
        </is>
      </c>
      <c r="V273" s="150" t="inlineStr">
        <is>
          <t>2026-09-07 16:30</t>
        </is>
      </c>
      <c r="W273" s="150" t="inlineStr">
        <is>
          <t>CC-202609-NV10-07</t>
        </is>
      </c>
      <c r="X273" s="150">
        <f>IFS(C273="", "THIẾU MÃ NV", COUNTIFS(A:A, A273, C:C, C273)&gt;1, "TRÙNG NHÂN VIÊN/NGÀY", O273&gt;4, "VƯỢT 4 GIỜ/NGÀY", AND(O273&gt;0, S273&lt;&gt;"CÓ"), "CHƯA ĐĂNG KÝ TC", AND(O273&gt;0, T273&lt;&gt;"ĐÃ DUYỆT"), "CHƯA DUYỆT TC", AND(T273="ĐÃ DUYỆT", U273=""), "THIẾU NGƯỜI DUYỆT", TRUE, "HỢP LỆ")</f>
        <v/>
      </c>
    </row>
    <row r="274">
      <c r="A274" s="146" t="inlineStr">
        <is>
          <t>2026-09-07</t>
        </is>
      </c>
      <c r="B274" s="146">
        <f>DATE(YEAR(A274), MONTH(A274), 1)</f>
        <v/>
      </c>
      <c r="C274" s="146" t="inlineStr">
        <is>
          <t>NV11</t>
        </is>
      </c>
      <c r="D274" s="147">
        <f>IFERROR(XLOOKUP(C274, '11_Master_Data'!$A:$A, '11_Master_Data'!$B:$B, "KHÔNG CÓ MÃ NV"), "KHÔNG CÓ MÃ NV")</f>
        <v/>
      </c>
      <c r="E274" s="146" t="inlineStr">
        <is>
          <t>M-PODA-01</t>
        </is>
      </c>
      <c r="F274" s="148" t="n">
        <v>1</v>
      </c>
      <c r="G274" s="148" t="n">
        <v>8</v>
      </c>
      <c r="H274" s="148" t="n">
        <v>4</v>
      </c>
      <c r="I274" s="148" t="n">
        <v>0</v>
      </c>
      <c r="J274" s="148" t="n">
        <v>0</v>
      </c>
      <c r="K274" s="148" t="n">
        <v>0</v>
      </c>
      <c r="L274" s="148" t="n">
        <v>0</v>
      </c>
      <c r="M274" s="148" t="n">
        <v>0</v>
      </c>
      <c r="N274" s="148" t="n">
        <v>0</v>
      </c>
      <c r="O274" s="148">
        <f>SUM(H274:J274, L274:N274)</f>
        <v/>
      </c>
      <c r="P274" s="149" t="n">
        <v>55000</v>
      </c>
      <c r="Q274" s="148" t="n">
        <v>0</v>
      </c>
      <c r="R274" s="147" t="inlineStr">
        <is>
          <t>Đảm bảo tiến độ sản xuất</t>
        </is>
      </c>
      <c r="S274" s="146" t="inlineStr">
        <is>
          <t>CÓ</t>
        </is>
      </c>
      <c r="T274" s="146" t="inlineStr">
        <is>
          <t>ĐÃ DUYỆT</t>
        </is>
      </c>
      <c r="U274" s="147" t="inlineStr">
        <is>
          <t>Quản Đốc Trần Đức Minh</t>
        </is>
      </c>
      <c r="V274" s="146" t="inlineStr">
        <is>
          <t>2026-09-07 16:30</t>
        </is>
      </c>
      <c r="W274" s="146" t="inlineStr">
        <is>
          <t>CC-202609-NV11-07</t>
        </is>
      </c>
      <c r="X274" s="146">
        <f>IFS(C274="", "THIẾU MÃ NV", COUNTIFS(A:A, A274, C:C, C274)&gt;1, "TRÙNG NHÂN VIÊN/NGÀY", O274&gt;4, "VƯỢT 4 GIỜ/NGÀY", AND(O274&gt;0, S274&lt;&gt;"CÓ"), "CHƯA ĐĂNG KÝ TC", AND(O274&gt;0, T274&lt;&gt;"ĐÃ DUYỆT"), "CHƯA DUYỆT TC", AND(T274="ĐÃ DUYỆT", U274=""), "THIẾU NGƯỜI DUYỆT", TRUE, "HỢP LỆ")</f>
        <v/>
      </c>
    </row>
    <row r="275">
      <c r="A275" s="150" t="inlineStr">
        <is>
          <t>2026-09-07</t>
        </is>
      </c>
      <c r="B275" s="150">
        <f>DATE(YEAR(A275), MONTH(A275), 1)</f>
        <v/>
      </c>
      <c r="C275" s="150" t="inlineStr">
        <is>
          <t>NV12</t>
        </is>
      </c>
      <c r="D275" s="151">
        <f>IFERROR(XLOOKUP(C275, '11_Master_Data'!$A:$A, '11_Master_Data'!$B:$B, "KHÔNG CÓ MÃ NV"), "KHÔNG CÓ MÃ NV")</f>
        <v/>
      </c>
      <c r="E275" s="150" t="inlineStr">
        <is>
          <t>M-DK7745-01</t>
        </is>
      </c>
      <c r="F275" s="152" t="n">
        <v>1</v>
      </c>
      <c r="G275" s="152" t="n">
        <v>8</v>
      </c>
      <c r="H275" s="152" t="n">
        <v>4</v>
      </c>
      <c r="I275" s="152" t="n">
        <v>0</v>
      </c>
      <c r="J275" s="152" t="n">
        <v>0</v>
      </c>
      <c r="K275" s="152" t="n">
        <v>0</v>
      </c>
      <c r="L275" s="152" t="n">
        <v>0</v>
      </c>
      <c r="M275" s="152" t="n">
        <v>0</v>
      </c>
      <c r="N275" s="152" t="n">
        <v>0</v>
      </c>
      <c r="O275" s="152">
        <f>SUM(H275:J275, L275:N275)</f>
        <v/>
      </c>
      <c r="P275" s="153" t="n">
        <v>55000</v>
      </c>
      <c r="Q275" s="152" t="n">
        <v>0</v>
      </c>
      <c r="R275" s="151" t="inlineStr">
        <is>
          <t>Đảm bảo tiến độ sản xuất</t>
        </is>
      </c>
      <c r="S275" s="150" t="inlineStr">
        <is>
          <t>CÓ</t>
        </is>
      </c>
      <c r="T275" s="150" t="inlineStr">
        <is>
          <t>ĐÃ DUYỆT</t>
        </is>
      </c>
      <c r="U275" s="151" t="inlineStr">
        <is>
          <t>Quản Đốc Trần Đức Minh</t>
        </is>
      </c>
      <c r="V275" s="150" t="inlineStr">
        <is>
          <t>2026-09-07 16:30</t>
        </is>
      </c>
      <c r="W275" s="150" t="inlineStr">
        <is>
          <t>CC-202609-NV12-07</t>
        </is>
      </c>
      <c r="X275" s="150">
        <f>IFS(C275="", "THIẾU MÃ NV", COUNTIFS(A:A, A275, C:C, C275)&gt;1, "TRÙNG NHÂN VIÊN/NGÀY", O275&gt;4, "VƯỢT 4 GIỜ/NGÀY", AND(O275&gt;0, S275&lt;&gt;"CÓ"), "CHƯA ĐĂNG KÝ TC", AND(O275&gt;0, T275&lt;&gt;"ĐÃ DUYỆT"), "CHƯA DUYỆT TC", AND(T275="ĐÃ DUYỆT", U275=""), "THIẾU NGƯỜI DUYỆT", TRUE, "HỢP LỆ")</f>
        <v/>
      </c>
    </row>
    <row r="276">
      <c r="A276" s="146" t="inlineStr">
        <is>
          <t>2026-09-08</t>
        </is>
      </c>
      <c r="B276" s="146">
        <f>DATE(YEAR(A276), MONTH(A276), 1)</f>
        <v/>
      </c>
      <c r="C276" s="146" t="inlineStr">
        <is>
          <t>NV01</t>
        </is>
      </c>
      <c r="D276" s="147">
        <f>IFERROR(XLOOKUP(C276, '11_Master_Data'!$A:$A, '11_Master_Data'!$B:$B, "KHÔNG CÓ MÃ NV"), "KHÔNG CÓ MÃ NV")</f>
        <v/>
      </c>
      <c r="E276" s="146" t="inlineStr">
        <is>
          <t>M-OKUMA-01</t>
        </is>
      </c>
      <c r="F276" s="148" t="n">
        <v>1</v>
      </c>
      <c r="G276" s="148" t="n">
        <v>8</v>
      </c>
      <c r="H276" s="148" t="n">
        <v>4</v>
      </c>
      <c r="I276" s="148" t="n">
        <v>0</v>
      </c>
      <c r="J276" s="148" t="n">
        <v>0</v>
      </c>
      <c r="K276" s="148" t="n">
        <v>0</v>
      </c>
      <c r="L276" s="148" t="n">
        <v>0</v>
      </c>
      <c r="M276" s="148" t="n">
        <v>0</v>
      </c>
      <c r="N276" s="148" t="n">
        <v>0</v>
      </c>
      <c r="O276" s="148">
        <f>SUM(H276:J276, L276:N276)</f>
        <v/>
      </c>
      <c r="P276" s="149" t="n">
        <v>55000</v>
      </c>
      <c r="Q276" s="148" t="n">
        <v>0</v>
      </c>
      <c r="R276" s="147" t="inlineStr">
        <is>
          <t>Đảm bảo tiến độ sản xuất</t>
        </is>
      </c>
      <c r="S276" s="146" t="inlineStr">
        <is>
          <t>CÓ</t>
        </is>
      </c>
      <c r="T276" s="146" t="inlineStr">
        <is>
          <t>ĐÃ DUYỆT</t>
        </is>
      </c>
      <c r="U276" s="147" t="inlineStr">
        <is>
          <t>Quản Đốc Trần Đức Minh</t>
        </is>
      </c>
      <c r="V276" s="146" t="inlineStr">
        <is>
          <t>2026-09-08 16:30</t>
        </is>
      </c>
      <c r="W276" s="146" t="inlineStr">
        <is>
          <t>CC-202609-NV01-08</t>
        </is>
      </c>
      <c r="X276" s="146">
        <f>IFS(C276="", "THIẾU MÃ NV", COUNTIFS(A:A, A276, C:C, C276)&gt;1, "TRÙNG NHÂN VIÊN/NGÀY", O276&gt;4, "VƯỢT 4 GIỜ/NGÀY", AND(O276&gt;0, S276&lt;&gt;"CÓ"), "CHƯA ĐĂNG KÝ TC", AND(O276&gt;0, T276&lt;&gt;"ĐÃ DUYỆT"), "CHƯA DUYỆT TC", AND(T276="ĐÃ DUYỆT", U276=""), "THIẾU NGƯỜI DUYỆT", TRUE, "HỢP LỆ")</f>
        <v/>
      </c>
    </row>
    <row r="277">
      <c r="A277" s="150" t="inlineStr">
        <is>
          <t>2026-09-08</t>
        </is>
      </c>
      <c r="B277" s="150">
        <f>DATE(YEAR(A277), MONTH(A277), 1)</f>
        <v/>
      </c>
      <c r="C277" s="150" t="inlineStr">
        <is>
          <t>NV02</t>
        </is>
      </c>
      <c r="D277" s="151">
        <f>IFERROR(XLOOKUP(C277, '11_Master_Data'!$A:$A, '11_Master_Data'!$B:$B, "KHÔNG CÓ MÃ NV"), "KHÔNG CÓ MÃ NV")</f>
        <v/>
      </c>
      <c r="E277" s="150" t="inlineStr">
        <is>
          <t>M-FUJI-01</t>
        </is>
      </c>
      <c r="F277" s="152" t="n">
        <v>1</v>
      </c>
      <c r="G277" s="152" t="n">
        <v>8</v>
      </c>
      <c r="H277" s="152" t="n">
        <v>4</v>
      </c>
      <c r="I277" s="152" t="n">
        <v>0</v>
      </c>
      <c r="J277" s="152" t="n">
        <v>0</v>
      </c>
      <c r="K277" s="152" t="n">
        <v>0</v>
      </c>
      <c r="L277" s="152" t="n">
        <v>0</v>
      </c>
      <c r="M277" s="152" t="n">
        <v>0</v>
      </c>
      <c r="N277" s="152" t="n">
        <v>0</v>
      </c>
      <c r="O277" s="152">
        <f>SUM(H277:J277, L277:N277)</f>
        <v/>
      </c>
      <c r="P277" s="153" t="n">
        <v>55000</v>
      </c>
      <c r="Q277" s="152" t="n">
        <v>0</v>
      </c>
      <c r="R277" s="151" t="inlineStr">
        <is>
          <t>Đảm bảo tiến độ sản xuất</t>
        </is>
      </c>
      <c r="S277" s="150" t="inlineStr">
        <is>
          <t>CÓ</t>
        </is>
      </c>
      <c r="T277" s="150" t="inlineStr">
        <is>
          <t>ĐÃ DUYỆT</t>
        </is>
      </c>
      <c r="U277" s="151" t="inlineStr">
        <is>
          <t>Quản Đốc Trần Đức Minh</t>
        </is>
      </c>
      <c r="V277" s="150" t="inlineStr">
        <is>
          <t>2026-09-08 16:30</t>
        </is>
      </c>
      <c r="W277" s="150" t="inlineStr">
        <is>
          <t>CC-202609-NV02-08</t>
        </is>
      </c>
      <c r="X277" s="150">
        <f>IFS(C277="", "THIẾU MÃ NV", COUNTIFS(A:A, A277, C:C, C277)&gt;1, "TRÙNG NHÂN VIÊN/NGÀY", O277&gt;4, "VƯỢT 4 GIỜ/NGÀY", AND(O277&gt;0, S277&lt;&gt;"CÓ"), "CHƯA ĐĂNG KÝ TC", AND(O277&gt;0, T277&lt;&gt;"ĐÃ DUYỆT"), "CHƯA DUYỆT TC", AND(T277="ĐÃ DUYỆT", U277=""), "THIẾU NGƯỜI DUYỆT", TRUE, "HỢP LỆ")</f>
        <v/>
      </c>
    </row>
    <row r="278">
      <c r="A278" s="146" t="inlineStr">
        <is>
          <t>2026-09-08</t>
        </is>
      </c>
      <c r="B278" s="146">
        <f>DATE(YEAR(A278), MONTH(A278), 1)</f>
        <v/>
      </c>
      <c r="C278" s="146" t="inlineStr">
        <is>
          <t>NV03</t>
        </is>
      </c>
      <c r="D278" s="147">
        <f>IFERROR(XLOOKUP(C278, '11_Master_Data'!$A:$A, '11_Master_Data'!$B:$B, "KHÔNG CÓ MÃ NV"), "KHÔNG CÓ MÃ NV")</f>
        <v/>
      </c>
      <c r="E278" s="146" t="inlineStr">
        <is>
          <t>M-OIGO-01</t>
        </is>
      </c>
      <c r="F278" s="148" t="n">
        <v>1</v>
      </c>
      <c r="G278" s="148" t="n">
        <v>8</v>
      </c>
      <c r="H278" s="148" t="n">
        <v>4</v>
      </c>
      <c r="I278" s="148" t="n">
        <v>0</v>
      </c>
      <c r="J278" s="148" t="n">
        <v>0</v>
      </c>
      <c r="K278" s="148" t="n">
        <v>0</v>
      </c>
      <c r="L278" s="148" t="n">
        <v>0</v>
      </c>
      <c r="M278" s="148" t="n">
        <v>0</v>
      </c>
      <c r="N278" s="148" t="n">
        <v>0</v>
      </c>
      <c r="O278" s="148">
        <f>SUM(H278:J278, L278:N278)</f>
        <v/>
      </c>
      <c r="P278" s="149" t="n">
        <v>55000</v>
      </c>
      <c r="Q278" s="148" t="n">
        <v>0</v>
      </c>
      <c r="R278" s="147" t="inlineStr">
        <is>
          <t>Đảm bảo tiến độ sản xuất</t>
        </is>
      </c>
      <c r="S278" s="146" t="inlineStr">
        <is>
          <t>CÓ</t>
        </is>
      </c>
      <c r="T278" s="146" t="inlineStr">
        <is>
          <t>ĐÃ DUYỆT</t>
        </is>
      </c>
      <c r="U278" s="147" t="inlineStr">
        <is>
          <t>Quản Đốc Trần Đức Minh</t>
        </is>
      </c>
      <c r="V278" s="146" t="inlineStr">
        <is>
          <t>2026-09-08 16:30</t>
        </is>
      </c>
      <c r="W278" s="146" t="inlineStr">
        <is>
          <t>CC-202609-NV03-08</t>
        </is>
      </c>
      <c r="X278" s="146">
        <f>IFS(C278="", "THIẾU MÃ NV", COUNTIFS(A:A, A278, C:C, C278)&gt;1, "TRÙNG NHÂN VIÊN/NGÀY", O278&gt;4, "VƯỢT 4 GIỜ/NGÀY", AND(O278&gt;0, S278&lt;&gt;"CÓ"), "CHƯA ĐĂNG KÝ TC", AND(O278&gt;0, T278&lt;&gt;"ĐÃ DUYỆT"), "CHƯA DUYỆT TC", AND(T278="ĐÃ DUYỆT", U278=""), "THIẾU NGƯỜI DUYỆT", TRUE, "HỢP LỆ")</f>
        <v/>
      </c>
    </row>
    <row r="279">
      <c r="A279" s="150" t="inlineStr">
        <is>
          <t>2026-09-08</t>
        </is>
      </c>
      <c r="B279" s="150">
        <f>DATE(YEAR(A279), MONTH(A279), 1)</f>
        <v/>
      </c>
      <c r="C279" s="150" t="inlineStr">
        <is>
          <t>NV04</t>
        </is>
      </c>
      <c r="D279" s="151">
        <f>IFERROR(XLOOKUP(C279, '11_Master_Data'!$A:$A, '11_Master_Data'!$B:$B, "KHÔNG CÓ MÃ NV"), "KHÔNG CÓ MÃ NV")</f>
        <v/>
      </c>
      <c r="E279" s="150" t="inlineStr">
        <is>
          <t>M-FUJI-01</t>
        </is>
      </c>
      <c r="F279" s="152" t="n">
        <v>1</v>
      </c>
      <c r="G279" s="152" t="n">
        <v>8</v>
      </c>
      <c r="H279" s="152" t="n">
        <v>4</v>
      </c>
      <c r="I279" s="152" t="n">
        <v>0</v>
      </c>
      <c r="J279" s="152" t="n">
        <v>0</v>
      </c>
      <c r="K279" s="152" t="n">
        <v>0</v>
      </c>
      <c r="L279" s="152" t="n">
        <v>0</v>
      </c>
      <c r="M279" s="152" t="n">
        <v>0</v>
      </c>
      <c r="N279" s="152" t="n">
        <v>0</v>
      </c>
      <c r="O279" s="152">
        <f>SUM(H279:J279, L279:N279)</f>
        <v/>
      </c>
      <c r="P279" s="153" t="n">
        <v>55000</v>
      </c>
      <c r="Q279" s="152" t="n">
        <v>0</v>
      </c>
      <c r="R279" s="151" t="inlineStr">
        <is>
          <t>Đảm bảo tiến độ sản xuất</t>
        </is>
      </c>
      <c r="S279" s="150" t="inlineStr">
        <is>
          <t>CÓ</t>
        </is>
      </c>
      <c r="T279" s="150" t="inlineStr">
        <is>
          <t>ĐÃ DUYỆT</t>
        </is>
      </c>
      <c r="U279" s="151" t="inlineStr">
        <is>
          <t>Quản Đốc Trần Đức Minh</t>
        </is>
      </c>
      <c r="V279" s="150" t="inlineStr">
        <is>
          <t>2026-09-08 16:30</t>
        </is>
      </c>
      <c r="W279" s="150" t="inlineStr">
        <is>
          <t>CC-202609-NV04-08</t>
        </is>
      </c>
      <c r="X279" s="150">
        <f>IFS(C279="", "THIẾU MÃ NV", COUNTIFS(A:A, A279, C:C, C279)&gt;1, "TRÙNG NHÂN VIÊN/NGÀY", O279&gt;4, "VƯỢT 4 GIỜ/NGÀY", AND(O279&gt;0, S279&lt;&gt;"CÓ"), "CHƯA ĐĂNG KÝ TC", AND(O279&gt;0, T279&lt;&gt;"ĐÃ DUYỆT"), "CHƯA DUYỆT TC", AND(T279="ĐÃ DUYỆT", U279=""), "THIẾU NGƯỜI DUYỆT", TRUE, "HỢP LỆ")</f>
        <v/>
      </c>
    </row>
    <row r="280">
      <c r="A280" s="146" t="inlineStr">
        <is>
          <t>2026-09-08</t>
        </is>
      </c>
      <c r="B280" s="146">
        <f>DATE(YEAR(A280), MONTH(A280), 1)</f>
        <v/>
      </c>
      <c r="C280" s="146" t="inlineStr">
        <is>
          <t>NV07</t>
        </is>
      </c>
      <c r="D280" s="147">
        <f>IFERROR(XLOOKUP(C280, '11_Master_Data'!$A:$A, '11_Master_Data'!$B:$B, "KHÔNG CÓ MÃ NV"), "KHÔNG CÓ MÃ NV")</f>
        <v/>
      </c>
      <c r="E280" s="146" t="inlineStr">
        <is>
          <t>M-OKK1-01</t>
        </is>
      </c>
      <c r="F280" s="148" t="n">
        <v>1</v>
      </c>
      <c r="G280" s="148" t="n">
        <v>8</v>
      </c>
      <c r="H280" s="148" t="n">
        <v>4</v>
      </c>
      <c r="I280" s="148" t="n">
        <v>0</v>
      </c>
      <c r="J280" s="148" t="n">
        <v>0</v>
      </c>
      <c r="K280" s="148" t="n">
        <v>0</v>
      </c>
      <c r="L280" s="148" t="n">
        <v>0</v>
      </c>
      <c r="M280" s="148" t="n">
        <v>0</v>
      </c>
      <c r="N280" s="148" t="n">
        <v>0</v>
      </c>
      <c r="O280" s="148">
        <f>SUM(H280:J280, L280:N280)</f>
        <v/>
      </c>
      <c r="P280" s="149" t="n">
        <v>55000</v>
      </c>
      <c r="Q280" s="148" t="n">
        <v>0</v>
      </c>
      <c r="R280" s="147" t="inlineStr">
        <is>
          <t>Đảm bảo tiến độ sản xuất</t>
        </is>
      </c>
      <c r="S280" s="146" t="inlineStr">
        <is>
          <t>CÓ</t>
        </is>
      </c>
      <c r="T280" s="146" t="inlineStr">
        <is>
          <t>ĐÃ DUYỆT</t>
        </is>
      </c>
      <c r="U280" s="147" t="inlineStr">
        <is>
          <t>Quản Đốc Trần Đức Minh</t>
        </is>
      </c>
      <c r="V280" s="146" t="inlineStr">
        <is>
          <t>2026-09-08 16:30</t>
        </is>
      </c>
      <c r="W280" s="146" t="inlineStr">
        <is>
          <t>CC-202609-NV07-08</t>
        </is>
      </c>
      <c r="X280" s="146">
        <f>IFS(C280="", "THIẾU MÃ NV", COUNTIFS(A:A, A280, C:C, C280)&gt;1, "TRÙNG NHÂN VIÊN/NGÀY", O280&gt;4, "VƯỢT 4 GIỜ/NGÀY", AND(O280&gt;0, S280&lt;&gt;"CÓ"), "CHƯA ĐĂNG KÝ TC", AND(O280&gt;0, T280&lt;&gt;"ĐÃ DUYỆT"), "CHƯA DUYỆT TC", AND(T280="ĐÃ DUYỆT", U280=""), "THIẾU NGƯỜI DUYỆT", TRUE, "HỢP LỆ")</f>
        <v/>
      </c>
    </row>
    <row r="281">
      <c r="A281" s="150" t="inlineStr">
        <is>
          <t>2026-09-08</t>
        </is>
      </c>
      <c r="B281" s="150">
        <f>DATE(YEAR(A281), MONTH(A281), 1)</f>
        <v/>
      </c>
      <c r="C281" s="150" t="inlineStr">
        <is>
          <t>NV10</t>
        </is>
      </c>
      <c r="D281" s="151">
        <f>IFERROR(XLOOKUP(C281, '11_Master_Data'!$A:$A, '11_Master_Data'!$B:$B, "KHÔNG CÓ MÃ NV"), "KHÔNG CÓ MÃ NV")</f>
        <v/>
      </c>
      <c r="E281" s="150" t="inlineStr">
        <is>
          <t>M-OKK1-01</t>
        </is>
      </c>
      <c r="F281" s="152" t="n">
        <v>1</v>
      </c>
      <c r="G281" s="152" t="n">
        <v>8</v>
      </c>
      <c r="H281" s="152" t="n">
        <v>4</v>
      </c>
      <c r="I281" s="152" t="n">
        <v>0</v>
      </c>
      <c r="J281" s="152" t="n">
        <v>0</v>
      </c>
      <c r="K281" s="152" t="n">
        <v>0</v>
      </c>
      <c r="L281" s="152" t="n">
        <v>0</v>
      </c>
      <c r="M281" s="152" t="n">
        <v>0</v>
      </c>
      <c r="N281" s="152" t="n">
        <v>0</v>
      </c>
      <c r="O281" s="152">
        <f>SUM(H281:J281, L281:N281)</f>
        <v/>
      </c>
      <c r="P281" s="153" t="n">
        <v>55000</v>
      </c>
      <c r="Q281" s="152" t="n">
        <v>0</v>
      </c>
      <c r="R281" s="151" t="inlineStr">
        <is>
          <t>Đảm bảo tiến độ sản xuất</t>
        </is>
      </c>
      <c r="S281" s="150" t="inlineStr">
        <is>
          <t>CÓ</t>
        </is>
      </c>
      <c r="T281" s="150" t="inlineStr">
        <is>
          <t>ĐÃ DUYỆT</t>
        </is>
      </c>
      <c r="U281" s="151" t="inlineStr">
        <is>
          <t>Quản Đốc Trần Đức Minh</t>
        </is>
      </c>
      <c r="V281" s="150" t="inlineStr">
        <is>
          <t>2026-09-08 16:30</t>
        </is>
      </c>
      <c r="W281" s="150" t="inlineStr">
        <is>
          <t>CC-202609-NV10-08</t>
        </is>
      </c>
      <c r="X281" s="150">
        <f>IFS(C281="", "THIẾU MÃ NV", COUNTIFS(A:A, A281, C:C, C281)&gt;1, "TRÙNG NHÂN VIÊN/NGÀY", O281&gt;4, "VƯỢT 4 GIỜ/NGÀY", AND(O281&gt;0, S281&lt;&gt;"CÓ"), "CHƯA ĐĂNG KÝ TC", AND(O281&gt;0, T281&lt;&gt;"ĐÃ DUYỆT"), "CHƯA DUYỆT TC", AND(T281="ĐÃ DUYỆT", U281=""), "THIẾU NGƯỜI DUYỆT", TRUE, "HỢP LỆ")</f>
        <v/>
      </c>
    </row>
    <row r="282">
      <c r="A282" s="146" t="inlineStr">
        <is>
          <t>2026-09-08</t>
        </is>
      </c>
      <c r="B282" s="146">
        <f>DATE(YEAR(A282), MONTH(A282), 1)</f>
        <v/>
      </c>
      <c r="C282" s="146" t="inlineStr">
        <is>
          <t>NV12</t>
        </is>
      </c>
      <c r="D282" s="147">
        <f>IFERROR(XLOOKUP(C282, '11_Master_Data'!$A:$A, '11_Master_Data'!$B:$B, "KHÔNG CÓ MÃ NV"), "KHÔNG CÓ MÃ NV")</f>
        <v/>
      </c>
      <c r="E282" s="146" t="inlineStr">
        <is>
          <t>M-TCNC1-01</t>
        </is>
      </c>
      <c r="F282" s="148" t="n">
        <v>1</v>
      </c>
      <c r="G282" s="148" t="n">
        <v>8</v>
      </c>
      <c r="H282" s="148" t="n">
        <v>4</v>
      </c>
      <c r="I282" s="148" t="n">
        <v>0</v>
      </c>
      <c r="J282" s="148" t="n">
        <v>0</v>
      </c>
      <c r="K282" s="148" t="n">
        <v>0</v>
      </c>
      <c r="L282" s="148" t="n">
        <v>0</v>
      </c>
      <c r="M282" s="148" t="n">
        <v>0</v>
      </c>
      <c r="N282" s="148" t="n">
        <v>0</v>
      </c>
      <c r="O282" s="148">
        <f>SUM(H282:J282, L282:N282)</f>
        <v/>
      </c>
      <c r="P282" s="149" t="n">
        <v>55000</v>
      </c>
      <c r="Q282" s="148" t="n">
        <v>0</v>
      </c>
      <c r="R282" s="147" t="inlineStr">
        <is>
          <t>Đảm bảo tiến độ sản xuất</t>
        </is>
      </c>
      <c r="S282" s="146" t="inlineStr">
        <is>
          <t>CÓ</t>
        </is>
      </c>
      <c r="T282" s="146" t="inlineStr">
        <is>
          <t>ĐÃ DUYỆT</t>
        </is>
      </c>
      <c r="U282" s="147" t="inlineStr">
        <is>
          <t>Quản Đốc Trần Đức Minh</t>
        </is>
      </c>
      <c r="V282" s="146" t="inlineStr">
        <is>
          <t>2026-09-08 16:30</t>
        </is>
      </c>
      <c r="W282" s="146" t="inlineStr">
        <is>
          <t>CC-202609-NV12-08</t>
        </is>
      </c>
      <c r="X282" s="146">
        <f>IFS(C282="", "THIẾU MÃ NV", COUNTIFS(A:A, A282, C:C, C282)&gt;1, "TRÙNG NHÂN VIÊN/NGÀY", O282&gt;4, "VƯỢT 4 GIỜ/NGÀY", AND(O282&gt;0, S282&lt;&gt;"CÓ"), "CHƯA ĐĂNG KÝ TC", AND(O282&gt;0, T282&lt;&gt;"ĐÃ DUYỆT"), "CHƯA DUYỆT TC", AND(T282="ĐÃ DUYỆT", U282=""), "THIẾU NGƯỜI DUYỆT", TRUE, "HỢP LỆ")</f>
        <v/>
      </c>
    </row>
    <row r="283">
      <c r="A283" s="150" t="inlineStr">
        <is>
          <t>2026-09-09</t>
        </is>
      </c>
      <c r="B283" s="150">
        <f>DATE(YEAR(A283), MONTH(A283), 1)</f>
        <v/>
      </c>
      <c r="C283" s="150" t="inlineStr">
        <is>
          <t>NV01</t>
        </is>
      </c>
      <c r="D283" s="151">
        <f>IFERROR(XLOOKUP(C283, '11_Master_Data'!$A:$A, '11_Master_Data'!$B:$B, "KHÔNG CÓ MÃ NV"), "KHÔNG CÓ MÃ NV")</f>
        <v/>
      </c>
      <c r="E283" s="150" t="inlineStr">
        <is>
          <t>M-PCNC1-01</t>
        </is>
      </c>
      <c r="F283" s="152" t="n">
        <v>1</v>
      </c>
      <c r="G283" s="152" t="n">
        <v>8</v>
      </c>
      <c r="H283" s="152" t="n">
        <v>4</v>
      </c>
      <c r="I283" s="152" t="n">
        <v>0</v>
      </c>
      <c r="J283" s="152" t="n">
        <v>0</v>
      </c>
      <c r="K283" s="152" t="n">
        <v>0</v>
      </c>
      <c r="L283" s="152" t="n">
        <v>0</v>
      </c>
      <c r="M283" s="152" t="n">
        <v>0</v>
      </c>
      <c r="N283" s="152" t="n">
        <v>0</v>
      </c>
      <c r="O283" s="152">
        <f>SUM(H283:J283, L283:N283)</f>
        <v/>
      </c>
      <c r="P283" s="153" t="n">
        <v>55000</v>
      </c>
      <c r="Q283" s="152" t="n">
        <v>0</v>
      </c>
      <c r="R283" s="151" t="inlineStr">
        <is>
          <t>Đảm bảo tiến độ sản xuất</t>
        </is>
      </c>
      <c r="S283" s="150" t="inlineStr">
        <is>
          <t>CÓ</t>
        </is>
      </c>
      <c r="T283" s="150" t="inlineStr">
        <is>
          <t>ĐÃ DUYỆT</t>
        </is>
      </c>
      <c r="U283" s="151" t="inlineStr">
        <is>
          <t>Quản Đốc Trần Đức Minh</t>
        </is>
      </c>
      <c r="V283" s="150" t="inlineStr">
        <is>
          <t>2026-09-09 16:30</t>
        </is>
      </c>
      <c r="W283" s="150" t="inlineStr">
        <is>
          <t>CC-202609-NV01-09</t>
        </is>
      </c>
      <c r="X283" s="150">
        <f>IFS(C283="", "THIẾU MÃ NV", COUNTIFS(A:A, A283, C:C, C283)&gt;1, "TRÙNG NHÂN VIÊN/NGÀY", O283&gt;4, "VƯỢT 4 GIỜ/NGÀY", AND(O283&gt;0, S283&lt;&gt;"CÓ"), "CHƯA ĐĂNG KÝ TC", AND(O283&gt;0, T283&lt;&gt;"ĐÃ DUYỆT"), "CHƯA DUYỆT TC", AND(T283="ĐÃ DUYỆT", U283=""), "THIẾU NGƯỜI DUYỆT", TRUE, "HỢP LỆ")</f>
        <v/>
      </c>
    </row>
    <row r="284">
      <c r="A284" s="146" t="inlineStr">
        <is>
          <t>2026-09-09</t>
        </is>
      </c>
      <c r="B284" s="146">
        <f>DATE(YEAR(A284), MONTH(A284), 1)</f>
        <v/>
      </c>
      <c r="C284" s="146" t="inlineStr">
        <is>
          <t>NV07</t>
        </is>
      </c>
      <c r="D284" s="147">
        <f>IFERROR(XLOOKUP(C284, '11_Master_Data'!$A:$A, '11_Master_Data'!$B:$B, "KHÔNG CÓ MÃ NV"), "KHÔNG CÓ MÃ NV")</f>
        <v/>
      </c>
      <c r="E284" s="146" t="inlineStr">
        <is>
          <t>M-OKK1-01</t>
        </is>
      </c>
      <c r="F284" s="148" t="n">
        <v>1</v>
      </c>
      <c r="G284" s="148" t="n">
        <v>8</v>
      </c>
      <c r="H284" s="148" t="n">
        <v>4</v>
      </c>
      <c r="I284" s="148" t="n">
        <v>0</v>
      </c>
      <c r="J284" s="148" t="n">
        <v>0</v>
      </c>
      <c r="K284" s="148" t="n">
        <v>0</v>
      </c>
      <c r="L284" s="148" t="n">
        <v>0</v>
      </c>
      <c r="M284" s="148" t="n">
        <v>0</v>
      </c>
      <c r="N284" s="148" t="n">
        <v>0</v>
      </c>
      <c r="O284" s="148">
        <f>SUM(H284:J284, L284:N284)</f>
        <v/>
      </c>
      <c r="P284" s="149" t="n">
        <v>55000</v>
      </c>
      <c r="Q284" s="148" t="n">
        <v>0</v>
      </c>
      <c r="R284" s="147" t="inlineStr">
        <is>
          <t>Đảm bảo tiến độ sản xuất</t>
        </is>
      </c>
      <c r="S284" s="146" t="inlineStr">
        <is>
          <t>CÓ</t>
        </is>
      </c>
      <c r="T284" s="146" t="inlineStr">
        <is>
          <t>ĐÃ DUYỆT</t>
        </is>
      </c>
      <c r="U284" s="147" t="inlineStr">
        <is>
          <t>Quản Đốc Trần Đức Minh</t>
        </is>
      </c>
      <c r="V284" s="146" t="inlineStr">
        <is>
          <t>2026-09-09 16:30</t>
        </is>
      </c>
      <c r="W284" s="146" t="inlineStr">
        <is>
          <t>CC-202609-NV07-09</t>
        </is>
      </c>
      <c r="X284" s="146">
        <f>IFS(C284="", "THIẾU MÃ NV", COUNTIFS(A:A, A284, C:C, C284)&gt;1, "TRÙNG NHÂN VIÊN/NGÀY", O284&gt;4, "VƯỢT 4 GIỜ/NGÀY", AND(O284&gt;0, S284&lt;&gt;"CÓ"), "CHƯA ĐĂNG KÝ TC", AND(O284&gt;0, T284&lt;&gt;"ĐÃ DUYỆT"), "CHƯA DUYỆT TC", AND(T284="ĐÃ DUYỆT", U284=""), "THIẾU NGƯỜI DUYỆT", TRUE, "HỢP LỆ")</f>
        <v/>
      </c>
    </row>
  </sheetData>
  <conditionalFormatting sqref="X4:X284">
    <cfRule type="cellIs" priority="1" operator="notEqual" dxfId="0" stopIfTrue="1">
      <formula>"HỢP LỆ"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0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 | ⚠️ ĐÃ HỦY (BẢN GHI GỬI LẶP LÚC 01:52:29)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0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 | ⚠️ ĐÃ HỦY (BẢN GHI GỬI LẶP LÚC 01:52:29)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0.86" customWidth="1" style="75" min="14" max="14"/>
  </cols>
  <sheetData>
    <row r="1" ht="27" customHeight="1" s="75">
      <c r="A1" s="103" t="inlineStr">
        <is>
          <t>BẢNG TỔNG HỢP QUỸ LƯƠNG KHOÁN THỢ GIA CÔNG CƠ KHÍ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n">
        <v>46235</v>
      </c>
      <c r="C2" s="107" t="inlineStr">
        <is>
          <t>Từ Ngày:</t>
        </is>
      </c>
      <c r="D2" s="108" t="n">
        <v>46235</v>
      </c>
      <c r="E2" s="107" t="inlineStr">
        <is>
          <t>Đến Ngày:</t>
        </is>
      </c>
      <c r="F2" s="108" t="n">
        <v>46265</v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Minh bạch 3 cấp lương: Tiền phát sinh ban đầu (Cột I) -&gt; Tiền đủ ĐK sau KCS (Cột J) -&gt; Không hưởng do lỗi thợ (Cột K) -&gt; Lương thực lĩnh đã khóa (Cột L)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10" t="inlineStr">
        <is>
          <t>Ký Nhận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 t="inlineStr">
        <is>
          <t>🔒 ĐÃ KHÓA SỔ</t>
        </is>
      </c>
      <c r="N5" s="115" t="n"/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 t="inlineStr">
        <is>
          <t>🔒 ĐÃ KHÓA SỔ</t>
        </is>
      </c>
      <c r="N6" s="121" t="n"/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 t="inlineStr">
        <is>
          <t>🔒 ĐÃ KHÓA SỔ</t>
        </is>
      </c>
      <c r="N7" s="127" t="n"/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 t="inlineStr">
        <is>
          <t>🔒 ĐÃ KHÓA SỔ</t>
        </is>
      </c>
      <c r="N8" s="121" t="n"/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 t="inlineStr">
        <is>
          <t>🔒 ĐÃ KHÓA SỔ</t>
        </is>
      </c>
      <c r="N9" s="127" t="n"/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 t="inlineStr">
        <is>
          <t>🔒 ĐÃ KHÓA SỔ</t>
        </is>
      </c>
      <c r="N10" s="121" t="n"/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 t="inlineStr">
        <is>
          <t>🔒 ĐÃ KHÓA SỔ</t>
        </is>
      </c>
      <c r="N11" s="127" t="n"/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 t="inlineStr">
        <is>
          <t>🔒 ĐÃ KHÓA SỔ</t>
        </is>
      </c>
      <c r="N12" s="121" t="n"/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 t="inlineStr">
        <is>
          <t>🔒 ĐÃ KHÓA SỔ</t>
        </is>
      </c>
      <c r="N13" s="127" t="n"/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 t="inlineStr">
        <is>
          <t>🔒 ĐÃ KHÓA SỔ</t>
        </is>
      </c>
      <c r="N14" s="121" t="n"/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 t="inlineStr">
        <is>
          <t>🔒 ĐÃ KHÓA SỔ</t>
        </is>
      </c>
      <c r="N15" s="127" t="n"/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 t="inlineStr">
        <is>
          <t>🔒 ĐÃ KHÓA SỔ</t>
        </is>
      </c>
      <c r="N16" s="121" t="n"/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 t="inlineStr">
        <is>
          <t>🔒 ĐÃ KHÓA SỔ</t>
        </is>
      </c>
      <c r="N17" s="127" t="n"/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 t="inlineStr">
        <is>
          <t>🔒 ĐÃ KHÓA SỔ</t>
        </is>
      </c>
      <c r="N18" s="121" t="n"/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 t="inlineStr">
        <is>
          <t>🔒 ĐÃ KHÓA SỔ</t>
        </is>
      </c>
      <c r="N19" s="133" t="n"/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 t="n">
        <v>148</v>
      </c>
      <c r="F20" s="141" t="n">
        <v>1184</v>
      </c>
      <c r="G20" s="142" t="n">
        <v>2372</v>
      </c>
      <c r="H20" s="142" t="n">
        <v>13</v>
      </c>
      <c r="I20" s="142" t="n">
        <v>84698992</v>
      </c>
      <c r="J20" s="142" t="n">
        <v>68318992</v>
      </c>
      <c r="K20" s="142" t="n">
        <v>16380000</v>
      </c>
      <c r="L20" s="142" t="n">
        <v>68318992</v>
      </c>
      <c r="M20" s="138" t="inlineStr">
        <is>
          <t>KHỚP 100% QUY CHUẨN 3 CẤP</t>
        </is>
      </c>
      <c r="N20" s="139" t="n"/>
    </row>
  </sheetData>
  <dataValidations count="1">
    <dataValidation sqref="B2" showDropDown="0" showInputMessage="0" showErrorMessage="0" allowBlank="0" errorTitle="Lựa chọn không hợp lệ" error="Vui lòng chọn ngày đầu tháng hợp lệ từ danh sách!" promptTitle="Bộ chọn tháng tính lương" prompt="Chọn tháng tính lương (ví dụ: 2026-08-01 cho Tháng 8, 2026-09-01 cho Tháng 9)" type="list">
      <formula1>"2026-08-01,2026-09-01,2026-10-01,2026-11-01,2026-12-01"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154" t="inlineStr">
        <is>
          <t>HỆ THỐNG MASTER DATA: NHÂN VIÊN, ĐƠN GIÁ TĂNG CA &amp; QUẢN TRỊ KỲ LƯƠNG NĂM 2026</t>
        </is>
      </c>
    </row>
    <row r="3" ht="16.5" customHeight="1" s="75">
      <c r="A3" s="155" t="inlineStr">
        <is>
          <t>BẢNG DANH MỤC NHÂN VIÊN &amp; LƯƠNG CĂN CỨ TĂNG CA</t>
        </is>
      </c>
      <c r="H3" s="155" t="inlineStr">
        <is>
          <t>BẢNG THAM SỐ QUY ĐỊNH TĂNG CA</t>
        </is>
      </c>
      <c r="L3" s="155" t="inlineStr">
        <is>
          <t>BẢNG QUẢN LÝ TRẠNG THÁI KỲ LƯƠNG NĂM 2026</t>
        </is>
      </c>
    </row>
    <row r="4">
      <c r="A4" s="156" t="inlineStr">
        <is>
          <t>Mã NV</t>
        </is>
      </c>
      <c r="B4" s="156" t="inlineStr">
        <is>
          <t>Họ và Tên Nhân Viên</t>
        </is>
      </c>
      <c r="C4" s="156" t="inlineStr">
        <is>
          <t>Lương Căn Cứ TC (VNĐ)</t>
        </is>
      </c>
      <c r="D4" s="156" t="inlineStr">
        <is>
          <t>Ngày Công Chuẩn</t>
        </is>
      </c>
      <c r="E4" s="156" t="inlineStr">
        <is>
          <t>Giờ Chuẩn Tháng (h)</t>
        </is>
      </c>
      <c r="F4" s="156" t="inlineStr">
        <is>
          <t>Đơn Giá Giờ (VNĐ/h)</t>
        </is>
      </c>
      <c r="H4" s="157" t="inlineStr">
        <is>
          <t>Tham Số Quy Định</t>
        </is>
      </c>
      <c r="I4" s="157" t="inlineStr">
        <is>
          <t>Giá Trị</t>
        </is>
      </c>
      <c r="J4" s="58" t="inlineStr">
        <is>
          <t>Năng Lực Gia Công Mạnh</t>
        </is>
      </c>
      <c r="K4" s="57" t="inlineStr">
        <is>
          <t>Đánh Giá Uy Tín KCS</t>
        </is>
      </c>
      <c r="L4" s="157" t="inlineStr">
        <is>
          <t>Mã Kỳ (Khóa)</t>
        </is>
      </c>
      <c r="M4" s="157" t="inlineStr">
        <is>
          <t>Tên Kỳ Lương</t>
        </is>
      </c>
      <c r="N4" s="157" t="inlineStr">
        <is>
          <t>Trạng Thái Kỳ</t>
        </is>
      </c>
      <c r="O4" s="98" t="inlineStr">
        <is>
          <t>Ngày Khóa Sổ</t>
        </is>
      </c>
      <c r="P4" s="98" t="inlineStr">
        <is>
          <t>Người Phê Duyệt Khóa</t>
        </is>
      </c>
    </row>
    <row r="5">
      <c r="A5" s="158" t="inlineStr">
        <is>
          <t>NV01</t>
        </is>
      </c>
      <c r="B5" s="159" t="inlineStr">
        <is>
          <t>Hoàng Ngọc Hà</t>
        </is>
      </c>
      <c r="C5" s="160" t="n">
        <v>7500000</v>
      </c>
      <c r="D5" s="158" t="n">
        <v>26</v>
      </c>
      <c r="E5" s="161">
        <f>D5*8</f>
        <v/>
      </c>
      <c r="F5" s="162">
        <f>IFERROR(C5/E5, 0)</f>
        <v/>
      </c>
      <c r="H5" s="163" t="inlineStr">
        <is>
          <t>Giờ ca chuẩn/ngày</t>
        </is>
      </c>
      <c r="I5" s="164" t="n">
        <v>8</v>
      </c>
      <c r="J5" s="4" t="inlineStr">
        <is>
          <t>Tiện CNC đường kính lớn Ø300 - Ø800</t>
        </is>
      </c>
      <c r="K5" s="3" t="inlineStr">
        <is>
          <t>Hạng A (Rất tốt)</t>
        </is>
      </c>
      <c r="L5" s="165" t="inlineStr">
        <is>
          <t>2026-08</t>
        </is>
      </c>
      <c r="M5" s="165" t="inlineStr">
        <is>
          <t>Tháng 08/2026</t>
        </is>
      </c>
      <c r="N5" s="166" t="inlineStr">
        <is>
          <t>ĐÃ KHÓA SỔ</t>
        </is>
      </c>
      <c r="O5" s="99" t="inlineStr">
        <is>
          <t>2026-08-31</t>
        </is>
      </c>
      <c r="P5" s="100" t="inlineStr">
        <is>
          <t>Quản đốc Trần Đức Minh</t>
        </is>
      </c>
    </row>
    <row r="6">
      <c r="A6" s="167" t="inlineStr">
        <is>
          <t>NV02</t>
        </is>
      </c>
      <c r="B6" s="168" t="inlineStr">
        <is>
          <t>Nguyễn Trung Đông</t>
        </is>
      </c>
      <c r="C6" s="169" t="n">
        <v>7000000</v>
      </c>
      <c r="D6" s="167" t="n">
        <v>26</v>
      </c>
      <c r="E6" s="170">
        <f>D6*8</f>
        <v/>
      </c>
      <c r="F6" s="171">
        <f>IFERROR(C6/E6, 0)</f>
        <v/>
      </c>
      <c r="H6" s="163" t="inlineStr">
        <is>
          <t>Giờ TC tối đa/ngày</t>
        </is>
      </c>
      <c r="I6" s="164" t="n">
        <v>4</v>
      </c>
      <c r="J6" s="4" t="inlineStr">
        <is>
          <t>Tiện CNC cánh xoắn vít đùn</t>
        </is>
      </c>
      <c r="K6" s="3" t="inlineStr">
        <is>
          <t>Hạng A (Rất tốt)</t>
        </is>
      </c>
      <c r="L6" s="165" t="inlineStr">
        <is>
          <t>2026-09</t>
        </is>
      </c>
      <c r="M6" s="165" t="inlineStr">
        <is>
          <t>Tháng 09/2026</t>
        </is>
      </c>
      <c r="N6" s="172" t="inlineStr">
        <is>
          <t>ĐANG MỞ</t>
        </is>
      </c>
      <c r="O6" s="99" t="inlineStr"/>
      <c r="P6" s="100" t="inlineStr"/>
    </row>
    <row r="7">
      <c r="A7" s="158" t="inlineStr">
        <is>
          <t>NV03</t>
        </is>
      </c>
      <c r="B7" s="159" t="inlineStr">
        <is>
          <t>Phùng Đình Hùng</t>
        </is>
      </c>
      <c r="C7" s="160" t="n">
        <v>6800000</v>
      </c>
      <c r="D7" s="158" t="n">
        <v>26</v>
      </c>
      <c r="E7" s="161">
        <f>D7*8</f>
        <v/>
      </c>
      <c r="F7" s="162">
        <f>IFERROR(C7/E7, 0)</f>
        <v/>
      </c>
      <c r="H7" s="163" t="inlineStr">
        <is>
          <t>Hệ số TC ngày thường</t>
        </is>
      </c>
      <c r="I7" s="164" t="n">
        <v>1.5</v>
      </c>
      <c r="J7" s="4" t="inlineStr">
        <is>
          <t>Phay giường phôi đúc nặng đến 5 tấn</t>
        </is>
      </c>
      <c r="K7" s="3" t="inlineStr">
        <is>
          <t>Hạng B (Đạt yêu cầu)</t>
        </is>
      </c>
      <c r="L7" s="165" t="inlineStr">
        <is>
          <t>2026-10</t>
        </is>
      </c>
      <c r="M7" s="165" t="inlineStr">
        <is>
          <t>Tháng 10/2026</t>
        </is>
      </c>
      <c r="N7" s="172" t="inlineStr">
        <is>
          <t>ĐANG MỞ</t>
        </is>
      </c>
      <c r="O7" s="99" t="inlineStr"/>
      <c r="P7" s="100" t="inlineStr"/>
    </row>
    <row r="8">
      <c r="A8" s="167" t="inlineStr">
        <is>
          <t>NV04</t>
        </is>
      </c>
      <c r="B8" s="168" t="inlineStr">
        <is>
          <t>Vũ Tiến Thuận</t>
        </is>
      </c>
      <c r="C8" s="169" t="n">
        <v>7200000</v>
      </c>
      <c r="D8" s="167" t="n">
        <v>26</v>
      </c>
      <c r="E8" s="170">
        <f>D8*8</f>
        <v/>
      </c>
      <c r="F8" s="171">
        <f>IFERROR(C8/E8, 0)</f>
        <v/>
      </c>
      <c r="H8" s="163" t="inlineStr">
        <is>
          <t>Hệ số TC ngày nghỉ (CN)</t>
        </is>
      </c>
      <c r="I8" s="164" t="n">
        <v>2</v>
      </c>
      <c r="J8" s="4" t="inlineStr">
        <is>
          <t>Cắt dây Molypden độ dày đến 400mm</t>
        </is>
      </c>
      <c r="K8" s="3" t="inlineStr">
        <is>
          <t>Hạng A (Rất tốt)</t>
        </is>
      </c>
      <c r="L8" s="165" t="inlineStr">
        <is>
          <t>2026-11</t>
        </is>
      </c>
      <c r="M8" s="165" t="inlineStr">
        <is>
          <t>Tháng 11/2026</t>
        </is>
      </c>
      <c r="N8" s="172" t="inlineStr">
        <is>
          <t>ĐANG MỞ</t>
        </is>
      </c>
      <c r="O8" s="99" t="inlineStr"/>
      <c r="P8" s="100" t="inlineStr"/>
    </row>
    <row r="9">
      <c r="A9" s="158" t="inlineStr">
        <is>
          <t>NV05</t>
        </is>
      </c>
      <c r="B9" s="159" t="inlineStr">
        <is>
          <t>Nguyễn Mạnh Hà</t>
        </is>
      </c>
      <c r="C9" s="160" t="n">
        <v>6500000</v>
      </c>
      <c r="D9" s="158" t="n">
        <v>26</v>
      </c>
      <c r="E9" s="161">
        <f>D9*8</f>
        <v/>
      </c>
      <c r="F9" s="162">
        <f>IFERROR(C9/E9, 0)</f>
        <v/>
      </c>
      <c r="H9" s="163" t="inlineStr">
        <is>
          <t>Hệ số TC ngày lễ, Tết</t>
        </is>
      </c>
      <c r="I9" s="164" t="n">
        <v>3</v>
      </c>
      <c r="J9" s="4" t="inlineStr">
        <is>
          <t>Phay CNC 3-4 trục, làm hốc khuôn</t>
        </is>
      </c>
      <c r="K9" s="3" t="inlineStr">
        <is>
          <t>Hạng A (Rất tốt)</t>
        </is>
      </c>
      <c r="L9" s="165" t="inlineStr">
        <is>
          <t>2026-12</t>
        </is>
      </c>
      <c r="M9" s="165" t="inlineStr">
        <is>
          <t>Tháng 12/2026</t>
        </is>
      </c>
      <c r="N9" s="172" t="inlineStr">
        <is>
          <t>ĐANG MỞ</t>
        </is>
      </c>
      <c r="O9" s="99" t="inlineStr"/>
      <c r="P9" s="100" t="inlineStr"/>
    </row>
    <row r="10">
      <c r="A10" s="167" t="inlineStr">
        <is>
          <t>NV06</t>
        </is>
      </c>
      <c r="B10" s="168" t="inlineStr">
        <is>
          <t>Nguyễn Văn Thanh</t>
        </is>
      </c>
      <c r="C10" s="169" t="n">
        <v>7800000</v>
      </c>
      <c r="D10" s="167" t="n">
        <v>26</v>
      </c>
      <c r="E10" s="170">
        <f>D10*8</f>
        <v/>
      </c>
      <c r="F10" s="171">
        <f>IFERROR(C10/E10, 0)</f>
        <v/>
      </c>
      <c r="H10" s="173" t="inlineStr">
        <is>
          <t>Hệ số phụ trội làm đêm</t>
        </is>
      </c>
      <c r="I10" s="164" t="n">
        <v>0.3</v>
      </c>
      <c r="L10" s="174" t="n"/>
      <c r="M10" s="174" t="n"/>
      <c r="N10" s="174" t="n"/>
    </row>
    <row r="11">
      <c r="A11" s="158" t="inlineStr">
        <is>
          <t>NV07</t>
        </is>
      </c>
      <c r="B11" s="159" t="inlineStr">
        <is>
          <t>Phùng Gia Phúc</t>
        </is>
      </c>
      <c r="C11" s="160" t="n">
        <v>8200000</v>
      </c>
      <c r="D11" s="158" t="n">
        <v>26</v>
      </c>
      <c r="E11" s="161">
        <f>D11*8</f>
        <v/>
      </c>
      <c r="F11" s="162">
        <f>IFERROR(C11/E11, 0)</f>
        <v/>
      </c>
      <c r="H11" s="173" t="inlineStr">
        <is>
          <t>Giờ TC tối đa/tháng</t>
        </is>
      </c>
      <c r="I11" s="164" t="n">
        <v>40</v>
      </c>
      <c r="L11" s="174" t="n"/>
      <c r="M11" s="174" t="n"/>
      <c r="N11" s="174" t="n"/>
    </row>
    <row r="12">
      <c r="A12" s="167" t="inlineStr">
        <is>
          <t>NV08</t>
        </is>
      </c>
      <c r="B12" s="168" t="inlineStr">
        <is>
          <t>Trần Văn Dũng</t>
        </is>
      </c>
      <c r="C12" s="169" t="n">
        <v>7500000</v>
      </c>
      <c r="D12" s="175" t="n">
        <v>26</v>
      </c>
      <c r="E12" s="176">
        <f>D12*8</f>
        <v/>
      </c>
      <c r="F12" s="171">
        <f>IFERROR(C12/E12, 0)</f>
        <v/>
      </c>
      <c r="H12" s="173" t="inlineStr">
        <is>
          <t>Giờ TC tối đa/năm</t>
        </is>
      </c>
      <c r="I12" s="164" t="n">
        <v>200</v>
      </c>
      <c r="L12" s="174" t="n"/>
      <c r="M12" s="174" t="n"/>
      <c r="N12" s="174" t="n"/>
    </row>
    <row r="13">
      <c r="A13" s="158" t="inlineStr">
        <is>
          <t>NV09</t>
        </is>
      </c>
      <c r="B13" s="159" t="inlineStr">
        <is>
          <t>Trần Đăng Ninh</t>
        </is>
      </c>
      <c r="C13" s="160" t="n">
        <v>6500000</v>
      </c>
      <c r="D13" s="177" t="n">
        <v>26</v>
      </c>
      <c r="E13" s="178">
        <f>D13*8</f>
        <v/>
      </c>
      <c r="F13" s="162">
        <f>IFERROR(C13/E13, 0)</f>
        <v/>
      </c>
      <c r="H13" s="174" t="n"/>
      <c r="I13" s="174" t="n"/>
      <c r="L13" s="174" t="n"/>
      <c r="M13" s="174" t="n"/>
      <c r="N13" s="174" t="n"/>
    </row>
    <row r="14">
      <c r="A14" s="175" t="inlineStr">
        <is>
          <t>NV10</t>
        </is>
      </c>
      <c r="B14" s="179" t="inlineStr">
        <is>
          <t>Phạm Văn Tráng</t>
        </is>
      </c>
      <c r="C14" s="169" t="n">
        <v>8000000</v>
      </c>
      <c r="D14" s="175" t="n">
        <v>26</v>
      </c>
      <c r="E14" s="176">
        <f>D14*8</f>
        <v/>
      </c>
      <c r="F14" s="171">
        <f>IFERROR(C14/E14, 0)</f>
        <v/>
      </c>
      <c r="H14" s="174" t="n"/>
      <c r="I14" s="174" t="n"/>
      <c r="L14" s="174" t="n"/>
      <c r="M14" s="174" t="n"/>
      <c r="N14" s="174" t="n"/>
    </row>
    <row r="15">
      <c r="A15" s="177" t="inlineStr">
        <is>
          <t>NV11</t>
        </is>
      </c>
      <c r="B15" s="180" t="inlineStr">
        <is>
          <t>Phùng Công Thắng</t>
        </is>
      </c>
      <c r="C15" s="160" t="n">
        <v>8500000</v>
      </c>
      <c r="D15" s="177" t="n">
        <v>26</v>
      </c>
      <c r="E15" s="178">
        <f>D15*8</f>
        <v/>
      </c>
      <c r="F15" s="162">
        <f>IFERROR(C15/E15, 0)</f>
        <v/>
      </c>
      <c r="H15" s="174" t="n"/>
      <c r="I15" s="174" t="n"/>
      <c r="L15" s="174" t="n"/>
      <c r="M15" s="174" t="n"/>
      <c r="N15" s="174" t="n"/>
    </row>
    <row r="16">
      <c r="A16" s="175" t="inlineStr">
        <is>
          <t>NV12</t>
        </is>
      </c>
      <c r="B16" s="179" t="inlineStr">
        <is>
          <t>Phạm Ngọc Sam</t>
        </is>
      </c>
      <c r="C16" s="169" t="n">
        <v>7200000</v>
      </c>
      <c r="D16" s="175" t="n">
        <v>26</v>
      </c>
      <c r="E16" s="176">
        <f>D16*8</f>
        <v/>
      </c>
      <c r="F16" s="171">
        <f>IFERROR(C16/E16, 0)</f>
        <v/>
      </c>
      <c r="H16" s="174" t="n"/>
      <c r="I16" s="174" t="n"/>
      <c r="L16" s="174" t="n"/>
      <c r="M16" s="174" t="n"/>
      <c r="N16" s="174" t="n"/>
    </row>
    <row r="17">
      <c r="A17" s="177" t="inlineStr">
        <is>
          <t>NV13</t>
        </is>
      </c>
      <c r="B17" s="180" t="inlineStr">
        <is>
          <t>Trần Văn Quỳnh</t>
        </is>
      </c>
      <c r="C17" s="160" t="n">
        <v>7000000</v>
      </c>
      <c r="D17" s="177" t="n">
        <v>26</v>
      </c>
      <c r="E17" s="178">
        <f>D17*8</f>
        <v/>
      </c>
      <c r="F17" s="162">
        <f>IFERROR(C17/E17, 0)</f>
        <v/>
      </c>
      <c r="H17" s="174" t="n"/>
      <c r="I17" s="174" t="n"/>
      <c r="L17" s="174" t="n"/>
      <c r="M17" s="174" t="n"/>
      <c r="N17" s="174" t="n"/>
    </row>
    <row r="18">
      <c r="A18" s="175" t="inlineStr">
        <is>
          <t>NV14</t>
        </is>
      </c>
      <c r="B18" s="179" t="inlineStr">
        <is>
          <t>Đinh Văn Nhận</t>
        </is>
      </c>
      <c r="C18" s="169" t="n">
        <v>7500000</v>
      </c>
      <c r="D18" s="175" t="n">
        <v>26</v>
      </c>
      <c r="E18" s="176">
        <f>D18*8</f>
        <v/>
      </c>
      <c r="F18" s="171">
        <f>IFERROR(C18/E18, 0)</f>
        <v/>
      </c>
      <c r="H18" s="174" t="n"/>
      <c r="I18" s="174" t="n"/>
      <c r="L18" s="174" t="n"/>
      <c r="M18" s="174" t="n"/>
      <c r="N18" s="174" t="n"/>
    </row>
    <row r="19">
      <c r="A19" s="177" t="inlineStr">
        <is>
          <t>NV15</t>
        </is>
      </c>
      <c r="B19" s="180" t="inlineStr">
        <is>
          <t>Đặng Ngọc Long</t>
        </is>
      </c>
      <c r="C19" s="160" t="n">
        <v>7200000</v>
      </c>
      <c r="D19" s="177" t="n">
        <v>26</v>
      </c>
      <c r="E19" s="178">
        <f>D19*8</f>
        <v/>
      </c>
      <c r="F19" s="162">
        <f>IFERROR(C19/E19, 0)</f>
        <v/>
      </c>
      <c r="H19" s="174" t="n"/>
      <c r="I19" s="174" t="n"/>
      <c r="L19" s="174" t="n"/>
      <c r="M19" s="174" t="n"/>
      <c r="N19" s="174" t="n"/>
    </row>
  </sheetData>
  <mergeCells count="4">
    <mergeCell ref="A3:F3"/>
    <mergeCell ref="A1:K1"/>
    <mergeCell ref="L3:P3"/>
    <mergeCell ref="H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selection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3" customWidth="1" style="75" min="14" max="14"/>
    <col width="12" customWidth="1" style="75" min="15" max="15"/>
    <col width="12" customWidth="1" style="75" min="16" max="16"/>
    <col width="12" customWidth="1" style="75" min="17" max="17"/>
    <col width="13" customWidth="1" style="75" min="18" max="18"/>
    <col width="13" customWidth="1" style="75" min="19" max="19"/>
    <col width="13" customWidth="1" style="75" min="20" max="20"/>
    <col width="16" customWidth="1" style="75" min="21" max="21"/>
    <col width="14" customWidth="1" style="75" min="22" max="22"/>
    <col width="13" customWidth="1" style="75" min="23" max="23"/>
    <col width="18" customWidth="1" style="75" min="24" max="24"/>
    <col width="24" customWidth="1" style="75" min="25" max="25"/>
  </cols>
  <sheetData>
    <row r="1" ht="27" customHeight="1" s="75">
      <c r="A1" s="103" t="inlineStr">
        <is>
          <t>BẢNG TRA CỨU LƯƠNG KHOÁN THEO THÁNG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inlineStr">
        <is>
          <t>2026-08</t>
        </is>
      </c>
      <c r="C2" s="107" t="inlineStr">
        <is>
          <t>Từ Ngày:</t>
        </is>
      </c>
      <c r="D2" s="108" t="inlineStr">
        <is>
          <t>2026-08-01</t>
        </is>
      </c>
      <c r="E2" s="107" t="inlineStr">
        <is>
          <t>Đến Ngày:</t>
        </is>
      </c>
      <c r="F2" s="108" t="inlineStr">
        <is>
          <t>2026-08-31</t>
        </is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Tra cứu lương khoán động theo kỳ: Chọn tháng tại B2 -&gt; Tự động đối soát 3 cấp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81" t="inlineStr">
        <is>
          <t>Công Thực Tế</t>
        </is>
      </c>
      <c r="O4" s="145" t="inlineStr">
        <is>
          <t>TC ×1,5</t>
        </is>
      </c>
      <c r="P4" s="145" t="inlineStr">
        <is>
          <t>TC ×2</t>
        </is>
      </c>
      <c r="Q4" s="145" t="inlineStr">
        <is>
          <t>TC ×3</t>
        </is>
      </c>
      <c r="R4" s="145" t="inlineStr">
        <is>
          <t>TC Đêm ×1,5</t>
        </is>
      </c>
      <c r="S4" s="145" t="inlineStr">
        <is>
          <t>TC Đêm ×2</t>
        </is>
      </c>
      <c r="T4" s="145" t="inlineStr">
        <is>
          <t>TC Đêm ×3</t>
        </is>
      </c>
      <c r="U4" s="145" t="inlineStr">
        <is>
          <t>Tiền Tăng Ca (VNĐ)</t>
        </is>
      </c>
      <c r="V4" s="145" t="inlineStr">
        <is>
          <t>Phụ Cấp (VNĐ)</t>
        </is>
      </c>
      <c r="W4" s="145" t="inlineStr">
        <is>
          <t>Khấu Trừ (VNĐ)</t>
        </is>
      </c>
      <c r="X4" s="145" t="inlineStr">
        <is>
          <t>TỔNG THU NHẬP (VNĐ)</t>
        </is>
      </c>
      <c r="Y4" s="145" t="inlineStr">
        <is>
          <t>Trạng Thái Bảng Công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>
        <f>IF($H$2="ĐÃ KHÓA SỔ", "🔒 ĐÃ KHÓA SỔ", IF(L5&gt;0, "CHỜ KHÓA SỔ", "KỲ ĐANG MỞ"))</f>
        <v/>
      </c>
      <c r="N5" s="182">
        <f>SUMIFS('07_Cham_Cong_Tang_Ca'!$F:$F, '07_Cham_Cong_Tang_Ca'!$B:$B, $D$2, '07_Cham_Cong_Tang_Ca'!$C:$C, $B5)</f>
        <v/>
      </c>
      <c r="O5" s="183">
        <f>SUMIFS('07_Cham_Cong_Tang_Ca'!$H:$H, '07_Cham_Cong_Tang_Ca'!$B:$B, $D$2, '07_Cham_Cong_Tang_Ca'!$C:$C, $B5, '07_Cham_Cong_Tang_Ca'!$T:$T, "ĐÃ DUYỆT", '07_Cham_Cong_Tang_Ca'!$X:$X, "HỢP LỆ")</f>
        <v/>
      </c>
      <c r="P5" s="183">
        <f>SUMIFS('07_Cham_Cong_Tang_Ca'!$I:$I, '07_Cham_Cong_Tang_Ca'!$B:$B, $D$2, '07_Cham_Cong_Tang_Ca'!$C:$C, $B5, '07_Cham_Cong_Tang_Ca'!$T:$T, "ĐÃ DUYỆT", '07_Cham_Cong_Tang_Ca'!$X:$X, "HỢP LỆ")</f>
        <v/>
      </c>
      <c r="Q5" s="183">
        <f>SUMIFS('07_Cham_Cong_Tang_Ca'!$J:$J, '07_Cham_Cong_Tang_Ca'!$B:$B, $D$2, '07_Cham_Cong_Tang_Ca'!$C:$C, $B5, '07_Cham_Cong_Tang_Ca'!$T:$T, "ĐÃ DUYỆT", '07_Cham_Cong_Tang_Ca'!$X:$X, "HỢP LỆ")</f>
        <v/>
      </c>
      <c r="R5" s="183">
        <f>SUMIFS('07_Cham_Cong_Tang_Ca'!$L:$L, '07_Cham_Cong_Tang_Ca'!$B:$B, $D$2, '07_Cham_Cong_Tang_Ca'!$C:$C, $B5, '07_Cham_Cong_Tang_Ca'!$T:$T, "ĐÃ DUYỆT", '07_Cham_Cong_Tang_Ca'!$X:$X, "HỢP LỆ")</f>
        <v/>
      </c>
      <c r="S5" s="183">
        <f>SUMIFS('07_Cham_Cong_Tang_Ca'!$M:$M, '07_Cham_Cong_Tang_Ca'!$B:$B, $D$2, '07_Cham_Cong_Tang_Ca'!$C:$C, $B5, '07_Cham_Cong_Tang_Ca'!$T:$T, "ĐÃ DUYỆT", '07_Cham_Cong_Tang_Ca'!$X:$X, "HỢP LỆ")</f>
        <v/>
      </c>
      <c r="T5" s="183">
        <f>SUMIFS('07_Cham_Cong_Tang_Ca'!$N:$N, '07_Cham_Cong_Tang_Ca'!$B:$B, $D$2, '07_Cham_Cong_Tang_Ca'!$C:$C, $B5, '07_Cham_Cong_Tang_Ca'!$T:$T, "ĐÃ DUYỆT", '07_Cham_Cong_Tang_Ca'!$X:$X, "HỢP LỆ")</f>
        <v/>
      </c>
      <c r="U5" s="184">
        <f>ROUND(IFERROR(VLOOKUP($B5, '11_Master_Data'!$A$5:$F$19, 6, FALSE), 0) * (O5*1.5 + P5*2 + Q5*3 + R5*1.5*1.3 + S5*2*1.3 + T5*3*1.3), 0)</f>
        <v/>
      </c>
      <c r="V5" s="160">
        <f>SUMIFS('07_Cham_Cong_Tang_Ca'!$P:$P, '07_Cham_Cong_Tang_Ca'!$B:$B, $D$2, '07_Cham_Cong_Tang_Ca'!$C:$C, $B5)</f>
        <v/>
      </c>
      <c r="W5" s="160" t="n">
        <v>0</v>
      </c>
      <c r="X5" s="162">
        <f>ROUND(L5 + U5 + V5 - W5, 0)</f>
        <v/>
      </c>
      <c r="Y5" s="185">
        <f>IF($H$2="ĐÃ KHÓA SỔ", "🔒 ĐÃ KHÓA SỔ TỔNG THU NHẬP", "CHƯA ĐỦ ĐIỀU KIỆN CHỐT LƯƠNG")</f>
        <v/>
      </c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>
        <f>IF($H$2="ĐÃ KHÓA SỔ", "🔒 ĐÃ KHÓA SỔ", IF(L6&gt;0, "CHỜ KHÓA SỔ", "KỲ ĐANG MỞ"))</f>
        <v/>
      </c>
      <c r="N6" s="186">
        <f>SUMIFS('07_Cham_Cong_Tang_Ca'!$F:$F, '07_Cham_Cong_Tang_Ca'!$B:$B, $D$2, '07_Cham_Cong_Tang_Ca'!$C:$C, $B6)</f>
        <v/>
      </c>
      <c r="O6" s="187">
        <f>SUMIFS('07_Cham_Cong_Tang_Ca'!$H:$H, '07_Cham_Cong_Tang_Ca'!$B:$B, $D$2, '07_Cham_Cong_Tang_Ca'!$C:$C, $B6, '07_Cham_Cong_Tang_Ca'!$T:$T, "ĐÃ DUYỆT", '07_Cham_Cong_Tang_Ca'!$X:$X, "HỢP LỆ")</f>
        <v/>
      </c>
      <c r="P6" s="187">
        <f>SUMIFS('07_Cham_Cong_Tang_Ca'!$I:$I, '07_Cham_Cong_Tang_Ca'!$B:$B, $D$2, '07_Cham_Cong_Tang_Ca'!$C:$C, $B6, '07_Cham_Cong_Tang_Ca'!$T:$T, "ĐÃ DUYỆT", '07_Cham_Cong_Tang_Ca'!$X:$X, "HỢP LỆ")</f>
        <v/>
      </c>
      <c r="Q6" s="187">
        <f>SUMIFS('07_Cham_Cong_Tang_Ca'!$J:$J, '07_Cham_Cong_Tang_Ca'!$B:$B, $D$2, '07_Cham_Cong_Tang_Ca'!$C:$C, $B6, '07_Cham_Cong_Tang_Ca'!$T:$T, "ĐÃ DUYỆT", '07_Cham_Cong_Tang_Ca'!$X:$X, "HỢP LỆ")</f>
        <v/>
      </c>
      <c r="R6" s="187">
        <f>SUMIFS('07_Cham_Cong_Tang_Ca'!$L:$L, '07_Cham_Cong_Tang_Ca'!$B:$B, $D$2, '07_Cham_Cong_Tang_Ca'!$C:$C, $B6, '07_Cham_Cong_Tang_Ca'!$T:$T, "ĐÃ DUYỆT", '07_Cham_Cong_Tang_Ca'!$X:$X, "HỢP LỆ")</f>
        <v/>
      </c>
      <c r="S6" s="187">
        <f>SUMIFS('07_Cham_Cong_Tang_Ca'!$M:$M, '07_Cham_Cong_Tang_Ca'!$B:$B, $D$2, '07_Cham_Cong_Tang_Ca'!$C:$C, $B6, '07_Cham_Cong_Tang_Ca'!$T:$T, "ĐÃ DUYỆT", '07_Cham_Cong_Tang_Ca'!$X:$X, "HỢP LỆ")</f>
        <v/>
      </c>
      <c r="T6" s="187">
        <f>SUMIFS('07_Cham_Cong_Tang_Ca'!$N:$N, '07_Cham_Cong_Tang_Ca'!$B:$B, $D$2, '07_Cham_Cong_Tang_Ca'!$C:$C, $B6, '07_Cham_Cong_Tang_Ca'!$T:$T, "ĐÃ DUYỆT", '07_Cham_Cong_Tang_Ca'!$X:$X, "HỢP LỆ")</f>
        <v/>
      </c>
      <c r="U6" s="188">
        <f>ROUND(IFERROR(VLOOKUP($B6, '11_Master_Data'!$A$5:$F$19, 6, FALSE), 0) * (O6*1.5 + P6*2 + Q6*3 + R6*1.5*1.3 + S6*2*1.3 + T6*3*1.3), 0)</f>
        <v/>
      </c>
      <c r="V6" s="169">
        <f>SUMIFS('07_Cham_Cong_Tang_Ca'!$P:$P, '07_Cham_Cong_Tang_Ca'!$B:$B, $D$2, '07_Cham_Cong_Tang_Ca'!$C:$C, $B6)</f>
        <v/>
      </c>
      <c r="W6" s="169" t="n">
        <v>0</v>
      </c>
      <c r="X6" s="171">
        <f>ROUND(L6 + U6 + V6 - W6, 0)</f>
        <v/>
      </c>
      <c r="Y6" s="189">
        <f>IF($H$2="ĐÃ KHÓA SỔ", "🔒 ĐÃ KHÓA SỔ TỔNG THU NHẬP", "CHƯA ĐỦ ĐIỀU KIỆN CHỐT LƯƠNG")</f>
        <v/>
      </c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>
        <f>IF($H$2="ĐÃ KHÓA SỔ", "🔒 ĐÃ KHÓA SỔ", IF(L7&gt;0, "CHỜ KHÓA SỔ", "KỲ ĐANG MỞ"))</f>
        <v/>
      </c>
      <c r="N7" s="182">
        <f>SUMIFS('07_Cham_Cong_Tang_Ca'!$F:$F, '07_Cham_Cong_Tang_Ca'!$B:$B, $D$2, '07_Cham_Cong_Tang_Ca'!$C:$C, $B7)</f>
        <v/>
      </c>
      <c r="O7" s="183">
        <f>SUMIFS('07_Cham_Cong_Tang_Ca'!$H:$H, '07_Cham_Cong_Tang_Ca'!$B:$B, $D$2, '07_Cham_Cong_Tang_Ca'!$C:$C, $B7, '07_Cham_Cong_Tang_Ca'!$T:$T, "ĐÃ DUYỆT", '07_Cham_Cong_Tang_Ca'!$X:$X, "HỢP LỆ")</f>
        <v/>
      </c>
      <c r="P7" s="183">
        <f>SUMIFS('07_Cham_Cong_Tang_Ca'!$I:$I, '07_Cham_Cong_Tang_Ca'!$B:$B, $D$2, '07_Cham_Cong_Tang_Ca'!$C:$C, $B7, '07_Cham_Cong_Tang_Ca'!$T:$T, "ĐÃ DUYỆT", '07_Cham_Cong_Tang_Ca'!$X:$X, "HỢP LỆ")</f>
        <v/>
      </c>
      <c r="Q7" s="183">
        <f>SUMIFS('07_Cham_Cong_Tang_Ca'!$J:$J, '07_Cham_Cong_Tang_Ca'!$B:$B, $D$2, '07_Cham_Cong_Tang_Ca'!$C:$C, $B7, '07_Cham_Cong_Tang_Ca'!$T:$T, "ĐÃ DUYỆT", '07_Cham_Cong_Tang_Ca'!$X:$X, "HỢP LỆ")</f>
        <v/>
      </c>
      <c r="R7" s="183">
        <f>SUMIFS('07_Cham_Cong_Tang_Ca'!$L:$L, '07_Cham_Cong_Tang_Ca'!$B:$B, $D$2, '07_Cham_Cong_Tang_Ca'!$C:$C, $B7, '07_Cham_Cong_Tang_Ca'!$T:$T, "ĐÃ DUYỆT", '07_Cham_Cong_Tang_Ca'!$X:$X, "HỢP LỆ")</f>
        <v/>
      </c>
      <c r="S7" s="183">
        <f>SUMIFS('07_Cham_Cong_Tang_Ca'!$M:$M, '07_Cham_Cong_Tang_Ca'!$B:$B, $D$2, '07_Cham_Cong_Tang_Ca'!$C:$C, $B7, '07_Cham_Cong_Tang_Ca'!$T:$T, "ĐÃ DUYỆT", '07_Cham_Cong_Tang_Ca'!$X:$X, "HỢP LỆ")</f>
        <v/>
      </c>
      <c r="T7" s="183">
        <f>SUMIFS('07_Cham_Cong_Tang_Ca'!$N:$N, '07_Cham_Cong_Tang_Ca'!$B:$B, $D$2, '07_Cham_Cong_Tang_Ca'!$C:$C, $B7, '07_Cham_Cong_Tang_Ca'!$T:$T, "ĐÃ DUYỆT", '07_Cham_Cong_Tang_Ca'!$X:$X, "HỢP LỆ")</f>
        <v/>
      </c>
      <c r="U7" s="184">
        <f>ROUND(IFERROR(VLOOKUP($B7, '11_Master_Data'!$A$5:$F$19, 6, FALSE), 0) * (O7*1.5 + P7*2 + Q7*3 + R7*1.5*1.3 + S7*2*1.3 + T7*3*1.3), 0)</f>
        <v/>
      </c>
      <c r="V7" s="160">
        <f>SUMIFS('07_Cham_Cong_Tang_Ca'!$P:$P, '07_Cham_Cong_Tang_Ca'!$B:$B, $D$2, '07_Cham_Cong_Tang_Ca'!$C:$C, $B7)</f>
        <v/>
      </c>
      <c r="W7" s="160" t="n">
        <v>0</v>
      </c>
      <c r="X7" s="162">
        <f>ROUND(L7 + U7 + V7 - W7, 0)</f>
        <v/>
      </c>
      <c r="Y7" s="185">
        <f>IF($H$2="ĐÃ KHÓA SỔ", "🔒 ĐÃ KHÓA SỔ TỔNG THU NHẬP", "CHƯA ĐỦ ĐIỀU KIỆN CHỐT LƯƠNG")</f>
        <v/>
      </c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>
        <f>IF($H$2="ĐÃ KHÓA SỔ", "🔒 ĐÃ KHÓA SỔ", IF(L8&gt;0, "CHỜ KHÓA SỔ", "KỲ ĐANG MỞ"))</f>
        <v/>
      </c>
      <c r="N8" s="186">
        <f>SUMIFS('07_Cham_Cong_Tang_Ca'!$F:$F, '07_Cham_Cong_Tang_Ca'!$B:$B, $D$2, '07_Cham_Cong_Tang_Ca'!$C:$C, $B8)</f>
        <v/>
      </c>
      <c r="O8" s="187">
        <f>SUMIFS('07_Cham_Cong_Tang_Ca'!$H:$H, '07_Cham_Cong_Tang_Ca'!$B:$B, $D$2, '07_Cham_Cong_Tang_Ca'!$C:$C, $B8, '07_Cham_Cong_Tang_Ca'!$T:$T, "ĐÃ DUYỆT", '07_Cham_Cong_Tang_Ca'!$X:$X, "HỢP LỆ")</f>
        <v/>
      </c>
      <c r="P8" s="187">
        <f>SUMIFS('07_Cham_Cong_Tang_Ca'!$I:$I, '07_Cham_Cong_Tang_Ca'!$B:$B, $D$2, '07_Cham_Cong_Tang_Ca'!$C:$C, $B8, '07_Cham_Cong_Tang_Ca'!$T:$T, "ĐÃ DUYỆT", '07_Cham_Cong_Tang_Ca'!$X:$X, "HỢP LỆ")</f>
        <v/>
      </c>
      <c r="Q8" s="187">
        <f>SUMIFS('07_Cham_Cong_Tang_Ca'!$J:$J, '07_Cham_Cong_Tang_Ca'!$B:$B, $D$2, '07_Cham_Cong_Tang_Ca'!$C:$C, $B8, '07_Cham_Cong_Tang_Ca'!$T:$T, "ĐÃ DUYỆT", '07_Cham_Cong_Tang_Ca'!$X:$X, "HỢP LỆ")</f>
        <v/>
      </c>
      <c r="R8" s="187">
        <f>SUMIFS('07_Cham_Cong_Tang_Ca'!$L:$L, '07_Cham_Cong_Tang_Ca'!$B:$B, $D$2, '07_Cham_Cong_Tang_Ca'!$C:$C, $B8, '07_Cham_Cong_Tang_Ca'!$T:$T, "ĐÃ DUYỆT", '07_Cham_Cong_Tang_Ca'!$X:$X, "HỢP LỆ")</f>
        <v/>
      </c>
      <c r="S8" s="187">
        <f>SUMIFS('07_Cham_Cong_Tang_Ca'!$M:$M, '07_Cham_Cong_Tang_Ca'!$B:$B, $D$2, '07_Cham_Cong_Tang_Ca'!$C:$C, $B8, '07_Cham_Cong_Tang_Ca'!$T:$T, "ĐÃ DUYỆT", '07_Cham_Cong_Tang_Ca'!$X:$X, "HỢP LỆ")</f>
        <v/>
      </c>
      <c r="T8" s="187">
        <f>SUMIFS('07_Cham_Cong_Tang_Ca'!$N:$N, '07_Cham_Cong_Tang_Ca'!$B:$B, $D$2, '07_Cham_Cong_Tang_Ca'!$C:$C, $B8, '07_Cham_Cong_Tang_Ca'!$T:$T, "ĐÃ DUYỆT", '07_Cham_Cong_Tang_Ca'!$X:$X, "HỢP LỆ")</f>
        <v/>
      </c>
      <c r="U8" s="188">
        <f>ROUND(IFERROR(VLOOKUP($B8, '11_Master_Data'!$A$5:$F$19, 6, FALSE), 0) * (O8*1.5 + P8*2 + Q8*3 + R8*1.5*1.3 + S8*2*1.3 + T8*3*1.3), 0)</f>
        <v/>
      </c>
      <c r="V8" s="169">
        <f>SUMIFS('07_Cham_Cong_Tang_Ca'!$P:$P, '07_Cham_Cong_Tang_Ca'!$B:$B, $D$2, '07_Cham_Cong_Tang_Ca'!$C:$C, $B8)</f>
        <v/>
      </c>
      <c r="W8" s="169" t="n">
        <v>0</v>
      </c>
      <c r="X8" s="171">
        <f>ROUND(L8 + U8 + V8 - W8, 0)</f>
        <v/>
      </c>
      <c r="Y8" s="189">
        <f>IF($H$2="ĐÃ KHÓA SỔ", "🔒 ĐÃ KHÓA SỔ TỔNG THU NHẬP", "CHƯA ĐỦ ĐIỀU KIỆN CHỐT LƯƠNG")</f>
        <v/>
      </c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>
        <f>IF($H$2="ĐÃ KHÓA SỔ", "🔒 ĐÃ KHÓA SỔ", IF(L9&gt;0, "CHỜ KHÓA SỔ", "KỲ ĐANG MỞ"))</f>
        <v/>
      </c>
      <c r="N9" s="182">
        <f>SUMIFS('07_Cham_Cong_Tang_Ca'!$F:$F, '07_Cham_Cong_Tang_Ca'!$B:$B, $D$2, '07_Cham_Cong_Tang_Ca'!$C:$C, $B9)</f>
        <v/>
      </c>
      <c r="O9" s="183">
        <f>SUMIFS('07_Cham_Cong_Tang_Ca'!$H:$H, '07_Cham_Cong_Tang_Ca'!$B:$B, $D$2, '07_Cham_Cong_Tang_Ca'!$C:$C, $B9, '07_Cham_Cong_Tang_Ca'!$T:$T, "ĐÃ DUYỆT", '07_Cham_Cong_Tang_Ca'!$X:$X, "HỢP LỆ")</f>
        <v/>
      </c>
      <c r="P9" s="183">
        <f>SUMIFS('07_Cham_Cong_Tang_Ca'!$I:$I, '07_Cham_Cong_Tang_Ca'!$B:$B, $D$2, '07_Cham_Cong_Tang_Ca'!$C:$C, $B9, '07_Cham_Cong_Tang_Ca'!$T:$T, "ĐÃ DUYỆT", '07_Cham_Cong_Tang_Ca'!$X:$X, "HỢP LỆ")</f>
        <v/>
      </c>
      <c r="Q9" s="183">
        <f>SUMIFS('07_Cham_Cong_Tang_Ca'!$J:$J, '07_Cham_Cong_Tang_Ca'!$B:$B, $D$2, '07_Cham_Cong_Tang_Ca'!$C:$C, $B9, '07_Cham_Cong_Tang_Ca'!$T:$T, "ĐÃ DUYỆT", '07_Cham_Cong_Tang_Ca'!$X:$X, "HỢP LỆ")</f>
        <v/>
      </c>
      <c r="R9" s="183">
        <f>SUMIFS('07_Cham_Cong_Tang_Ca'!$L:$L, '07_Cham_Cong_Tang_Ca'!$B:$B, $D$2, '07_Cham_Cong_Tang_Ca'!$C:$C, $B9, '07_Cham_Cong_Tang_Ca'!$T:$T, "ĐÃ DUYỆT", '07_Cham_Cong_Tang_Ca'!$X:$X, "HỢP LỆ")</f>
        <v/>
      </c>
      <c r="S9" s="183">
        <f>SUMIFS('07_Cham_Cong_Tang_Ca'!$M:$M, '07_Cham_Cong_Tang_Ca'!$B:$B, $D$2, '07_Cham_Cong_Tang_Ca'!$C:$C, $B9, '07_Cham_Cong_Tang_Ca'!$T:$T, "ĐÃ DUYỆT", '07_Cham_Cong_Tang_Ca'!$X:$X, "HỢP LỆ")</f>
        <v/>
      </c>
      <c r="T9" s="183">
        <f>SUMIFS('07_Cham_Cong_Tang_Ca'!$N:$N, '07_Cham_Cong_Tang_Ca'!$B:$B, $D$2, '07_Cham_Cong_Tang_Ca'!$C:$C, $B9, '07_Cham_Cong_Tang_Ca'!$T:$T, "ĐÃ DUYỆT", '07_Cham_Cong_Tang_Ca'!$X:$X, "HỢP LỆ")</f>
        <v/>
      </c>
      <c r="U9" s="184">
        <f>ROUND(IFERROR(VLOOKUP($B9, '11_Master_Data'!$A$5:$F$19, 6, FALSE), 0) * (O9*1.5 + P9*2 + Q9*3 + R9*1.5*1.3 + S9*2*1.3 + T9*3*1.3), 0)</f>
        <v/>
      </c>
      <c r="V9" s="160">
        <f>SUMIFS('07_Cham_Cong_Tang_Ca'!$P:$P, '07_Cham_Cong_Tang_Ca'!$B:$B, $D$2, '07_Cham_Cong_Tang_Ca'!$C:$C, $B9)</f>
        <v/>
      </c>
      <c r="W9" s="160" t="n">
        <v>0</v>
      </c>
      <c r="X9" s="162">
        <f>ROUND(L9 + U9 + V9 - W9, 0)</f>
        <v/>
      </c>
      <c r="Y9" s="185">
        <f>IF($H$2="ĐÃ KHÓA SỔ", "🔒 ĐÃ KHÓA SỔ TỔNG THU NHẬP", "CHƯA ĐỦ ĐIỀU KIỆN CHỐT LƯƠNG")</f>
        <v/>
      </c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>
        <f>IF($H$2="ĐÃ KHÓA SỔ", "🔒 ĐÃ KHÓA SỔ", IF(L10&gt;0, "CHỜ KHÓA SỔ", "KỲ ĐANG MỞ"))</f>
        <v/>
      </c>
      <c r="N10" s="186">
        <f>SUMIFS('07_Cham_Cong_Tang_Ca'!$F:$F, '07_Cham_Cong_Tang_Ca'!$B:$B, $D$2, '07_Cham_Cong_Tang_Ca'!$C:$C, $B10)</f>
        <v/>
      </c>
      <c r="O10" s="187">
        <f>SUMIFS('07_Cham_Cong_Tang_Ca'!$H:$H, '07_Cham_Cong_Tang_Ca'!$B:$B, $D$2, '07_Cham_Cong_Tang_Ca'!$C:$C, $B10, '07_Cham_Cong_Tang_Ca'!$T:$T, "ĐÃ DUYỆT", '07_Cham_Cong_Tang_Ca'!$X:$X, "HỢP LỆ")</f>
        <v/>
      </c>
      <c r="P10" s="187">
        <f>SUMIFS('07_Cham_Cong_Tang_Ca'!$I:$I, '07_Cham_Cong_Tang_Ca'!$B:$B, $D$2, '07_Cham_Cong_Tang_Ca'!$C:$C, $B10, '07_Cham_Cong_Tang_Ca'!$T:$T, "ĐÃ DUYỆT", '07_Cham_Cong_Tang_Ca'!$X:$X, "HỢP LỆ")</f>
        <v/>
      </c>
      <c r="Q10" s="187">
        <f>SUMIFS('07_Cham_Cong_Tang_Ca'!$J:$J, '07_Cham_Cong_Tang_Ca'!$B:$B, $D$2, '07_Cham_Cong_Tang_Ca'!$C:$C, $B10, '07_Cham_Cong_Tang_Ca'!$T:$T, "ĐÃ DUYỆT", '07_Cham_Cong_Tang_Ca'!$X:$X, "HỢP LỆ")</f>
        <v/>
      </c>
      <c r="R10" s="187">
        <f>SUMIFS('07_Cham_Cong_Tang_Ca'!$L:$L, '07_Cham_Cong_Tang_Ca'!$B:$B, $D$2, '07_Cham_Cong_Tang_Ca'!$C:$C, $B10, '07_Cham_Cong_Tang_Ca'!$T:$T, "ĐÃ DUYỆT", '07_Cham_Cong_Tang_Ca'!$X:$X, "HỢP LỆ")</f>
        <v/>
      </c>
      <c r="S10" s="187">
        <f>SUMIFS('07_Cham_Cong_Tang_Ca'!$M:$M, '07_Cham_Cong_Tang_Ca'!$B:$B, $D$2, '07_Cham_Cong_Tang_Ca'!$C:$C, $B10, '07_Cham_Cong_Tang_Ca'!$T:$T, "ĐÃ DUYỆT", '07_Cham_Cong_Tang_Ca'!$X:$X, "HỢP LỆ")</f>
        <v/>
      </c>
      <c r="T10" s="187">
        <f>SUMIFS('07_Cham_Cong_Tang_Ca'!$N:$N, '07_Cham_Cong_Tang_Ca'!$B:$B, $D$2, '07_Cham_Cong_Tang_Ca'!$C:$C, $B10, '07_Cham_Cong_Tang_Ca'!$T:$T, "ĐÃ DUYỆT", '07_Cham_Cong_Tang_Ca'!$X:$X, "HỢP LỆ")</f>
        <v/>
      </c>
      <c r="U10" s="188">
        <f>ROUND(IFERROR(VLOOKUP($B10, '11_Master_Data'!$A$5:$F$19, 6, FALSE), 0) * (O10*1.5 + P10*2 + Q10*3 + R10*1.5*1.3 + S10*2*1.3 + T10*3*1.3), 0)</f>
        <v/>
      </c>
      <c r="V10" s="169">
        <f>SUMIFS('07_Cham_Cong_Tang_Ca'!$P:$P, '07_Cham_Cong_Tang_Ca'!$B:$B, $D$2, '07_Cham_Cong_Tang_Ca'!$C:$C, $B10)</f>
        <v/>
      </c>
      <c r="W10" s="169" t="n">
        <v>0</v>
      </c>
      <c r="X10" s="171">
        <f>ROUND(L10 + U10 + V10 - W10, 0)</f>
        <v/>
      </c>
      <c r="Y10" s="189">
        <f>IF($H$2="ĐÃ KHÓA SỔ", "🔒 ĐÃ KHÓA SỔ TỔNG THU NHẬP", "CHƯA ĐỦ ĐIỀU KIỆN CHỐT LƯƠNG")</f>
        <v/>
      </c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>
        <f>IF($H$2="ĐÃ KHÓA SỔ", "🔒 ĐÃ KHÓA SỔ", IF(L11&gt;0, "CHỜ KHÓA SỔ", "KỲ ĐANG MỞ"))</f>
        <v/>
      </c>
      <c r="N11" s="182">
        <f>SUMIFS('07_Cham_Cong_Tang_Ca'!$F:$F, '07_Cham_Cong_Tang_Ca'!$B:$B, $D$2, '07_Cham_Cong_Tang_Ca'!$C:$C, $B11)</f>
        <v/>
      </c>
      <c r="O11" s="183">
        <f>SUMIFS('07_Cham_Cong_Tang_Ca'!$H:$H, '07_Cham_Cong_Tang_Ca'!$B:$B, $D$2, '07_Cham_Cong_Tang_Ca'!$C:$C, $B11, '07_Cham_Cong_Tang_Ca'!$T:$T, "ĐÃ DUYỆT", '07_Cham_Cong_Tang_Ca'!$X:$X, "HỢP LỆ")</f>
        <v/>
      </c>
      <c r="P11" s="183">
        <f>SUMIFS('07_Cham_Cong_Tang_Ca'!$I:$I, '07_Cham_Cong_Tang_Ca'!$B:$B, $D$2, '07_Cham_Cong_Tang_Ca'!$C:$C, $B11, '07_Cham_Cong_Tang_Ca'!$T:$T, "ĐÃ DUYỆT", '07_Cham_Cong_Tang_Ca'!$X:$X, "HỢP LỆ")</f>
        <v/>
      </c>
      <c r="Q11" s="183">
        <f>SUMIFS('07_Cham_Cong_Tang_Ca'!$J:$J, '07_Cham_Cong_Tang_Ca'!$B:$B, $D$2, '07_Cham_Cong_Tang_Ca'!$C:$C, $B11, '07_Cham_Cong_Tang_Ca'!$T:$T, "ĐÃ DUYỆT", '07_Cham_Cong_Tang_Ca'!$X:$X, "HỢP LỆ")</f>
        <v/>
      </c>
      <c r="R11" s="183">
        <f>SUMIFS('07_Cham_Cong_Tang_Ca'!$L:$L, '07_Cham_Cong_Tang_Ca'!$B:$B, $D$2, '07_Cham_Cong_Tang_Ca'!$C:$C, $B11, '07_Cham_Cong_Tang_Ca'!$T:$T, "ĐÃ DUYỆT", '07_Cham_Cong_Tang_Ca'!$X:$X, "HỢP LỆ")</f>
        <v/>
      </c>
      <c r="S11" s="183">
        <f>SUMIFS('07_Cham_Cong_Tang_Ca'!$M:$M, '07_Cham_Cong_Tang_Ca'!$B:$B, $D$2, '07_Cham_Cong_Tang_Ca'!$C:$C, $B11, '07_Cham_Cong_Tang_Ca'!$T:$T, "ĐÃ DUYỆT", '07_Cham_Cong_Tang_Ca'!$X:$X, "HỢP LỆ")</f>
        <v/>
      </c>
      <c r="T11" s="183">
        <f>SUMIFS('07_Cham_Cong_Tang_Ca'!$N:$N, '07_Cham_Cong_Tang_Ca'!$B:$B, $D$2, '07_Cham_Cong_Tang_Ca'!$C:$C, $B11, '07_Cham_Cong_Tang_Ca'!$T:$T, "ĐÃ DUYỆT", '07_Cham_Cong_Tang_Ca'!$X:$X, "HỢP LỆ")</f>
        <v/>
      </c>
      <c r="U11" s="184">
        <f>ROUND(IFERROR(VLOOKUP($B11, '11_Master_Data'!$A$5:$F$19, 6, FALSE), 0) * (O11*1.5 + P11*2 + Q11*3 + R11*1.5*1.3 + S11*2*1.3 + T11*3*1.3), 0)</f>
        <v/>
      </c>
      <c r="V11" s="160">
        <f>SUMIFS('07_Cham_Cong_Tang_Ca'!$P:$P, '07_Cham_Cong_Tang_Ca'!$B:$B, $D$2, '07_Cham_Cong_Tang_Ca'!$C:$C, $B11)</f>
        <v/>
      </c>
      <c r="W11" s="160" t="n">
        <v>0</v>
      </c>
      <c r="X11" s="162">
        <f>ROUND(L11 + U11 + V11 - W11, 0)</f>
        <v/>
      </c>
      <c r="Y11" s="185">
        <f>IF($H$2="ĐÃ KHÓA SỔ", "🔒 ĐÃ KHÓA SỔ TỔNG THU NHẬP", "CHƯA ĐỦ ĐIỀU KIỆN CHỐT LƯƠNG")</f>
        <v/>
      </c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>
        <f>IF($H$2="ĐÃ KHÓA SỔ", "🔒 ĐÃ KHÓA SỔ", IF(L12&gt;0, "CHỜ KHÓA SỔ", "KỲ ĐANG MỞ"))</f>
        <v/>
      </c>
      <c r="N12" s="186">
        <f>SUMIFS('07_Cham_Cong_Tang_Ca'!$F:$F, '07_Cham_Cong_Tang_Ca'!$B:$B, $D$2, '07_Cham_Cong_Tang_Ca'!$C:$C, $B12)</f>
        <v/>
      </c>
      <c r="O12" s="187">
        <f>SUMIFS('07_Cham_Cong_Tang_Ca'!$H:$H, '07_Cham_Cong_Tang_Ca'!$B:$B, $D$2, '07_Cham_Cong_Tang_Ca'!$C:$C, $B12, '07_Cham_Cong_Tang_Ca'!$T:$T, "ĐÃ DUYỆT", '07_Cham_Cong_Tang_Ca'!$X:$X, "HỢP LỆ")</f>
        <v/>
      </c>
      <c r="P12" s="187">
        <f>SUMIFS('07_Cham_Cong_Tang_Ca'!$I:$I, '07_Cham_Cong_Tang_Ca'!$B:$B, $D$2, '07_Cham_Cong_Tang_Ca'!$C:$C, $B12, '07_Cham_Cong_Tang_Ca'!$T:$T, "ĐÃ DUYỆT", '07_Cham_Cong_Tang_Ca'!$X:$X, "HỢP LỆ")</f>
        <v/>
      </c>
      <c r="Q12" s="187">
        <f>SUMIFS('07_Cham_Cong_Tang_Ca'!$J:$J, '07_Cham_Cong_Tang_Ca'!$B:$B, $D$2, '07_Cham_Cong_Tang_Ca'!$C:$C, $B12, '07_Cham_Cong_Tang_Ca'!$T:$T, "ĐÃ DUYỆT", '07_Cham_Cong_Tang_Ca'!$X:$X, "HỢP LỆ")</f>
        <v/>
      </c>
      <c r="R12" s="187">
        <f>SUMIFS('07_Cham_Cong_Tang_Ca'!$L:$L, '07_Cham_Cong_Tang_Ca'!$B:$B, $D$2, '07_Cham_Cong_Tang_Ca'!$C:$C, $B12, '07_Cham_Cong_Tang_Ca'!$T:$T, "ĐÃ DUYỆT", '07_Cham_Cong_Tang_Ca'!$X:$X, "HỢP LỆ")</f>
        <v/>
      </c>
      <c r="S12" s="187">
        <f>SUMIFS('07_Cham_Cong_Tang_Ca'!$M:$M, '07_Cham_Cong_Tang_Ca'!$B:$B, $D$2, '07_Cham_Cong_Tang_Ca'!$C:$C, $B12, '07_Cham_Cong_Tang_Ca'!$T:$T, "ĐÃ DUYỆT", '07_Cham_Cong_Tang_Ca'!$X:$X, "HỢP LỆ")</f>
        <v/>
      </c>
      <c r="T12" s="187">
        <f>SUMIFS('07_Cham_Cong_Tang_Ca'!$N:$N, '07_Cham_Cong_Tang_Ca'!$B:$B, $D$2, '07_Cham_Cong_Tang_Ca'!$C:$C, $B12, '07_Cham_Cong_Tang_Ca'!$T:$T, "ĐÃ DUYỆT", '07_Cham_Cong_Tang_Ca'!$X:$X, "HỢP LỆ")</f>
        <v/>
      </c>
      <c r="U12" s="188">
        <f>ROUND(IFERROR(VLOOKUP($B12, '11_Master_Data'!$A$5:$F$19, 6, FALSE), 0) * (O12*1.5 + P12*2 + Q12*3 + R12*1.5*1.3 + S12*2*1.3 + T12*3*1.3), 0)</f>
        <v/>
      </c>
      <c r="V12" s="169">
        <f>SUMIFS('07_Cham_Cong_Tang_Ca'!$P:$P, '07_Cham_Cong_Tang_Ca'!$B:$B, $D$2, '07_Cham_Cong_Tang_Ca'!$C:$C, $B12)</f>
        <v/>
      </c>
      <c r="W12" s="169" t="n">
        <v>0</v>
      </c>
      <c r="X12" s="171">
        <f>ROUND(L12 + U12 + V12 - W12, 0)</f>
        <v/>
      </c>
      <c r="Y12" s="189">
        <f>IF($H$2="ĐÃ KHÓA SỔ", "🔒 ĐÃ KHÓA SỔ TỔNG THU NHẬP", "CHƯA ĐỦ ĐIỀU KIỆN CHỐT LƯƠNG")</f>
        <v/>
      </c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>
        <f>IF($H$2="ĐÃ KHÓA SỔ", "🔒 ĐÃ KHÓA SỔ", IF(L13&gt;0, "CHỜ KHÓA SỔ", "KỲ ĐANG MỞ"))</f>
        <v/>
      </c>
      <c r="N13" s="182">
        <f>SUMIFS('07_Cham_Cong_Tang_Ca'!$F:$F, '07_Cham_Cong_Tang_Ca'!$B:$B, $D$2, '07_Cham_Cong_Tang_Ca'!$C:$C, $B13)</f>
        <v/>
      </c>
      <c r="O13" s="183">
        <f>SUMIFS('07_Cham_Cong_Tang_Ca'!$H:$H, '07_Cham_Cong_Tang_Ca'!$B:$B, $D$2, '07_Cham_Cong_Tang_Ca'!$C:$C, $B13, '07_Cham_Cong_Tang_Ca'!$T:$T, "ĐÃ DUYỆT", '07_Cham_Cong_Tang_Ca'!$X:$X, "HỢP LỆ")</f>
        <v/>
      </c>
      <c r="P13" s="183">
        <f>SUMIFS('07_Cham_Cong_Tang_Ca'!$I:$I, '07_Cham_Cong_Tang_Ca'!$B:$B, $D$2, '07_Cham_Cong_Tang_Ca'!$C:$C, $B13, '07_Cham_Cong_Tang_Ca'!$T:$T, "ĐÃ DUYỆT", '07_Cham_Cong_Tang_Ca'!$X:$X, "HỢP LỆ")</f>
        <v/>
      </c>
      <c r="Q13" s="183">
        <f>SUMIFS('07_Cham_Cong_Tang_Ca'!$J:$J, '07_Cham_Cong_Tang_Ca'!$B:$B, $D$2, '07_Cham_Cong_Tang_Ca'!$C:$C, $B13, '07_Cham_Cong_Tang_Ca'!$T:$T, "ĐÃ DUYỆT", '07_Cham_Cong_Tang_Ca'!$X:$X, "HỢP LỆ")</f>
        <v/>
      </c>
      <c r="R13" s="183">
        <f>SUMIFS('07_Cham_Cong_Tang_Ca'!$L:$L, '07_Cham_Cong_Tang_Ca'!$B:$B, $D$2, '07_Cham_Cong_Tang_Ca'!$C:$C, $B13, '07_Cham_Cong_Tang_Ca'!$T:$T, "ĐÃ DUYỆT", '07_Cham_Cong_Tang_Ca'!$X:$X, "HỢP LỆ")</f>
        <v/>
      </c>
      <c r="S13" s="183">
        <f>SUMIFS('07_Cham_Cong_Tang_Ca'!$M:$M, '07_Cham_Cong_Tang_Ca'!$B:$B, $D$2, '07_Cham_Cong_Tang_Ca'!$C:$C, $B13, '07_Cham_Cong_Tang_Ca'!$T:$T, "ĐÃ DUYỆT", '07_Cham_Cong_Tang_Ca'!$X:$X, "HỢP LỆ")</f>
        <v/>
      </c>
      <c r="T13" s="183">
        <f>SUMIFS('07_Cham_Cong_Tang_Ca'!$N:$N, '07_Cham_Cong_Tang_Ca'!$B:$B, $D$2, '07_Cham_Cong_Tang_Ca'!$C:$C, $B13, '07_Cham_Cong_Tang_Ca'!$T:$T, "ĐÃ DUYỆT", '07_Cham_Cong_Tang_Ca'!$X:$X, "HỢP LỆ")</f>
        <v/>
      </c>
      <c r="U13" s="184">
        <f>ROUND(IFERROR(VLOOKUP($B13, '11_Master_Data'!$A$5:$F$19, 6, FALSE), 0) * (O13*1.5 + P13*2 + Q13*3 + R13*1.5*1.3 + S13*2*1.3 + T13*3*1.3), 0)</f>
        <v/>
      </c>
      <c r="V13" s="160">
        <f>SUMIFS('07_Cham_Cong_Tang_Ca'!$P:$P, '07_Cham_Cong_Tang_Ca'!$B:$B, $D$2, '07_Cham_Cong_Tang_Ca'!$C:$C, $B13)</f>
        <v/>
      </c>
      <c r="W13" s="160" t="n">
        <v>0</v>
      </c>
      <c r="X13" s="162">
        <f>ROUND(L13 + U13 + V13 - W13, 0)</f>
        <v/>
      </c>
      <c r="Y13" s="185">
        <f>IF($H$2="ĐÃ KHÓA SỔ", "🔒 ĐÃ KHÓA SỔ TỔNG THU NHẬP", "CHƯA ĐỦ ĐIỀU KIỆN CHỐT LƯƠNG")</f>
        <v/>
      </c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>
        <f>IF($H$2="ĐÃ KHÓA SỔ", "🔒 ĐÃ KHÓA SỔ", IF(L14&gt;0, "CHỜ KHÓA SỔ", "KỲ ĐANG MỞ"))</f>
        <v/>
      </c>
      <c r="N14" s="186">
        <f>SUMIFS('07_Cham_Cong_Tang_Ca'!$F:$F, '07_Cham_Cong_Tang_Ca'!$B:$B, $D$2, '07_Cham_Cong_Tang_Ca'!$C:$C, $B14)</f>
        <v/>
      </c>
      <c r="O14" s="187">
        <f>SUMIFS('07_Cham_Cong_Tang_Ca'!$H:$H, '07_Cham_Cong_Tang_Ca'!$B:$B, $D$2, '07_Cham_Cong_Tang_Ca'!$C:$C, $B14, '07_Cham_Cong_Tang_Ca'!$T:$T, "ĐÃ DUYỆT", '07_Cham_Cong_Tang_Ca'!$X:$X, "HỢP LỆ")</f>
        <v/>
      </c>
      <c r="P14" s="187">
        <f>SUMIFS('07_Cham_Cong_Tang_Ca'!$I:$I, '07_Cham_Cong_Tang_Ca'!$B:$B, $D$2, '07_Cham_Cong_Tang_Ca'!$C:$C, $B14, '07_Cham_Cong_Tang_Ca'!$T:$T, "ĐÃ DUYỆT", '07_Cham_Cong_Tang_Ca'!$X:$X, "HỢP LỆ")</f>
        <v/>
      </c>
      <c r="Q14" s="187">
        <f>SUMIFS('07_Cham_Cong_Tang_Ca'!$J:$J, '07_Cham_Cong_Tang_Ca'!$B:$B, $D$2, '07_Cham_Cong_Tang_Ca'!$C:$C, $B14, '07_Cham_Cong_Tang_Ca'!$T:$T, "ĐÃ DUYỆT", '07_Cham_Cong_Tang_Ca'!$X:$X, "HỢP LỆ")</f>
        <v/>
      </c>
      <c r="R14" s="187">
        <f>SUMIFS('07_Cham_Cong_Tang_Ca'!$L:$L, '07_Cham_Cong_Tang_Ca'!$B:$B, $D$2, '07_Cham_Cong_Tang_Ca'!$C:$C, $B14, '07_Cham_Cong_Tang_Ca'!$T:$T, "ĐÃ DUYỆT", '07_Cham_Cong_Tang_Ca'!$X:$X, "HỢP LỆ")</f>
        <v/>
      </c>
      <c r="S14" s="187">
        <f>SUMIFS('07_Cham_Cong_Tang_Ca'!$M:$M, '07_Cham_Cong_Tang_Ca'!$B:$B, $D$2, '07_Cham_Cong_Tang_Ca'!$C:$C, $B14, '07_Cham_Cong_Tang_Ca'!$T:$T, "ĐÃ DUYỆT", '07_Cham_Cong_Tang_Ca'!$X:$X, "HỢP LỆ")</f>
        <v/>
      </c>
      <c r="T14" s="187">
        <f>SUMIFS('07_Cham_Cong_Tang_Ca'!$N:$N, '07_Cham_Cong_Tang_Ca'!$B:$B, $D$2, '07_Cham_Cong_Tang_Ca'!$C:$C, $B14, '07_Cham_Cong_Tang_Ca'!$T:$T, "ĐÃ DUYỆT", '07_Cham_Cong_Tang_Ca'!$X:$X, "HỢP LỆ")</f>
        <v/>
      </c>
      <c r="U14" s="188">
        <f>ROUND(IFERROR(VLOOKUP($B14, '11_Master_Data'!$A$5:$F$19, 6, FALSE), 0) * (O14*1.5 + P14*2 + Q14*3 + R14*1.5*1.3 + S14*2*1.3 + T14*3*1.3), 0)</f>
        <v/>
      </c>
      <c r="V14" s="169">
        <f>SUMIFS('07_Cham_Cong_Tang_Ca'!$P:$P, '07_Cham_Cong_Tang_Ca'!$B:$B, $D$2, '07_Cham_Cong_Tang_Ca'!$C:$C, $B14)</f>
        <v/>
      </c>
      <c r="W14" s="169" t="n">
        <v>0</v>
      </c>
      <c r="X14" s="171">
        <f>ROUND(L14 + U14 + V14 - W14, 0)</f>
        <v/>
      </c>
      <c r="Y14" s="189">
        <f>IF($H$2="ĐÃ KHÓA SỔ", "🔒 ĐÃ KHÓA SỔ TỔNG THU NHẬP", "CHƯA ĐỦ ĐIỀU KIỆN CHỐT LƯƠNG")</f>
        <v/>
      </c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>
        <f>IF($H$2="ĐÃ KHÓA SỔ", "🔒 ĐÃ KHÓA SỔ", IF(L15&gt;0, "CHỜ KHÓA SỔ", "KỲ ĐANG MỞ"))</f>
        <v/>
      </c>
      <c r="N15" s="182">
        <f>SUMIFS('07_Cham_Cong_Tang_Ca'!$F:$F, '07_Cham_Cong_Tang_Ca'!$B:$B, $D$2, '07_Cham_Cong_Tang_Ca'!$C:$C, $B15)</f>
        <v/>
      </c>
      <c r="O15" s="183">
        <f>SUMIFS('07_Cham_Cong_Tang_Ca'!$H:$H, '07_Cham_Cong_Tang_Ca'!$B:$B, $D$2, '07_Cham_Cong_Tang_Ca'!$C:$C, $B15, '07_Cham_Cong_Tang_Ca'!$T:$T, "ĐÃ DUYỆT", '07_Cham_Cong_Tang_Ca'!$X:$X, "HỢP LỆ")</f>
        <v/>
      </c>
      <c r="P15" s="183">
        <f>SUMIFS('07_Cham_Cong_Tang_Ca'!$I:$I, '07_Cham_Cong_Tang_Ca'!$B:$B, $D$2, '07_Cham_Cong_Tang_Ca'!$C:$C, $B15, '07_Cham_Cong_Tang_Ca'!$T:$T, "ĐÃ DUYỆT", '07_Cham_Cong_Tang_Ca'!$X:$X, "HỢP LỆ")</f>
        <v/>
      </c>
      <c r="Q15" s="183">
        <f>SUMIFS('07_Cham_Cong_Tang_Ca'!$J:$J, '07_Cham_Cong_Tang_Ca'!$B:$B, $D$2, '07_Cham_Cong_Tang_Ca'!$C:$C, $B15, '07_Cham_Cong_Tang_Ca'!$T:$T, "ĐÃ DUYỆT", '07_Cham_Cong_Tang_Ca'!$X:$X, "HỢP LỆ")</f>
        <v/>
      </c>
      <c r="R15" s="183">
        <f>SUMIFS('07_Cham_Cong_Tang_Ca'!$L:$L, '07_Cham_Cong_Tang_Ca'!$B:$B, $D$2, '07_Cham_Cong_Tang_Ca'!$C:$C, $B15, '07_Cham_Cong_Tang_Ca'!$T:$T, "ĐÃ DUYỆT", '07_Cham_Cong_Tang_Ca'!$X:$X, "HỢP LỆ")</f>
        <v/>
      </c>
      <c r="S15" s="183">
        <f>SUMIFS('07_Cham_Cong_Tang_Ca'!$M:$M, '07_Cham_Cong_Tang_Ca'!$B:$B, $D$2, '07_Cham_Cong_Tang_Ca'!$C:$C, $B15, '07_Cham_Cong_Tang_Ca'!$T:$T, "ĐÃ DUYỆT", '07_Cham_Cong_Tang_Ca'!$X:$X, "HỢP LỆ")</f>
        <v/>
      </c>
      <c r="T15" s="183">
        <f>SUMIFS('07_Cham_Cong_Tang_Ca'!$N:$N, '07_Cham_Cong_Tang_Ca'!$B:$B, $D$2, '07_Cham_Cong_Tang_Ca'!$C:$C, $B15, '07_Cham_Cong_Tang_Ca'!$T:$T, "ĐÃ DUYỆT", '07_Cham_Cong_Tang_Ca'!$X:$X, "HỢP LỆ")</f>
        <v/>
      </c>
      <c r="U15" s="184">
        <f>ROUND(IFERROR(VLOOKUP($B15, '11_Master_Data'!$A$5:$F$19, 6, FALSE), 0) * (O15*1.5 + P15*2 + Q15*3 + R15*1.5*1.3 + S15*2*1.3 + T15*3*1.3), 0)</f>
        <v/>
      </c>
      <c r="V15" s="160">
        <f>SUMIFS('07_Cham_Cong_Tang_Ca'!$P:$P, '07_Cham_Cong_Tang_Ca'!$B:$B, $D$2, '07_Cham_Cong_Tang_Ca'!$C:$C, $B15)</f>
        <v/>
      </c>
      <c r="W15" s="160" t="n">
        <v>0</v>
      </c>
      <c r="X15" s="162">
        <f>ROUND(L15 + U15 + V15 - W15, 0)</f>
        <v/>
      </c>
      <c r="Y15" s="185">
        <f>IF($H$2="ĐÃ KHÓA SỔ", "🔒 ĐÃ KHÓA SỔ TỔNG THU NHẬP", "CHƯA ĐỦ ĐIỀU KIỆN CHỐT LƯƠNG")</f>
        <v/>
      </c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>
        <f>IF($H$2="ĐÃ KHÓA SỔ", "🔒 ĐÃ KHÓA SỔ", IF(L16&gt;0, "CHỜ KHÓA SỔ", "KỲ ĐANG MỞ"))</f>
        <v/>
      </c>
      <c r="N16" s="186">
        <f>SUMIFS('07_Cham_Cong_Tang_Ca'!$F:$F, '07_Cham_Cong_Tang_Ca'!$B:$B, $D$2, '07_Cham_Cong_Tang_Ca'!$C:$C, $B16)</f>
        <v/>
      </c>
      <c r="O16" s="187">
        <f>SUMIFS('07_Cham_Cong_Tang_Ca'!$H:$H, '07_Cham_Cong_Tang_Ca'!$B:$B, $D$2, '07_Cham_Cong_Tang_Ca'!$C:$C, $B16, '07_Cham_Cong_Tang_Ca'!$T:$T, "ĐÃ DUYỆT", '07_Cham_Cong_Tang_Ca'!$X:$X, "HỢP LỆ")</f>
        <v/>
      </c>
      <c r="P16" s="187">
        <f>SUMIFS('07_Cham_Cong_Tang_Ca'!$I:$I, '07_Cham_Cong_Tang_Ca'!$B:$B, $D$2, '07_Cham_Cong_Tang_Ca'!$C:$C, $B16, '07_Cham_Cong_Tang_Ca'!$T:$T, "ĐÃ DUYỆT", '07_Cham_Cong_Tang_Ca'!$X:$X, "HỢP LỆ")</f>
        <v/>
      </c>
      <c r="Q16" s="187">
        <f>SUMIFS('07_Cham_Cong_Tang_Ca'!$J:$J, '07_Cham_Cong_Tang_Ca'!$B:$B, $D$2, '07_Cham_Cong_Tang_Ca'!$C:$C, $B16, '07_Cham_Cong_Tang_Ca'!$T:$T, "ĐÃ DUYỆT", '07_Cham_Cong_Tang_Ca'!$X:$X, "HỢP LỆ")</f>
        <v/>
      </c>
      <c r="R16" s="187">
        <f>SUMIFS('07_Cham_Cong_Tang_Ca'!$L:$L, '07_Cham_Cong_Tang_Ca'!$B:$B, $D$2, '07_Cham_Cong_Tang_Ca'!$C:$C, $B16, '07_Cham_Cong_Tang_Ca'!$T:$T, "ĐÃ DUYỆT", '07_Cham_Cong_Tang_Ca'!$X:$X, "HỢP LỆ")</f>
        <v/>
      </c>
      <c r="S16" s="187">
        <f>SUMIFS('07_Cham_Cong_Tang_Ca'!$M:$M, '07_Cham_Cong_Tang_Ca'!$B:$B, $D$2, '07_Cham_Cong_Tang_Ca'!$C:$C, $B16, '07_Cham_Cong_Tang_Ca'!$T:$T, "ĐÃ DUYỆT", '07_Cham_Cong_Tang_Ca'!$X:$X, "HỢP LỆ")</f>
        <v/>
      </c>
      <c r="T16" s="187">
        <f>SUMIFS('07_Cham_Cong_Tang_Ca'!$N:$N, '07_Cham_Cong_Tang_Ca'!$B:$B, $D$2, '07_Cham_Cong_Tang_Ca'!$C:$C, $B16, '07_Cham_Cong_Tang_Ca'!$T:$T, "ĐÃ DUYỆT", '07_Cham_Cong_Tang_Ca'!$X:$X, "HỢP LỆ")</f>
        <v/>
      </c>
      <c r="U16" s="188">
        <f>ROUND(IFERROR(VLOOKUP($B16, '11_Master_Data'!$A$5:$F$19, 6, FALSE), 0) * (O16*1.5 + P16*2 + Q16*3 + R16*1.5*1.3 + S16*2*1.3 + T16*3*1.3), 0)</f>
        <v/>
      </c>
      <c r="V16" s="169">
        <f>SUMIFS('07_Cham_Cong_Tang_Ca'!$P:$P, '07_Cham_Cong_Tang_Ca'!$B:$B, $D$2, '07_Cham_Cong_Tang_Ca'!$C:$C, $B16)</f>
        <v/>
      </c>
      <c r="W16" s="169" t="n">
        <v>0</v>
      </c>
      <c r="X16" s="171">
        <f>ROUND(L16 + U16 + V16 - W16, 0)</f>
        <v/>
      </c>
      <c r="Y16" s="189">
        <f>IF($H$2="ĐÃ KHÓA SỔ", "🔒 ĐÃ KHÓA SỔ TỔNG THU NHẬP", "CHƯA ĐỦ ĐIỀU KIỆN CHỐT LƯƠNG")</f>
        <v/>
      </c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>
        <f>IF($H$2="ĐÃ KHÓA SỔ", "🔒 ĐÃ KHÓA SỔ", IF(L17&gt;0, "CHỜ KHÓA SỔ", "KỲ ĐANG MỞ"))</f>
        <v/>
      </c>
      <c r="N17" s="182">
        <f>SUMIFS('07_Cham_Cong_Tang_Ca'!$F:$F, '07_Cham_Cong_Tang_Ca'!$B:$B, $D$2, '07_Cham_Cong_Tang_Ca'!$C:$C, $B17)</f>
        <v/>
      </c>
      <c r="O17" s="183">
        <f>SUMIFS('07_Cham_Cong_Tang_Ca'!$H:$H, '07_Cham_Cong_Tang_Ca'!$B:$B, $D$2, '07_Cham_Cong_Tang_Ca'!$C:$C, $B17, '07_Cham_Cong_Tang_Ca'!$T:$T, "ĐÃ DUYỆT", '07_Cham_Cong_Tang_Ca'!$X:$X, "HỢP LỆ")</f>
        <v/>
      </c>
      <c r="P17" s="183">
        <f>SUMIFS('07_Cham_Cong_Tang_Ca'!$I:$I, '07_Cham_Cong_Tang_Ca'!$B:$B, $D$2, '07_Cham_Cong_Tang_Ca'!$C:$C, $B17, '07_Cham_Cong_Tang_Ca'!$T:$T, "ĐÃ DUYỆT", '07_Cham_Cong_Tang_Ca'!$X:$X, "HỢP LỆ")</f>
        <v/>
      </c>
      <c r="Q17" s="183">
        <f>SUMIFS('07_Cham_Cong_Tang_Ca'!$J:$J, '07_Cham_Cong_Tang_Ca'!$B:$B, $D$2, '07_Cham_Cong_Tang_Ca'!$C:$C, $B17, '07_Cham_Cong_Tang_Ca'!$T:$T, "ĐÃ DUYỆT", '07_Cham_Cong_Tang_Ca'!$X:$X, "HỢP LỆ")</f>
        <v/>
      </c>
      <c r="R17" s="183">
        <f>SUMIFS('07_Cham_Cong_Tang_Ca'!$L:$L, '07_Cham_Cong_Tang_Ca'!$B:$B, $D$2, '07_Cham_Cong_Tang_Ca'!$C:$C, $B17, '07_Cham_Cong_Tang_Ca'!$T:$T, "ĐÃ DUYỆT", '07_Cham_Cong_Tang_Ca'!$X:$X, "HỢP LỆ")</f>
        <v/>
      </c>
      <c r="S17" s="183">
        <f>SUMIFS('07_Cham_Cong_Tang_Ca'!$M:$M, '07_Cham_Cong_Tang_Ca'!$B:$B, $D$2, '07_Cham_Cong_Tang_Ca'!$C:$C, $B17, '07_Cham_Cong_Tang_Ca'!$T:$T, "ĐÃ DUYỆT", '07_Cham_Cong_Tang_Ca'!$X:$X, "HỢP LỆ")</f>
        <v/>
      </c>
      <c r="T17" s="183">
        <f>SUMIFS('07_Cham_Cong_Tang_Ca'!$N:$N, '07_Cham_Cong_Tang_Ca'!$B:$B, $D$2, '07_Cham_Cong_Tang_Ca'!$C:$C, $B17, '07_Cham_Cong_Tang_Ca'!$T:$T, "ĐÃ DUYỆT", '07_Cham_Cong_Tang_Ca'!$X:$X, "HỢP LỆ")</f>
        <v/>
      </c>
      <c r="U17" s="184">
        <f>ROUND(IFERROR(VLOOKUP($B17, '11_Master_Data'!$A$5:$F$19, 6, FALSE), 0) * (O17*1.5 + P17*2 + Q17*3 + R17*1.5*1.3 + S17*2*1.3 + T17*3*1.3), 0)</f>
        <v/>
      </c>
      <c r="V17" s="160">
        <f>SUMIFS('07_Cham_Cong_Tang_Ca'!$P:$P, '07_Cham_Cong_Tang_Ca'!$B:$B, $D$2, '07_Cham_Cong_Tang_Ca'!$C:$C, $B17)</f>
        <v/>
      </c>
      <c r="W17" s="160" t="n">
        <v>0</v>
      </c>
      <c r="X17" s="162">
        <f>ROUND(L17 + U17 + V17 - W17, 0)</f>
        <v/>
      </c>
      <c r="Y17" s="185">
        <f>IF($H$2="ĐÃ KHÓA SỔ", "🔒 ĐÃ KHÓA SỔ TỔNG THU NHẬP", "CHƯA ĐỦ ĐIỀU KIỆN CHỐT LƯƠNG")</f>
        <v/>
      </c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>
        <f>IF($H$2="ĐÃ KHÓA SỔ", "🔒 ĐÃ KHÓA SỔ", IF(L18&gt;0, "CHỜ KHÓA SỔ", "KỲ ĐANG MỞ"))</f>
        <v/>
      </c>
      <c r="N18" s="186">
        <f>SUMIFS('07_Cham_Cong_Tang_Ca'!$F:$F, '07_Cham_Cong_Tang_Ca'!$B:$B, $D$2, '07_Cham_Cong_Tang_Ca'!$C:$C, $B18)</f>
        <v/>
      </c>
      <c r="O18" s="187">
        <f>SUMIFS('07_Cham_Cong_Tang_Ca'!$H:$H, '07_Cham_Cong_Tang_Ca'!$B:$B, $D$2, '07_Cham_Cong_Tang_Ca'!$C:$C, $B18, '07_Cham_Cong_Tang_Ca'!$T:$T, "ĐÃ DUYỆT", '07_Cham_Cong_Tang_Ca'!$X:$X, "HỢP LỆ")</f>
        <v/>
      </c>
      <c r="P18" s="187">
        <f>SUMIFS('07_Cham_Cong_Tang_Ca'!$I:$I, '07_Cham_Cong_Tang_Ca'!$B:$B, $D$2, '07_Cham_Cong_Tang_Ca'!$C:$C, $B18, '07_Cham_Cong_Tang_Ca'!$T:$T, "ĐÃ DUYỆT", '07_Cham_Cong_Tang_Ca'!$X:$X, "HỢP LỆ")</f>
        <v/>
      </c>
      <c r="Q18" s="187">
        <f>SUMIFS('07_Cham_Cong_Tang_Ca'!$J:$J, '07_Cham_Cong_Tang_Ca'!$B:$B, $D$2, '07_Cham_Cong_Tang_Ca'!$C:$C, $B18, '07_Cham_Cong_Tang_Ca'!$T:$T, "ĐÃ DUYỆT", '07_Cham_Cong_Tang_Ca'!$X:$X, "HỢP LỆ")</f>
        <v/>
      </c>
      <c r="R18" s="187">
        <f>SUMIFS('07_Cham_Cong_Tang_Ca'!$L:$L, '07_Cham_Cong_Tang_Ca'!$B:$B, $D$2, '07_Cham_Cong_Tang_Ca'!$C:$C, $B18, '07_Cham_Cong_Tang_Ca'!$T:$T, "ĐÃ DUYỆT", '07_Cham_Cong_Tang_Ca'!$X:$X, "HỢP LỆ")</f>
        <v/>
      </c>
      <c r="S18" s="187">
        <f>SUMIFS('07_Cham_Cong_Tang_Ca'!$M:$M, '07_Cham_Cong_Tang_Ca'!$B:$B, $D$2, '07_Cham_Cong_Tang_Ca'!$C:$C, $B18, '07_Cham_Cong_Tang_Ca'!$T:$T, "ĐÃ DUYỆT", '07_Cham_Cong_Tang_Ca'!$X:$X, "HỢP LỆ")</f>
        <v/>
      </c>
      <c r="T18" s="187">
        <f>SUMIFS('07_Cham_Cong_Tang_Ca'!$N:$N, '07_Cham_Cong_Tang_Ca'!$B:$B, $D$2, '07_Cham_Cong_Tang_Ca'!$C:$C, $B18, '07_Cham_Cong_Tang_Ca'!$T:$T, "ĐÃ DUYỆT", '07_Cham_Cong_Tang_Ca'!$X:$X, "HỢP LỆ")</f>
        <v/>
      </c>
      <c r="U18" s="188">
        <f>ROUND(IFERROR(VLOOKUP($B18, '11_Master_Data'!$A$5:$F$19, 6, FALSE), 0) * (O18*1.5 + P18*2 + Q18*3 + R18*1.5*1.3 + S18*2*1.3 + T18*3*1.3), 0)</f>
        <v/>
      </c>
      <c r="V18" s="169">
        <f>SUMIFS('07_Cham_Cong_Tang_Ca'!$P:$P, '07_Cham_Cong_Tang_Ca'!$B:$B, $D$2, '07_Cham_Cong_Tang_Ca'!$C:$C, $B18)</f>
        <v/>
      </c>
      <c r="W18" s="169" t="n">
        <v>0</v>
      </c>
      <c r="X18" s="171">
        <f>ROUND(L18 + U18 + V18 - W18, 0)</f>
        <v/>
      </c>
      <c r="Y18" s="189">
        <f>IF($H$2="ĐÃ KHÓA SỔ", "🔒 ĐÃ KHÓA SỔ TỔNG THU NHẬP", "CHƯA ĐỦ ĐIỀU KIỆN CHỐT LƯƠNG")</f>
        <v/>
      </c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>
        <f>IF($H$2="ĐÃ KHÓA SỔ", "🔒 ĐÃ KHÓA SỔ", IF(L19&gt;0, "CHỜ KHÓA SỔ", "KỲ ĐANG MỞ"))</f>
        <v/>
      </c>
      <c r="N19" s="182">
        <f>SUMIFS('07_Cham_Cong_Tang_Ca'!$F:$F, '07_Cham_Cong_Tang_Ca'!$B:$B, $D$2, '07_Cham_Cong_Tang_Ca'!$C:$C, $B19)</f>
        <v/>
      </c>
      <c r="O19" s="183">
        <f>SUMIFS('07_Cham_Cong_Tang_Ca'!$H:$H, '07_Cham_Cong_Tang_Ca'!$B:$B, $D$2, '07_Cham_Cong_Tang_Ca'!$C:$C, $B19, '07_Cham_Cong_Tang_Ca'!$T:$T, "ĐÃ DUYỆT", '07_Cham_Cong_Tang_Ca'!$X:$X, "HỢP LỆ")</f>
        <v/>
      </c>
      <c r="P19" s="183">
        <f>SUMIFS('07_Cham_Cong_Tang_Ca'!$I:$I, '07_Cham_Cong_Tang_Ca'!$B:$B, $D$2, '07_Cham_Cong_Tang_Ca'!$C:$C, $B19, '07_Cham_Cong_Tang_Ca'!$T:$T, "ĐÃ DUYỆT", '07_Cham_Cong_Tang_Ca'!$X:$X, "HỢP LỆ")</f>
        <v/>
      </c>
      <c r="Q19" s="183">
        <f>SUMIFS('07_Cham_Cong_Tang_Ca'!$J:$J, '07_Cham_Cong_Tang_Ca'!$B:$B, $D$2, '07_Cham_Cong_Tang_Ca'!$C:$C, $B19, '07_Cham_Cong_Tang_Ca'!$T:$T, "ĐÃ DUYỆT", '07_Cham_Cong_Tang_Ca'!$X:$X, "HỢP LỆ")</f>
        <v/>
      </c>
      <c r="R19" s="183">
        <f>SUMIFS('07_Cham_Cong_Tang_Ca'!$L:$L, '07_Cham_Cong_Tang_Ca'!$B:$B, $D$2, '07_Cham_Cong_Tang_Ca'!$C:$C, $B19, '07_Cham_Cong_Tang_Ca'!$T:$T, "ĐÃ DUYỆT", '07_Cham_Cong_Tang_Ca'!$X:$X, "HỢP LỆ")</f>
        <v/>
      </c>
      <c r="S19" s="183">
        <f>SUMIFS('07_Cham_Cong_Tang_Ca'!$M:$M, '07_Cham_Cong_Tang_Ca'!$B:$B, $D$2, '07_Cham_Cong_Tang_Ca'!$C:$C, $B19, '07_Cham_Cong_Tang_Ca'!$T:$T, "ĐÃ DUYỆT", '07_Cham_Cong_Tang_Ca'!$X:$X, "HỢP LỆ")</f>
        <v/>
      </c>
      <c r="T19" s="183">
        <f>SUMIFS('07_Cham_Cong_Tang_Ca'!$N:$N, '07_Cham_Cong_Tang_Ca'!$B:$B, $D$2, '07_Cham_Cong_Tang_Ca'!$C:$C, $B19, '07_Cham_Cong_Tang_Ca'!$T:$T, "ĐÃ DUYỆT", '07_Cham_Cong_Tang_Ca'!$X:$X, "HỢP LỆ")</f>
        <v/>
      </c>
      <c r="U19" s="184">
        <f>ROUND(IFERROR(VLOOKUP($B19, '11_Master_Data'!$A$5:$F$19, 6, FALSE), 0) * (O19*1.5 + P19*2 + Q19*3 + R19*1.5*1.3 + S19*2*1.3 + T19*3*1.3), 0)</f>
        <v/>
      </c>
      <c r="V19" s="160">
        <f>SUMIFS('07_Cham_Cong_Tang_Ca'!$P:$P, '07_Cham_Cong_Tang_Ca'!$B:$B, $D$2, '07_Cham_Cong_Tang_Ca'!$C:$C, $B19)</f>
        <v/>
      </c>
      <c r="W19" s="160" t="n">
        <v>0</v>
      </c>
      <c r="X19" s="162">
        <f>ROUND(L19 + U19 + V19 - W19, 0)</f>
        <v/>
      </c>
      <c r="Y19" s="185">
        <f>IF($H$2="ĐÃ KHÓA SỔ", "🔒 ĐÃ KHÓA SỔ TỔNG THU NHẬP", "CHƯA ĐỦ ĐIỀU KIỆN CHỐT LƯƠNG")</f>
        <v/>
      </c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>
        <f>SUM(E5:E19)</f>
        <v/>
      </c>
      <c r="F20" s="141">
        <f>SUM(F5:F19)</f>
        <v/>
      </c>
      <c r="G20" s="142">
        <f>SUM(G5:G19)</f>
        <v/>
      </c>
      <c r="H20" s="142">
        <f>SUM(H5:H19)</f>
        <v/>
      </c>
      <c r="I20" s="142">
        <f>SUM(I5:I19)</f>
        <v/>
      </c>
      <c r="J20" s="142">
        <f>SUM(J5:J19)</f>
        <v/>
      </c>
      <c r="K20" s="142">
        <f>SUM(K5:K19)</f>
        <v/>
      </c>
      <c r="L20" s="142">
        <f>SUM(L5:L19)</f>
        <v/>
      </c>
      <c r="M20" s="138" t="inlineStr">
        <is>
          <t>🔒 KHỚP 100% KỲ ĐÃ KHÓA</t>
        </is>
      </c>
      <c r="N20" s="190">
        <f>SUM(N5:N19)</f>
        <v/>
      </c>
      <c r="O20" s="190">
        <f>SUM(O5:O19)</f>
        <v/>
      </c>
      <c r="P20" s="190">
        <f>SUM(P5:P19)</f>
        <v/>
      </c>
      <c r="Q20" s="190">
        <f>SUM(Q5:Q19)</f>
        <v/>
      </c>
      <c r="R20" s="190">
        <f>SUM(R5:R19)</f>
        <v/>
      </c>
      <c r="S20" s="190">
        <f>SUM(S5:S19)</f>
        <v/>
      </c>
      <c r="T20" s="190">
        <f>SUM(T5:T19)</f>
        <v/>
      </c>
      <c r="U20" s="191">
        <f>SUM(U5:U19)</f>
        <v/>
      </c>
      <c r="V20" s="192">
        <f>SUM(V5:V19)</f>
        <v/>
      </c>
      <c r="W20" s="192">
        <f>SUM(W5:W19)</f>
        <v/>
      </c>
      <c r="X20" s="191">
        <f>SUM(X5:X19)</f>
        <v/>
      </c>
      <c r="Y20" s="193">
        <f>IF($H$2="ĐÃ KHÓA SỔ", "🔒 TOÀN XƯỞNG ĐÃ KHÓA SỔ", "CHƯA ĐỦ ĐIỀU KIỆN CHỐT LƯƠNG")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2026-09-15T04:52:42Z</dcterms:modified>
  <cp:lastModifiedBy>Hoang Ha</cp:lastModifiedBy>
</cp:coreProperties>
</file>