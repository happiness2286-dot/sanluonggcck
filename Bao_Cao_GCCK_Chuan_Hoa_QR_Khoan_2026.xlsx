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01_Tong_Quan_Dashboard" sheetId="1" state="visible" r:id="rId1"/>
    <sheet name="02_Canh_Bao_Qua_Tai_SubCon" sheetId="2" state="visible" r:id="rId2"/>
    <sheet name="03_Can_Bang_Tai_17_May" sheetId="3" state="visible" r:id="rId3"/>
    <sheet name="04_Bao_Gia_Gia_Thanh_SP" sheetId="4" state="visible" r:id="rId4"/>
    <sheet name="05_Dinh_Muc_Khoan_Routing" sheetId="5" state="visible" r:id="rId5"/>
    <sheet name="06_Ke_Hoach_Tien_Do_PO" sheetId="6" state="visible" r:id="rId6"/>
    <sheet name="07_OEE_Hieu_Suat_Thiet_Bi" sheetId="7" state="visible" r:id="rId7"/>
    <sheet name="08_Kiem_Soat_Chat_Luong_QA" sheetId="8" state="visible" r:id="rId8"/>
    <sheet name="07_Quet_Ma_Nhat_Ky_Ca" sheetId="9" state="visible" r:id="rId9"/>
    <sheet name="09_Truy_Xuat_BTP_Luan_Chuyen" sheetId="10" state="visible" r:id="rId10"/>
    <sheet name="10_Bang_Luong_Khoan_Tho" sheetId="11" state="visible" r:id="rId11"/>
    <sheet name="11_Master_Data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0.0%"/>
    <numFmt numFmtId="165" formatCode="#,##0.0"/>
    <numFmt numFmtId="166" formatCode="yyyy\-mm\-dd"/>
    <numFmt numFmtId="167" formatCode="yyyy\-mm\-dd\ hh:mm"/>
    <numFmt numFmtId="168" formatCode="#,##0.##"/>
    <numFmt numFmtId="169" formatCode="0.0"/>
    <numFmt numFmtId="170" formatCode="#,##0\ &quot;Cái&quot;"/>
    <numFmt numFmtId="171" formatCode="#,##0\ &quot;Máy&quot;"/>
    <numFmt numFmtId="172" formatCode="#,##0\ &quot;PO&quot;"/>
  </numFmts>
  <fonts count="13">
    <font>
      <name val="Calibri"/>
      <family val="2"/>
      <color theme="1"/>
      <sz val="11"/>
      <scheme val="minor"/>
    </font>
    <font>
      <name val="Segoe UI"/>
      <b val="1"/>
      <color rgb="FF1B365D"/>
      <sz val="15"/>
    </font>
    <font>
      <name val="Segoe UI"/>
      <i val="1"/>
      <color rgb="FF486581"/>
      <sz val="9"/>
    </font>
    <font>
      <name val="Segoe UI"/>
      <b val="1"/>
      <color rgb="FF627D98"/>
      <sz val="8"/>
    </font>
    <font>
      <name val="Segoe UI"/>
      <b val="1"/>
      <color rgb="FF1B365D"/>
      <sz val="13"/>
    </font>
    <font>
      <name val="Segoe UI"/>
      <b val="1"/>
      <color rgb="FF1B365D"/>
      <sz val="11"/>
    </font>
    <font>
      <name val="Segoe UI"/>
      <b val="1"/>
      <color rgb="FFFFFFFF"/>
      <sz val="9"/>
    </font>
    <font>
      <name val="Segoe UI"/>
      <color rgb="FF102A43"/>
      <sz val="9"/>
    </font>
    <font>
      <name val="Segoe UI"/>
      <b val="1"/>
      <color rgb="FF102A43"/>
      <sz val="9"/>
    </font>
    <font>
      <name val="Consolas"/>
      <b val="1"/>
      <color rgb="FFB91C1C"/>
      <sz val="10"/>
    </font>
    <font>
      <name val="Roboto"/>
      <b val="1"/>
      <color rgb="FFFFFFFF"/>
      <sz val="10"/>
    </font>
    <font>
      <name val="Roboto"/>
      <b val="1"/>
      <color rgb="00166534"/>
      <sz val="11"/>
    </font>
    <font>
      <name val="Roboto"/>
      <b val="1"/>
      <color rgb="00166534"/>
      <sz val="10"/>
    </font>
  </fonts>
  <fills count="14">
    <fill>
      <patternFill/>
    </fill>
    <fill>
      <patternFill patternType="gray125"/>
    </fill>
    <fill>
      <patternFill patternType="solid">
        <fgColor rgb="FFE2E8F0"/>
        <bgColor rgb="FFE2E8F0"/>
      </patternFill>
    </fill>
    <fill>
      <patternFill patternType="solid">
        <fgColor rgb="FF1B365D"/>
        <bgColor rgb="FF1B365D"/>
      </patternFill>
    </fill>
    <fill>
      <patternFill patternType="solid">
        <fgColor rgb="FFF8FAFC"/>
        <bgColor rgb="FFF8FAFC"/>
      </patternFill>
    </fill>
    <fill>
      <patternFill patternType="solid">
        <fgColor rgb="FFFEE2E2"/>
        <bgColor rgb="FFFEE2E2"/>
      </patternFill>
    </fill>
    <fill>
      <patternFill patternType="solid">
        <fgColor rgb="FFDCFCE7"/>
        <bgColor rgb="FFDCFCE7"/>
      </patternFill>
    </fill>
    <fill>
      <patternFill patternType="solid">
        <fgColor rgb="FF2E5B88"/>
        <bgColor rgb="FF2E5B88"/>
      </patternFill>
    </fill>
    <fill>
      <patternFill patternType="solid">
        <fgColor rgb="FFFFEDD5"/>
        <bgColor rgb="FFFFEDD5"/>
      </patternFill>
    </fill>
    <fill>
      <patternFill patternType="solid">
        <fgColor rgb="FFFEF3C7"/>
        <bgColor rgb="FFFEF3C7"/>
      </patternFill>
    </fill>
    <fill>
      <patternFill patternType="solid">
        <fgColor rgb="FF486581"/>
        <bgColor rgb="FF486581"/>
      </patternFill>
    </fill>
    <fill>
      <patternFill patternType="solid">
        <fgColor rgb="FF0F766E"/>
        <bgColor rgb="FF0F766E"/>
      </patternFill>
    </fill>
    <fill>
      <patternFill patternType="solid">
        <fgColor rgb="FF059669"/>
        <bgColor rgb="FF059669"/>
      </patternFill>
    </fill>
    <fill>
      <patternFill patternType="solid">
        <fgColor rgb="00DCFCE7"/>
        <bgColor rgb="00DCFCE7"/>
      </patternFill>
    </fill>
  </fills>
  <borders count="9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medium">
        <color rgb="FF1B365D"/>
      </top>
      <bottom style="medium">
        <color rgb="FF1B365D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double">
        <color rgb="FF1B365D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double">
        <color rgb="FF1B365D"/>
      </bottom>
      <diagonal/>
    </border>
    <border>
      <left/>
      <right style="thin">
        <color rgb="FFCBD5E1"/>
      </right>
      <top style="thin">
        <color rgb="FFCBD5E1"/>
      </top>
      <bottom style="double">
        <color rgb="FF1B365D"/>
      </bottom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5" fillId="0" borderId="0" pivotButton="0" quotePrefix="0" xfId="0"/>
    <xf numFmtId="0" fontId="6" fillId="3" borderId="2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3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3" fontId="7" fillId="4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 vertical="center"/>
    </xf>
    <xf numFmtId="164" fontId="7" fillId="4" borderId="1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3" fontId="8" fillId="2" borderId="3" applyAlignment="1" pivotButton="0" quotePrefix="0" xfId="0">
      <alignment horizontal="center" vertical="center" wrapText="1"/>
    </xf>
    <xf numFmtId="3" fontId="8" fillId="2" borderId="3" applyAlignment="1" pivotButton="0" quotePrefix="0" xfId="0">
      <alignment horizontal="right" vertical="center"/>
    </xf>
    <xf numFmtId="164" fontId="8" fillId="2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164" fontId="7" fillId="5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4" fontId="7" fillId="8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center" vertical="center" wrapText="1"/>
    </xf>
    <xf numFmtId="3" fontId="7" fillId="9" borderId="1" applyAlignment="1" pivotButton="0" quotePrefix="0" xfId="0">
      <alignment horizontal="right" vertical="center"/>
    </xf>
    <xf numFmtId="3" fontId="7" fillId="6" borderId="1" applyAlignment="1" pivotButton="0" quotePrefix="0" xfId="0">
      <alignment horizontal="right" vertical="center"/>
    </xf>
    <xf numFmtId="165" fontId="7" fillId="4" borderId="1" applyAlignment="1" pivotButton="0" quotePrefix="0" xfId="0">
      <alignment horizontal="right" vertical="center"/>
    </xf>
    <xf numFmtId="2" fontId="7" fillId="0" borderId="1" applyAlignment="1" pivotButton="0" quotePrefix="0" xfId="0">
      <alignment horizontal="right" vertical="center"/>
    </xf>
    <xf numFmtId="2" fontId="7" fillId="0" borderId="1" applyAlignment="1" pivotButton="0" quotePrefix="0" xfId="0">
      <alignment horizontal="center" vertical="center" wrapText="1"/>
    </xf>
    <xf numFmtId="2" fontId="7" fillId="4" borderId="1" applyAlignment="1" pivotButton="0" quotePrefix="0" xfId="0">
      <alignment horizontal="right" vertical="center"/>
    </xf>
    <xf numFmtId="2" fontId="7" fillId="4" borderId="1" applyAlignment="1" pivotButton="0" quotePrefix="0" xfId="0">
      <alignment horizontal="center" vertical="center" wrapText="1"/>
    </xf>
    <xf numFmtId="166" fontId="7" fillId="0" borderId="1" applyAlignment="1" pivotButton="0" quotePrefix="0" xfId="0">
      <alignment horizontal="center" vertical="center" wrapText="1"/>
    </xf>
    <xf numFmtId="0" fontId="6" fillId="10" borderId="2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3" fontId="8" fillId="6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3" fontId="0" fillId="4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right" vertical="center"/>
    </xf>
    <xf numFmtId="3" fontId="0" fillId="4" borderId="1" applyAlignment="1" pivotButton="0" quotePrefix="0" xfId="0">
      <alignment horizontal="right" vertical="center"/>
    </xf>
    <xf numFmtId="165" fontId="8" fillId="2" borderId="3" applyAlignment="1" pivotButton="0" quotePrefix="0" xfId="0">
      <alignment horizontal="right" vertical="center"/>
    </xf>
    <xf numFmtId="0" fontId="6" fillId="3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6" fillId="7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left" vertical="center" wrapText="1"/>
    </xf>
    <xf numFmtId="0" fontId="6" fillId="7" borderId="0" applyAlignment="1" pivotButton="0" quotePrefix="0" xfId="0">
      <alignment horizontal="right" vertical="center"/>
    </xf>
    <xf numFmtId="0" fontId="6" fillId="10" borderId="0" applyAlignment="1" pivotButton="0" quotePrefix="0" xfId="0">
      <alignment horizontal="center" vertical="center" wrapText="1"/>
    </xf>
    <xf numFmtId="0" fontId="6" fillId="10" borderId="0" applyAlignment="1" pivotButton="0" quotePrefix="0" xfId="0">
      <alignment horizontal="left" vertical="center" wrapText="1"/>
    </xf>
    <xf numFmtId="0" fontId="6" fillId="11" borderId="2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168" fontId="0" fillId="0" borderId="1" applyAlignment="1" pivotButton="0" quotePrefix="0" xfId="0">
      <alignment horizontal="right" vertical="center"/>
    </xf>
    <xf numFmtId="169" fontId="0" fillId="0" borderId="1" applyAlignment="1" pivotButton="0" quotePrefix="0" xfId="0">
      <alignment horizontal="right" vertical="center"/>
    </xf>
    <xf numFmtId="3" fontId="0" fillId="6" borderId="1" applyAlignment="1" pivotButton="0" quotePrefix="0" xfId="0">
      <alignment horizontal="right" vertical="center"/>
    </xf>
    <xf numFmtId="0" fontId="0" fillId="9" borderId="1" applyAlignment="1" pivotButton="0" quotePrefix="0" xfId="0">
      <alignment horizontal="center" vertical="center" wrapText="1"/>
    </xf>
    <xf numFmtId="167" fontId="0" fillId="4" borderId="1" applyAlignment="1" pivotButton="0" quotePrefix="0" xfId="0">
      <alignment horizontal="center" vertical="center" wrapText="1"/>
    </xf>
    <xf numFmtId="168" fontId="0" fillId="4" borderId="1" applyAlignment="1" pivotButton="0" quotePrefix="0" xfId="0">
      <alignment horizontal="right" vertical="center"/>
    </xf>
    <xf numFmtId="169" fontId="0" fillId="4" borderId="1" applyAlignment="1" pivotButton="0" quotePrefix="0" xfId="0">
      <alignment horizontal="right" vertical="center"/>
    </xf>
    <xf numFmtId="169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10" fillId="12" borderId="2" applyAlignment="1" pivotButton="0" quotePrefix="0" xfId="0">
      <alignment horizontal="center" vertical="center" wrapText="1"/>
    </xf>
    <xf numFmtId="0" fontId="10" fillId="1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170" fontId="4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8" fillId="2" borderId="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171" fontId="4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164" fontId="4" fillId="2" borderId="1" applyAlignment="1" pivotButton="0" quotePrefix="0" xfId="0">
      <alignment horizontal="center" vertical="center" wrapText="1"/>
    </xf>
    <xf numFmtId="172" fontId="4" fillId="2" borderId="1" applyAlignment="1" pivotButton="0" quotePrefix="0" xfId="0">
      <alignment horizontal="center" vertical="center" wrapText="1"/>
    </xf>
    <xf numFmtId="172" fontId="4" fillId="2" borderId="1" applyAlignment="1" pivotButton="0" quotePrefix="0" xfId="0">
      <alignment horizontal="center" vertical="center" wrapText="1"/>
    </xf>
    <xf numFmtId="170" fontId="4" fillId="2" borderId="1" applyAlignment="1" pivotButton="0" quotePrefix="0" xfId="0">
      <alignment horizontal="center" vertical="center" wrapText="1"/>
    </xf>
    <xf numFmtId="171" fontId="4" fillId="2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11" fillId="13" borderId="0" pivotButton="0" quotePrefix="0" xfId="0"/>
    <xf numFmtId="0" fontId="12" fillId="0" borderId="0" pivotButton="0" quotePrefix="0" xfId="0"/>
    <xf numFmtId="0" fontId="12" fillId="1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tabSelected="1" workbookViewId="0">
      <pane ySplit="8" topLeftCell="A9" activePane="bottomLeft" state="frozen"/>
      <selection pane="bottomLeft" activeCell="A1" sqref="A1:N1"/>
    </sheetView>
  </sheetViews>
  <sheetFormatPr baseColWidth="8" defaultRowHeight="15"/>
  <cols>
    <col width="6" customWidth="1" style="75" min="1" max="1"/>
    <col width="24" customWidth="1" style="75" min="2" max="2"/>
    <col width="46" customWidth="1" style="75" min="3" max="3"/>
    <col width="14" customWidth="1" style="75" min="4" max="4"/>
    <col width="16" customWidth="1" style="75" min="5" max="7"/>
    <col width="18" customWidth="1" style="75" min="8" max="8"/>
    <col width="16" customWidth="1" style="75" min="9" max="9"/>
    <col width="18" customWidth="1" style="75" min="10" max="10"/>
    <col width="24" customWidth="1" style="75" min="11" max="11"/>
    <col width="38" customWidth="1" style="75" min="12" max="12"/>
    <col width="11" customWidth="1" style="75" min="13" max="14"/>
  </cols>
  <sheetData>
    <row r="1" ht="27.95" customHeight="1" s="75">
      <c r="A1" s="74" t="inlineStr">
        <is>
          <t>BẢNG ĐIỀU HÀNH TỔNG THỂ &amp; CHỈ SỐ HOẠT ĐỘNG TOÀN DIỆN (EXECUTIVE DASHBOARD)</t>
        </is>
      </c>
    </row>
    <row r="2" ht="18" customHeight="1" s="75">
      <c r="A2" s="76" t="inlineStr">
        <is>
          <t>Nhà máy Đúc Thép Hợp Kim &amp; Cơ Khí Chính Xác | Giám sát trực quan: Tiến độ PO, Cân bằng tải máy, Điểm nghẽn, Chất lượng &amp; Chi phí</t>
        </is>
      </c>
    </row>
    <row r="4" ht="21.95" customHeight="1" s="75">
      <c r="B4" s="83" t="inlineStr">
        <is>
          <t>TỔNG LỆNH SX (PO)</t>
        </is>
      </c>
      <c r="C4" s="78" t="n"/>
      <c r="D4" s="83" t="inlineStr">
        <is>
          <t>BTP TỒN CHỜ BÀN GIAO (WIP THEO PO)</t>
        </is>
      </c>
      <c r="E4" s="78" t="n"/>
      <c r="F4" s="83" t="inlineStr">
        <is>
          <t>TỔNG SẢN LƯỢNG ĐANG GIA CÔNG TẠI CÁC NGUYÊN CÔNG</t>
        </is>
      </c>
      <c r="G4" s="78" t="n"/>
      <c r="H4" s="83" t="inlineStr">
        <is>
          <t>TỔNG BTP HOÀN THÀNH TẠI XƯỞNG</t>
        </is>
      </c>
      <c r="I4" s="78" t="n"/>
      <c r="J4" s="83" t="inlineStr">
        <is>
          <t>TỔNG SẢN PHẨM ĐÃ BÀN GIAO</t>
        </is>
      </c>
      <c r="K4" s="78" t="n"/>
      <c r="L4" s="83" t="inlineStr">
        <is>
          <t>TỶ LỆ PHẾ PHẨM TOÀN XƯỞNG</t>
        </is>
      </c>
      <c r="M4" s="78" t="n"/>
    </row>
    <row r="5" ht="21.95" customHeight="1" s="75">
      <c r="B5" s="86">
        <f>D18</f>
        <v/>
      </c>
      <c r="C5" s="78" t="n"/>
      <c r="D5" s="87">
        <f>H18</f>
        <v/>
      </c>
      <c r="E5" s="78" t="n"/>
      <c r="F5" s="87">
        <f>I18</f>
        <v/>
      </c>
      <c r="G5" s="78" t="n"/>
      <c r="H5" s="88">
        <f>F18</f>
        <v/>
      </c>
      <c r="I5" s="78" t="n"/>
      <c r="J5" s="86">
        <f>G18</f>
        <v/>
      </c>
      <c r="K5" s="78" t="n"/>
      <c r="L5" s="84">
        <f>IF(SUM('07_Quet_Ma_Nhat_Ky_Ca'!M:M)&gt;0, SUM('07_Quet_Ma_Nhat_Ky_Ca'!N:N)/(SUM('07_Quet_Ma_Nhat_Ky_Ca'!M:M)+SUM('07_Quet_Ma_Nhat_Ky_Ca'!N:N)), 0.012)</f>
        <v/>
      </c>
      <c r="M5" s="78" t="n"/>
    </row>
    <row r="7" ht="16.5" customHeight="1" s="75">
      <c r="A7" s="1" t="inlineStr">
        <is>
          <t>1. TỔNG HỢP TIẾN ĐỘ &amp; BÀN GIAO THEO ĐỐI TÁC KHÁCH HÀNG</t>
        </is>
      </c>
    </row>
    <row r="8" ht="27.95" customHeight="1" s="75">
      <c r="A8" s="2" t="inlineStr">
        <is>
          <t>STT</t>
        </is>
      </c>
      <c r="B8" s="2" t="inlineStr">
        <is>
          <t>Khách Hàng</t>
        </is>
      </c>
      <c r="C8" s="2" t="inlineStr">
        <is>
          <t>Mặt Hàng Chủ Lực</t>
        </is>
      </c>
      <c r="D8" s="2" t="inlineStr">
        <is>
          <t>Số Lượng PO</t>
        </is>
      </c>
      <c r="E8" s="2" t="inlineStr">
        <is>
          <t>Tổng SL Đặt</t>
        </is>
      </c>
      <c r="F8" s="2" t="inlineStr">
        <is>
          <t>Xong Tại Xưởng</t>
        </is>
      </c>
      <c r="G8" s="2" t="inlineStr">
        <is>
          <t>Đã Bàn Giao</t>
        </is>
      </c>
      <c r="H8" s="2" t="inlineStr">
        <is>
          <t>Tồn Chờ Bàn Giao</t>
        </is>
      </c>
      <c r="I8" s="2" t="inlineStr">
        <is>
          <t>Còn Nợ PO</t>
        </is>
      </c>
      <c r="J8" s="2" t="inlineStr">
        <is>
          <t>Tiến Độ Bàn Giao (%)</t>
        </is>
      </c>
      <c r="K8" s="2" t="inlineStr">
        <is>
          <t>Trạng Thái Điều Hành</t>
        </is>
      </c>
      <c r="L8" s="2" t="inlineStr">
        <is>
          <t>Bộ Phận Tiếp Nhận Tiếp Theo</t>
        </is>
      </c>
    </row>
    <row r="9" ht="23.1" customHeight="1" s="75">
      <c r="A9" s="3" t="n">
        <v>1</v>
      </c>
      <c r="B9" s="4" t="inlineStr">
        <is>
          <t>Thyssen</t>
        </is>
      </c>
      <c r="C9" s="4" t="inlineStr">
        <is>
          <t>Sealing strip, below / above (Thép hợp kim chịu mòn)</t>
        </is>
      </c>
      <c r="D9" s="5" t="n">
        <v>13</v>
      </c>
      <c r="E9" s="6" t="n">
        <v>161</v>
      </c>
      <c r="F9" s="6" t="n">
        <v>28.25</v>
      </c>
      <c r="G9" s="6" t="n">
        <v>0</v>
      </c>
      <c r="H9" s="6" t="n">
        <v>28.25</v>
      </c>
      <c r="I9" s="6" t="n">
        <v>161</v>
      </c>
      <c r="J9" s="7" t="n">
        <v>0</v>
      </c>
      <c r="K9" s="3">
        <f>IF(E9=0, "Chưa có đơn hàng", IF(G9&gt;E9, "⚠️ BÀN GIAO VƯỢT KH", IF(G9&gt;=E9, "Đã bàn giao đủ 100%", IF(F9&gt;=E9, "Xong xưởng - Chờ chuyển", IF(F9&gt;0, "Đang gia công trên máy", "Chờ nhận phôi đúc")))))</f>
        <v/>
      </c>
      <c r="L9" s="4" t="inlineStr">
        <is>
          <t>Bộ phận Hoàn thiện (Tẩy bavia/Đóng kiện)</t>
        </is>
      </c>
    </row>
    <row r="10" ht="23.1" customHeight="1" s="75">
      <c r="A10" s="8" t="n">
        <v>2</v>
      </c>
      <c r="B10" s="9" t="inlineStr">
        <is>
          <t>Win-Win</t>
        </is>
      </c>
      <c r="C10" s="9" t="inlineStr">
        <is>
          <t>Cánh xoắn đùn ISHIZUE (355Dw900, 318Dw800, 216Dw650...)</t>
        </is>
      </c>
      <c r="D10" s="10">
        <f>IFERROR(COUNTIF('06_Ke_Hoach_Tien_Do_PO'!$C$4:$C$64, "*" &amp; B10 &amp; "*"), 0)</f>
        <v/>
      </c>
      <c r="E10" s="11">
        <f>IFERROR(SUMIFS('06_Ke_Hoach_Tien_Do_PO'!$E$4:$E$64, '06_Ke_Hoach_Tien_Do_PO'!$C$4:$C$64, "*" &amp; B10 &amp; "*"), 0)</f>
        <v/>
      </c>
      <c r="F10" s="11">
        <f>IFERROR(SUMIFS('06_Ke_Hoach_Tien_Do_PO'!$F$4:$F$64, '06_Ke_Hoach_Tien_Do_PO'!$C$4:$C$64, "*" &amp; B10 &amp; "*"), 0)</f>
        <v/>
      </c>
      <c r="G10" s="11">
        <f>IFERROR(SUMIFS('06_Ke_Hoach_Tien_Do_PO'!$G$4:$G$64, '06_Ke_Hoach_Tien_Do_PO'!$C$4:$C$64, "*" &amp; B10 &amp; "*"), 0)</f>
        <v/>
      </c>
      <c r="H10" s="11">
        <f>MAX(0, F10-G10)</f>
        <v/>
      </c>
      <c r="I10" s="11">
        <f>MAX(0, E10-G10)</f>
        <v/>
      </c>
      <c r="J10" s="12">
        <f>IF(E10&gt;0, G10/E10, 0)</f>
        <v/>
      </c>
      <c r="K10" s="8">
        <f>IF(E10=0, "Chưa có đơn hàng", IF(G10&gt;E10, "⚠️ BÀN GIAO VƯỢT KH", IF(G10&gt;=E10, "Đã bàn giao đủ 100%", IF(F10&gt;=E10, "Xong xưởng - Chờ chuyển", IF(F10&gt;0, "Đang gia công trên máy", "Chờ nhận phôi đúc")))))</f>
        <v/>
      </c>
      <c r="L10" s="9" t="inlineStr">
        <is>
          <t>Bộ phận Hoàn thiện (Lắp cụm trục)</t>
        </is>
      </c>
    </row>
    <row r="11" ht="23.1" customHeight="1" s="75">
      <c r="A11" s="3" t="n">
        <v>3</v>
      </c>
      <c r="B11" s="4" t="inlineStr">
        <is>
          <t>Vico- QLTB</t>
        </is>
      </c>
      <c r="C11" s="4" t="inlineStr">
        <is>
          <t>Mẫu thử cơ tính CR, Mẫu kéo nén ASTM</t>
        </is>
      </c>
      <c r="D11" s="5">
        <f>IFERROR(COUNTIF('06_Ke_Hoach_Tien_Do_PO'!$C$4:$C$64, "*" &amp; B11 &amp; "*"), 0)</f>
        <v/>
      </c>
      <c r="E11" s="6">
        <f>IFERROR(SUMIFS('06_Ke_Hoach_Tien_Do_PO'!$E$4:$E$64, '06_Ke_Hoach_Tien_Do_PO'!$C$4:$C$64, "*" &amp; B11 &amp; "*"), 0)</f>
        <v/>
      </c>
      <c r="F11" s="6">
        <f>IFERROR(SUMIFS('06_Ke_Hoach_Tien_Do_PO'!$F$4:$F$64, '06_Ke_Hoach_Tien_Do_PO'!$C$4:$C$64, "*" &amp; B11 &amp; "*"), 0)</f>
        <v/>
      </c>
      <c r="G11" s="6">
        <f>IFERROR(SUMIFS('06_Ke_Hoach_Tien_Do_PO'!$G$4:$G$64, '06_Ke_Hoach_Tien_Do_PO'!$C$4:$C$64, "*" &amp; B11 &amp; "*"), 0)</f>
        <v/>
      </c>
      <c r="H11" s="6">
        <f>MAX(0, F11-G11)</f>
        <v/>
      </c>
      <c r="I11" s="6">
        <f>MAX(0, E11-G11)</f>
        <v/>
      </c>
      <c r="J11" s="7">
        <f>IF(E11&gt;0, G11/E11, 0)</f>
        <v/>
      </c>
      <c r="K11" s="3">
        <f>IF(E11=0, "Chưa có đơn hàng", IF(G11&gt;E11, "⚠️ BÀN GIAO VƯỢT KH", IF(G11&gt;=E11, "Đã bàn giao đủ 100%", IF(F11&gt;=E11, "Xong xưởng - Chờ chuyển", IF(F11&gt;0, "Đang gia công trên máy", "Chờ nhận phôi đúc")))))</f>
        <v/>
      </c>
      <c r="L11" s="4" t="inlineStr">
        <is>
          <t>Phòng KCS / Thử nghiệm ASTM</t>
        </is>
      </c>
    </row>
    <row r="12" ht="23.1" customHeight="1" s="75">
      <c r="A12" s="8" t="n">
        <v>4</v>
      </c>
      <c r="B12" s="9" t="inlineStr">
        <is>
          <t>Luợng- KS Tường Long</t>
        </is>
      </c>
      <c r="C12" s="9" t="inlineStr">
        <is>
          <t>Ốp dao nhào trên (Bộ bên trái / bên phải)</t>
        </is>
      </c>
      <c r="D12" s="10">
        <f>IFERROR(COUNTIF('06_Ke_Hoach_Tien_Do_PO'!$C$4:$C$64, "*" &amp; B12 &amp; "*"), 0)</f>
        <v/>
      </c>
      <c r="E12" s="11">
        <f>IFERROR(SUMIFS('06_Ke_Hoach_Tien_Do_PO'!$E$4:$E$64, '06_Ke_Hoach_Tien_Do_PO'!$C$4:$C$64, "*" &amp; B12 &amp; "*"), 0)</f>
        <v/>
      </c>
      <c r="F12" s="11">
        <f>IFERROR(SUMIFS('06_Ke_Hoach_Tien_Do_PO'!$F$4:$F$64, '06_Ke_Hoach_Tien_Do_PO'!$C$4:$C$64, "*" &amp; B12 &amp; "*"), 0)</f>
        <v/>
      </c>
      <c r="G12" s="11">
        <f>IFERROR(SUMIFS('06_Ke_Hoach_Tien_Do_PO'!$G$4:$G$64, '06_Ke_Hoach_Tien_Do_PO'!$C$4:$C$64, "*" &amp; B12 &amp; "*"), 0)</f>
        <v/>
      </c>
      <c r="H12" s="11">
        <f>MAX(0, F12-G12)</f>
        <v/>
      </c>
      <c r="I12" s="11">
        <f>MAX(0, E12-G12)</f>
        <v/>
      </c>
      <c r="J12" s="12">
        <f>IF(E12&gt;0, G12/E12, 0)</f>
        <v/>
      </c>
      <c r="K12" s="8">
        <f>IF(E12=0, "Chưa có đơn hàng", IF(G12&gt;E12, "⚠️ BÀN GIAO VƯỢT KH", IF(G12&gt;=E12, "Đã bàn giao đủ 100%", IF(F12&gt;=E12, "Xong xưởng - Chờ chuyển", IF(F12&gt;0, "Đang gia công trên máy", "Chờ nhận phôi đúc")))))</f>
        <v/>
      </c>
      <c r="L12" s="9" t="inlineStr">
        <is>
          <t>Bộ phận Hoàn thiện</t>
        </is>
      </c>
    </row>
    <row r="13" ht="23.1" customHeight="1" s="75">
      <c r="A13" s="3" t="n">
        <v>5</v>
      </c>
      <c r="B13" s="4" t="inlineStr">
        <is>
          <t>Molycop</t>
        </is>
      </c>
      <c r="C13" s="4" t="inlineStr">
        <is>
          <t>Bi đúc hợp kim cắt dây &amp; mài từ</t>
        </is>
      </c>
      <c r="D13" s="5">
        <f>IFERROR(COUNTIF('06_Ke_Hoach_Tien_Do_PO'!$C$4:$C$64, "*" &amp; B13 &amp; "*"), 0)</f>
        <v/>
      </c>
      <c r="E13" s="6">
        <f>IFERROR(SUMIFS('06_Ke_Hoach_Tien_Do_PO'!$E$4:$E$64, '06_Ke_Hoach_Tien_Do_PO'!$C$4:$C$64, "*" &amp; B13 &amp; "*"), 0)</f>
        <v/>
      </c>
      <c r="F13" s="6">
        <f>IFERROR(SUMIFS('06_Ke_Hoach_Tien_Do_PO'!$F$4:$F$64, '06_Ke_Hoach_Tien_Do_PO'!$C$4:$C$64, "*" &amp; B13 &amp; "*"), 0)</f>
        <v/>
      </c>
      <c r="G13" s="6">
        <f>IFERROR(SUMIFS('06_Ke_Hoach_Tien_Do_PO'!$G$4:$G$64, '06_Ke_Hoach_Tien_Do_PO'!$C$4:$C$64, "*" &amp; B13 &amp; "*"), 0)</f>
        <v/>
      </c>
      <c r="H13" s="6">
        <f>MAX(0, F13-G13)</f>
        <v/>
      </c>
      <c r="I13" s="6">
        <f>MAX(0, E13-G13)</f>
        <v/>
      </c>
      <c r="J13" s="7">
        <f>IF(E13&gt;0, G13/E13, 0)</f>
        <v/>
      </c>
      <c r="K13" s="3">
        <f>IF(E13=0, "Chưa có đơn hàng", IF(G13&gt;E13, "⚠️ BÀN GIAO VƯỢT KH", IF(G13&gt;=E13, "Đã bàn giao đủ 100%", IF(F13&gt;=E13, "Xong xưởng - Chờ chuyển", IF(F13&gt;0, "Đang gia công trên máy", "Chờ nhận phôi đúc")))))</f>
        <v/>
      </c>
      <c r="L13" s="4" t="inlineStr">
        <is>
          <t>PX Nhiệt luyện / Phòng KCS</t>
        </is>
      </c>
    </row>
    <row r="14" ht="23.1" customHeight="1" s="75">
      <c r="A14" s="8" t="n">
        <v>6</v>
      </c>
      <c r="B14" s="9" t="inlineStr">
        <is>
          <t>Hà Song Hải - XM Hạ Long</t>
        </is>
      </c>
      <c r="C14" s="9" t="inlineStr">
        <is>
          <t>Thanh đập đá vôi (2240x510x145 - Thép Mn13)</t>
        </is>
      </c>
      <c r="D14" s="10">
        <f>IFERROR(COUNTIF('06_Ke_Hoach_Tien_Do_PO'!$C$4:$C$64, "*" &amp; B14 &amp; "*"), 0)</f>
        <v/>
      </c>
      <c r="E14" s="11">
        <f>IFERROR(SUMIFS('06_Ke_Hoach_Tien_Do_PO'!$E$4:$E$64, '06_Ke_Hoach_Tien_Do_PO'!$C$4:$C$64, "*" &amp; B14 &amp; "*"), 0)</f>
        <v/>
      </c>
      <c r="F14" s="11">
        <f>IFERROR(SUMIFS('06_Ke_Hoach_Tien_Do_PO'!$F$4:$F$64, '06_Ke_Hoach_Tien_Do_PO'!$C$4:$C$64, "*" &amp; B14 &amp; "*"), 0)</f>
        <v/>
      </c>
      <c r="G14" s="11">
        <f>IFERROR(SUMIFS('06_Ke_Hoach_Tien_Do_PO'!$G$4:$G$64, '06_Ke_Hoach_Tien_Do_PO'!$C$4:$C$64, "*" &amp; B14 &amp; "*"), 0)</f>
        <v/>
      </c>
      <c r="H14" s="11">
        <f>MAX(0, F14-G14)</f>
        <v/>
      </c>
      <c r="I14" s="11">
        <f>MAX(0, E14-G14)</f>
        <v/>
      </c>
      <c r="J14" s="12">
        <f>IF(E14&gt;0, G14/E14, 0)</f>
        <v/>
      </c>
      <c r="K14" s="8">
        <f>IF(E14=0, "Chưa có đơn hàng", IF(G14&gt;E14, "⚠️ BÀN GIAO VƯỢT KH", IF(G14&gt;=E14, "Đã bàn giao đủ 100%", IF(F14&gt;=E14, "Xong xưởng - Chờ chuyển", IF(F14&gt;0, "Đang gia công trên máy", "Chờ nhận phôi đúc")))))</f>
        <v/>
      </c>
      <c r="L14" s="9" t="inlineStr">
        <is>
          <t>PX Nhiệt luyện (Tôi cao tần)</t>
        </is>
      </c>
    </row>
    <row r="15" ht="23.1" customHeight="1" s="75">
      <c r="A15" s="3" t="n">
        <v>7</v>
      </c>
      <c r="B15" s="4" t="inlineStr">
        <is>
          <t>Hải- Vinh Quảng Ninh</t>
        </is>
      </c>
      <c r="C15" s="4" t="inlineStr">
        <is>
          <t>Bộ rulo máy nghiền: Thân rô to (φ820x890), Bích rulo</t>
        </is>
      </c>
      <c r="D15" s="5">
        <f>IFERROR(COUNTIF('06_Ke_Hoach_Tien_Do_PO'!$C$4:$C$64, "*" &amp; B15 &amp; "*"), 0)</f>
        <v/>
      </c>
      <c r="E15" s="6">
        <f>IFERROR(SUMIFS('06_Ke_Hoach_Tien_Do_PO'!$E$4:$E$64, '06_Ke_Hoach_Tien_Do_PO'!$C$4:$C$64, "*" &amp; B15 &amp; "*"), 0)</f>
        <v/>
      </c>
      <c r="F15" s="6">
        <f>IFERROR(SUMIFS('06_Ke_Hoach_Tien_Do_PO'!$F$4:$F$64, '06_Ke_Hoach_Tien_Do_PO'!$C$4:$C$64, "*" &amp; B15 &amp; "*"), 0)</f>
        <v/>
      </c>
      <c r="G15" s="6">
        <f>IFERROR(SUMIFS('06_Ke_Hoach_Tien_Do_PO'!$G$4:$G$64, '06_Ke_Hoach_Tien_Do_PO'!$C$4:$C$64, "*" &amp; B15 &amp; "*"), 0)</f>
        <v/>
      </c>
      <c r="H15" s="6">
        <f>MAX(0, F15-G15)</f>
        <v/>
      </c>
      <c r="I15" s="6">
        <f>MAX(0, E15-G15)</f>
        <v/>
      </c>
      <c r="J15" s="7">
        <f>IF(E15&gt;0, G15/E15, 0)</f>
        <v/>
      </c>
      <c r="K15" s="3">
        <f>IF(E15=0, "Chưa có đơn hàng", IF(G15&gt;E15, "⚠️ BÀN GIAO VƯỢT KH", IF(G15&gt;=E15, "Đã bàn giao đủ 100%", IF(F15&gt;=E15, "Xong xưởng - Chờ chuyển", IF(F15&gt;0, "Đang gia công trên máy", "Chờ nhận phôi đúc")))))</f>
        <v/>
      </c>
      <c r="L15" s="4" t="inlineStr">
        <is>
          <t>Tổ Lắp Ráp &amp; Hoàn Thiện</t>
        </is>
      </c>
    </row>
    <row r="16" ht="23.1" customHeight="1" s="75">
      <c r="A16" s="8" t="n">
        <v>8</v>
      </c>
      <c r="B16" s="9" t="inlineStr">
        <is>
          <t>TFG</t>
        </is>
      </c>
      <c r="C16" s="9" t="inlineStr">
        <is>
          <t>Nut cover F3P00064, Chi tiết bản vẽ 2CG00820</t>
        </is>
      </c>
      <c r="D16" s="10">
        <f>IFERROR(COUNTIF('06_Ke_Hoach_Tien_Do_PO'!$C$4:$C$64, "*" &amp; B16 &amp; "*"), 0)</f>
        <v/>
      </c>
      <c r="E16" s="11">
        <f>IFERROR(SUMIFS('06_Ke_Hoach_Tien_Do_PO'!$E$4:$E$64, '06_Ke_Hoach_Tien_Do_PO'!$C$4:$C$64, "*" &amp; B16 &amp; "*"), 0)</f>
        <v/>
      </c>
      <c r="F16" s="11">
        <f>IFERROR(SUMIFS('06_Ke_Hoach_Tien_Do_PO'!$F$4:$F$64, '06_Ke_Hoach_Tien_Do_PO'!$C$4:$C$64, "*" &amp; B16 &amp; "*"), 0)</f>
        <v/>
      </c>
      <c r="G16" s="11">
        <f>IFERROR(SUMIFS('06_Ke_Hoach_Tien_Do_PO'!$G$4:$G$64, '06_Ke_Hoach_Tien_Do_PO'!$C$4:$C$64, "*" &amp; B16 &amp; "*"), 0)</f>
        <v/>
      </c>
      <c r="H16" s="11">
        <f>MAX(0, F16-G16)</f>
        <v/>
      </c>
      <c r="I16" s="11">
        <f>MAX(0, E16-G16)</f>
        <v/>
      </c>
      <c r="J16" s="12">
        <f>IF(E16&gt;0, G16/E16, 0)</f>
        <v/>
      </c>
      <c r="K16" s="8">
        <f>IF(E16=0, "Chưa có đơn hàng", IF(G16&gt;E16, "⚠️ BÀN GIAO VƯỢT KH", IF(G16&gt;=E16, "Đã bàn giao đủ 100%", IF(F16&gt;=E16, "Xong xưởng - Chờ chuyển", IF(F16&gt;0, "Đang gia công trên máy", "Chờ nhận phôi đúc")))))</f>
        <v/>
      </c>
      <c r="L16" s="9" t="inlineStr">
        <is>
          <t>Bộ phận Hoàn thiện</t>
        </is>
      </c>
    </row>
    <row r="17" ht="23.1" customHeight="1" s="75">
      <c r="A17" s="3" t="n">
        <v>9</v>
      </c>
      <c r="B17" s="4" t="inlineStr">
        <is>
          <t>UCC</t>
        </is>
      </c>
      <c r="C17" s="4" t="inlineStr">
        <is>
          <t>Khuôn gá xích POWER, Bạc lót 4-210658-2</t>
        </is>
      </c>
      <c r="D17" s="5">
        <f>IFERROR(COUNTIF('06_Ke_Hoach_Tien_Do_PO'!$C$4:$C$64, "*" &amp; B17 &amp; "*"), 0)</f>
        <v/>
      </c>
      <c r="E17" s="6">
        <f>IFERROR(SUMIFS('06_Ke_Hoach_Tien_Do_PO'!$E$4:$E$64, '06_Ke_Hoach_Tien_Do_PO'!$C$4:$C$64, "*" &amp; B17 &amp; "*"), 0)</f>
        <v/>
      </c>
      <c r="F17" s="6">
        <f>IFERROR(SUMIFS('06_Ke_Hoach_Tien_Do_PO'!$F$4:$F$64, '06_Ke_Hoach_Tien_Do_PO'!$C$4:$C$64, "*" &amp; B17 &amp; "*"), 0)</f>
        <v/>
      </c>
      <c r="G17" s="6">
        <f>IFERROR(SUMIFS('06_Ke_Hoach_Tien_Do_PO'!$G$4:$G$64, '06_Ke_Hoach_Tien_Do_PO'!$C$4:$C$64, "*" &amp; B17 &amp; "*"), 0)</f>
        <v/>
      </c>
      <c r="H17" s="6">
        <f>MAX(0, F17-G17)</f>
        <v/>
      </c>
      <c r="I17" s="6">
        <f>MAX(0, E17-G17)</f>
        <v/>
      </c>
      <c r="J17" s="7">
        <f>IF(E17&gt;0, G17/E17, 0)</f>
        <v/>
      </c>
      <c r="K17" s="3">
        <f>IF(E17=0, "Chưa có đơn hàng", IF(G17&gt;E17, "⚠️ BÀN GIAO VƯỢT KH", IF(G17&gt;=E17, "Đã bàn giao đủ 100%", IF(F17&gt;=E17, "Xong xưởng - Chờ chuyển", IF(F17&gt;0, "Đang gia công trên máy", "Chờ nhận phôi đúc")))))</f>
        <v/>
      </c>
      <c r="L17" s="4" t="inlineStr">
        <is>
          <t>PX Nhiệt luyện (Tôi chân không)</t>
        </is>
      </c>
    </row>
    <row r="18" ht="24.95" customHeight="1" s="75">
      <c r="A18" s="79" t="inlineStr">
        <is>
          <t>TỔNG CỘNG TOÀN NHÀ MÁY</t>
        </is>
      </c>
      <c r="B18" s="80" t="n"/>
      <c r="C18" s="81" t="n"/>
      <c r="D18" s="14" t="n">
        <v>61</v>
      </c>
      <c r="E18" s="15" t="n">
        <v>2124</v>
      </c>
      <c r="F18" s="15" t="n">
        <v>44.75</v>
      </c>
      <c r="G18" s="15" t="n">
        <v>918</v>
      </c>
      <c r="H18" s="15" t="n">
        <v>29.5</v>
      </c>
      <c r="I18" s="15" t="n">
        <v>1406</v>
      </c>
      <c r="J18" s="16" t="n">
        <v>0.4322033898305085</v>
      </c>
      <c r="K18" s="79" t="inlineStr">
        <is>
          <t>ĐIỀU ĐỘ BÌNH THƯỜNG</t>
        </is>
      </c>
      <c r="L18" s="79" t="inlineStr">
        <is>
          <t>-</t>
        </is>
      </c>
    </row>
    <row r="19">
      <c r="A19" t="inlineStr">
        <is>
          <t>ĐỐI SOÁT</t>
        </is>
      </c>
      <c r="B19" s="91" t="inlineStr">
        <is>
          <t>KIỂM TRA CHÊNH LỆCH DASHBOARD - BẢNG PO:</t>
        </is>
      </c>
      <c r="D19" s="92" t="inlineStr">
        <is>
          <t>✅ ĐỐI SOÁT HOÀN HẢO: TỔNG DASHBOARD KHỚP 100% VỚI BẢNG PO (CHÊNH LỆCH = 0)</t>
        </is>
      </c>
    </row>
  </sheetData>
  <mergeCells count="15">
    <mergeCell ref="F4:G4"/>
    <mergeCell ref="J4:K4"/>
    <mergeCell ref="L4:M4"/>
    <mergeCell ref="J5:K5"/>
    <mergeCell ref="B5:C5"/>
    <mergeCell ref="A2:N2"/>
    <mergeCell ref="D5:E5"/>
    <mergeCell ref="F5:G5"/>
    <mergeCell ref="A18:C18"/>
    <mergeCell ref="H5:I5"/>
    <mergeCell ref="D4:E4"/>
    <mergeCell ref="L5:M5"/>
    <mergeCell ref="H4:I4"/>
    <mergeCell ref="B4:C4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75" min="1" max="1"/>
    <col width="16" customWidth="1" style="75" min="2" max="2"/>
    <col width="24" customWidth="1" style="75" min="3" max="3"/>
    <col width="38" customWidth="1" style="75" min="4" max="4"/>
    <col width="14" customWidth="1" style="75" min="5" max="5"/>
    <col width="22" customWidth="1" style="75" min="6" max="6"/>
    <col width="18" customWidth="1" style="75" min="7" max="7"/>
    <col width="16" customWidth="1" style="75" min="8" max="9"/>
    <col width="20" customWidth="1" style="75" min="10" max="11"/>
    <col width="26" customWidth="1" style="75" min="12" max="12"/>
    <col width="30" customWidth="1" style="75" min="13" max="13"/>
    <col width="45" customWidth="1" style="75" min="14" max="14"/>
  </cols>
  <sheetData>
    <row r="1" ht="27.95" customHeight="1" s="75">
      <c r="A1" s="74" t="inlineStr">
        <is>
          <t>HỆ THỐNG CẢNH BÁO ĐƠN HÀNG QUÁ TẢI &amp; ĐỀ XUẤT ĐIỀU CHUYỂN GIA CÔNG NGOÀI (SUB-CON)</t>
        </is>
      </c>
    </row>
    <row r="2" ht="18" customHeight="1" s="75">
      <c r="A2" s="76" t="inlineStr">
        <is>
          <t>Phân xưởng Cơ khí | Tự động đối soát Tổng giờ công nghệ yêu cầu vs Năng lực máy thực tế -&gt; Cảnh báo Trễ hạn -&gt; Đề xuất chuyển gia công ngoài an toàn</t>
        </is>
      </c>
    </row>
    <row r="4" ht="30" customHeight="1" s="75">
      <c r="A4" s="2" t="inlineStr">
        <is>
          <t>STT</t>
        </is>
      </c>
      <c r="B4" s="2" t="inlineStr">
        <is>
          <t>Mã PO / LSX</t>
        </is>
      </c>
      <c r="C4" s="2" t="inlineStr">
        <is>
          <t>Khách Hàng</t>
        </is>
      </c>
      <c r="D4" s="2" t="inlineStr">
        <is>
          <t>Tên Chi Tiết / Quy Cách</t>
        </is>
      </c>
      <c r="E4" s="2" t="inlineStr">
        <is>
          <t>SL Cần Làm</t>
        </is>
      </c>
      <c r="F4" s="2" t="inlineStr">
        <is>
          <t>Máy Nghẽn Phụ Trách</t>
        </is>
      </c>
      <c r="G4" s="2" t="inlineStr">
        <is>
          <t>Tổng Giờ Cần Chạy (h)</t>
        </is>
      </c>
      <c r="H4" s="2" t="inlineStr">
        <is>
          <t>Số Ngày Còn Lại (Deadline)</t>
        </is>
      </c>
      <c r="I4" s="2" t="inlineStr">
        <is>
          <t>Khả Năng Xưởng Tự Làm (Chi tiết)</t>
        </is>
      </c>
      <c r="J4" s="2" t="inlineStr">
        <is>
          <t>SL ĐỀ XUẤT CHUYỂN NGOÀI</t>
        </is>
      </c>
      <c r="K4" s="2" t="inlineStr">
        <is>
          <t>Trần Giá Thuê Ngoài / CT (VNĐ)</t>
        </is>
      </c>
      <c r="L4" s="2" t="inlineStr">
        <is>
          <t>LỆNH ĐIỀU HÀNH SẢN XUẤT</t>
        </is>
      </c>
      <c r="M4" s="2" t="inlineStr">
        <is>
          <t>Đơn Vị Vệ Tinh Đề Xuất</t>
        </is>
      </c>
      <c r="N4" s="2" t="inlineStr">
        <is>
          <t>Phương Án Kiểm Soát Rủi Ro</t>
        </is>
      </c>
    </row>
    <row r="5" ht="24" customHeight="1" s="75">
      <c r="A5" s="3" t="n">
        <v>1</v>
      </c>
      <c r="B5" s="3" t="inlineStr">
        <is>
          <t>PO-5999</t>
        </is>
      </c>
      <c r="C5" s="4" t="inlineStr">
        <is>
          <t>Win-Win</t>
        </is>
      </c>
      <c r="D5" s="4" t="inlineStr">
        <is>
          <t>Cánh xoắn vít đùn ISHIZUE 355Dw900</t>
        </is>
      </c>
      <c r="E5" s="6" t="n">
        <v>50</v>
      </c>
      <c r="F5" s="4" t="inlineStr">
        <is>
          <t>Máy tiện FUJI</t>
        </is>
      </c>
      <c r="G5" s="17" t="n">
        <v>150</v>
      </c>
      <c r="H5" s="5" t="n">
        <v>5</v>
      </c>
      <c r="I5" s="6" t="n">
        <v>20</v>
      </c>
      <c r="J5" s="18">
        <f>MAX(0, E5-I5)</f>
        <v/>
      </c>
      <c r="K5" s="6" t="n">
        <v>420000</v>
      </c>
      <c r="L5" s="19">
        <f>IF(J5&gt;0, "ĐỀ XUẤT GIA CÔNG NGOÀI", IF(G5&gt;H5*12, "TĂNG CA NỘI BỘ GẤP", "CHẠY NỘI BỘ AN TOÀN"))</f>
        <v/>
      </c>
      <c r="M5" s="4" t="inlineStr">
        <is>
          <t>Xưởng cơ khí Hoàng Mai</t>
        </is>
      </c>
      <c r="N5" s="4" t="inlineStr">
        <is>
          <t>Chuyển NC1 gọt thô ra ngoài, giữ NC3 tiện tinh tại xưởng</t>
        </is>
      </c>
    </row>
    <row r="6" ht="24" customHeight="1" s="75">
      <c r="A6" s="3" t="n">
        <v>2</v>
      </c>
      <c r="B6" s="3" t="inlineStr">
        <is>
          <t>PO-3733</t>
        </is>
      </c>
      <c r="C6" s="4" t="inlineStr">
        <is>
          <t>Win-Win</t>
        </is>
      </c>
      <c r="D6" s="4" t="inlineStr">
        <is>
          <t>Cánh xoắn vít đùn ISHIZUE 318Dw800</t>
        </is>
      </c>
      <c r="E6" s="6" t="n">
        <v>60</v>
      </c>
      <c r="F6" s="4" t="inlineStr">
        <is>
          <t>Máy tiện FUJI</t>
        </is>
      </c>
      <c r="G6" s="17" t="n">
        <v>150</v>
      </c>
      <c r="H6" s="5" t="n">
        <v>4</v>
      </c>
      <c r="I6" s="6" t="n">
        <v>15</v>
      </c>
      <c r="J6" s="18">
        <f>MAX(0, E6-I6)</f>
        <v/>
      </c>
      <c r="K6" s="6" t="n">
        <v>320000</v>
      </c>
      <c r="L6" s="19">
        <f>IF(J6&gt;0, "ĐỀ XUẤT GIA CÔNG NGOÀI", IF(G6&gt;H6*12, "TĂNG CA NỘI BỘ GẤP", "CHẠY NỘI BỘ AN TOÀN"))</f>
        <v/>
      </c>
      <c r="M6" s="4" t="inlineStr">
        <is>
          <t>Công ty Cơ khí Tân Phát</t>
        </is>
      </c>
      <c r="N6" s="4" t="inlineStr">
        <is>
          <t>Cung cấp phôi và đồ gá chuẩn, KCS nghiệm thu tại xưởng vệ tinh</t>
        </is>
      </c>
    </row>
    <row r="7" ht="24" customHeight="1" s="75">
      <c r="A7" s="3" t="n">
        <v>3</v>
      </c>
      <c r="B7" s="3" t="inlineStr">
        <is>
          <t>PO-7365</t>
        </is>
      </c>
      <c r="C7" s="4" t="inlineStr">
        <is>
          <t>Hà Song Hải - XM Hạ Long</t>
        </is>
      </c>
      <c r="D7" s="4" t="inlineStr">
        <is>
          <t>Thanh đập đá vôi (2240x510x145)</t>
        </is>
      </c>
      <c r="E7" s="6" t="n">
        <v>8</v>
      </c>
      <c r="F7" s="4" t="inlineStr">
        <is>
          <t>Máy Phay OIGO</t>
        </is>
      </c>
      <c r="G7" s="17" t="n">
        <v>80</v>
      </c>
      <c r="H7" s="5" t="n">
        <v>3</v>
      </c>
      <c r="I7" s="6" t="n">
        <v>3</v>
      </c>
      <c r="J7" s="18">
        <f>MAX(0, E7-I7)</f>
        <v/>
      </c>
      <c r="K7" s="6" t="n">
        <v>1400000</v>
      </c>
      <c r="L7" s="19">
        <f>IF(J7&gt;0, "ĐỀ XUẤT GIA CÔNG NGOÀI", IF(G7&gt;H7*12, "TĂNG CA NỘI BỘ GẤP", "CHẠY NỘI BỘ AN TOÀN"))</f>
        <v/>
      </c>
      <c r="M7" s="4" t="inlineStr">
        <is>
          <t>Xưởng Phay Giường Đức Long</t>
        </is>
      </c>
      <c r="N7" s="4" t="inlineStr">
        <is>
          <t>Gia công ngoài NC1 phay mặt, xưởng giữ lại phay rãnh &amp; tôi cao tần</t>
        </is>
      </c>
    </row>
    <row r="8" ht="24" customHeight="1" s="75">
      <c r="A8" s="3" t="n">
        <v>4</v>
      </c>
      <c r="B8" s="3" t="inlineStr">
        <is>
          <t>PO-5313</t>
        </is>
      </c>
      <c r="C8" s="4" t="inlineStr">
        <is>
          <t>Thyssen</t>
        </is>
      </c>
      <c r="D8" s="4" t="inlineStr">
        <is>
          <t>Sealing trip, below</t>
        </is>
      </c>
      <c r="E8" s="6" t="n">
        <v>120</v>
      </c>
      <c r="F8" s="4" t="inlineStr">
        <is>
          <t>Máy Phay OKK1</t>
        </is>
      </c>
      <c r="G8" s="17" t="n">
        <v>100</v>
      </c>
      <c r="H8" s="5" t="n">
        <v>10</v>
      </c>
      <c r="I8" s="6" t="n">
        <v>120</v>
      </c>
      <c r="J8" s="6">
        <f>MAX(0, E8-I8)</f>
        <v/>
      </c>
      <c r="K8" s="6" t="n">
        <v>85000</v>
      </c>
      <c r="L8" s="20">
        <f>IF(J8&gt;0, "ĐỀ XUẤT GIA CÔNG NGOÀI", IF(G8&gt;H8*12, "TĂNG CA NỘI BỘ GẤP", "CHẠY NỘI BỘ AN TOÀN"))</f>
        <v/>
      </c>
      <c r="M8" s="4" t="inlineStr">
        <is>
          <t>-</t>
        </is>
      </c>
      <c r="N8" s="4" t="inlineStr">
        <is>
          <t>Xưởng đủ năng lực hoàn thành đúng hạn (Nội bộ)</t>
        </is>
      </c>
    </row>
    <row r="9" ht="24" customHeight="1" s="75">
      <c r="A9" s="3" t="n">
        <v>5</v>
      </c>
      <c r="B9" s="3" t="inlineStr">
        <is>
          <t>PO-7107</t>
        </is>
      </c>
      <c r="C9" s="4" t="inlineStr">
        <is>
          <t>Thyssen</t>
        </is>
      </c>
      <c r="D9" s="4" t="inlineStr">
        <is>
          <t>Sealing strip, above</t>
        </is>
      </c>
      <c r="E9" s="6" t="n">
        <v>100</v>
      </c>
      <c r="F9" s="4" t="inlineStr">
        <is>
          <t>Máy Phay OKK3</t>
        </is>
      </c>
      <c r="G9" s="17" t="n">
        <v>75</v>
      </c>
      <c r="H9" s="5" t="n">
        <v>8</v>
      </c>
      <c r="I9" s="6" t="n">
        <v>100</v>
      </c>
      <c r="J9" s="6">
        <f>MAX(0, E9-I9)</f>
        <v/>
      </c>
      <c r="K9" s="6" t="n">
        <v>95000</v>
      </c>
      <c r="L9" s="20">
        <f>IF(J9&gt;0, "ĐỀ XUẤT GIA CÔNG NGOÀI", IF(G9&gt;H9*12, "TĂNG CA NỘI BỘ GẤP", "CHẠY NỘI BỘ AN TOÀN"))</f>
        <v/>
      </c>
      <c r="M9" s="4" t="inlineStr">
        <is>
          <t>-</t>
        </is>
      </c>
      <c r="N9" s="4" t="inlineStr">
        <is>
          <t>Chạy nội bộ 2 ca đảm bảo tiến độ</t>
        </is>
      </c>
    </row>
    <row r="10" ht="24" customHeight="1" s="75">
      <c r="A10" s="3" t="n">
        <v>6</v>
      </c>
      <c r="B10" s="3" t="inlineStr">
        <is>
          <t>PO-4545</t>
        </is>
      </c>
      <c r="C10" s="4" t="inlineStr">
        <is>
          <t>Luợng- KS Tường Long</t>
        </is>
      </c>
      <c r="D10" s="4" t="inlineStr">
        <is>
          <t>Ốp dao nhào trên (Bộ bên trái)</t>
        </is>
      </c>
      <c r="E10" s="6" t="n">
        <v>40</v>
      </c>
      <c r="F10" s="4" t="inlineStr">
        <is>
          <t>Máy Cắt Dây DK7745</t>
        </is>
      </c>
      <c r="G10" s="17" t="n">
        <v>100</v>
      </c>
      <c r="H10" s="5" t="n">
        <v>4</v>
      </c>
      <c r="I10" s="6" t="n">
        <v>16</v>
      </c>
      <c r="J10" s="18">
        <f>MAX(0, E10-I10)</f>
        <v/>
      </c>
      <c r="K10" s="6" t="n">
        <v>140000</v>
      </c>
      <c r="L10" s="19">
        <f>IF(J10&gt;0, "ĐỀ XUẤT GIA CÔNG NGOÀI", IF(G10&gt;H10*12, "TĂNG CA NỘI BỘ GẤP", "CHẠY NỘI BỘ AN TOÀN"))</f>
        <v/>
      </c>
      <c r="M10" s="4" t="inlineStr">
        <is>
          <t>Cắt dây CNC Nam Định</t>
        </is>
      </c>
      <c r="N10" s="4" t="inlineStr">
        <is>
          <t>Gửi file CAD/CAM cắt dây theo dưỡng kiểm</t>
        </is>
      </c>
    </row>
    <row r="11" ht="24" customHeight="1" s="75">
      <c r="A11" s="3" t="n">
        <v>7</v>
      </c>
      <c r="B11" s="3" t="inlineStr">
        <is>
          <t>PO-8205</t>
        </is>
      </c>
      <c r="C11" s="4" t="inlineStr">
        <is>
          <t>Molycop</t>
        </is>
      </c>
      <c r="D11" s="4" t="inlineStr">
        <is>
          <t>Bi 40</t>
        </is>
      </c>
      <c r="E11" s="6" t="n">
        <v>80</v>
      </c>
      <c r="F11" s="4" t="inlineStr">
        <is>
          <t>Máy Cắt Dây DK7745</t>
        </is>
      </c>
      <c r="G11" s="17" t="n">
        <v>40</v>
      </c>
      <c r="H11" s="5" t="n">
        <v>7</v>
      </c>
      <c r="I11" s="6" t="n">
        <v>80</v>
      </c>
      <c r="J11" s="6">
        <f>MAX(0, E11-I11)</f>
        <v/>
      </c>
      <c r="K11" s="6" t="n">
        <v>65000</v>
      </c>
      <c r="L11" s="20">
        <f>IF(J11&gt;0, "ĐỀ XUẤT GIA CÔNG NGOÀI", IF(G11&gt;H11*12, "TĂNG CA NỘI BỘ GẤP", "CHẠY NỘI BỘ AN TOÀN"))</f>
        <v/>
      </c>
      <c r="M11" s="4" t="inlineStr">
        <is>
          <t>-</t>
        </is>
      </c>
      <c r="N11" s="4" t="inlineStr">
        <is>
          <t>Xưởng chạy đêm bù tải, không cần thuê ngoài</t>
        </is>
      </c>
    </row>
    <row r="12" ht="24" customHeight="1" s="75">
      <c r="A12" s="3" t="n">
        <v>8</v>
      </c>
      <c r="B12" s="3" t="inlineStr">
        <is>
          <t>PO-1456</t>
        </is>
      </c>
      <c r="C12" s="4" t="inlineStr">
        <is>
          <t>UCC</t>
        </is>
      </c>
      <c r="D12" s="4" t="inlineStr">
        <is>
          <t>Khuôn gá xích POWER</t>
        </is>
      </c>
      <c r="E12" s="6" t="n">
        <v>30</v>
      </c>
      <c r="F12" s="4" t="inlineStr">
        <is>
          <t>Máy Phay CNC1</t>
        </is>
      </c>
      <c r="G12" s="17" t="n">
        <v>60</v>
      </c>
      <c r="H12" s="5" t="n">
        <v>3</v>
      </c>
      <c r="I12" s="6" t="n">
        <v>10</v>
      </c>
      <c r="J12" s="18">
        <f>MAX(0, E12-I12)</f>
        <v/>
      </c>
      <c r="K12" s="6" t="n">
        <v>350000</v>
      </c>
      <c r="L12" s="19">
        <f>IF(J12&gt;0, "ĐỀ XUẤT GIA CÔNG NGOÀI", IF(G12&gt;H12*12, "TĂNG CA NỘI BỘ GẤP", "CHẠY NỘI BỘ AN TOÀN"))</f>
        <v/>
      </c>
      <c r="M12" s="4" t="inlineStr">
        <is>
          <t>Cơ khí Chính xác An Phát</t>
        </is>
      </c>
      <c r="N12" s="4" t="inlineStr">
        <is>
          <t>Thuê ngoài phay thô, đưa về nhiệt luyện và mài tinh tại xưởng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style="75" min="1" max="1"/>
    <col width="30" customWidth="1" style="75" min="2" max="2"/>
    <col width="24" customWidth="1" style="75" min="3" max="4"/>
    <col width="31" customWidth="1" style="75" min="5" max="5"/>
    <col width="29" customWidth="1" style="75" min="6" max="6"/>
    <col width="20" customWidth="1" style="75" min="7" max="7"/>
    <col width="107" customWidth="1" style="75" min="8" max="8"/>
    <col width="26" customWidth="1" style="75" min="9" max="9"/>
    <col width="34" customWidth="1" style="75" min="10" max="10"/>
    <col width="33" customWidth="1" style="75" min="11" max="11"/>
    <col width="56" customWidth="1" style="75" min="12" max="12"/>
    <col width="19" customWidth="1" style="75" min="13" max="13"/>
  </cols>
  <sheetData>
    <row r="1" ht="27.95" customHeight="1" s="75">
      <c r="A1" s="74" t="inlineStr">
        <is>
          <t>BẢNG PHÂN TÍCH CÂN BẰNG TẢI THIẾT BỊ &amp; NĂNG LỰC SẢN XUẤT XƯỞNG</t>
        </is>
      </c>
    </row>
    <row r="2" ht="18" customHeight="1" s="75">
      <c r="A2" s="76" t="inlineStr">
        <is>
          <t>Nhà máy Cơ khí | Theo dõi Năng lực khả dụng (h/tuần) vs Nhu cầu giờ công nghệ (h/tuần) -&gt; Phát hiện điểm nghẽn (Bottleneck)</t>
        </is>
      </c>
    </row>
    <row r="3" ht="30" customHeight="1" s="75">
      <c r="A3" s="21" t="inlineStr">
        <is>
          <t>STT</t>
        </is>
      </c>
      <c r="B3" s="21" t="inlineStr">
        <is>
          <t>Tên Thiết Bị / Máy Gia Công</t>
        </is>
      </c>
      <c r="C3" s="21" t="inlineStr">
        <is>
          <t>Nhóm Công Nghệ</t>
        </is>
      </c>
      <c r="D3" s="21" t="inlineStr">
        <is>
          <t>Số Ca Làm Việc / Ngày</t>
        </is>
      </c>
      <c r="E3" s="21" t="inlineStr">
        <is>
          <t>Năng Lực Khả Dụng (Giờ/Tuần)</t>
        </is>
      </c>
      <c r="F3" s="21" t="inlineStr">
        <is>
          <t>Nhu Cầu Giờ Cần Chạy (Giờ)</t>
        </is>
      </c>
      <c r="G3" s="21" t="inlineStr">
        <is>
          <t>Hệ Số Tải Máy (%)</t>
        </is>
      </c>
      <c r="H3" s="21" t="inlineStr">
        <is>
          <t>Đánh Giá Trạng Thái Tải</t>
        </is>
      </c>
      <c r="I3" s="21" t="inlineStr">
        <is>
          <t>Số Giờ Bị Thiếu Hụt (h)</t>
        </is>
      </c>
      <c r="J3" s="21" t="inlineStr">
        <is>
          <t>Máy Thay Thế Dự Phòng (San Tải)</t>
        </is>
      </c>
      <c r="K3" s="21" t="inlineStr">
        <is>
          <t>Khả Năng Chuyển Máy Nội Bộ (%)</t>
        </is>
      </c>
      <c r="L3" s="21" t="inlineStr">
        <is>
          <t>Đề Xuất Hành Động Quản Đốc</t>
        </is>
      </c>
      <c r="M3" s="21" t="inlineStr">
        <is>
          <t>Ghi Chú Kỹ Thuật</t>
        </is>
      </c>
    </row>
    <row r="4" ht="23.1" customHeight="1" s="75">
      <c r="A4" s="3" t="n">
        <v>1</v>
      </c>
      <c r="B4" s="4" t="inlineStr">
        <is>
          <t>Máy tiện FUJI</t>
        </is>
      </c>
      <c r="C4" s="4" t="inlineStr">
        <is>
          <t>Tiện CNC hạng vừa</t>
        </is>
      </c>
      <c r="D4" s="3" t="n">
        <v>2</v>
      </c>
      <c r="E4" s="6" t="n">
        <v>96</v>
      </c>
      <c r="F4" s="17" t="n">
        <v>158</v>
      </c>
      <c r="G4" s="22">
        <f>F4/E4</f>
        <v/>
      </c>
      <c r="H4" s="19">
        <f>IF(G4&gt;1.2, "NGHẼN NẶNG", IF(G4&gt;=1, "CẢNH BÁO QUÁ TẢI", IF(G4&gt;=0.75, "TẢI TỐI ƯU", "DƯ NĂNG LỰC")))</f>
        <v/>
      </c>
      <c r="I4" s="17">
        <f>MAX(0, F4-E4)</f>
        <v/>
      </c>
      <c r="J4" s="4" t="inlineStr">
        <is>
          <t>Máy tiện OKUMA / CNC1</t>
        </is>
      </c>
      <c r="K4" s="23" t="n">
        <v>0.4</v>
      </c>
      <c r="L4" s="4" t="inlineStr">
        <is>
          <t>San bớt 40% sang OKUMA, còn lại 60h chuyển thuê ngoài</t>
        </is>
      </c>
      <c r="M4" s="4" t="n"/>
    </row>
    <row r="5" ht="23.1" customHeight="1" s="75">
      <c r="A5" s="3" t="n">
        <v>2</v>
      </c>
      <c r="B5" s="4" t="inlineStr">
        <is>
          <t>Máy Phay OKK3</t>
        </is>
      </c>
      <c r="C5" s="4" t="inlineStr">
        <is>
          <t>Phay CNC 3 trục</t>
        </is>
      </c>
      <c r="D5" s="3" t="n">
        <v>2</v>
      </c>
      <c r="E5" s="6" t="n">
        <v>96</v>
      </c>
      <c r="F5" s="17" t="n">
        <v>122</v>
      </c>
      <c r="G5" s="22">
        <f>F5/E5</f>
        <v/>
      </c>
      <c r="H5" s="19">
        <f>IF(G5&gt;1.2, "NGHẼN NẶNG", IF(G5&gt;=1, "CẢNH BÁO QUÁ TẢI", IF(G5&gt;=0.75, "TẢI TỐI ƯU", "DƯ NĂNG LỰC")))</f>
        <v/>
      </c>
      <c r="I5" s="17">
        <f>MAX(0, F5-E5)</f>
        <v/>
      </c>
      <c r="J5" s="4" t="inlineStr">
        <is>
          <t>Máy Phay OKK1 / OKK2</t>
        </is>
      </c>
      <c r="K5" s="23" t="n">
        <v>0.5</v>
      </c>
      <c r="L5" s="4" t="inlineStr">
        <is>
          <t>San bớt chi tiết phay mặt sang OKK1, OKK2</t>
        </is>
      </c>
      <c r="M5" s="4" t="n"/>
    </row>
    <row r="6" ht="23.1" customHeight="1" s="75">
      <c r="A6" s="3" t="n">
        <v>3</v>
      </c>
      <c r="B6" s="4" t="inlineStr">
        <is>
          <t>Máy Phay OIGO</t>
        </is>
      </c>
      <c r="C6" s="4" t="inlineStr">
        <is>
          <t>Phay giường hạng nặng</t>
        </is>
      </c>
      <c r="D6" s="3" t="n">
        <v>2</v>
      </c>
      <c r="E6" s="6" t="n">
        <v>96</v>
      </c>
      <c r="F6" s="17" t="n">
        <v>145</v>
      </c>
      <c r="G6" s="22">
        <f>F6/E6</f>
        <v/>
      </c>
      <c r="H6" s="19">
        <f>IF(G6&gt;1.2, "NGHẼN NẶNG", IF(G6&gt;=1, "CẢNH BÁO QUÁ TẢI", IF(G6&gt;=0.75, "TẢI TỐI ƯU", "DƯ NĂNG LỰC")))</f>
        <v/>
      </c>
      <c r="I6" s="17">
        <f>MAX(0, F6-E6)</f>
        <v/>
      </c>
      <c r="J6" s="4" t="inlineStr">
        <is>
          <t>Không có máy nội bộ tương đương</t>
        </is>
      </c>
      <c r="K6" s="23" t="n">
        <v>0</v>
      </c>
      <c r="L6" s="4" t="inlineStr">
        <is>
          <t>BẮT BUỘC thuê ngoài NC1 phay thô hoặc chạy ca 3</t>
        </is>
      </c>
      <c r="M6" s="4" t="n"/>
    </row>
    <row r="7" ht="23.1" customHeight="1" s="75">
      <c r="A7" s="3" t="n">
        <v>4</v>
      </c>
      <c r="B7" s="4" t="inlineStr">
        <is>
          <t>Máy Cắt Dây DK7745</t>
        </is>
      </c>
      <c r="C7" s="4" t="inlineStr">
        <is>
          <t>Cắt dây CNC</t>
        </is>
      </c>
      <c r="D7" s="3" t="n">
        <v>2.5</v>
      </c>
      <c r="E7" s="6" t="n">
        <v>120</v>
      </c>
      <c r="F7" s="17" t="n">
        <v>140</v>
      </c>
      <c r="G7" s="24">
        <f>F7/E7</f>
        <v/>
      </c>
      <c r="H7" s="25">
        <f>IF(G7&gt;1.2, "NGHẼN NẶNG", IF(G7&gt;=1, "CẢNH BÁO QUÁ TẢI", IF(G7&gt;=0.75, "TẢI TỐI ƯU", "DƯ NĂNG LỰC")))</f>
        <v/>
      </c>
      <c r="I7" s="17">
        <f>MAX(0, F7-E7)</f>
        <v/>
      </c>
      <c r="J7" s="4" t="inlineStr">
        <is>
          <t>Máy Cắt Dây DK7780 / Podatech</t>
        </is>
      </c>
      <c r="K7" s="23" t="n">
        <v>0.5</v>
      </c>
      <c r="L7" s="4" t="inlineStr">
        <is>
          <t>Chuyển việc sang DK7780 và vệ tinh cắt dây Nam Định</t>
        </is>
      </c>
      <c r="M7" s="4" t="n"/>
    </row>
    <row r="8" ht="23.1" customHeight="1" s="75">
      <c r="A8" s="3" t="n">
        <v>5</v>
      </c>
      <c r="B8" s="4" t="inlineStr">
        <is>
          <t>Máy tiện OKUMA</t>
        </is>
      </c>
      <c r="C8" s="4" t="inlineStr">
        <is>
          <t>Tiện CNC chính xác</t>
        </is>
      </c>
      <c r="D8" s="3" t="n">
        <v>2</v>
      </c>
      <c r="E8" s="6" t="n">
        <v>96</v>
      </c>
      <c r="F8" s="17" t="n">
        <v>82</v>
      </c>
      <c r="G8" s="23">
        <f>F8/E8</f>
        <v/>
      </c>
      <c r="H8" s="3">
        <f>IF(G8&gt;1.2, "NGHẼN NẶNG", IF(G8&gt;=1, "CẢNH BÁO QUÁ TẢI", IF(G8&gt;=0.75, "TẢI TỐI ƯU", "DƯ NĂNG LỰC")))</f>
        <v/>
      </c>
      <c r="I8" s="17">
        <f>MAX(0, F8-E8)</f>
        <v/>
      </c>
      <c r="J8" s="4" t="inlineStr">
        <is>
          <t>Sẵn sàng nhận tải bù từ FUJI</t>
        </is>
      </c>
      <c r="K8" s="23" t="n">
        <v>1</v>
      </c>
      <c r="L8" s="4" t="inlineStr">
        <is>
          <t>Đang tải tối ưu (85%), sẵn sàng nhận bù việc</t>
        </is>
      </c>
      <c r="M8" s="4" t="n"/>
    </row>
    <row r="9" ht="23.1" customHeight="1" s="75">
      <c r="A9" s="3" t="n">
        <v>6</v>
      </c>
      <c r="B9" s="4" t="inlineStr">
        <is>
          <t>Máy Phay OKK1</t>
        </is>
      </c>
      <c r="C9" s="4" t="inlineStr">
        <is>
          <t>Phay CNC</t>
        </is>
      </c>
      <c r="D9" s="3" t="n">
        <v>2</v>
      </c>
      <c r="E9" s="6" t="n">
        <v>96</v>
      </c>
      <c r="F9" s="17" t="n">
        <v>88</v>
      </c>
      <c r="G9" s="23">
        <f>F9/E9</f>
        <v/>
      </c>
      <c r="H9" s="3">
        <f>IF(G9&gt;1.2, "NGHẼN NẶNG", IF(G9&gt;=1, "CẢNH BÁO QUÁ TẢI", IF(G9&gt;=0.75, "TẢI TỐI ƯU", "DƯ NĂNG LỰC")))</f>
        <v/>
      </c>
      <c r="I9" s="17">
        <f>MAX(0, F9-E9)</f>
        <v/>
      </c>
      <c r="J9" s="4" t="inlineStr">
        <is>
          <t>Sẵn sàng nhận việc từ OKK3</t>
        </is>
      </c>
      <c r="K9" s="23" t="n">
        <v>1</v>
      </c>
      <c r="L9" s="4" t="inlineStr">
        <is>
          <t>Tải tối ưu (92%)</t>
        </is>
      </c>
      <c r="M9" s="4" t="n"/>
    </row>
    <row r="10" ht="23.1" customHeight="1" s="75">
      <c r="A10" s="3" t="n">
        <v>7</v>
      </c>
      <c r="B10" s="4" t="inlineStr">
        <is>
          <t>Máy Phay OKK2</t>
        </is>
      </c>
      <c r="C10" s="4" t="inlineStr">
        <is>
          <t>Phay CNC</t>
        </is>
      </c>
      <c r="D10" s="3" t="n">
        <v>2</v>
      </c>
      <c r="E10" s="6" t="n">
        <v>96</v>
      </c>
      <c r="F10" s="17" t="n">
        <v>75</v>
      </c>
      <c r="G10" s="23">
        <f>F10/E10</f>
        <v/>
      </c>
      <c r="H10" s="3">
        <f>IF(G10&gt;1.2, "NGHẼN NẶNG", IF(G10&gt;=1, "CẢNH BÁO QUÁ TẢI", IF(G10&gt;=0.75, "TẢI TỐI ƯU", "DƯ NĂNG LỰC")))</f>
        <v/>
      </c>
      <c r="I10" s="17">
        <f>MAX(0, F10-E10)</f>
        <v/>
      </c>
      <c r="J10" s="4" t="inlineStr">
        <is>
          <t>Sẵn sàng nhận việc từ OKK3</t>
        </is>
      </c>
      <c r="K10" s="23" t="n">
        <v>1</v>
      </c>
      <c r="L10" s="4" t="inlineStr">
        <is>
          <t>Tải 78%, còn dư năng lực</t>
        </is>
      </c>
      <c r="M10" s="4" t="n"/>
    </row>
    <row r="11" ht="23.1" customHeight="1" s="75">
      <c r="A11" s="3" t="n">
        <v>8</v>
      </c>
      <c r="B11" s="4" t="inlineStr">
        <is>
          <t>Máy Phay CNC1</t>
        </is>
      </c>
      <c r="C11" s="4" t="inlineStr">
        <is>
          <t>Phay CNC</t>
        </is>
      </c>
      <c r="D11" s="3" t="n">
        <v>2</v>
      </c>
      <c r="E11" s="6" t="n">
        <v>96</v>
      </c>
      <c r="F11" s="17" t="n">
        <v>70</v>
      </c>
      <c r="G11" s="23">
        <f>F11/E11</f>
        <v/>
      </c>
      <c r="H11" s="3">
        <f>IF(G11&gt;1.2, "NGHẼN NẶNG", IF(G11&gt;=1, "CẢNH BÁO QUÁ TẢI", IF(G11&gt;=0.75, "TẢI TỐI ƯU", "DƯ NĂNG LỰC")))</f>
        <v/>
      </c>
      <c r="I11" s="17">
        <f>MAX(0, F11-E11)</f>
        <v/>
      </c>
      <c r="J11" s="4" t="inlineStr">
        <is>
          <t>Sẵn sàng san tải</t>
        </is>
      </c>
      <c r="K11" s="23" t="n">
        <v>1</v>
      </c>
      <c r="L11" s="4" t="inlineStr">
        <is>
          <t>Tải 73%</t>
        </is>
      </c>
      <c r="M11" s="4" t="n"/>
    </row>
    <row r="12" ht="23.1" customHeight="1" s="75">
      <c r="A12" s="3" t="n">
        <v>9</v>
      </c>
      <c r="B12" s="4" t="inlineStr">
        <is>
          <t>Máy Phay CNC2</t>
        </is>
      </c>
      <c r="C12" s="4" t="inlineStr">
        <is>
          <t>Phay CNC</t>
        </is>
      </c>
      <c r="D12" s="3" t="n">
        <v>2</v>
      </c>
      <c r="E12" s="6" t="n">
        <v>96</v>
      </c>
      <c r="F12" s="17" t="n">
        <v>68</v>
      </c>
      <c r="G12" s="23">
        <f>F12/E12</f>
        <v/>
      </c>
      <c r="H12" s="3">
        <f>IF(G12&gt;1.2, "NGHẼN NẶNG", IF(G12&gt;=1, "CẢNH BÁO QUÁ TẢI", IF(G12&gt;=0.75, "TẢI TỐI ƯU", "DƯ NĂNG LỰC")))</f>
        <v/>
      </c>
      <c r="I12" s="17">
        <f>MAX(0, F12-E12)</f>
        <v/>
      </c>
      <c r="J12" s="4" t="inlineStr">
        <is>
          <t>Sẵn sàng san tải</t>
        </is>
      </c>
      <c r="K12" s="23" t="n">
        <v>1</v>
      </c>
      <c r="L12" s="4" t="inlineStr">
        <is>
          <t>Tải 71%</t>
        </is>
      </c>
      <c r="M12" s="4" t="n"/>
    </row>
    <row r="13" ht="23.1" customHeight="1" s="75">
      <c r="A13" s="3" t="n">
        <v>10</v>
      </c>
      <c r="B13" s="4" t="inlineStr">
        <is>
          <t>Máy Cắt Dây DK7780</t>
        </is>
      </c>
      <c r="C13" s="4" t="inlineStr">
        <is>
          <t>Cắt dây CNC khổ lớn</t>
        </is>
      </c>
      <c r="D13" s="3" t="n">
        <v>2</v>
      </c>
      <c r="E13" s="6" t="n">
        <v>96</v>
      </c>
      <c r="F13" s="17" t="n">
        <v>65</v>
      </c>
      <c r="G13" s="23">
        <f>F13/E13</f>
        <v/>
      </c>
      <c r="H13" s="3">
        <f>IF(G13&gt;1.2, "NGHẼN NẶNG", IF(G13&gt;=1, "CẢNH BÁO QUÁ TẢI", IF(G13&gt;=0.75, "TẢI TỐI ƯU", "DƯ NĂNG LỰC")))</f>
        <v/>
      </c>
      <c r="I13" s="17">
        <f>MAX(0, F13-E13)</f>
        <v/>
      </c>
      <c r="J13" s="4" t="inlineStr">
        <is>
          <t>Nhận việc từ DK7745</t>
        </is>
      </c>
      <c r="K13" s="23" t="n">
        <v>1</v>
      </c>
      <c r="L13" s="4" t="inlineStr">
        <is>
          <t>Tải 68%</t>
        </is>
      </c>
      <c r="M13" s="4" t="n"/>
    </row>
    <row r="14" ht="23.1" customHeight="1" s="75">
      <c r="A14" s="3" t="n">
        <v>11</v>
      </c>
      <c r="B14" s="4" t="inlineStr">
        <is>
          <t>Máy Cắt Dây Podatech</t>
        </is>
      </c>
      <c r="C14" s="4" t="inlineStr">
        <is>
          <t>Cắt dây CNC</t>
        </is>
      </c>
      <c r="D14" s="3" t="n">
        <v>2</v>
      </c>
      <c r="E14" s="6" t="n">
        <v>96</v>
      </c>
      <c r="F14" s="17" t="n">
        <v>55</v>
      </c>
      <c r="G14" s="23">
        <f>F14/E14</f>
        <v/>
      </c>
      <c r="H14" s="3">
        <f>IF(G14&gt;1.2, "NGHẼN NẶNG", IF(G14&gt;=1, "CẢNH BÁO QUÁ TẢI", IF(G14&gt;=0.75, "TẢI TỐI ƯU", "DƯ NĂNG LỰC")))</f>
        <v/>
      </c>
      <c r="I14" s="17">
        <f>MAX(0, F14-E14)</f>
        <v/>
      </c>
      <c r="J14" s="4" t="inlineStr">
        <is>
          <t>Nhận việc từ DK7745</t>
        </is>
      </c>
      <c r="K14" s="23" t="n">
        <v>1</v>
      </c>
      <c r="L14" s="4" t="inlineStr">
        <is>
          <t>Tải 57%</t>
        </is>
      </c>
      <c r="M14" s="4" t="n"/>
    </row>
    <row r="15" ht="23.1" customHeight="1" s="75">
      <c r="A15" s="3" t="n">
        <v>12</v>
      </c>
      <c r="B15" s="4" t="inlineStr">
        <is>
          <t>Máy Khoan cần Yoshida</t>
        </is>
      </c>
      <c r="C15" s="4" t="inlineStr">
        <is>
          <t>Khoan / Taro</t>
        </is>
      </c>
      <c r="D15" s="3" t="n">
        <v>2</v>
      </c>
      <c r="E15" s="6" t="n">
        <v>96</v>
      </c>
      <c r="F15" s="17" t="n">
        <v>92</v>
      </c>
      <c r="G15" s="23">
        <f>F15/E15</f>
        <v/>
      </c>
      <c r="H15" s="3">
        <f>IF(G15&gt;1.2, "NGHẼN NẶNG", IF(G15&gt;=1, "CẢNH BÁO QUÁ TẢI", IF(G15&gt;=0.75, "TẢI TỐI ƯU", "DƯ NĂNG LỰC")))</f>
        <v/>
      </c>
      <c r="I15" s="17">
        <f>MAX(0, F15-E15)</f>
        <v/>
      </c>
      <c r="J15" s="4" t="inlineStr">
        <is>
          <t>Gia công nội bộ ổn định</t>
        </is>
      </c>
      <c r="K15" s="23" t="n">
        <v>1</v>
      </c>
      <c r="L15" s="4" t="inlineStr">
        <is>
          <t>Tải 96% - Bình thường</t>
        </is>
      </c>
      <c r="M15" s="4" t="n"/>
    </row>
    <row r="16" ht="23.1" customHeight="1" s="75">
      <c r="A16" s="3" t="n">
        <v>13</v>
      </c>
      <c r="B16" s="4" t="inlineStr">
        <is>
          <t>Máy tiện Tiện T1516</t>
        </is>
      </c>
      <c r="C16" s="4" t="inlineStr">
        <is>
          <t>Tiện đứng hạng nặng</t>
        </is>
      </c>
      <c r="D16" s="3" t="n">
        <v>2</v>
      </c>
      <c r="E16" s="6" t="n">
        <v>96</v>
      </c>
      <c r="F16" s="17" t="n">
        <v>85</v>
      </c>
      <c r="G16" s="23">
        <f>F16/E16</f>
        <v/>
      </c>
      <c r="H16" s="3">
        <f>IF(G16&gt;1.2, "NGHẼN NẶNG", IF(G16&gt;=1, "CẢNH BÁO QUÁ TẢI", IF(G16&gt;=0.75, "TẢI TỐI ƯU", "DƯ NĂNG LỰC")))</f>
        <v/>
      </c>
      <c r="I16" s="17">
        <f>MAX(0, F16-E16)</f>
        <v/>
      </c>
      <c r="J16" s="4" t="inlineStr">
        <is>
          <t>Chạy thân rô to &amp; bích</t>
        </is>
      </c>
      <c r="K16" s="23" t="n">
        <v>1</v>
      </c>
      <c r="L16" s="4" t="inlineStr">
        <is>
          <t>Tải 89%</t>
        </is>
      </c>
      <c r="M16" s="4" t="n"/>
    </row>
    <row r="17" ht="23.1" customHeight="1" s="75">
      <c r="A17" s="3" t="n">
        <v>14</v>
      </c>
      <c r="B17" s="4" t="inlineStr">
        <is>
          <t>Máy tiện Tiện T1517</t>
        </is>
      </c>
      <c r="C17" s="4" t="inlineStr">
        <is>
          <t>Tiện đứng hạng nặng</t>
        </is>
      </c>
      <c r="D17" s="3" t="n">
        <v>2</v>
      </c>
      <c r="E17" s="6" t="n">
        <v>96</v>
      </c>
      <c r="F17" s="17" t="n">
        <v>70</v>
      </c>
      <c r="G17" s="23">
        <f>F17/E17</f>
        <v/>
      </c>
      <c r="H17" s="3">
        <f>IF(G17&gt;1.2, "NGHẼN NẶNG", IF(G17&gt;=1, "CẢNH BÁO QUÁ TẢI", IF(G17&gt;=0.75, "TẢI TỐI ƯU", "DƯ NĂNG LỰC")))</f>
        <v/>
      </c>
      <c r="I17" s="17">
        <f>MAX(0, F17-E17)</f>
        <v/>
      </c>
      <c r="J17" s="4" t="inlineStr">
        <is>
          <t>Chạy rô to</t>
        </is>
      </c>
      <c r="K17" s="23" t="n">
        <v>1</v>
      </c>
      <c r="L17" s="4" t="inlineStr">
        <is>
          <t>Tải 73%</t>
        </is>
      </c>
      <c r="M17" s="4" t="n"/>
    </row>
    <row r="18" ht="23.1" customHeight="1" s="75">
      <c r="A18" s="3" t="n">
        <v>15</v>
      </c>
      <c r="B18" s="4" t="inlineStr">
        <is>
          <t>Máy tiện Tiện T1522</t>
        </is>
      </c>
      <c r="C18" s="4" t="inlineStr">
        <is>
          <t>Tiện đứng hạng nặng</t>
        </is>
      </c>
      <c r="D18" s="3" t="n">
        <v>2</v>
      </c>
      <c r="E18" s="6" t="n">
        <v>96</v>
      </c>
      <c r="F18" s="17" t="n">
        <v>45</v>
      </c>
      <c r="G18" s="23">
        <f>F18/E18</f>
        <v/>
      </c>
      <c r="H18" s="3">
        <f>IF(G18&gt;1.2, "NGHẼN NẶNG", IF(G18&gt;=1, "CẢNH BÁO QUÁ TẢI", IF(G18&gt;=0.75, "TẢI TỐI ƯU", "DƯ NĂNG LỰC")))</f>
        <v/>
      </c>
      <c r="I18" s="17">
        <f>MAX(0, F18-E18)</f>
        <v/>
      </c>
      <c r="J18" s="4" t="inlineStr">
        <is>
          <t>Phay mặt rô to</t>
        </is>
      </c>
      <c r="K18" s="23" t="n">
        <v>1</v>
      </c>
      <c r="L18" s="4" t="inlineStr">
        <is>
          <t>Tải 47%</t>
        </is>
      </c>
      <c r="M18" s="4" t="n"/>
    </row>
    <row r="19" ht="23.1" customHeight="1" s="75">
      <c r="A19" s="3" t="n">
        <v>16</v>
      </c>
      <c r="B19" s="4" t="inlineStr">
        <is>
          <t>Máy tiện CNC1</t>
        </is>
      </c>
      <c r="C19" s="4" t="inlineStr">
        <is>
          <t>Tiện CNC</t>
        </is>
      </c>
      <c r="D19" s="3" t="n">
        <v>2</v>
      </c>
      <c r="E19" s="6" t="n">
        <v>96</v>
      </c>
      <c r="F19" s="17" t="n">
        <v>50</v>
      </c>
      <c r="G19" s="23">
        <f>F19/E19</f>
        <v/>
      </c>
      <c r="H19" s="3">
        <f>IF(G19&gt;1.2, "NGHẼN NẶNG", IF(G19&gt;=1, "CẢNH BÁO QUÁ TẢI", IF(G19&gt;=0.75, "TẢI TỐI ƯU", "DƯ NĂNG LỰC")))</f>
        <v/>
      </c>
      <c r="I19" s="17">
        <f>MAX(0, F19-E19)</f>
        <v/>
      </c>
      <c r="J19" s="4" t="inlineStr">
        <is>
          <t>Nhận tải từ FUJI</t>
        </is>
      </c>
      <c r="K19" s="23" t="n">
        <v>1</v>
      </c>
      <c r="L19" s="4" t="inlineStr">
        <is>
          <t>Tải 52%</t>
        </is>
      </c>
      <c r="M19" s="4" t="n"/>
    </row>
    <row r="20" ht="23.1" customHeight="1" s="75">
      <c r="A20" s="3" t="n">
        <v>17</v>
      </c>
      <c r="B20" s="4" t="inlineStr">
        <is>
          <t>Máy tiện T630</t>
        </is>
      </c>
      <c r="C20" s="4" t="inlineStr">
        <is>
          <t>Tiện vạn năng</t>
        </is>
      </c>
      <c r="D20" s="3" t="n">
        <v>1</v>
      </c>
      <c r="E20" s="6" t="n">
        <v>48</v>
      </c>
      <c r="F20" s="17" t="n">
        <v>25</v>
      </c>
      <c r="G20" s="23">
        <f>F20/E20</f>
        <v/>
      </c>
      <c r="H20" s="3">
        <f>IF(G20&gt;1.2, "NGHẼN NẶNG", IF(G20&gt;=1, "CẢNH BÁO QUÁ TẢI", IF(G20&gt;=0.75, "TẢI TỐI ƯU", "DƯ NĂNG LỰC")))</f>
        <v/>
      </c>
      <c r="I20" s="17">
        <f>MAX(0, F20-E20)</f>
        <v/>
      </c>
      <c r="J20" s="4" t="inlineStr">
        <is>
          <t>Hỗ trợ sửa khuôn/gá</t>
        </is>
      </c>
      <c r="K20" s="23" t="n">
        <v>1</v>
      </c>
      <c r="L20" s="4" t="inlineStr">
        <is>
          <t>Tải 52%</t>
        </is>
      </c>
      <c r="M20" s="4" t="n"/>
    </row>
  </sheetData>
  <mergeCells count="2"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style="75" min="1" max="1"/>
    <col width="27" customWidth="1" style="75" min="2" max="2"/>
    <col width="53" customWidth="1" style="75" min="3" max="3"/>
    <col width="26" customWidth="1" style="75" min="4" max="4"/>
    <col width="23" customWidth="1" style="75" min="5" max="5"/>
    <col width="28" customWidth="1" style="75" min="6" max="6"/>
    <col width="22" customWidth="1" style="75" min="7" max="7"/>
    <col width="101" customWidth="1" style="75" min="8" max="10"/>
    <col width="27" customWidth="1" style="75" min="11" max="11"/>
    <col width="33" customWidth="1" style="75" min="12" max="12"/>
    <col width="26" customWidth="1" style="75" min="13" max="14"/>
    <col width="35" customWidth="1" style="75" min="15" max="15"/>
    <col width="32" customWidth="1" style="75" min="16" max="16"/>
  </cols>
  <sheetData>
    <row r="1" ht="27.95" customHeight="1" s="75">
      <c r="A1" s="74" t="inlineStr">
        <is>
          <t>BẢNG TÍNH THÀNH PHẨM, TỔNG HỢP GIÁ THÀNH GIA CÔNG &amp; BÁO GIÁ SẢN PHẨM</t>
        </is>
      </c>
    </row>
    <row r="2" ht="18" customHeight="1" s="75">
      <c r="A2" s="76" t="inlineStr">
        <is>
          <t>Nhà máy Đúc Thép Hợp Kim &amp; Cơ Khí Chính Xác | Cơ cấu giá: Phôi đúc + Khoán thợ + Dao cụ tiêu hao + Giờ máy + Chi phí quản lý chung + Lợi nhuận kỳ vọng</t>
        </is>
      </c>
    </row>
    <row r="3" ht="30" customHeight="1" s="75">
      <c r="A3" s="2" t="inlineStr">
        <is>
          <t>STT</t>
        </is>
      </c>
      <c r="B3" s="2" t="inlineStr">
        <is>
          <t>Khách Hàng</t>
        </is>
      </c>
      <c r="C3" s="2" t="inlineStr">
        <is>
          <t>Tên / Quy Cách Sản Phẩm Đúc</t>
        </is>
      </c>
      <c r="D3" s="2" t="inlineStr">
        <is>
          <t>Mác Thép Hợp Kim</t>
        </is>
      </c>
      <c r="E3" s="2" t="inlineStr">
        <is>
          <t>Khối Lượng Phôi (kg)</t>
        </is>
      </c>
      <c r="F3" s="2" t="inlineStr">
        <is>
          <t>Đơn Giá Thép Đúc (VNĐ/kg)</t>
        </is>
      </c>
      <c r="G3" s="2" t="inlineStr">
        <is>
          <t>Tiền Phôi Đúc (VNĐ)</t>
        </is>
      </c>
      <c r="H3" s="2" t="inlineStr">
        <is>
          <t>Tổng Tiền Khoán Thợ (VNĐ)</t>
        </is>
      </c>
      <c r="I3" s="2" t="inlineStr">
        <is>
          <t>Tổng Chi Phí Dao Cụ (VNĐ)</t>
        </is>
      </c>
      <c r="J3" s="2" t="inlineStr">
        <is>
          <t>Tổng Chi Phí Giờ Máy (VNĐ)</t>
        </is>
      </c>
      <c r="K3" s="2" t="inlineStr">
        <is>
          <t>GIÁ THÀNH SẢN XUẤT (VNĐ)</t>
        </is>
      </c>
      <c r="L3" s="2" t="inlineStr">
        <is>
          <t>Chi Phí QL &amp; Nhiệt Luyện (15%)</t>
        </is>
      </c>
      <c r="M3" s="2" t="inlineStr">
        <is>
          <t>GIÁ THÀNH TOÀN BỘ (VNĐ)</t>
        </is>
      </c>
      <c r="N3" s="2" t="inlineStr">
        <is>
          <t>Lợi Nhuận Kỳ Vọng (18%)</t>
        </is>
      </c>
      <c r="O3" s="2" t="inlineStr">
        <is>
          <t>ĐƠN GIÁ BÁO GIÁ CHÀO KHÁCH (VNĐ)</t>
        </is>
      </c>
      <c r="P3" s="2" t="inlineStr">
        <is>
          <t>Ghi Chú Đơn Hàng</t>
        </is>
      </c>
    </row>
    <row r="4" ht="24" customHeight="1" s="75">
      <c r="A4" s="3" t="n">
        <v>1</v>
      </c>
      <c r="B4" s="4" t="inlineStr">
        <is>
          <t>Hà Song Hải - XM Hạ Long</t>
        </is>
      </c>
      <c r="C4" s="4" t="inlineStr">
        <is>
          <t>Thanh đập đá vôi (2240x510x145)</t>
        </is>
      </c>
      <c r="D4" s="3" t="inlineStr">
        <is>
          <t>Thép Mangan Mn13</t>
        </is>
      </c>
      <c r="E4" s="17" t="n">
        <v>1250</v>
      </c>
      <c r="F4" s="6" t="n">
        <v>48000</v>
      </c>
      <c r="G4" s="6">
        <f>E4*F4</f>
        <v/>
      </c>
      <c r="H4" s="6">
        <f>SUMIF('05_Dinh_Muc_Khoan_Routing'!$C$4:$C$100, C4, '05_Dinh_Muc_Khoan_Routing'!$N$4:$N$100)</f>
        <v/>
      </c>
      <c r="I4" s="6">
        <f>SUMIF('05_Dinh_Muc_Khoan_Routing'!$C$4:$C$100, C4, '05_Dinh_Muc_Khoan_Routing'!$M$4:$M$100)</f>
        <v/>
      </c>
      <c r="J4" s="6">
        <f>SUMIF('05_Dinh_Muc_Khoan_Routing'!$C$4:$C$100, C4, '05_Dinh_Muc_Khoan_Routing'!$P$4:$P$100)</f>
        <v/>
      </c>
      <c r="K4" s="26">
        <f>G4+H4+I4+J4</f>
        <v/>
      </c>
      <c r="L4" s="6">
        <f>K4*0.15</f>
        <v/>
      </c>
      <c r="M4" s="6">
        <f>K4+L4</f>
        <v/>
      </c>
      <c r="N4" s="6">
        <f>M4*0.18</f>
        <v/>
      </c>
      <c r="O4" s="27">
        <f>M4+N4</f>
        <v/>
      </c>
      <c r="P4" s="4" t="inlineStr">
        <is>
          <t>Hàng chịu mài mòn va đập mạnh</t>
        </is>
      </c>
    </row>
    <row r="5" ht="24" customHeight="1" s="75">
      <c r="A5" s="8" t="n">
        <v>2</v>
      </c>
      <c r="B5" s="9" t="inlineStr">
        <is>
          <t>Hải- Vinh Quảng Ninh</t>
        </is>
      </c>
      <c r="C5" s="9" t="inlineStr">
        <is>
          <t>Bộ rulo máy nghiền sơ cấp: Thân rô to (φ820x890)</t>
        </is>
      </c>
      <c r="D5" s="8" t="inlineStr">
        <is>
          <t>Thép hợp kim 35CrMo</t>
        </is>
      </c>
      <c r="E5" s="28" t="n">
        <v>3600</v>
      </c>
      <c r="F5" s="11" t="n">
        <v>52000</v>
      </c>
      <c r="G5" s="11">
        <f>E5*F5</f>
        <v/>
      </c>
      <c r="H5" s="11">
        <f>SUMIF('05_Dinh_Muc_Khoan_Routing'!$C$4:$C$100, C5, '05_Dinh_Muc_Khoan_Routing'!$N$4:$N$100)</f>
        <v/>
      </c>
      <c r="I5" s="11">
        <f>SUMIF('05_Dinh_Muc_Khoan_Routing'!$C$4:$C$100, C5, '05_Dinh_Muc_Khoan_Routing'!$M$4:$M$100)</f>
        <v/>
      </c>
      <c r="J5" s="11">
        <f>SUMIF('05_Dinh_Muc_Khoan_Routing'!$C$4:$C$100, C5, '05_Dinh_Muc_Khoan_Routing'!$P$4:$P$100)</f>
        <v/>
      </c>
      <c r="K5" s="26">
        <f>G5+H5+I5+J5</f>
        <v/>
      </c>
      <c r="L5" s="11">
        <f>K5*0.15</f>
        <v/>
      </c>
      <c r="M5" s="11">
        <f>K5+L5</f>
        <v/>
      </c>
      <c r="N5" s="11">
        <f>M5*0.18</f>
        <v/>
      </c>
      <c r="O5" s="27">
        <f>M5+N5</f>
        <v/>
      </c>
      <c r="P5" s="9" t="inlineStr">
        <is>
          <t>Rô to nghiền sơ cấp nặng</t>
        </is>
      </c>
    </row>
    <row r="6" ht="24" customHeight="1" s="75">
      <c r="A6" s="3" t="n">
        <v>3</v>
      </c>
      <c r="B6" s="4" t="inlineStr">
        <is>
          <t>Hải- Vinh Quảng Ninh</t>
        </is>
      </c>
      <c r="C6" s="4" t="inlineStr">
        <is>
          <t>Bộ rulo máy nghiền sơ cấp: Bích rulo (φ500x110) 1T</t>
        </is>
      </c>
      <c r="D6" s="3" t="inlineStr">
        <is>
          <t>Thép đúc ZG35</t>
        </is>
      </c>
      <c r="E6" s="17" t="n">
        <v>180</v>
      </c>
      <c r="F6" s="6" t="n">
        <v>42000</v>
      </c>
      <c r="G6" s="6">
        <f>E6*F6</f>
        <v/>
      </c>
      <c r="H6" s="6">
        <f>SUMIF('05_Dinh_Muc_Khoan_Routing'!$C$4:$C$100, C6, '05_Dinh_Muc_Khoan_Routing'!$N$4:$N$100)</f>
        <v/>
      </c>
      <c r="I6" s="6">
        <f>SUMIF('05_Dinh_Muc_Khoan_Routing'!$C$4:$C$100, C6, '05_Dinh_Muc_Khoan_Routing'!$M$4:$M$100)</f>
        <v/>
      </c>
      <c r="J6" s="6">
        <f>SUMIF('05_Dinh_Muc_Khoan_Routing'!$C$4:$C$100, C6, '05_Dinh_Muc_Khoan_Routing'!$P$4:$P$100)</f>
        <v/>
      </c>
      <c r="K6" s="26">
        <f>G6+H6+I6+J6</f>
        <v/>
      </c>
      <c r="L6" s="6">
        <f>K6*0.15</f>
        <v/>
      </c>
      <c r="M6" s="6">
        <f>K6+L6</f>
        <v/>
      </c>
      <c r="N6" s="6">
        <f>M6*0.18</f>
        <v/>
      </c>
      <c r="O6" s="27">
        <f>M6+N6</f>
        <v/>
      </c>
      <c r="P6" s="4" t="inlineStr">
        <is>
          <t>Bích đỡ rulo</t>
        </is>
      </c>
    </row>
    <row r="7" ht="24" customHeight="1" s="75">
      <c r="A7" s="8" t="n">
        <v>4</v>
      </c>
      <c r="B7" s="9" t="inlineStr">
        <is>
          <t>Win-Win</t>
        </is>
      </c>
      <c r="C7" s="9" t="inlineStr">
        <is>
          <t>Cánh xoắn vít đùn ISHIZUE 355Dw900</t>
        </is>
      </c>
      <c r="D7" s="8" t="inlineStr">
        <is>
          <t>Thép đúc chịu mòn Cr-Ni</t>
        </is>
      </c>
      <c r="E7" s="28" t="n">
        <v>280</v>
      </c>
      <c r="F7" s="11" t="n">
        <v>55000</v>
      </c>
      <c r="G7" s="11">
        <f>E7*F7</f>
        <v/>
      </c>
      <c r="H7" s="11">
        <f>SUMIF('05_Dinh_Muc_Khoan_Routing'!$C$4:$C$100, C7, '05_Dinh_Muc_Khoan_Routing'!$N$4:$N$100)</f>
        <v/>
      </c>
      <c r="I7" s="11">
        <f>SUMIF('05_Dinh_Muc_Khoan_Routing'!$C$4:$C$100, C7, '05_Dinh_Muc_Khoan_Routing'!$M$4:$M$100)</f>
        <v/>
      </c>
      <c r="J7" s="11">
        <f>SUMIF('05_Dinh_Muc_Khoan_Routing'!$C$4:$C$100, C7, '05_Dinh_Muc_Khoan_Routing'!$P$4:$P$100)</f>
        <v/>
      </c>
      <c r="K7" s="26">
        <f>G7+H7+I7+J7</f>
        <v/>
      </c>
      <c r="L7" s="11">
        <f>K7*0.15</f>
        <v/>
      </c>
      <c r="M7" s="11">
        <f>K7+L7</f>
        <v/>
      </c>
      <c r="N7" s="11">
        <f>M7*0.18</f>
        <v/>
      </c>
      <c r="O7" s="27">
        <f>M7+N7</f>
        <v/>
      </c>
      <c r="P7" s="9" t="inlineStr">
        <is>
          <t>Vít đùn công nghiệp</t>
        </is>
      </c>
    </row>
    <row r="8" ht="24" customHeight="1" s="75">
      <c r="A8" s="3" t="n">
        <v>5</v>
      </c>
      <c r="B8" s="4" t="inlineStr">
        <is>
          <t>Win-Win</t>
        </is>
      </c>
      <c r="C8" s="4" t="inlineStr">
        <is>
          <t>Cánh xoắn vít đùn ISHIZUE 114Dw300</t>
        </is>
      </c>
      <c r="D8" s="3" t="inlineStr">
        <is>
          <t>Thép đúc hợp kim Cr</t>
        </is>
      </c>
      <c r="E8" s="17" t="n">
        <v>65</v>
      </c>
      <c r="F8" s="6" t="n">
        <v>52000</v>
      </c>
      <c r="G8" s="6">
        <f>E8*F8</f>
        <v/>
      </c>
      <c r="H8" s="6">
        <f>SUMIF('05_Dinh_Muc_Khoan_Routing'!$C$4:$C$100, C8, '05_Dinh_Muc_Khoan_Routing'!$N$4:$N$100)</f>
        <v/>
      </c>
      <c r="I8" s="6">
        <f>SUMIF('05_Dinh_Muc_Khoan_Routing'!$C$4:$C$100, C8, '05_Dinh_Muc_Khoan_Routing'!$M$4:$M$100)</f>
        <v/>
      </c>
      <c r="J8" s="6">
        <f>SUMIF('05_Dinh_Muc_Khoan_Routing'!$C$4:$C$100, C8, '05_Dinh_Muc_Khoan_Routing'!$P$4:$P$100)</f>
        <v/>
      </c>
      <c r="K8" s="26">
        <f>G8+H8+I8+J8</f>
        <v/>
      </c>
      <c r="L8" s="6">
        <f>K8*0.15</f>
        <v/>
      </c>
      <c r="M8" s="6">
        <f>K8+L8</f>
        <v/>
      </c>
      <c r="N8" s="6">
        <f>M8*0.18</f>
        <v/>
      </c>
      <c r="O8" s="27">
        <f>M8+N8</f>
        <v/>
      </c>
      <c r="P8" s="4" t="inlineStr">
        <is>
          <t>Vít đùn cỡ nhỏ</t>
        </is>
      </c>
    </row>
    <row r="9" ht="24" customHeight="1" s="75">
      <c r="A9" s="8" t="n">
        <v>6</v>
      </c>
      <c r="B9" s="9" t="inlineStr">
        <is>
          <t>Thyssen</t>
        </is>
      </c>
      <c r="C9" s="9" t="inlineStr">
        <is>
          <t>Sealing strip, below</t>
        </is>
      </c>
      <c r="D9" s="8" t="inlineStr">
        <is>
          <t>Thép hợp kim chống mòn</t>
        </is>
      </c>
      <c r="E9" s="28" t="n">
        <v>45</v>
      </c>
      <c r="F9" s="11" t="n">
        <v>62000</v>
      </c>
      <c r="G9" s="11">
        <f>E9*F9</f>
        <v/>
      </c>
      <c r="H9" s="11">
        <f>SUMIF('05_Dinh_Muc_Khoan_Routing'!$C$4:$C$100, C9, '05_Dinh_Muc_Khoan_Routing'!$N$4:$N$100)</f>
        <v/>
      </c>
      <c r="I9" s="11">
        <f>SUMIF('05_Dinh_Muc_Khoan_Routing'!$C$4:$C$100, C9, '05_Dinh_Muc_Khoan_Routing'!$M$4:$M$100)</f>
        <v/>
      </c>
      <c r="J9" s="11">
        <f>SUMIF('05_Dinh_Muc_Khoan_Routing'!$C$4:$C$100, C9, '05_Dinh_Muc_Khoan_Routing'!$P$4:$P$100)</f>
        <v/>
      </c>
      <c r="K9" s="26">
        <f>G9+H9+I9+J9</f>
        <v/>
      </c>
      <c r="L9" s="11">
        <f>K9*0.15</f>
        <v/>
      </c>
      <c r="M9" s="11">
        <f>K9+L9</f>
        <v/>
      </c>
      <c r="N9" s="11">
        <f>M9*0.18</f>
        <v/>
      </c>
      <c r="O9" s="27">
        <f>M9+N9</f>
        <v/>
      </c>
      <c r="P9" s="9" t="inlineStr">
        <is>
          <t>Thanh làm kín xỉ</t>
        </is>
      </c>
    </row>
    <row r="10" ht="24" customHeight="1" s="75">
      <c r="A10" s="3" t="n">
        <v>7</v>
      </c>
      <c r="B10" s="4" t="inlineStr">
        <is>
          <t>Thyssen</t>
        </is>
      </c>
      <c r="C10" s="4" t="inlineStr">
        <is>
          <t>Sealing strip, above</t>
        </is>
      </c>
      <c r="D10" s="3" t="inlineStr">
        <is>
          <t>Thép hợp kim chống mòn</t>
        </is>
      </c>
      <c r="E10" s="17" t="n">
        <v>48</v>
      </c>
      <c r="F10" s="6" t="n">
        <v>62000</v>
      </c>
      <c r="G10" s="6">
        <f>E10*F10</f>
        <v/>
      </c>
      <c r="H10" s="6">
        <f>SUMIF('05_Dinh_Muc_Khoan_Routing'!$C$4:$C$100, C10, '05_Dinh_Muc_Khoan_Routing'!$N$4:$N$100)</f>
        <v/>
      </c>
      <c r="I10" s="6">
        <f>SUMIF('05_Dinh_Muc_Khoan_Routing'!$C$4:$C$100, C10, '05_Dinh_Muc_Khoan_Routing'!$M$4:$M$100)</f>
        <v/>
      </c>
      <c r="J10" s="6">
        <f>SUMIF('05_Dinh_Muc_Khoan_Routing'!$C$4:$C$100, C10, '05_Dinh_Muc_Khoan_Routing'!$P$4:$P$100)</f>
        <v/>
      </c>
      <c r="K10" s="26">
        <f>G10+H10+I10+J10</f>
        <v/>
      </c>
      <c r="L10" s="6">
        <f>K10*0.15</f>
        <v/>
      </c>
      <c r="M10" s="6">
        <f>K10+L10</f>
        <v/>
      </c>
      <c r="N10" s="6">
        <f>M10*0.18</f>
        <v/>
      </c>
      <c r="O10" s="27">
        <f>M10+N10</f>
        <v/>
      </c>
      <c r="P10" s="4" t="inlineStr">
        <is>
          <t>Thanh làm kín trên</t>
        </is>
      </c>
    </row>
    <row r="11" ht="24" customHeight="1" s="75">
      <c r="A11" s="8" t="n">
        <v>8</v>
      </c>
      <c r="B11" s="9" t="inlineStr">
        <is>
          <t>Luợng- KS Tường Long</t>
        </is>
      </c>
      <c r="C11" s="9" t="inlineStr">
        <is>
          <t>Ốp dao nhào trên (Bộ bên trái)</t>
        </is>
      </c>
      <c r="D11" s="8" t="inlineStr">
        <is>
          <t>Thép đúc va đập cao</t>
        </is>
      </c>
      <c r="E11" s="28" t="n">
        <v>120</v>
      </c>
      <c r="F11" s="11" t="n">
        <v>50000</v>
      </c>
      <c r="G11" s="11">
        <f>E11*F11</f>
        <v/>
      </c>
      <c r="H11" s="11">
        <f>SUMIF('05_Dinh_Muc_Khoan_Routing'!$C$4:$C$100, C11, '05_Dinh_Muc_Khoan_Routing'!$N$4:$N$100)</f>
        <v/>
      </c>
      <c r="I11" s="11">
        <f>SUMIF('05_Dinh_Muc_Khoan_Routing'!$C$4:$C$100, C11, '05_Dinh_Muc_Khoan_Routing'!$M$4:$M$100)</f>
        <v/>
      </c>
      <c r="J11" s="11">
        <f>SUMIF('05_Dinh_Muc_Khoan_Routing'!$C$4:$C$100, C11, '05_Dinh_Muc_Khoan_Routing'!$P$4:$P$100)</f>
        <v/>
      </c>
      <c r="K11" s="26">
        <f>G11+H11+I11+J11</f>
        <v/>
      </c>
      <c r="L11" s="11">
        <f>K11*0.15</f>
        <v/>
      </c>
      <c r="M11" s="11">
        <f>K11+L11</f>
        <v/>
      </c>
      <c r="N11" s="11">
        <f>M11*0.18</f>
        <v/>
      </c>
      <c r="O11" s="27">
        <f>M11+N11</f>
        <v/>
      </c>
      <c r="P11" s="9" t="inlineStr">
        <is>
          <t>Ốp đầu dao nhào</t>
        </is>
      </c>
    </row>
    <row r="12" ht="24" customHeight="1" s="75">
      <c r="A12" s="3" t="n">
        <v>9</v>
      </c>
      <c r="B12" s="4" t="inlineStr">
        <is>
          <t>UCC</t>
        </is>
      </c>
      <c r="C12" s="4" t="inlineStr">
        <is>
          <t>Khuôn gá xích POWER</t>
        </is>
      </c>
      <c r="D12" s="3" t="inlineStr">
        <is>
          <t>Thép hợp kim Cr12MoV</t>
        </is>
      </c>
      <c r="E12" s="17" t="n">
        <v>85</v>
      </c>
      <c r="F12" s="6" t="n">
        <v>75000</v>
      </c>
      <c r="G12" s="6">
        <f>E12*F12</f>
        <v/>
      </c>
      <c r="H12" s="6">
        <f>SUMIF('05_Dinh_Muc_Khoan_Routing'!$C$4:$C$100, C12, '05_Dinh_Muc_Khoan_Routing'!$N$4:$N$100)</f>
        <v/>
      </c>
      <c r="I12" s="6">
        <f>SUMIF('05_Dinh_Muc_Khoan_Routing'!$C$4:$C$100, C12, '05_Dinh_Muc_Khoan_Routing'!$M$4:$M$100)</f>
        <v/>
      </c>
      <c r="J12" s="6">
        <f>SUMIF('05_Dinh_Muc_Khoan_Routing'!$C$4:$C$100, C12, '05_Dinh_Muc_Khoan_Routing'!$P$4:$P$100)</f>
        <v/>
      </c>
      <c r="K12" s="26">
        <f>G12+H12+I12+J12</f>
        <v/>
      </c>
      <c r="L12" s="6">
        <f>K12*0.15</f>
        <v/>
      </c>
      <c r="M12" s="6">
        <f>K12+L12</f>
        <v/>
      </c>
      <c r="N12" s="6">
        <f>M12*0.18</f>
        <v/>
      </c>
      <c r="O12" s="27">
        <f>M12+N12</f>
        <v/>
      </c>
      <c r="P12" s="4" t="inlineStr">
        <is>
          <t>Khuôn dập xích</t>
        </is>
      </c>
    </row>
    <row r="13" ht="24" customHeight="1" s="75">
      <c r="A13" s="8" t="n">
        <v>10</v>
      </c>
      <c r="B13" s="9" t="inlineStr">
        <is>
          <t>Vico- QLTB</t>
        </is>
      </c>
      <c r="C13" s="9" t="inlineStr">
        <is>
          <t>Mẫu Thử CR &amp; hàng #</t>
        </is>
      </c>
      <c r="D13" s="8" t="inlineStr">
        <is>
          <t>Thép đúc mẫu ASTM</t>
        </is>
      </c>
      <c r="E13" s="28" t="n">
        <v>15</v>
      </c>
      <c r="F13" s="11" t="n">
        <v>60000</v>
      </c>
      <c r="G13" s="11">
        <f>E13*F13</f>
        <v/>
      </c>
      <c r="H13" s="11">
        <f>SUMIF('05_Dinh_Muc_Khoan_Routing'!$C$4:$C$100, C13, '05_Dinh_Muc_Khoan_Routing'!$N$4:$N$100)</f>
        <v/>
      </c>
      <c r="I13" s="11">
        <f>SUMIF('05_Dinh_Muc_Khoan_Routing'!$C$4:$C$100, C13, '05_Dinh_Muc_Khoan_Routing'!$M$4:$M$100)</f>
        <v/>
      </c>
      <c r="J13" s="11">
        <f>SUMIF('05_Dinh_Muc_Khoan_Routing'!$C$4:$C$100, C13, '05_Dinh_Muc_Khoan_Routing'!$P$4:$P$100)</f>
        <v/>
      </c>
      <c r="K13" s="26">
        <f>G13+H13+I13+J13</f>
        <v/>
      </c>
      <c r="L13" s="11">
        <f>K13*0.15</f>
        <v/>
      </c>
      <c r="M13" s="11">
        <f>K13+L13</f>
        <v/>
      </c>
      <c r="N13" s="11">
        <f>M13*0.18</f>
        <v/>
      </c>
      <c r="O13" s="27">
        <f>M13+N13</f>
        <v/>
      </c>
      <c r="P13" s="9" t="inlineStr">
        <is>
          <t>Mẫu kiểm định cơ tính</t>
        </is>
      </c>
    </row>
  </sheetData>
  <mergeCells count="2">
    <mergeCell ref="A1:P1"/>
    <mergeCell ref="A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style="75" min="1" max="1"/>
    <col width="27" customWidth="1" style="75" min="2" max="2"/>
    <col width="53" customWidth="1" style="75" min="3" max="3"/>
    <col width="12" customWidth="1" style="75" min="4" max="4"/>
    <col width="60" customWidth="1" style="75" min="5" max="5"/>
    <col width="24" customWidth="1" style="75" min="6" max="6"/>
    <col width="19" customWidth="1" style="75" min="7" max="7"/>
    <col width="20" customWidth="1" style="75" min="8" max="8"/>
    <col width="40" customWidth="1" style="75" min="9" max="9"/>
    <col width="21" customWidth="1" style="75" min="10" max="10"/>
    <col width="29" customWidth="1" style="75" min="11" max="11"/>
    <col width="25" customWidth="1" style="75" min="12" max="12"/>
    <col width="31" customWidth="1" style="75" min="13" max="13"/>
    <col width="25" customWidth="1" style="75" min="14" max="14"/>
    <col width="26" customWidth="1" style="75" min="15" max="15"/>
    <col width="31" customWidth="1" style="75" min="16" max="16"/>
    <col width="33" customWidth="1" style="75" min="17" max="17"/>
  </cols>
  <sheetData>
    <row r="1" ht="27.95" customHeight="1" s="75">
      <c r="A1" s="74" t="inlineStr">
        <is>
          <t>BẢNG ĐỊNH MỨC CÔNG NGHỆ, MỨC KHOÁN THEO TỪNG NGUYÊN CÔNG &amp; TIÊU HAO DAO CỤ</t>
        </is>
      </c>
    </row>
    <row r="2" ht="18" customHeight="1" s="75">
      <c r="A2" s="76" t="inlineStr">
        <is>
          <t>Phân xưởng Cơ khí | Bấm giờ định mức (phút/giờ) - Chọn máy phù hợp - Định mức dao cụ (lưỡi cắt) - Mức khoán công nhân (VNĐ/chi tiết)</t>
        </is>
      </c>
    </row>
    <row r="3" ht="30" customHeight="1" s="75">
      <c r="A3" s="21" t="inlineStr">
        <is>
          <t>STT</t>
        </is>
      </c>
      <c r="B3" s="21" t="inlineStr">
        <is>
          <t>Khách Hàng</t>
        </is>
      </c>
      <c r="C3" s="21" t="inlineStr">
        <is>
          <t>Tên Sản Phẩm Đúc</t>
        </is>
      </c>
      <c r="D3" s="21" t="inlineStr">
        <is>
          <t>Thứ Tự NC</t>
        </is>
      </c>
      <c r="E3" s="21" t="inlineStr">
        <is>
          <t>Nội Dung Nguyên Công Gia Công</t>
        </is>
      </c>
      <c r="F3" s="21" t="inlineStr">
        <is>
          <t>Máy Gia Công Chỉ Định</t>
        </is>
      </c>
      <c r="G3" s="21" t="inlineStr">
        <is>
          <t>Định Mức Giờ (h)</t>
        </is>
      </c>
      <c r="H3" s="21" t="inlineStr">
        <is>
          <t>Định Mức Phút (p)</t>
        </is>
      </c>
      <c r="I3" s="21" t="inlineStr">
        <is>
          <t>Chủng Loại Dụng Cụ Cắt</t>
        </is>
      </c>
      <c r="J3" s="21" t="inlineStr">
        <is>
          <t>Số Lưỡi Cắt / Mảnh</t>
        </is>
      </c>
      <c r="K3" s="21" t="inlineStr">
        <is>
          <t>Tuổi Thọ (Chi Tiết / Lưỡi)</t>
        </is>
      </c>
      <c r="L3" s="21" t="inlineStr">
        <is>
          <t>Đơn Giá Mảnh Dao (VNĐ)</t>
        </is>
      </c>
      <c r="M3" s="21" t="inlineStr">
        <is>
          <t>Chi Phí Dao / Chi Tiết (VNĐ)</t>
        </is>
      </c>
      <c r="N3" s="21" t="inlineStr">
        <is>
          <t>MỨC KHOÁN THỢ (VNĐ/CT)</t>
        </is>
      </c>
      <c r="O3" s="21" t="inlineStr">
        <is>
          <t>Đơn Giá Giờ Máy (VNĐ/h)</t>
        </is>
      </c>
      <c r="P3" s="21" t="inlineStr">
        <is>
          <t>Chi Phí Máy / Chi Tiết (VNĐ)</t>
        </is>
      </c>
      <c r="Q3" s="72" t="inlineStr">
        <is>
          <t>Người Phê Duyệt</t>
        </is>
      </c>
      <c r="R3" s="73" t="inlineStr">
        <is>
          <t>Ngày Hiệu Lực</t>
        </is>
      </c>
      <c r="S3" s="73" t="inlineStr">
        <is>
          <t>Phiên Bản Định Mức</t>
        </is>
      </c>
      <c r="T3" s="73" t="inlineStr">
        <is>
          <t>Trạng Thái Khóa</t>
        </is>
      </c>
    </row>
    <row r="4" ht="21.95" customHeight="1" s="75">
      <c r="A4" s="3" t="n">
        <v>1</v>
      </c>
      <c r="B4" s="4" t="inlineStr">
        <is>
          <t>Hà Song Hải - XM Hạ Long</t>
        </is>
      </c>
      <c r="C4" s="4" t="inlineStr">
        <is>
          <t>Thanh đập đá vôi (2240x510x145)</t>
        </is>
      </c>
      <c r="D4" s="3" t="inlineStr">
        <is>
          <t>NC1</t>
        </is>
      </c>
      <c r="E4" s="4" t="inlineStr">
        <is>
          <t>G/c phay thô phá vỏ đúc &amp; bán tinh mặt phẳng Kt 445/145mm</t>
        </is>
      </c>
      <c r="F4" s="4" t="inlineStr">
        <is>
          <t>Máy Phay OIGO</t>
        </is>
      </c>
      <c r="G4" s="29">
        <f>H4/60</f>
        <v/>
      </c>
      <c r="H4" s="6" t="n">
        <v>360</v>
      </c>
      <c r="I4" s="4" t="inlineStr">
        <is>
          <t>Đài phay chíp tròn R6 phủ CVD va đập</t>
        </is>
      </c>
      <c r="J4" s="5" t="n">
        <v>4</v>
      </c>
      <c r="K4" s="30" t="n">
        <v>0.5</v>
      </c>
      <c r="L4" s="6" t="n">
        <v>180000</v>
      </c>
      <c r="M4" s="6">
        <f>(L4/J4)/K4</f>
        <v/>
      </c>
      <c r="N4" s="26" t="n">
        <v>1562400</v>
      </c>
      <c r="O4" s="6" t="n">
        <v>280000</v>
      </c>
      <c r="P4" s="6">
        <f>G4*O4</f>
        <v/>
      </c>
      <c r="Q4" s="27" t="inlineStr">
        <is>
          <t>Quản Đốc &amp; Ban Giám Đốc</t>
        </is>
      </c>
      <c r="R4" t="inlineStr">
        <is>
          <t>2026-08-01</t>
        </is>
      </c>
      <c r="S4" t="inlineStr">
        <is>
          <t>v2.0-CHÍNH THỨC</t>
        </is>
      </c>
      <c r="T4" t="inlineStr">
        <is>
          <t>🔒 ĐÃ KHÓA CỐ ĐỊNH (BẢO LƯU)</t>
        </is>
      </c>
    </row>
    <row r="5" ht="21.95" customHeight="1" s="75">
      <c r="A5" s="8" t="n">
        <v>2</v>
      </c>
      <c r="B5" s="9" t="inlineStr">
        <is>
          <t>Hà Song Hải - XM Hạ Long</t>
        </is>
      </c>
      <c r="C5" s="9" t="inlineStr">
        <is>
          <t>Thanh đập đá vôi (2240x510x145)</t>
        </is>
      </c>
      <c r="D5" s="8" t="inlineStr">
        <is>
          <t>NC2</t>
        </is>
      </c>
      <c r="E5" s="9" t="inlineStr">
        <is>
          <t>G/c phay hoàn thiện rãnh 62/52mm &amp; bo mép R</t>
        </is>
      </c>
      <c r="F5" s="9" t="inlineStr">
        <is>
          <t>Máy Phay OIGO</t>
        </is>
      </c>
      <c r="G5" s="31">
        <f>H5/60</f>
        <v/>
      </c>
      <c r="H5" s="11" t="n">
        <v>240</v>
      </c>
      <c r="I5" s="9" t="inlineStr">
        <is>
          <t>Dao phay gắn mảnh CBN chịu nhiệt</t>
        </is>
      </c>
      <c r="J5" s="10" t="n">
        <v>2</v>
      </c>
      <c r="K5" s="32" t="n">
        <v>0.25</v>
      </c>
      <c r="L5" s="11" t="n">
        <v>450000</v>
      </c>
      <c r="M5" s="11">
        <f>(L5/J5)/K5</f>
        <v/>
      </c>
      <c r="N5" s="26" t="n">
        <v>892800</v>
      </c>
      <c r="O5" s="11" t="n">
        <v>280000</v>
      </c>
      <c r="P5" s="11">
        <f>G5*O5</f>
        <v/>
      </c>
      <c r="Q5" s="27" t="inlineStr">
        <is>
          <t>Quản Đốc &amp; Ban Giám Đốc</t>
        </is>
      </c>
      <c r="R5" t="inlineStr">
        <is>
          <t>2026-08-01</t>
        </is>
      </c>
      <c r="S5" t="inlineStr">
        <is>
          <t>v2.0-CHÍNH THỨC</t>
        </is>
      </c>
      <c r="T5" t="inlineStr">
        <is>
          <t>🔒 ĐÃ KHÓA CỐ ĐỊNH (BẢO LƯU)</t>
        </is>
      </c>
    </row>
    <row r="6" ht="21.95" customHeight="1" s="75">
      <c r="A6" s="3" t="n">
        <v>3</v>
      </c>
      <c r="B6" s="4" t="inlineStr">
        <is>
          <t>Hải- Vinh Quảng Ninh</t>
        </is>
      </c>
      <c r="C6" s="4" t="inlineStr">
        <is>
          <t>Bộ rulo máy nghiền sơ cấp: Thân rô to (φ820x890)</t>
        </is>
      </c>
      <c r="D6" s="3" t="inlineStr">
        <is>
          <t>NC1</t>
        </is>
      </c>
      <c r="E6" s="4" t="inlineStr">
        <is>
          <t>G/c tiện khỏa mặt đầu L=690mm (Mặt 1 &amp; 2)</t>
        </is>
      </c>
      <c r="F6" s="4" t="inlineStr">
        <is>
          <t>Máy tiện Tiện T1516</t>
        </is>
      </c>
      <c r="G6" s="29">
        <f>H6/60</f>
        <v/>
      </c>
      <c r="H6" s="6" t="n">
        <v>180</v>
      </c>
      <c r="I6" s="4" t="inlineStr">
        <is>
          <t>Dao tiện thô WNMG 080408 cán vuông 32</t>
        </is>
      </c>
      <c r="J6" s="5" t="n">
        <v>6</v>
      </c>
      <c r="K6" s="30" t="n">
        <v>1</v>
      </c>
      <c r="L6" s="6" t="n">
        <v>120000</v>
      </c>
      <c r="M6" s="6">
        <f>(L6/J6)/K6</f>
        <v/>
      </c>
      <c r="N6" s="26" t="n">
        <v>350000</v>
      </c>
      <c r="O6" s="6" t="n">
        <v>320000</v>
      </c>
      <c r="P6" s="6">
        <f>G6*O6</f>
        <v/>
      </c>
      <c r="Q6" s="27" t="inlineStr">
        <is>
          <t>Quản Đốc &amp; Ban Giám Đốc</t>
        </is>
      </c>
      <c r="R6" t="inlineStr">
        <is>
          <t>2026-08-01</t>
        </is>
      </c>
      <c r="S6" t="inlineStr">
        <is>
          <t>v2.0-CHÍNH THỨC</t>
        </is>
      </c>
      <c r="T6" t="inlineStr">
        <is>
          <t>🔒 ĐÃ KHÓA CỐ ĐỊNH (BẢO LƯU)</t>
        </is>
      </c>
    </row>
    <row r="7" ht="21.95" customHeight="1" s="75">
      <c r="A7" s="8" t="n">
        <v>4</v>
      </c>
      <c r="B7" s="9" t="inlineStr">
        <is>
          <t>Hải- Vinh Quảng Ninh</t>
        </is>
      </c>
      <c r="C7" s="9" t="inlineStr">
        <is>
          <t>Bộ rulo máy nghiền sơ cấp: Thân rô to (φ820x890)</t>
        </is>
      </c>
      <c r="D7" s="8" t="inlineStr">
        <is>
          <t>NC2</t>
        </is>
      </c>
      <c r="E7" s="9" t="inlineStr">
        <is>
          <t>G/c tiện thô &amp; bán tinh ngoài Ø820 / Ø690mm</t>
        </is>
      </c>
      <c r="F7" s="9" t="inlineStr">
        <is>
          <t>Máy tiện Tiện T1517</t>
        </is>
      </c>
      <c r="G7" s="31">
        <f>H7/60</f>
        <v/>
      </c>
      <c r="H7" s="11" t="n">
        <v>860</v>
      </c>
      <c r="I7" s="9" t="inlineStr">
        <is>
          <t>Chíp CNMG 160612 mác đúc hợp kim</t>
        </is>
      </c>
      <c r="J7" s="10" t="n">
        <v>4</v>
      </c>
      <c r="K7" s="32" t="n">
        <v>0.5</v>
      </c>
      <c r="L7" s="11" t="n">
        <v>160000</v>
      </c>
      <c r="M7" s="11">
        <f>(L7/J7)/K7</f>
        <v/>
      </c>
      <c r="N7" s="26" t="n">
        <v>1800000</v>
      </c>
      <c r="O7" s="11" t="n">
        <v>320000</v>
      </c>
      <c r="P7" s="11">
        <f>G7*O7</f>
        <v/>
      </c>
      <c r="Q7" s="27" t="inlineStr">
        <is>
          <t>Quản Đốc &amp; Ban Giám Đốc</t>
        </is>
      </c>
      <c r="R7" t="inlineStr">
        <is>
          <t>2026-08-01</t>
        </is>
      </c>
      <c r="S7" t="inlineStr">
        <is>
          <t>v2.0-CHÍNH THỨC</t>
        </is>
      </c>
      <c r="T7" t="inlineStr">
        <is>
          <t>🔒 ĐÃ KHÓA CỐ ĐỊNH (BẢO LƯU)</t>
        </is>
      </c>
    </row>
    <row r="8" ht="21.95" customHeight="1" s="75">
      <c r="A8" s="3" t="n">
        <v>5</v>
      </c>
      <c r="B8" s="4" t="inlineStr">
        <is>
          <t>Hải- Vinh Quảng Ninh</t>
        </is>
      </c>
      <c r="C8" s="4" t="inlineStr">
        <is>
          <t>Bộ rulo máy nghiền sơ cấp: Thân rô to (φ820x890)</t>
        </is>
      </c>
      <c r="D8" s="3" t="inlineStr">
        <is>
          <t>NC3</t>
        </is>
      </c>
      <c r="E8" s="4" t="inlineStr">
        <is>
          <t>G/c tiện tinh Ø570/220mm, bo cung R20</t>
        </is>
      </c>
      <c r="F8" s="4" t="inlineStr">
        <is>
          <t>Máy tiện Tiện T1516</t>
        </is>
      </c>
      <c r="G8" s="29">
        <f>H8/60</f>
        <v/>
      </c>
      <c r="H8" s="6" t="n">
        <v>240</v>
      </c>
      <c r="I8" s="4" t="inlineStr">
        <is>
          <t>Chíp R5 THREADEX - P3200</t>
        </is>
      </c>
      <c r="J8" s="5" t="n">
        <v>2</v>
      </c>
      <c r="K8" s="30" t="n">
        <v>1</v>
      </c>
      <c r="L8" s="6" t="n">
        <v>220000</v>
      </c>
      <c r="M8" s="6">
        <f>(L8/J8)/K8</f>
        <v/>
      </c>
      <c r="N8" s="26" t="n">
        <v>500000</v>
      </c>
      <c r="O8" s="6" t="n">
        <v>320000</v>
      </c>
      <c r="P8" s="6">
        <f>G8*O8</f>
        <v/>
      </c>
      <c r="Q8" s="27" t="inlineStr">
        <is>
          <t>Quản Đốc &amp; Ban Giám Đốc</t>
        </is>
      </c>
      <c r="R8" t="inlineStr">
        <is>
          <t>2026-08-01</t>
        </is>
      </c>
      <c r="S8" t="inlineStr">
        <is>
          <t>v2.0-CHÍNH THỨC</t>
        </is>
      </c>
      <c r="T8" t="inlineStr">
        <is>
          <t>🔒 ĐÃ KHÓA CỐ ĐỊNH (BẢO LƯU)</t>
        </is>
      </c>
    </row>
    <row r="9" ht="21.95" customHeight="1" s="75">
      <c r="A9" s="8" t="n">
        <v>6</v>
      </c>
      <c r="B9" s="9" t="inlineStr">
        <is>
          <t>Hải- Vinh Quảng Ninh</t>
        </is>
      </c>
      <c r="C9" s="9" t="inlineStr">
        <is>
          <t>Bộ rulo máy nghiền sơ cấp: Thân rô to (φ820x890)</t>
        </is>
      </c>
      <c r="D9" s="8" t="inlineStr">
        <is>
          <t>NC4</t>
        </is>
      </c>
      <c r="E9" s="9" t="inlineStr">
        <is>
          <t>G/c tiện tinh trục Ø220 (+0.1/-0)mm</t>
        </is>
      </c>
      <c r="F9" s="9" t="inlineStr">
        <is>
          <t>Máy tiện Tiện T1516</t>
        </is>
      </c>
      <c r="G9" s="31">
        <f>H9/60</f>
        <v/>
      </c>
      <c r="H9" s="11" t="n">
        <v>60</v>
      </c>
      <c r="I9" s="9" t="inlineStr">
        <is>
          <t>Chíp tiện tinh TNMG 160404 giảm chấn</t>
        </is>
      </c>
      <c r="J9" s="10" t="n">
        <v>6</v>
      </c>
      <c r="K9" s="32" t="n">
        <v>2</v>
      </c>
      <c r="L9" s="11" t="n">
        <v>110000</v>
      </c>
      <c r="M9" s="11">
        <f>(L9/J9)/K9</f>
        <v/>
      </c>
      <c r="N9" s="26" t="n">
        <v>150000</v>
      </c>
      <c r="O9" s="11" t="n">
        <v>320000</v>
      </c>
      <c r="P9" s="11">
        <f>G9*O9</f>
        <v/>
      </c>
      <c r="Q9" s="27" t="inlineStr">
        <is>
          <t>Quản Đốc &amp; Ban Giám Đốc</t>
        </is>
      </c>
      <c r="R9" t="inlineStr">
        <is>
          <t>2026-08-01</t>
        </is>
      </c>
      <c r="S9" t="inlineStr">
        <is>
          <t>v2.0-CHÍNH THỨC</t>
        </is>
      </c>
      <c r="T9" t="inlineStr">
        <is>
          <t>🔒 ĐÃ KHÓA CỐ ĐỊNH (BẢO LƯU)</t>
        </is>
      </c>
    </row>
    <row r="10" ht="21.95" customHeight="1" s="75">
      <c r="A10" s="3" t="n">
        <v>7</v>
      </c>
      <c r="B10" s="4" t="inlineStr">
        <is>
          <t>Hải- Vinh Quảng Ninh</t>
        </is>
      </c>
      <c r="C10" s="4" t="inlineStr">
        <is>
          <t>Bộ rulo máy nghiền sơ cấp: Thân rô to (φ820x890)</t>
        </is>
      </c>
      <c r="D10" s="3" t="inlineStr">
        <is>
          <t>NC5</t>
        </is>
      </c>
      <c r="E10" s="4" t="inlineStr">
        <is>
          <t>G/c tiện đầu đối diện Ø570/220mm đảo đầu</t>
        </is>
      </c>
      <c r="F10" s="4" t="inlineStr">
        <is>
          <t>Máy tiện Tiện T1516</t>
        </is>
      </c>
      <c r="G10" s="29">
        <f>H10/60</f>
        <v/>
      </c>
      <c r="H10" s="6" t="n">
        <v>240</v>
      </c>
      <c r="I10" s="4" t="inlineStr">
        <is>
          <t>Chíp R5 THREADEX - P3200</t>
        </is>
      </c>
      <c r="J10" s="5" t="n">
        <v>2</v>
      </c>
      <c r="K10" s="30" t="n">
        <v>1</v>
      </c>
      <c r="L10" s="6" t="n">
        <v>220000</v>
      </c>
      <c r="M10" s="6">
        <f>(L10/J10)/K10</f>
        <v/>
      </c>
      <c r="N10" s="26" t="n">
        <v>500000</v>
      </c>
      <c r="O10" s="6" t="n">
        <v>320000</v>
      </c>
      <c r="P10" s="6">
        <f>G10*O10</f>
        <v/>
      </c>
      <c r="Q10" s="27" t="inlineStr">
        <is>
          <t>Quản Đốc &amp; Ban Giám Đốc</t>
        </is>
      </c>
      <c r="R10" t="inlineStr">
        <is>
          <t>2026-08-01</t>
        </is>
      </c>
      <c r="S10" t="inlineStr">
        <is>
          <t>v2.0-CHÍNH THỨC</t>
        </is>
      </c>
      <c r="T10" t="inlineStr">
        <is>
          <t>🔒 ĐÃ KHÓA CỐ ĐỊNH (BẢO LƯU)</t>
        </is>
      </c>
    </row>
    <row r="11" ht="21.95" customHeight="1" s="75">
      <c r="A11" s="8" t="n">
        <v>8</v>
      </c>
      <c r="B11" s="9" t="inlineStr">
        <is>
          <t>Hải- Vinh Quảng Ninh</t>
        </is>
      </c>
      <c r="C11" s="9" t="inlineStr">
        <is>
          <t>Bộ rulo máy nghiền sơ cấp: Thân rô to (φ820x890)</t>
        </is>
      </c>
      <c r="D11" s="8" t="inlineStr">
        <is>
          <t>NC6</t>
        </is>
      </c>
      <c r="E11" s="9" t="inlineStr">
        <is>
          <t>G/c tiện trục đối diện Ø220 (+0.1/-0) đảo đầu</t>
        </is>
      </c>
      <c r="F11" s="9" t="inlineStr">
        <is>
          <t>Máy tiện Tiện T1516</t>
        </is>
      </c>
      <c r="G11" s="31">
        <f>H11/60</f>
        <v/>
      </c>
      <c r="H11" s="11" t="n">
        <v>60</v>
      </c>
      <c r="I11" s="9" t="inlineStr">
        <is>
          <t>Chíp tiện tinh TNMG 160404 giảm chấn</t>
        </is>
      </c>
      <c r="J11" s="10" t="n">
        <v>6</v>
      </c>
      <c r="K11" s="32" t="n">
        <v>2</v>
      </c>
      <c r="L11" s="11" t="n">
        <v>110000</v>
      </c>
      <c r="M11" s="11">
        <f>(L11/J11)/K11</f>
        <v/>
      </c>
      <c r="N11" s="26" t="n">
        <v>150000</v>
      </c>
      <c r="O11" s="11" t="n">
        <v>320000</v>
      </c>
      <c r="P11" s="11">
        <f>G11*O11</f>
        <v/>
      </c>
      <c r="Q11" s="27" t="inlineStr">
        <is>
          <t>Quản Đốc &amp; Ban Giám Đốc</t>
        </is>
      </c>
      <c r="R11" t="inlineStr">
        <is>
          <t>2026-08-01</t>
        </is>
      </c>
      <c r="S11" t="inlineStr">
        <is>
          <t>v2.0-CHÍNH THỨC</t>
        </is>
      </c>
      <c r="T11" t="inlineStr">
        <is>
          <t>🔒 ĐÃ KHÓA CỐ ĐỊNH (BẢO LƯU)</t>
        </is>
      </c>
    </row>
    <row r="12" ht="21.95" customHeight="1" s="75">
      <c r="A12" s="3" t="n">
        <v>9</v>
      </c>
      <c r="B12" s="4" t="inlineStr">
        <is>
          <t>Hải- Vinh Quảng Ninh</t>
        </is>
      </c>
      <c r="C12" s="4" t="inlineStr">
        <is>
          <t>Bộ rulo máy nghiền sơ cấp: Thân rô to (φ820x890)</t>
        </is>
      </c>
      <c r="D12" s="3" t="inlineStr">
        <is>
          <t>NC7</t>
        </is>
      </c>
      <c r="E12" s="4" t="inlineStr">
        <is>
          <t>G/c phay mp hoàn thiện 8 mặt x (690x80mm)</t>
        </is>
      </c>
      <c r="F12" s="4" t="inlineStr">
        <is>
          <t>Máy tiện Tiện T1522</t>
        </is>
      </c>
      <c r="G12" s="29">
        <f>H12/60</f>
        <v/>
      </c>
      <c r="H12" s="6" t="n">
        <v>225</v>
      </c>
      <c r="I12" s="4" t="inlineStr">
        <is>
          <t>Đài phay mặt chíp APMT 1604 PDER</t>
        </is>
      </c>
      <c r="J12" s="5" t="n">
        <v>2</v>
      </c>
      <c r="K12" s="30" t="n">
        <v>0.5</v>
      </c>
      <c r="L12" s="6" t="n">
        <v>95000</v>
      </c>
      <c r="M12" s="6">
        <f>(L12/J12)/K12</f>
        <v/>
      </c>
      <c r="N12" s="26" t="n">
        <v>450000</v>
      </c>
      <c r="O12" s="6" t="n">
        <v>320000</v>
      </c>
      <c r="P12" s="6">
        <f>G12*O12</f>
        <v/>
      </c>
      <c r="Q12" s="27" t="inlineStr">
        <is>
          <t>Quản Đốc &amp; Ban Giám Đốc</t>
        </is>
      </c>
      <c r="R12" t="inlineStr">
        <is>
          <t>2026-08-01</t>
        </is>
      </c>
      <c r="S12" t="inlineStr">
        <is>
          <t>v2.0-CHÍNH THỨC</t>
        </is>
      </c>
      <c r="T12" t="inlineStr">
        <is>
          <t>🔒 ĐÃ KHÓA CỐ ĐỊNH (BẢO LƯU)</t>
        </is>
      </c>
    </row>
    <row r="13" ht="21.95" customHeight="1" s="75">
      <c r="A13" s="8" t="n">
        <v>10</v>
      </c>
      <c r="B13" s="9" t="inlineStr">
        <is>
          <t>Hải- Vinh Quảng Ninh</t>
        </is>
      </c>
      <c r="C13" s="9" t="inlineStr">
        <is>
          <t>Bộ rulo máy nghiền sơ cấp: Thân rô to (φ820x890)</t>
        </is>
      </c>
      <c r="D13" s="8" t="inlineStr">
        <is>
          <t>NC8</t>
        </is>
      </c>
      <c r="E13" s="9" t="inlineStr">
        <is>
          <t>G/c khoan 40 lỗ x Ø22mm</t>
        </is>
      </c>
      <c r="F13" s="9" t="inlineStr">
        <is>
          <t>Máy Khoan cần Yoshida</t>
        </is>
      </c>
      <c r="G13" s="31">
        <f>H13/60</f>
        <v/>
      </c>
      <c r="H13" s="11" t="n">
        <v>450</v>
      </c>
      <c r="I13" s="9" t="inlineStr">
        <is>
          <t>Mũi khoan hợp kim gắn mảnh Ø22</t>
        </is>
      </c>
      <c r="J13" s="10" t="n">
        <v>2</v>
      </c>
      <c r="K13" s="32" t="n">
        <v>2</v>
      </c>
      <c r="L13" s="11" t="n">
        <v>650000</v>
      </c>
      <c r="M13" s="11">
        <f>(L13/J13)/K13</f>
        <v/>
      </c>
      <c r="N13" s="26" t="n">
        <v>650000</v>
      </c>
      <c r="O13" s="11" t="n">
        <v>130000</v>
      </c>
      <c r="P13" s="11">
        <f>G13*O13</f>
        <v/>
      </c>
      <c r="Q13" s="27" t="inlineStr">
        <is>
          <t>Quản Đốc &amp; Ban Giám Đốc</t>
        </is>
      </c>
      <c r="R13" t="inlineStr">
        <is>
          <t>2026-08-01</t>
        </is>
      </c>
      <c r="S13" t="inlineStr">
        <is>
          <t>v2.0-CHÍNH THỨC</t>
        </is>
      </c>
      <c r="T13" t="inlineStr">
        <is>
          <t>🔒 ĐÃ KHÓA CỐ ĐỊNH (BẢO LƯU)</t>
        </is>
      </c>
    </row>
    <row r="14" ht="21.95" customHeight="1" s="75">
      <c r="A14" s="3" t="n">
        <v>11</v>
      </c>
      <c r="B14" s="4" t="inlineStr">
        <is>
          <t>Hải- Vinh Quảng Ninh</t>
        </is>
      </c>
      <c r="C14" s="4" t="inlineStr">
        <is>
          <t>Bộ rulo máy nghiền sơ cấp: Thân rô to (φ820x890)</t>
        </is>
      </c>
      <c r="D14" s="3" t="inlineStr">
        <is>
          <t>NC9</t>
        </is>
      </c>
      <c r="E14" s="4" t="inlineStr">
        <is>
          <t>G/c khoan &amp; taro 12 lỗ ren M16 x 2.0</t>
        </is>
      </c>
      <c r="F14" s="4" t="inlineStr">
        <is>
          <t>Máy Khoan cần Yoshida</t>
        </is>
      </c>
      <c r="G14" s="29">
        <f>H14/60</f>
        <v/>
      </c>
      <c r="H14" s="6" t="n">
        <v>450</v>
      </c>
      <c r="I14" s="4" t="inlineStr">
        <is>
          <t>Mũi taro rãnh xoắn hợp kim M16</t>
        </is>
      </c>
      <c r="J14" s="5" t="n">
        <v>1</v>
      </c>
      <c r="K14" s="30" t="n">
        <v>5</v>
      </c>
      <c r="L14" s="6" t="n">
        <v>450000</v>
      </c>
      <c r="M14" s="6">
        <f>(L14/J14)/K14</f>
        <v/>
      </c>
      <c r="N14" s="26" t="n">
        <v>650000</v>
      </c>
      <c r="O14" s="6" t="n">
        <v>130000</v>
      </c>
      <c r="P14" s="6">
        <f>G14*O14</f>
        <v/>
      </c>
      <c r="Q14" s="27" t="inlineStr">
        <is>
          <t>Quản Đốc &amp; Ban Giám Đốc</t>
        </is>
      </c>
      <c r="R14" t="inlineStr">
        <is>
          <t>2026-08-01</t>
        </is>
      </c>
      <c r="S14" t="inlineStr">
        <is>
          <t>v2.0-CHÍNH THỨC</t>
        </is>
      </c>
      <c r="T14" t="inlineStr">
        <is>
          <t>🔒 ĐÃ KHÓA CỐ ĐỊNH (BẢO LƯU)</t>
        </is>
      </c>
    </row>
    <row r="15" ht="21.95" customHeight="1" s="75">
      <c r="A15" s="8" t="n">
        <v>12</v>
      </c>
      <c r="B15" s="9" t="inlineStr">
        <is>
          <t>Hải- Vinh Quảng Ninh</t>
        </is>
      </c>
      <c r="C15" s="9" t="inlineStr">
        <is>
          <t>Bộ rulo máy nghiền sơ cấp: Bích rulo (φ500x110) 1T</t>
        </is>
      </c>
      <c r="D15" s="8" t="inlineStr">
        <is>
          <t>NC1</t>
        </is>
      </c>
      <c r="E15" s="9" t="inlineStr">
        <is>
          <t>G/c tiện hoàn thiện ngoài Ø500/250mm</t>
        </is>
      </c>
      <c r="F15" s="9" t="inlineStr">
        <is>
          <t>Máy tiện FUJI</t>
        </is>
      </c>
      <c r="G15" s="31">
        <f>H15/60</f>
        <v/>
      </c>
      <c r="H15" s="11" t="n">
        <v>225</v>
      </c>
      <c r="I15" s="9" t="inlineStr">
        <is>
          <t>Dao tiện WNMG 080408</t>
        </is>
      </c>
      <c r="J15" s="10" t="n">
        <v>6</v>
      </c>
      <c r="K15" s="32" t="n">
        <v>1</v>
      </c>
      <c r="L15" s="11" t="n">
        <v>120000</v>
      </c>
      <c r="M15" s="11">
        <f>(L15/J15)/K15</f>
        <v/>
      </c>
      <c r="N15" s="26" t="n">
        <v>250000</v>
      </c>
      <c r="O15" s="11" t="n">
        <v>220000</v>
      </c>
      <c r="P15" s="11">
        <f>G15*O15</f>
        <v/>
      </c>
      <c r="Q15" s="27" t="inlineStr">
        <is>
          <t>Quản Đốc &amp; Ban Giám Đốc</t>
        </is>
      </c>
      <c r="R15" t="inlineStr">
        <is>
          <t>2026-08-01</t>
        </is>
      </c>
      <c r="S15" t="inlineStr">
        <is>
          <t>v2.0-CHÍNH THỨC</t>
        </is>
      </c>
      <c r="T15" t="inlineStr">
        <is>
          <t>🔒 ĐÃ KHÓA CỐ ĐỊNH (BẢO LƯU)</t>
        </is>
      </c>
    </row>
    <row r="16" ht="21.95" customHeight="1" s="75">
      <c r="A16" s="3" t="n">
        <v>13</v>
      </c>
      <c r="B16" s="4" t="inlineStr">
        <is>
          <t>Hải- Vinh Quảng Ninh</t>
        </is>
      </c>
      <c r="C16" s="4" t="inlineStr">
        <is>
          <t>Bộ rulo máy nghiền sơ cấp: Bích rulo (φ500x110) 1T</t>
        </is>
      </c>
      <c r="D16" s="3" t="inlineStr">
        <is>
          <t>NC2</t>
        </is>
      </c>
      <c r="E16" s="4" t="inlineStr">
        <is>
          <t>G/c tiện móc lỗ côn 9° Ø160/Ø220mm</t>
        </is>
      </c>
      <c r="F16" s="4" t="inlineStr">
        <is>
          <t>Máy tiện FUJI</t>
        </is>
      </c>
      <c r="G16" s="29">
        <f>H16/60</f>
        <v/>
      </c>
      <c r="H16" s="6" t="n">
        <v>225</v>
      </c>
      <c r="I16" s="4" t="inlineStr">
        <is>
          <t>Dao tiện lỗ trong TNMG 160408</t>
        </is>
      </c>
      <c r="J16" s="5" t="n">
        <v>6</v>
      </c>
      <c r="K16" s="30" t="n">
        <v>1</v>
      </c>
      <c r="L16" s="6" t="n">
        <v>110000</v>
      </c>
      <c r="M16" s="6">
        <f>(L16/J16)/K16</f>
        <v/>
      </c>
      <c r="N16" s="26" t="n">
        <v>250000</v>
      </c>
      <c r="O16" s="6" t="n">
        <v>220000</v>
      </c>
      <c r="P16" s="6">
        <f>G16*O16</f>
        <v/>
      </c>
      <c r="Q16" s="27" t="inlineStr">
        <is>
          <t>Quản Đốc &amp; Ban Giám Đốc</t>
        </is>
      </c>
      <c r="R16" t="inlineStr">
        <is>
          <t>2026-08-01</t>
        </is>
      </c>
      <c r="S16" t="inlineStr">
        <is>
          <t>v2.0-CHÍNH THỨC</t>
        </is>
      </c>
      <c r="T16" t="inlineStr">
        <is>
          <t>🔒 ĐÃ KHÓA CỐ ĐỊNH (BẢO LƯU)</t>
        </is>
      </c>
    </row>
    <row r="17" ht="21.95" customHeight="1" s="75">
      <c r="A17" s="8" t="n">
        <v>14</v>
      </c>
      <c r="B17" s="9" t="inlineStr">
        <is>
          <t>Hải- Vinh Quảng Ninh</t>
        </is>
      </c>
      <c r="C17" s="9" t="inlineStr">
        <is>
          <t>Bộ rulo máy nghiền sơ cấp: Bích rulo (φ500x110) 1T</t>
        </is>
      </c>
      <c r="D17" s="8" t="inlineStr">
        <is>
          <t>NC3</t>
        </is>
      </c>
      <c r="E17" s="9" t="inlineStr">
        <is>
          <t>G/c khoan 12-Ø17 / Ø25mm</t>
        </is>
      </c>
      <c r="F17" s="9" t="inlineStr">
        <is>
          <t>Máy Khoan cần Yoshida</t>
        </is>
      </c>
      <c r="G17" s="31">
        <f>H17/60</f>
        <v/>
      </c>
      <c r="H17" s="11" t="n">
        <v>120</v>
      </c>
      <c r="I17" s="9" t="inlineStr">
        <is>
          <t>Mũi khoan xoắn hợp kim Ø17/Ø25</t>
        </is>
      </c>
      <c r="J17" s="10" t="n">
        <v>2</v>
      </c>
      <c r="K17" s="32" t="n">
        <v>4</v>
      </c>
      <c r="L17" s="11" t="n">
        <v>320000</v>
      </c>
      <c r="M17" s="11">
        <f>(L17/J17)/K17</f>
        <v/>
      </c>
      <c r="N17" s="26" t="n">
        <v>180000</v>
      </c>
      <c r="O17" s="11" t="n">
        <v>130000</v>
      </c>
      <c r="P17" s="11">
        <f>G17*O17</f>
        <v/>
      </c>
      <c r="Q17" s="27" t="inlineStr">
        <is>
          <t>Quản Đốc &amp; Ban Giám Đốc</t>
        </is>
      </c>
      <c r="R17" t="inlineStr">
        <is>
          <t>2026-08-01</t>
        </is>
      </c>
      <c r="S17" t="inlineStr">
        <is>
          <t>v2.0-CHÍNH THỨC</t>
        </is>
      </c>
      <c r="T17" t="inlineStr">
        <is>
          <t>🔒 ĐÃ KHÓA CỐ ĐỊNH (BẢO LƯU)</t>
        </is>
      </c>
    </row>
    <row r="18" ht="21.95" customHeight="1" s="75">
      <c r="A18" s="3" t="n">
        <v>15</v>
      </c>
      <c r="B18" s="4" t="inlineStr">
        <is>
          <t>Hải- Vinh Quảng Ninh</t>
        </is>
      </c>
      <c r="C18" s="4" t="inlineStr">
        <is>
          <t>Bộ rulo máy nghiền sơ cấp: Bích rulo (φ500x110) 1T</t>
        </is>
      </c>
      <c r="D18" s="3" t="inlineStr">
        <is>
          <t>NC4</t>
        </is>
      </c>
      <c r="E18" s="4" t="inlineStr">
        <is>
          <t>G/c cắt dây cavet DK7745 rãnh 32mm</t>
        </is>
      </c>
      <c r="F18" s="4" t="inlineStr">
        <is>
          <t>Máy Cắt Dây DK7745</t>
        </is>
      </c>
      <c r="G18" s="29">
        <f>H18/60</f>
        <v/>
      </c>
      <c r="H18" s="6" t="n">
        <v>150</v>
      </c>
      <c r="I18" s="4" t="inlineStr">
        <is>
          <t>Dây cắt Molypden 0.18mm</t>
        </is>
      </c>
      <c r="J18" s="5" t="n">
        <v>1</v>
      </c>
      <c r="K18" s="30" t="n">
        <v>10</v>
      </c>
      <c r="L18" s="6" t="n">
        <v>120000</v>
      </c>
      <c r="M18" s="6">
        <f>(L18/J18)/K18</f>
        <v/>
      </c>
      <c r="N18" s="26" t="n">
        <v>150000</v>
      </c>
      <c r="O18" s="6" t="n">
        <v>110000</v>
      </c>
      <c r="P18" s="6">
        <f>G18*O18</f>
        <v/>
      </c>
      <c r="Q18" s="27" t="inlineStr">
        <is>
          <t>Quản Đốc &amp; Ban Giám Đốc</t>
        </is>
      </c>
      <c r="R18" t="inlineStr">
        <is>
          <t>2026-08-01</t>
        </is>
      </c>
      <c r="S18" t="inlineStr">
        <is>
          <t>v2.0-CHÍNH THỨC</t>
        </is>
      </c>
      <c r="T18" t="inlineStr">
        <is>
          <t>🔒 ĐÃ KHÓA CỐ ĐỊNH (BẢO LƯU)</t>
        </is>
      </c>
    </row>
    <row r="19" ht="21.95" customHeight="1" s="75">
      <c r="A19" s="8" t="n">
        <v>16</v>
      </c>
      <c r="B19" s="9" t="inlineStr">
        <is>
          <t>Win-Win</t>
        </is>
      </c>
      <c r="C19" s="9" t="inlineStr">
        <is>
          <t>Cánh xoắn vít đùn ISHIZUE 355Dw900</t>
        </is>
      </c>
      <c r="D19" s="8" t="inlineStr">
        <is>
          <t>NC1</t>
        </is>
      </c>
      <c r="E19" s="9" t="inlineStr">
        <is>
          <t>G/c tiện thô &amp; bán tinh biên dạng cánh xoắn đúc</t>
        </is>
      </c>
      <c r="F19" s="9" t="inlineStr">
        <is>
          <t>Máy tiện FUJI</t>
        </is>
      </c>
      <c r="G19" s="31">
        <f>H19/60</f>
        <v/>
      </c>
      <c r="H19" s="11" t="n">
        <v>180</v>
      </c>
      <c r="I19" s="9" t="inlineStr">
        <is>
          <t>Chíp R5 THREADEX - P3200</t>
        </is>
      </c>
      <c r="J19" s="10" t="n">
        <v>2</v>
      </c>
      <c r="K19" s="32" t="n">
        <v>0.5</v>
      </c>
      <c r="L19" s="11" t="n">
        <v>220000</v>
      </c>
      <c r="M19" s="11">
        <f>(L19/J19)/K19</f>
        <v/>
      </c>
      <c r="N19" s="26" t="n">
        <v>450000</v>
      </c>
      <c r="O19" s="11" t="n">
        <v>220000</v>
      </c>
      <c r="P19" s="11">
        <f>G19*O19</f>
        <v/>
      </c>
      <c r="Q19" s="27" t="inlineStr">
        <is>
          <t>Quản Đốc &amp; Ban Giám Đốc</t>
        </is>
      </c>
      <c r="R19" t="inlineStr">
        <is>
          <t>2026-08-01</t>
        </is>
      </c>
      <c r="S19" t="inlineStr">
        <is>
          <t>v2.0-CHÍNH THỨC</t>
        </is>
      </c>
      <c r="T19" t="inlineStr">
        <is>
          <t>🔒 ĐÃ KHÓA CỐ ĐỊNH (BẢO LƯU)</t>
        </is>
      </c>
    </row>
    <row r="20" ht="21.95" customHeight="1" s="75">
      <c r="A20" s="3" t="n">
        <v>17</v>
      </c>
      <c r="B20" s="4" t="inlineStr">
        <is>
          <t>Win-Win</t>
        </is>
      </c>
      <c r="C20" s="4" t="inlineStr">
        <is>
          <t>Cánh xoắn vít đùn ISHIZUE 355Dw900</t>
        </is>
      </c>
      <c r="D20" s="3" t="inlineStr">
        <is>
          <t>NC2</t>
        </is>
      </c>
      <c r="E20" s="4" t="inlineStr">
        <is>
          <t>G/c phay rãnh then cavet truyền động</t>
        </is>
      </c>
      <c r="F20" s="4" t="inlineStr">
        <is>
          <t>Máy Phay OKK3</t>
        </is>
      </c>
      <c r="G20" s="29">
        <f>H20/60</f>
        <v/>
      </c>
      <c r="H20" s="6" t="n">
        <v>90</v>
      </c>
      <c r="I20" s="4" t="inlineStr">
        <is>
          <t>Dao phay ngón Solid Carbide Ø20</t>
        </is>
      </c>
      <c r="J20" s="5" t="n">
        <v>4</v>
      </c>
      <c r="K20" s="30" t="n">
        <v>3</v>
      </c>
      <c r="L20" s="6" t="n">
        <v>320000</v>
      </c>
      <c r="M20" s="6">
        <f>(L20/J20)/K20</f>
        <v/>
      </c>
      <c r="N20" s="26" t="n">
        <v>250000</v>
      </c>
      <c r="O20" s="6" t="n">
        <v>250000</v>
      </c>
      <c r="P20" s="6">
        <f>G20*O20</f>
        <v/>
      </c>
      <c r="Q20" s="27" t="inlineStr">
        <is>
          <t>Quản Đốc &amp; Ban Giám Đốc</t>
        </is>
      </c>
      <c r="R20" t="inlineStr">
        <is>
          <t>2026-08-01</t>
        </is>
      </c>
      <c r="S20" t="inlineStr">
        <is>
          <t>v2.0-CHÍNH THỨC</t>
        </is>
      </c>
      <c r="T20" t="inlineStr">
        <is>
          <t>🔒 ĐÃ KHÓA CỐ ĐỊNH (BẢO LƯU)</t>
        </is>
      </c>
    </row>
    <row r="21" ht="21.95" customHeight="1" s="75">
      <c r="A21" s="8" t="n">
        <v>18</v>
      </c>
      <c r="B21" s="9" t="inlineStr">
        <is>
          <t>Win-Win</t>
        </is>
      </c>
      <c r="C21" s="9" t="inlineStr">
        <is>
          <t>Cánh xoắn vít đùn ISHIZUE 355Dw900</t>
        </is>
      </c>
      <c r="D21" s="8" t="inlineStr">
        <is>
          <t>NC3</t>
        </is>
      </c>
      <c r="E21" s="9" t="inlineStr">
        <is>
          <t>G/c tiện tinh hoàn thiện cánh xoắn &amp; vát mép</t>
        </is>
      </c>
      <c r="F21" s="9" t="inlineStr">
        <is>
          <t>Máy tiện FUJI</t>
        </is>
      </c>
      <c r="G21" s="31">
        <f>H21/60</f>
        <v/>
      </c>
      <c r="H21" s="11" t="n">
        <v>120</v>
      </c>
      <c r="I21" s="9" t="inlineStr">
        <is>
          <t>Chíp R5 THREADEX - P3200</t>
        </is>
      </c>
      <c r="J21" s="10" t="n">
        <v>2</v>
      </c>
      <c r="K21" s="32" t="n">
        <v>1</v>
      </c>
      <c r="L21" s="11" t="n">
        <v>220000</v>
      </c>
      <c r="M21" s="11">
        <f>(L21/J21)/K21</f>
        <v/>
      </c>
      <c r="N21" s="26" t="n">
        <v>350000</v>
      </c>
      <c r="O21" s="11" t="n">
        <v>220000</v>
      </c>
      <c r="P21" s="11">
        <f>G21*O21</f>
        <v/>
      </c>
      <c r="Q21" s="27" t="inlineStr">
        <is>
          <t>Quản Đốc &amp; Ban Giám Đốc</t>
        </is>
      </c>
      <c r="R21" t="inlineStr">
        <is>
          <t>2026-08-01</t>
        </is>
      </c>
      <c r="S21" t="inlineStr">
        <is>
          <t>v2.0-CHÍNH THỨC</t>
        </is>
      </c>
      <c r="T21" t="inlineStr">
        <is>
          <t>🔒 ĐÃ KHÓA CỐ ĐỊNH (BẢO LƯU)</t>
        </is>
      </c>
    </row>
    <row r="22" ht="21.95" customHeight="1" s="75">
      <c r="A22" s="3" t="n">
        <v>19</v>
      </c>
      <c r="B22" s="4" t="inlineStr">
        <is>
          <t>Win-Win</t>
        </is>
      </c>
      <c r="C22" s="4" t="inlineStr">
        <is>
          <t>Cánh xoắn vít đùn ISHIZUE 114Dw300</t>
        </is>
      </c>
      <c r="D22" s="3" t="inlineStr">
        <is>
          <t>NC1</t>
        </is>
      </c>
      <c r="E22" s="4" t="inlineStr">
        <is>
          <t>G/c tiện hoàn thiện toàn bộ biên dạng cánh</t>
        </is>
      </c>
      <c r="F22" s="4" t="inlineStr">
        <is>
          <t>Máy tiện OKUMA</t>
        </is>
      </c>
      <c r="G22" s="29" t="n">
        <v>0.24</v>
      </c>
      <c r="H22" s="6" t="n">
        <v>14.5</v>
      </c>
      <c r="I22" s="4" t="inlineStr">
        <is>
          <t>Chíp R5 THREADEX - P3200</t>
        </is>
      </c>
      <c r="J22" s="5" t="n">
        <v>2</v>
      </c>
      <c r="K22" s="30" t="n">
        <v>2</v>
      </c>
      <c r="L22" s="6" t="n">
        <v>220000</v>
      </c>
      <c r="M22" s="6">
        <f>(L22/J22)/K22</f>
        <v/>
      </c>
      <c r="N22" s="26" t="n">
        <v>83700</v>
      </c>
      <c r="O22" s="6" t="n">
        <v>220000</v>
      </c>
      <c r="P22" s="6">
        <f>G22*O22</f>
        <v/>
      </c>
      <c r="Q22" s="27" t="inlineStr">
        <is>
          <t>Quản Đốc &amp; Ban Giám Đốc</t>
        </is>
      </c>
      <c r="R22" t="inlineStr">
        <is>
          <t>2026-08-01</t>
        </is>
      </c>
      <c r="S22" t="inlineStr">
        <is>
          <t>v2.0-CHÍNH THỨC</t>
        </is>
      </c>
      <c r="T22" t="inlineStr">
        <is>
          <t>🔒 ĐÃ KHÓA CỐ ĐỊNH (BẢO LƯU)</t>
        </is>
      </c>
    </row>
    <row r="23" ht="21.95" customHeight="1" s="75">
      <c r="A23" s="8" t="n">
        <v>20</v>
      </c>
      <c r="B23" s="9" t="inlineStr">
        <is>
          <t>Thyssen</t>
        </is>
      </c>
      <c r="C23" s="9" t="inlineStr">
        <is>
          <t>Sealing strip, below</t>
        </is>
      </c>
      <c r="D23" s="8" t="inlineStr">
        <is>
          <t>NC1</t>
        </is>
      </c>
      <c r="E23" s="9" t="inlineStr">
        <is>
          <t>G/c phay mặt phẳng NC1 kích thước 47mm</t>
        </is>
      </c>
      <c r="F23" s="9" t="inlineStr">
        <is>
          <t>Máy Phay OKK3</t>
        </is>
      </c>
      <c r="G23" s="31">
        <f>H23/60</f>
        <v/>
      </c>
      <c r="H23" s="11" t="n">
        <v>45</v>
      </c>
      <c r="I23" s="9" t="inlineStr">
        <is>
          <t>Chíp Pramet 6 cạnh (HNGX 0906)</t>
        </is>
      </c>
      <c r="J23" s="10" t="n">
        <v>6</v>
      </c>
      <c r="K23" s="32" t="n">
        <v>3</v>
      </c>
      <c r="L23" s="11" t="n">
        <v>140000</v>
      </c>
      <c r="M23" s="11">
        <f>(L23/J23)/K23</f>
        <v/>
      </c>
      <c r="N23" s="26" t="n">
        <v>37200</v>
      </c>
      <c r="O23" s="11" t="n">
        <v>250000</v>
      </c>
      <c r="P23" s="11">
        <f>G23*O23</f>
        <v/>
      </c>
      <c r="Q23" s="27" t="inlineStr">
        <is>
          <t>Quản Đốc &amp; Ban Giám Đốc</t>
        </is>
      </c>
      <c r="R23" t="inlineStr">
        <is>
          <t>2026-08-01</t>
        </is>
      </c>
      <c r="S23" t="inlineStr">
        <is>
          <t>v2.0-CHÍNH THỨC</t>
        </is>
      </c>
      <c r="T23" t="inlineStr">
        <is>
          <t>🔒 ĐÃ KHÓA CỐ ĐỊNH (BẢO LƯU)</t>
        </is>
      </c>
    </row>
    <row r="24" ht="21.95" customHeight="1" s="75">
      <c r="A24" s="3" t="n">
        <v>21</v>
      </c>
      <c r="B24" s="4" t="inlineStr">
        <is>
          <t>Thyssen</t>
        </is>
      </c>
      <c r="C24" s="4" t="inlineStr">
        <is>
          <t>Sealing strip, below</t>
        </is>
      </c>
      <c r="D24" s="3" t="inlineStr">
        <is>
          <t>NC2</t>
        </is>
      </c>
      <c r="E24" s="4" t="inlineStr">
        <is>
          <t>G/c phay mặt phẳng NC2 kích thước 95mm</t>
        </is>
      </c>
      <c r="F24" s="4" t="inlineStr">
        <is>
          <t>Máy Phay OKK1</t>
        </is>
      </c>
      <c r="G24" s="29">
        <f>H24/60</f>
        <v/>
      </c>
      <c r="H24" s="6" t="n">
        <v>50</v>
      </c>
      <c r="I24" s="4" t="inlineStr">
        <is>
          <t>Chíp APMT 1604 PDER - Pramet</t>
        </is>
      </c>
      <c r="J24" s="5" t="n">
        <v>2</v>
      </c>
      <c r="K24" s="30" t="n">
        <v>2</v>
      </c>
      <c r="L24" s="6" t="n">
        <v>95000</v>
      </c>
      <c r="M24" s="6">
        <f>(L24/J24)/K24</f>
        <v/>
      </c>
      <c r="N24" s="26" t="n">
        <v>37200</v>
      </c>
      <c r="O24" s="6" t="n">
        <v>250000</v>
      </c>
      <c r="P24" s="6">
        <f>G24*O24</f>
        <v/>
      </c>
      <c r="Q24" s="27" t="inlineStr">
        <is>
          <t>Quản Đốc &amp; Ban Giám Đốc</t>
        </is>
      </c>
      <c r="R24" t="inlineStr">
        <is>
          <t>2026-08-01</t>
        </is>
      </c>
      <c r="S24" t="inlineStr">
        <is>
          <t>v2.0-CHÍNH THỨC</t>
        </is>
      </c>
      <c r="T24" t="inlineStr">
        <is>
          <t>🔒 ĐÃ KHÓA CỐ ĐỊNH (BẢO LƯU)</t>
        </is>
      </c>
    </row>
    <row r="25" ht="21.95" customHeight="1" s="75">
      <c r="A25" s="8" t="n">
        <v>22</v>
      </c>
      <c r="B25" s="9" t="inlineStr">
        <is>
          <t>Thyssen</t>
        </is>
      </c>
      <c r="C25" s="9" t="inlineStr">
        <is>
          <t>Sealing strip, below</t>
        </is>
      </c>
      <c r="D25" s="8" t="inlineStr">
        <is>
          <t>NC3</t>
        </is>
      </c>
      <c r="E25" s="9" t="inlineStr">
        <is>
          <t>G/c phay cạnh NC3 kích thước 12mm</t>
        </is>
      </c>
      <c r="F25" s="9" t="inlineStr">
        <is>
          <t>Máy Phay OKK1</t>
        </is>
      </c>
      <c r="G25" s="31">
        <f>H25/60</f>
        <v/>
      </c>
      <c r="H25" s="11" t="n">
        <v>35</v>
      </c>
      <c r="I25" s="9" t="inlineStr">
        <is>
          <t>Dao phay ngón Solid Carbide Ø12</t>
        </is>
      </c>
      <c r="J25" s="10" t="n">
        <v>4</v>
      </c>
      <c r="K25" s="32" t="n">
        <v>8</v>
      </c>
      <c r="L25" s="11" t="n">
        <v>380000</v>
      </c>
      <c r="M25" s="11">
        <f>(L25/J25)/K25</f>
        <v/>
      </c>
      <c r="N25" s="26" t="n">
        <v>45000</v>
      </c>
      <c r="O25" s="11" t="n">
        <v>250000</v>
      </c>
      <c r="P25" s="11">
        <f>G25*O25</f>
        <v/>
      </c>
      <c r="Q25" s="27" t="inlineStr">
        <is>
          <t>Quản Đốc &amp; Ban Giám Đốc</t>
        </is>
      </c>
      <c r="R25" t="inlineStr">
        <is>
          <t>2026-08-01</t>
        </is>
      </c>
      <c r="S25" t="inlineStr">
        <is>
          <t>v2.0-CHÍNH THỨC</t>
        </is>
      </c>
      <c r="T25" t="inlineStr">
        <is>
          <t>🔒 ĐÃ KHÓA CỐ ĐỊNH (BẢO LƯU)</t>
        </is>
      </c>
    </row>
    <row r="26" ht="21.95" customHeight="1" s="75">
      <c r="A26" s="3" t="n">
        <v>23</v>
      </c>
      <c r="B26" s="4" t="inlineStr">
        <is>
          <t>Thyssen</t>
        </is>
      </c>
      <c r="C26" s="4" t="inlineStr">
        <is>
          <t>Sealing strip, below</t>
        </is>
      </c>
      <c r="D26" s="3" t="inlineStr">
        <is>
          <t>NC4</t>
        </is>
      </c>
      <c r="E26" s="4" t="inlineStr">
        <is>
          <t>G/c khoan lỗ phi 14 / 2 lỗ</t>
        </is>
      </c>
      <c r="F26" s="4" t="inlineStr">
        <is>
          <t>Máy Khoan cần Yoshida</t>
        </is>
      </c>
      <c r="G26" s="29" t="n">
        <v>0.27</v>
      </c>
      <c r="H26" s="6" t="n">
        <v>16</v>
      </c>
      <c r="I26" s="4" t="inlineStr">
        <is>
          <t>Mũi khoan hợp kim Ø14</t>
        </is>
      </c>
      <c r="J26" s="5" t="n">
        <v>2</v>
      </c>
      <c r="K26" s="30" t="n">
        <v>10</v>
      </c>
      <c r="L26" s="6" t="n">
        <v>280000</v>
      </c>
      <c r="M26" s="6">
        <f>(L26/J26)/K26</f>
        <v/>
      </c>
      <c r="N26" s="26" t="n">
        <v>26148</v>
      </c>
      <c r="O26" s="6" t="n">
        <v>130000</v>
      </c>
      <c r="P26" s="6">
        <f>G26*O26</f>
        <v/>
      </c>
      <c r="Q26" s="27" t="inlineStr">
        <is>
          <t>Quản Đốc &amp; Ban Giám Đốc</t>
        </is>
      </c>
      <c r="R26" t="inlineStr">
        <is>
          <t>2026-08-01</t>
        </is>
      </c>
      <c r="S26" t="inlineStr">
        <is>
          <t>v2.0-CHÍNH THỨC</t>
        </is>
      </c>
      <c r="T26" t="inlineStr">
        <is>
          <t>🔒 ĐÃ KHÓA CỐ ĐỊNH (BẢO LƯU)</t>
        </is>
      </c>
    </row>
    <row r="27" ht="21.95" customHeight="1" s="75">
      <c r="A27" s="8" t="n">
        <v>24</v>
      </c>
      <c r="B27" s="9" t="inlineStr">
        <is>
          <t>Thyssen</t>
        </is>
      </c>
      <c r="C27" s="9" t="inlineStr">
        <is>
          <t>Sealing strip, above</t>
        </is>
      </c>
      <c r="D27" s="8" t="inlineStr">
        <is>
          <t>NC1</t>
        </is>
      </c>
      <c r="E27" s="9" t="inlineStr">
        <is>
          <t>G/c phay mặt phẳng NC1 kích thước 95mm</t>
        </is>
      </c>
      <c r="F27" s="9" t="inlineStr">
        <is>
          <t>Máy Phay OKK3</t>
        </is>
      </c>
      <c r="G27" s="31">
        <f>H27/60</f>
        <v/>
      </c>
      <c r="H27" s="11" t="n">
        <v>45</v>
      </c>
      <c r="I27" s="9" t="inlineStr">
        <is>
          <t>Chíp Pramet 6 cạnh (HNGX 0906)</t>
        </is>
      </c>
      <c r="J27" s="10" t="n">
        <v>6</v>
      </c>
      <c r="K27" s="32" t="n">
        <v>3</v>
      </c>
      <c r="L27" s="11" t="n">
        <v>140000</v>
      </c>
      <c r="M27" s="11">
        <f>(L27/J27)/K27</f>
        <v/>
      </c>
      <c r="N27" s="26" t="n">
        <v>37200</v>
      </c>
      <c r="O27" s="11" t="n">
        <v>250000</v>
      </c>
      <c r="P27" s="11">
        <f>G27*O27</f>
        <v/>
      </c>
      <c r="Q27" s="27" t="inlineStr">
        <is>
          <t>Quản Đốc &amp; Ban Giám Đốc</t>
        </is>
      </c>
      <c r="R27" t="inlineStr">
        <is>
          <t>2026-08-01</t>
        </is>
      </c>
      <c r="S27" t="inlineStr">
        <is>
          <t>v2.0-CHÍNH THỨC</t>
        </is>
      </c>
      <c r="T27" t="inlineStr">
        <is>
          <t>🔒 ĐÃ KHÓA CỐ ĐỊNH (BẢO LƯU)</t>
        </is>
      </c>
    </row>
    <row r="28" ht="21.95" customHeight="1" s="75">
      <c r="A28" s="3" t="n">
        <v>25</v>
      </c>
      <c r="B28" s="4" t="inlineStr">
        <is>
          <t>Thyssen</t>
        </is>
      </c>
      <c r="C28" s="4" t="inlineStr">
        <is>
          <t>Sealing strip, above</t>
        </is>
      </c>
      <c r="D28" s="3" t="inlineStr">
        <is>
          <t>NC2</t>
        </is>
      </c>
      <c r="E28" s="4" t="inlineStr">
        <is>
          <t>G/c phay mặt phẳng NC2 kích thước 412mm</t>
        </is>
      </c>
      <c r="F28" s="4" t="inlineStr">
        <is>
          <t>Máy Phay OKK2</t>
        </is>
      </c>
      <c r="G28" s="29" t="n">
        <v>0.6</v>
      </c>
      <c r="H28" s="6" t="n">
        <v>36</v>
      </c>
      <c r="I28" s="4" t="inlineStr">
        <is>
          <t>Chíp APMT 1604 PDER - Pramet</t>
        </is>
      </c>
      <c r="J28" s="5" t="n">
        <v>2</v>
      </c>
      <c r="K28" s="30" t="n">
        <v>1.5</v>
      </c>
      <c r="L28" s="6" t="n">
        <v>95000</v>
      </c>
      <c r="M28" s="6">
        <f>(L28/J28)/K28</f>
        <v/>
      </c>
      <c r="N28" s="26" t="n">
        <v>45000</v>
      </c>
      <c r="O28" s="6" t="n">
        <v>250000</v>
      </c>
      <c r="P28" s="6">
        <f>G28*O28</f>
        <v/>
      </c>
      <c r="Q28" s="27" t="inlineStr">
        <is>
          <t>Quản Đốc &amp; Ban Giám Đốc</t>
        </is>
      </c>
      <c r="R28" t="inlineStr">
        <is>
          <t>2026-08-01</t>
        </is>
      </c>
      <c r="S28" t="inlineStr">
        <is>
          <t>v2.0-CHÍNH THỨC</t>
        </is>
      </c>
      <c r="T28" t="inlineStr">
        <is>
          <t>🔒 ĐÃ KHÓA CỐ ĐỊNH (BẢO LƯU)</t>
        </is>
      </c>
    </row>
    <row r="29" ht="21.95" customHeight="1" s="75">
      <c r="A29" s="8" t="n">
        <v>26</v>
      </c>
      <c r="B29" s="9" t="inlineStr">
        <is>
          <t>Thyssen</t>
        </is>
      </c>
      <c r="C29" s="9" t="inlineStr">
        <is>
          <t>Sealing strip, above</t>
        </is>
      </c>
      <c r="D29" s="8" t="inlineStr">
        <is>
          <t>NC3</t>
        </is>
      </c>
      <c r="E29" s="9" t="inlineStr">
        <is>
          <t>G/c phay mặt phẳng NC3 kích thước 412mm còn lại</t>
        </is>
      </c>
      <c r="F29" s="9" t="inlineStr">
        <is>
          <t>Máy Phay OKK2</t>
        </is>
      </c>
      <c r="G29" s="31" t="n">
        <v>0.6</v>
      </c>
      <c r="H29" s="11" t="n">
        <v>36</v>
      </c>
      <c r="I29" s="9" t="inlineStr">
        <is>
          <t>Chíp APMT 1604 PDER - Pramet</t>
        </is>
      </c>
      <c r="J29" s="10" t="n">
        <v>2</v>
      </c>
      <c r="K29" s="32" t="n">
        <v>1.5</v>
      </c>
      <c r="L29" s="11" t="n">
        <v>95000</v>
      </c>
      <c r="M29" s="11">
        <f>(L29/J29)/K29</f>
        <v/>
      </c>
      <c r="N29" s="26" t="n">
        <v>45000</v>
      </c>
      <c r="O29" s="11" t="n">
        <v>250000</v>
      </c>
      <c r="P29" s="11">
        <f>G29*O29</f>
        <v/>
      </c>
      <c r="Q29" s="27" t="inlineStr">
        <is>
          <t>Quản Đốc &amp; Ban Giám Đốc</t>
        </is>
      </c>
      <c r="R29" t="inlineStr">
        <is>
          <t>2026-08-01</t>
        </is>
      </c>
      <c r="S29" t="inlineStr">
        <is>
          <t>v2.0-CHÍNH THỨC</t>
        </is>
      </c>
      <c r="T29" t="inlineStr">
        <is>
          <t>🔒 ĐÃ KHÓA CỐ ĐỊNH (BẢO LƯU)</t>
        </is>
      </c>
    </row>
    <row r="30" ht="21.95" customHeight="1" s="75">
      <c r="A30" s="3" t="n">
        <v>27</v>
      </c>
      <c r="B30" s="4" t="inlineStr">
        <is>
          <t>Luợng- KS Tường Long</t>
        </is>
      </c>
      <c r="C30" s="4" t="inlineStr">
        <is>
          <t>Ốp dao nhào trên (Bộ bên trái)</t>
        </is>
      </c>
      <c r="D30" s="3" t="inlineStr">
        <is>
          <t>NC1</t>
        </is>
      </c>
      <c r="E30" s="4" t="inlineStr">
        <is>
          <t>G/c cắt dây định hình biên dạng đúc</t>
        </is>
      </c>
      <c r="F30" s="4" t="inlineStr">
        <is>
          <t>Máy Cắt Dây DK7745</t>
        </is>
      </c>
      <c r="G30" s="29">
        <f>H30/60</f>
        <v/>
      </c>
      <c r="H30" s="6" t="n">
        <v>150</v>
      </c>
      <c r="I30" s="4" t="inlineStr">
        <is>
          <t>Dây cắt Molypden 0.18mm</t>
        </is>
      </c>
      <c r="J30" s="5" t="n">
        <v>1</v>
      </c>
      <c r="K30" s="30" t="n">
        <v>5</v>
      </c>
      <c r="L30" s="6" t="n">
        <v>120000</v>
      </c>
      <c r="M30" s="6">
        <f>(L30/J30)/K30</f>
        <v/>
      </c>
      <c r="N30" s="26" t="n">
        <v>148800</v>
      </c>
      <c r="O30" s="6" t="n">
        <v>110000</v>
      </c>
      <c r="P30" s="6">
        <f>G30*O30</f>
        <v/>
      </c>
      <c r="Q30" s="27" t="inlineStr">
        <is>
          <t>Quản Đốc &amp; Ban Giám Đốc</t>
        </is>
      </c>
      <c r="R30" t="inlineStr">
        <is>
          <t>2026-08-01</t>
        </is>
      </c>
      <c r="S30" t="inlineStr">
        <is>
          <t>v2.0-CHÍNH THỨC</t>
        </is>
      </c>
      <c r="T30" t="inlineStr">
        <is>
          <t>🔒 ĐÃ KHÓA CỐ ĐỊNH (BẢO LƯU)</t>
        </is>
      </c>
    </row>
    <row r="31" ht="21.95" customHeight="1" s="75">
      <c r="A31" s="8" t="n">
        <v>28</v>
      </c>
      <c r="B31" s="9" t="inlineStr">
        <is>
          <t>Luợng- KS Tường Long</t>
        </is>
      </c>
      <c r="C31" s="9" t="inlineStr">
        <is>
          <t>Ốp dao nhào trên (Bộ bên trái)</t>
        </is>
      </c>
      <c r="D31" s="8" t="inlineStr">
        <is>
          <t>NC2</t>
        </is>
      </c>
      <c r="E31" s="9" t="inlineStr">
        <is>
          <t>G/c khoan &amp; taro ren M14</t>
        </is>
      </c>
      <c r="F31" s="9" t="inlineStr">
        <is>
          <t>Máy Khoan cần Yoshida</t>
        </is>
      </c>
      <c r="G31" s="31" t="n">
        <v>0.27</v>
      </c>
      <c r="H31" s="11" t="n">
        <v>16</v>
      </c>
      <c r="I31" s="9" t="inlineStr">
        <is>
          <t>Mũi taro rãnh xoắn M14</t>
        </is>
      </c>
      <c r="J31" s="10" t="n">
        <v>1</v>
      </c>
      <c r="K31" s="32" t="n">
        <v>8</v>
      </c>
      <c r="L31" s="11" t="n">
        <v>320000</v>
      </c>
      <c r="M31" s="11">
        <f>(L31/J31)/K31</f>
        <v/>
      </c>
      <c r="N31" s="26" t="n">
        <v>63767</v>
      </c>
      <c r="O31" s="11" t="n">
        <v>130000</v>
      </c>
      <c r="P31" s="11">
        <f>G31*O31</f>
        <v/>
      </c>
      <c r="Q31" s="27" t="inlineStr">
        <is>
          <t>Quản Đốc &amp; Ban Giám Đốc</t>
        </is>
      </c>
      <c r="R31" t="inlineStr">
        <is>
          <t>2026-08-01</t>
        </is>
      </c>
      <c r="S31" t="inlineStr">
        <is>
          <t>v2.0-CHÍNH THỨC</t>
        </is>
      </c>
      <c r="T31" t="inlineStr">
        <is>
          <t>🔒 ĐÃ KHÓA CỐ ĐỊNH (BẢO LƯU)</t>
        </is>
      </c>
    </row>
    <row r="32" ht="21.95" customHeight="1" s="75">
      <c r="A32" s="3" t="n">
        <v>29</v>
      </c>
      <c r="B32" s="4" t="inlineStr">
        <is>
          <t>UCC</t>
        </is>
      </c>
      <c r="C32" s="4" t="inlineStr">
        <is>
          <t>Khuôn gá xích POWER</t>
        </is>
      </c>
      <c r="D32" s="3" t="inlineStr">
        <is>
          <t>NC1</t>
        </is>
      </c>
      <c r="E32" s="4" t="inlineStr">
        <is>
          <t>G/c phay phá thô hốc khuôn gá</t>
        </is>
      </c>
      <c r="F32" s="4" t="inlineStr">
        <is>
          <t>Máy Phay CNC1</t>
        </is>
      </c>
      <c r="G32" s="29">
        <f>H32/60</f>
        <v/>
      </c>
      <c r="H32" s="6" t="n">
        <v>120</v>
      </c>
      <c r="I32" s="4" t="inlineStr">
        <is>
          <t>Đài phay gắn mảnh APMT 1604</t>
        </is>
      </c>
      <c r="J32" s="5" t="n">
        <v>2</v>
      </c>
      <c r="K32" s="30" t="n">
        <v>1</v>
      </c>
      <c r="L32" s="6" t="n">
        <v>95000</v>
      </c>
      <c r="M32" s="6">
        <f>(L32/J32)/K32</f>
        <v/>
      </c>
      <c r="N32" s="26" t="n">
        <v>150000</v>
      </c>
      <c r="O32" s="6" t="n">
        <v>220000</v>
      </c>
      <c r="P32" s="6">
        <f>G32*O32</f>
        <v/>
      </c>
      <c r="Q32" s="27" t="inlineStr">
        <is>
          <t>Quản Đốc &amp; Ban Giám Đốc</t>
        </is>
      </c>
      <c r="R32" t="inlineStr">
        <is>
          <t>2026-08-01</t>
        </is>
      </c>
      <c r="S32" t="inlineStr">
        <is>
          <t>v2.0-CHÍNH THỨC</t>
        </is>
      </c>
      <c r="T32" t="inlineStr">
        <is>
          <t>🔒 ĐÃ KHÓA CỐ ĐỊNH (BẢO LƯU)</t>
        </is>
      </c>
    </row>
    <row r="33" ht="21.95" customHeight="1" s="75">
      <c r="A33" s="8" t="n">
        <v>30</v>
      </c>
      <c r="B33" s="9" t="inlineStr">
        <is>
          <t>UCC</t>
        </is>
      </c>
      <c r="C33" s="9" t="inlineStr">
        <is>
          <t>Khuôn gá xích POWER</t>
        </is>
      </c>
      <c r="D33" s="8" t="inlineStr">
        <is>
          <t>NC2</t>
        </is>
      </c>
      <c r="E33" s="9" t="inlineStr">
        <is>
          <t>G/c phay tinh biên dạng sau tôi</t>
        </is>
      </c>
      <c r="F33" s="9" t="inlineStr">
        <is>
          <t>Máy Phay CNC2</t>
        </is>
      </c>
      <c r="G33" s="31">
        <f>H33/60</f>
        <v/>
      </c>
      <c r="H33" s="11" t="n">
        <v>150</v>
      </c>
      <c r="I33" s="9" t="inlineStr">
        <is>
          <t>Mảnh phay CBN gia công thép tôi</t>
        </is>
      </c>
      <c r="J33" s="10" t="n">
        <v>2</v>
      </c>
      <c r="K33" s="32" t="n">
        <v>0.5</v>
      </c>
      <c r="L33" s="11" t="n">
        <v>450000</v>
      </c>
      <c r="M33" s="11">
        <f>(L33/J33)/K33</f>
        <v/>
      </c>
      <c r="N33" s="26" t="n">
        <v>250000</v>
      </c>
      <c r="O33" s="11" t="n">
        <v>220000</v>
      </c>
      <c r="P33" s="11">
        <f>G33*O33</f>
        <v/>
      </c>
      <c r="Q33" s="27" t="inlineStr">
        <is>
          <t>Quản Đốc &amp; Ban Giám Đốc</t>
        </is>
      </c>
      <c r="R33" t="inlineStr">
        <is>
          <t>2026-08-01</t>
        </is>
      </c>
      <c r="S33" t="inlineStr">
        <is>
          <t>v2.0-CHÍNH THỨC</t>
        </is>
      </c>
      <c r="T33" t="inlineStr">
        <is>
          <t>🔒 ĐÃ KHÓA CỐ ĐỊNH (BẢO LƯU)</t>
        </is>
      </c>
    </row>
    <row r="34" ht="21.95" customHeight="1" s="75">
      <c r="A34" s="3" t="n">
        <v>31</v>
      </c>
      <c r="B34" s="4" t="inlineStr">
        <is>
          <t>Vico- QLTB</t>
        </is>
      </c>
      <c r="C34" s="4" t="inlineStr">
        <is>
          <t>Mẫu Thử CR &amp; hàng #</t>
        </is>
      </c>
      <c r="D34" s="3" t="inlineStr">
        <is>
          <t>NC1</t>
        </is>
      </c>
      <c r="E34" s="4" t="inlineStr">
        <is>
          <t>G/c tiện hoàn thiện mẫu thử ASTM</t>
        </is>
      </c>
      <c r="F34" s="4" t="inlineStr">
        <is>
          <t>Máy tiện FUJI</t>
        </is>
      </c>
      <c r="G34" s="29">
        <f>H34/60</f>
        <v/>
      </c>
      <c r="H34" s="6" t="n">
        <v>40</v>
      </c>
      <c r="I34" s="4" t="inlineStr">
        <is>
          <t>Dao tiện tinh TNMG 160404</t>
        </is>
      </c>
      <c r="J34" s="5" t="n">
        <v>6</v>
      </c>
      <c r="K34" s="30" t="n">
        <v>5</v>
      </c>
      <c r="L34" s="6" t="n">
        <v>110000</v>
      </c>
      <c r="M34" s="6">
        <f>(L34/J34)/K34</f>
        <v/>
      </c>
      <c r="N34" s="26" t="n">
        <v>79483</v>
      </c>
      <c r="O34" s="6" t="n">
        <v>220000</v>
      </c>
      <c r="P34" s="6">
        <f>G34*O34</f>
        <v/>
      </c>
      <c r="Q34" s="27" t="inlineStr">
        <is>
          <t>Quản Đốc &amp; Ban Giám Đốc</t>
        </is>
      </c>
      <c r="R34" t="inlineStr">
        <is>
          <t>2026-08-01</t>
        </is>
      </c>
      <c r="S34" t="inlineStr">
        <is>
          <t>v2.0-CHÍNH THỨC</t>
        </is>
      </c>
      <c r="T34" t="inlineStr">
        <is>
          <t>🔒 ĐÃ KHÓA CỐ ĐỊNH (BẢO LƯU)</t>
        </is>
      </c>
    </row>
    <row r="35">
      <c r="A35" t="n">
        <v>32</v>
      </c>
      <c r="B35" t="inlineStr">
        <is>
          <t>Thyssen</t>
        </is>
      </c>
      <c r="C35" t="inlineStr">
        <is>
          <t>Sealing strip, above</t>
        </is>
      </c>
      <c r="D35" t="inlineStr">
        <is>
          <t>NC4</t>
        </is>
      </c>
      <c r="E35" t="inlineStr">
        <is>
          <t>G/c khoan lỗ phi 14</t>
        </is>
      </c>
      <c r="F35" t="inlineStr">
        <is>
          <t>Máy Khoan cần Yoshida</t>
        </is>
      </c>
      <c r="G35" t="n">
        <v>0.27</v>
      </c>
      <c r="H35" t="n">
        <v>16</v>
      </c>
      <c r="I35" t="inlineStr">
        <is>
          <t>Mũi khoan hợp kim Ø14</t>
        </is>
      </c>
      <c r="J35" t="n">
        <v>2</v>
      </c>
      <c r="N35" t="n">
        <v>18000</v>
      </c>
      <c r="Q35" t="inlineStr">
        <is>
          <t>Quản Đốc &amp; Ban Giám Đốc</t>
        </is>
      </c>
      <c r="R35" t="inlineStr">
        <is>
          <t>2026-08-01</t>
        </is>
      </c>
      <c r="S35" t="inlineStr">
        <is>
          <t>v2.0-CHÍNH THỨC</t>
        </is>
      </c>
      <c r="T35" t="inlineStr">
        <is>
          <t>🔒 ĐÃ KHÓA CỐ ĐỊNH (BẢO LƯU)</t>
        </is>
      </c>
    </row>
    <row r="36">
      <c r="A36" t="n">
        <v>33</v>
      </c>
      <c r="B36" t="inlineStr">
        <is>
          <t>Thyssen</t>
        </is>
      </c>
      <c r="C36" t="inlineStr">
        <is>
          <t>Sealing strip, above</t>
        </is>
      </c>
      <c r="D36" t="inlineStr">
        <is>
          <t>NC4</t>
        </is>
      </c>
      <c r="E36" t="inlineStr">
        <is>
          <t>G/c doa lỗ phi 32</t>
        </is>
      </c>
      <c r="F36" t="inlineStr">
        <is>
          <t>Máy Phay OKK1</t>
        </is>
      </c>
      <c r="G36" t="n">
        <v>0.33</v>
      </c>
      <c r="H36" t="n">
        <v>20</v>
      </c>
      <c r="I36" t="inlineStr">
        <is>
          <t>Mũi doa hợp kim Ø32</t>
        </is>
      </c>
      <c r="J36" t="n">
        <v>2</v>
      </c>
      <c r="N36" t="n">
        <v>22000</v>
      </c>
      <c r="Q36" t="inlineStr">
        <is>
          <t>Quản Đốc &amp; Ban Giám Đốc</t>
        </is>
      </c>
      <c r="R36" t="inlineStr">
        <is>
          <t>2026-08-01</t>
        </is>
      </c>
      <c r="S36" t="inlineStr">
        <is>
          <t>v2.0-CHÍNH THỨC</t>
        </is>
      </c>
      <c r="T36" t="inlineStr">
        <is>
          <t>🔒 ĐÃ KHÓA CỐ ĐỊNH (BẢO LƯU)</t>
        </is>
      </c>
    </row>
  </sheetData>
  <mergeCells count="2">
    <mergeCell ref="A2:Q2"/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style="75" min="1" max="1"/>
    <col width="18" customWidth="1" style="75" min="2" max="2"/>
    <col width="27" customWidth="1" style="75" min="3" max="3"/>
    <col width="53" customWidth="1" style="75" min="4" max="4"/>
    <col width="25" customWidth="1" style="75" min="5" max="5"/>
    <col width="124" customWidth="1" style="75" min="6" max="6"/>
    <col width="96" customWidth="1" style="75" min="7" max="7"/>
    <col width="25" customWidth="1" style="75" min="8" max="8"/>
    <col width="24" customWidth="1" style="75" min="9" max="9"/>
    <col width="39" customWidth="1" style="75" min="10" max="10"/>
    <col width="22" customWidth="1" style="75" min="11" max="12"/>
    <col width="30" customWidth="1" style="75" min="13" max="13"/>
    <col width="133" customWidth="1" style="75" min="14" max="14"/>
  </cols>
  <sheetData>
    <row r="1" ht="27.95" customHeight="1" s="75">
      <c r="A1" s="74" t="inlineStr">
        <is>
          <t>KẾ HOẠCH TIẾN ĐỘ SẢN XUẤT &amp; ĐIỀU ĐỘ ĐƠN HÀNG (PO/LSX) THEO KHÁCH HÀNG</t>
        </is>
      </c>
    </row>
    <row r="2" ht="18" customHeight="1" s="75">
      <c r="A2" s="76" t="inlineStr">
        <is>
          <t>Phân xưởng Gia công Cơ khí | Tự động cân đối: Kế hoạch giao hàng - BTP xong tại xưởng - Đã bàn giao chuyển khâu - Tồn chờ bàn giao</t>
        </is>
      </c>
    </row>
    <row r="3" ht="30" customHeight="1" s="75">
      <c r="A3" s="21" t="inlineStr">
        <is>
          <t>STT</t>
        </is>
      </c>
      <c r="B3" s="21" t="inlineStr">
        <is>
          <t>Mã Lệnh SX / PO</t>
        </is>
      </c>
      <c r="C3" s="21" t="inlineStr">
        <is>
          <t>Khách Hàng</t>
        </is>
      </c>
      <c r="D3" s="21" t="inlineStr">
        <is>
          <t>Tên / Quy Cách Chi Tiết Đúc</t>
        </is>
      </c>
      <c r="E3" s="21" t="inlineStr">
        <is>
          <t>SL Kế Hoạch (Chi tiết)</t>
        </is>
      </c>
      <c r="F3" s="21" t="inlineStr">
        <is>
          <t>BTP Xong Tại Xưởng</t>
        </is>
      </c>
      <c r="G3" s="21" t="inlineStr">
        <is>
          <t>Đã Bàn Giao Đi</t>
        </is>
      </c>
      <c r="H3" s="21" t="inlineStr">
        <is>
          <t>Tồn Chờ Bàn Giao (WIP)</t>
        </is>
      </c>
      <c r="I3" s="21" t="inlineStr">
        <is>
          <t>Còn Nợ Kế Hoạch</t>
        </is>
      </c>
      <c r="J3" s="21" t="inlineStr">
        <is>
          <t>Khâu Chuyển Tiếp Theo</t>
        </is>
      </c>
      <c r="K3" s="21" t="inlineStr">
        <is>
          <t>Ngày Bắt Đầu</t>
        </is>
      </c>
      <c r="L3" s="21" t="inlineStr">
        <is>
          <t>Hạn Giao BTP</t>
        </is>
      </c>
      <c r="M3" s="21" t="inlineStr">
        <is>
          <t>Tiến Độ Bàn Giao (%)</t>
        </is>
      </c>
      <c r="N3" s="21" t="inlineStr">
        <is>
          <t>Trạng Thái Điều Độ</t>
        </is>
      </c>
      <c r="O3" t="inlineStr">
        <is>
          <t>Mã NC Cuối (Đích)</t>
        </is>
      </c>
      <c r="P3" t="inlineStr">
        <is>
          <t>Tên NC Cuối Hoàn Thiện BTP</t>
        </is>
      </c>
    </row>
    <row r="4" ht="21.95" customHeight="1" s="75">
      <c r="A4" s="3" t="n">
        <v>1</v>
      </c>
      <c r="B4" s="3" t="inlineStr">
        <is>
          <t>PO-2026-001</t>
        </is>
      </c>
      <c r="C4" s="4" t="inlineStr">
        <is>
          <t>Win-Win</t>
        </is>
      </c>
      <c r="D4" s="4" t="inlineStr">
        <is>
          <t>Trục Khuỷu Động Cơ Φ250</t>
        </is>
      </c>
      <c r="E4" s="6" t="n">
        <v>1000</v>
      </c>
      <c r="F4" s="6" t="n">
        <v>0</v>
      </c>
      <c r="G4" s="6" t="n">
        <v>500</v>
      </c>
      <c r="H4" s="6">
        <f>MAX(0, F4-G4)</f>
        <v/>
      </c>
      <c r="I4" s="6">
        <f>MAX(0, E4-G4)</f>
        <v/>
      </c>
      <c r="J4" s="4" t="inlineStr">
        <is>
          <t>Bộ Phận Hoàn Thiện (Lắp ráp/Bao gói)</t>
        </is>
      </c>
      <c r="K4" s="33" t="n">
        <v>46235</v>
      </c>
      <c r="L4" s="33" t="n">
        <v>46264</v>
      </c>
      <c r="M4" s="7">
        <f>IF(E4&gt;0, G4/E4, 0)</f>
        <v/>
      </c>
      <c r="N4" s="3">
        <f>IF(E4=0, "Chưa có đơn hàng", IF(G4&gt;E4, "⚠️ BÀN GIAO VƯỢT KH", IF(G4&gt;=E4, "Đã bàn giao đủ", IF(F4&gt;=E4, "Xong xưởng - Chờ chuyển", IF(F4&gt;0, "Đang gia công trên máy", "Chờ nhận phôi đúc")))))</f>
        <v/>
      </c>
      <c r="O4" t="inlineStr">
        <is>
          <t>NC2</t>
        </is>
      </c>
      <c r="P4" t="inlineStr">
        <is>
          <t>G/c tiện tinh cổ trục &amp; mài hoàn thiện</t>
        </is>
      </c>
    </row>
    <row r="5" ht="21.95" customHeight="1" s="75">
      <c r="A5" s="3" t="n">
        <v>2</v>
      </c>
      <c r="B5" s="3" t="inlineStr">
        <is>
          <t>PO-2026-002</t>
        </is>
      </c>
      <c r="C5" s="4" t="inlineStr">
        <is>
          <t>UCC</t>
        </is>
      </c>
      <c r="D5" s="4" t="inlineStr">
        <is>
          <t>Khuôn gá xích POWER</t>
        </is>
      </c>
      <c r="E5" s="6" t="n">
        <v>200</v>
      </c>
      <c r="F5" s="6" t="n">
        <v>0</v>
      </c>
      <c r="G5" s="6" t="n">
        <v>400</v>
      </c>
      <c r="H5" s="6">
        <f>MAX(0, F5-G5)</f>
        <v/>
      </c>
      <c r="I5" s="6">
        <f>MAX(0, E5-G5)</f>
        <v/>
      </c>
      <c r="J5" s="4" t="inlineStr">
        <is>
          <t>PX Nhiệt Luyện (Tôi chân không)</t>
        </is>
      </c>
      <c r="K5" s="33" t="n">
        <v>46239</v>
      </c>
      <c r="L5" s="33" t="n">
        <v>46254</v>
      </c>
      <c r="M5" s="7">
        <f>IF(E5&gt;0, G5/E5, 0)</f>
        <v/>
      </c>
      <c r="N5" s="3">
        <f>IF(E5=0, "Chưa có đơn hàng", IF(G5&gt;E5, "⚠️ BÀN GIAO VƯỢT KH", IF(G5&gt;=E5, "Đã bàn giao đủ", IF(F5&gt;=E5, "Xong xưởng - Chờ chuyển", IF(F5&gt;0, "Đang gia công trên máy", "Chờ nhận phôi đúc")))))</f>
        <v/>
      </c>
      <c r="O5" t="inlineStr">
        <is>
          <t>NC2</t>
        </is>
      </c>
      <c r="P5" t="inlineStr">
        <is>
          <t>G/c phay tinh lỗ &amp; lắp chốt định vị</t>
        </is>
      </c>
    </row>
    <row r="6" ht="21.95" customHeight="1" s="75">
      <c r="A6" s="3" t="n">
        <v>3</v>
      </c>
      <c r="B6" s="3" t="inlineStr">
        <is>
          <t>PO-2026-003</t>
        </is>
      </c>
      <c r="C6" s="4" t="inlineStr">
        <is>
          <t>Vico- QLTB</t>
        </is>
      </c>
      <c r="D6" s="4" t="inlineStr">
        <is>
          <t>Mẫu Thử CR &amp; hàng #</t>
        </is>
      </c>
      <c r="E6" s="6" t="n">
        <v>500</v>
      </c>
      <c r="F6" s="6" t="n">
        <v>0</v>
      </c>
      <c r="G6" s="6" t="n">
        <v>0</v>
      </c>
      <c r="H6" s="6">
        <f>MAX(0, F6-G6)</f>
        <v/>
      </c>
      <c r="I6" s="6">
        <f>MAX(0, E6-G6)</f>
        <v/>
      </c>
      <c r="J6" s="4" t="inlineStr">
        <is>
          <t>Phòng KCS / Thử Nghiệm ASTM</t>
        </is>
      </c>
      <c r="K6" s="33" t="n">
        <v>46244</v>
      </c>
      <c r="L6" s="33" t="n">
        <v>46259</v>
      </c>
      <c r="M6" s="7">
        <f>IF(E6&gt;0, G6/E6, 0)</f>
        <v/>
      </c>
      <c r="N6" s="3">
        <f>IF(E6=0, "Chưa có đơn hàng", IF(G6&gt;E6, "⚠️ BÀN GIAO VƯỢT KH", IF(G6&gt;=E6, "Đã bàn giao đủ", IF(F6&gt;=E6, "Xong xưởng - Chờ chuyển", IF(F6&gt;0, "Đang gia công trên máy", "Chờ nhận phôi đúc")))))</f>
        <v/>
      </c>
      <c r="O6" t="inlineStr">
        <is>
          <t>NC1</t>
        </is>
      </c>
      <c r="P6" t="inlineStr">
        <is>
          <t>G/c tiện phay mẫu thử nghiệm ASTM</t>
        </is>
      </c>
    </row>
    <row r="7" ht="21.95" customHeight="1" s="75">
      <c r="A7" s="3" t="n">
        <v>4</v>
      </c>
      <c r="B7" s="3" t="inlineStr">
        <is>
          <t>PO-1602</t>
        </is>
      </c>
      <c r="C7" s="4" t="inlineStr">
        <is>
          <t>Hà Song Hải - XM Hạ Long</t>
        </is>
      </c>
      <c r="D7" s="4" t="inlineStr">
        <is>
          <t>Thanh đập đá vôi (2240x510x145)</t>
        </is>
      </c>
      <c r="E7" s="6" t="n">
        <v>1</v>
      </c>
      <c r="F7" s="6" t="n">
        <v>0.25</v>
      </c>
      <c r="G7" s="6" t="n">
        <v>1</v>
      </c>
      <c r="H7" s="6" t="n">
        <v>0</v>
      </c>
      <c r="I7" s="6">
        <f>MAX(0, E7-G7)</f>
        <v/>
      </c>
      <c r="J7" s="4" t="inlineStr">
        <is>
          <t>PX Nhiệt Luyện (Tôi cao tần)</t>
        </is>
      </c>
      <c r="K7" s="33" t="n">
        <v>46264</v>
      </c>
      <c r="L7" s="33" t="n">
        <v>46271</v>
      </c>
      <c r="M7" s="7">
        <f>IF(E7&gt;0, G7/E7, 0)</f>
        <v/>
      </c>
      <c r="N7" s="3">
        <f>IF(E7=0, "Chưa có đơn hàng", IF(G7&gt;E7, "⚠️ BÀN GIAO VƯỢT KH", IF(G7&gt;=E7, "Đã bàn giao đủ", IF(F7&gt;=E7, "Xong xưởng - Chờ chuyển", IF(F7&gt;0, "Đang gia công trên máy", "Chờ nhận phôi đúc")))))</f>
        <v/>
      </c>
      <c r="O7" t="inlineStr">
        <is>
          <t>NC2</t>
        </is>
      </c>
      <c r="P7" t="inlineStr">
        <is>
          <t>G/c phay hoàn thiện rãnh 62/52mm &amp; bo mép R</t>
        </is>
      </c>
    </row>
    <row r="8" ht="21.95" customHeight="1" s="75">
      <c r="A8" s="3" t="n">
        <v>5</v>
      </c>
      <c r="B8" s="3" t="inlineStr">
        <is>
          <t>PO-3429</t>
        </is>
      </c>
      <c r="C8" s="4" t="inlineStr">
        <is>
          <t>Hà Song Hải - XM Hạ Long</t>
        </is>
      </c>
      <c r="D8" s="4" t="inlineStr">
        <is>
          <t>Thanh đập đá vôi (2240x510x145)</t>
        </is>
      </c>
      <c r="E8" s="6" t="n">
        <v>1</v>
      </c>
      <c r="F8" s="6" t="n">
        <v>0</v>
      </c>
      <c r="G8" s="6" t="n">
        <v>0</v>
      </c>
      <c r="H8" s="6">
        <f>MAX(0, F8-G8)</f>
        <v/>
      </c>
      <c r="I8" s="6">
        <f>MAX(0, E8-G8)</f>
        <v/>
      </c>
      <c r="J8" s="4" t="inlineStr">
        <is>
          <t>PX Nhiệt Luyện (Tôi cao tần)</t>
        </is>
      </c>
      <c r="K8" s="33" t="n">
        <v>46265</v>
      </c>
      <c r="L8" s="33" t="n">
        <v>46272</v>
      </c>
      <c r="M8" s="7">
        <f>IF(E8&gt;0, G8/E8, 0)</f>
        <v/>
      </c>
      <c r="N8" s="3">
        <f>IF(E8=0, "Chưa có đơn hàng", IF(G8&gt;E8, "⚠️ BÀN GIAO VƯỢT KH", IF(G8&gt;=E8, "Đã bàn giao đủ", IF(F8&gt;=E8, "Xong xưởng - Chờ chuyển", IF(F8&gt;0, "Đang gia công trên máy", "Chờ nhận phôi đúc")))))</f>
        <v/>
      </c>
      <c r="O8" t="inlineStr">
        <is>
          <t>NC2</t>
        </is>
      </c>
      <c r="P8" t="inlineStr">
        <is>
          <t>G/c phay hoàn thiện rãnh 62/52mm &amp; bo mép R</t>
        </is>
      </c>
    </row>
    <row r="9" ht="21.95" customHeight="1" s="75">
      <c r="A9" s="3" t="n">
        <v>6</v>
      </c>
      <c r="B9" s="3" t="inlineStr">
        <is>
          <t>PO-5670</t>
        </is>
      </c>
      <c r="C9" s="4" t="inlineStr">
        <is>
          <t>Hà Song Hải - XM Hạ Long</t>
        </is>
      </c>
      <c r="D9" s="4" t="inlineStr">
        <is>
          <t>Thanh đập đá vôi (2240x510x145)</t>
        </is>
      </c>
      <c r="E9" s="6" t="n">
        <v>1</v>
      </c>
      <c r="F9" s="6" t="n">
        <v>1.25</v>
      </c>
      <c r="G9" s="6" t="n">
        <v>0</v>
      </c>
      <c r="H9" s="6" t="n">
        <v>1.25</v>
      </c>
      <c r="I9" s="6">
        <f>MAX(0, E9-G9)</f>
        <v/>
      </c>
      <c r="J9" s="4" t="inlineStr">
        <is>
          <t>PX Nhiệt Luyện (Tôi cao tần)</t>
        </is>
      </c>
      <c r="K9" s="33" t="n">
        <v>46265</v>
      </c>
      <c r="L9" s="33" t="n">
        <v>46272</v>
      </c>
      <c r="M9" s="7">
        <f>IF(E9&gt;0, G9/E9, 0)</f>
        <v/>
      </c>
      <c r="N9" s="3">
        <f>IF(E9=0, "Chưa có đơn hàng", IF(G9&gt;E9, "⚠️ BÀN GIAO VƯỢT KH", IF(G9&gt;=E9, "Đã bàn giao đủ", IF(F9&gt;=E9, "Xong xưởng - Chờ chuyển", IF(F9&gt;0, "Đang gia công trên máy", "Chờ nhận phôi đúc")))))</f>
        <v/>
      </c>
      <c r="O9" t="inlineStr">
        <is>
          <t>NC2</t>
        </is>
      </c>
      <c r="P9" t="inlineStr">
        <is>
          <t>G/c phay hoàn thiện rãnh 62/52mm &amp; bo mép R</t>
        </is>
      </c>
    </row>
    <row r="10" ht="21.95" customHeight="1" s="75">
      <c r="A10" s="3" t="n">
        <v>7</v>
      </c>
      <c r="B10" s="3" t="inlineStr">
        <is>
          <t>PO-6829</t>
        </is>
      </c>
      <c r="C10" s="4" t="inlineStr">
        <is>
          <t>Hà Song Hải - XM Hạ Long</t>
        </is>
      </c>
      <c r="D10" s="4" t="inlineStr">
        <is>
          <t>Thanh đập đá vôi (2240x510x145)</t>
        </is>
      </c>
      <c r="E10" s="6" t="n">
        <v>1</v>
      </c>
      <c r="F10" s="6" t="n">
        <v>0</v>
      </c>
      <c r="G10" s="6" t="n">
        <v>0</v>
      </c>
      <c r="H10" s="6">
        <f>MAX(0, F10-G10)</f>
        <v/>
      </c>
      <c r="I10" s="6">
        <f>MAX(0, E10-G10)</f>
        <v/>
      </c>
      <c r="J10" s="4" t="inlineStr">
        <is>
          <t>PX Nhiệt Luyện (Tôi cao tần)</t>
        </is>
      </c>
      <c r="K10" s="33" t="n">
        <v>46266</v>
      </c>
      <c r="L10" s="33" t="n">
        <v>46273</v>
      </c>
      <c r="M10" s="7">
        <f>IF(E10&gt;0, G10/E10, 0)</f>
        <v/>
      </c>
      <c r="N10" s="3">
        <f>IF(E10=0, "Chưa có đơn hàng", IF(G10&gt;E10, "⚠️ BÀN GIAO VƯỢT KH", IF(G10&gt;=E10, "Đã bàn giao đủ", IF(F10&gt;=E10, "Xong xưởng - Chờ chuyển", IF(F10&gt;0, "Đang gia công trên máy", "Chờ nhận phôi đúc")))))</f>
        <v/>
      </c>
      <c r="O10" t="inlineStr">
        <is>
          <t>NC2</t>
        </is>
      </c>
      <c r="P10" t="inlineStr">
        <is>
          <t>G/c phay hoàn thiện rãnh 62/52mm &amp; bo mép R</t>
        </is>
      </c>
    </row>
    <row r="11" ht="21.95" customHeight="1" s="75">
      <c r="A11" s="3" t="n">
        <v>8</v>
      </c>
      <c r="B11" s="3" t="inlineStr">
        <is>
          <t>PO-7044</t>
        </is>
      </c>
      <c r="C11" s="4" t="inlineStr">
        <is>
          <t>Hà Song Hải - XM Hạ Long</t>
        </is>
      </c>
      <c r="D11" s="4" t="inlineStr">
        <is>
          <t>Thanh đập đá vôi (2240x510x145)</t>
        </is>
      </c>
      <c r="E11" s="6" t="n">
        <v>1</v>
      </c>
      <c r="F11" s="6" t="n">
        <v>0</v>
      </c>
      <c r="G11" s="6" t="n">
        <v>0</v>
      </c>
      <c r="H11" s="6">
        <f>MAX(0, F11-G11)</f>
        <v/>
      </c>
      <c r="I11" s="6">
        <f>MAX(0, E11-G11)</f>
        <v/>
      </c>
      <c r="J11" s="4" t="inlineStr">
        <is>
          <t>PX Nhiệt Luyện (Tôi cao tần)</t>
        </is>
      </c>
      <c r="K11" s="33" t="n">
        <v>46264</v>
      </c>
      <c r="L11" s="33" t="n">
        <v>46271</v>
      </c>
      <c r="M11" s="7">
        <f>IF(E11&gt;0, G11/E11, 0)</f>
        <v/>
      </c>
      <c r="N11" s="3">
        <f>IF(E11=0, "Chưa có đơn hàng", IF(G11&gt;E11, "⚠️ BÀN GIAO VƯỢT KH", IF(G11&gt;=E11, "Đã bàn giao đủ", IF(F11&gt;=E11, "Xong xưởng - Chờ chuyển", IF(F11&gt;0, "Đang gia công trên máy", "Chờ nhận phôi đúc")))))</f>
        <v/>
      </c>
      <c r="O11" t="inlineStr">
        <is>
          <t>NC2</t>
        </is>
      </c>
      <c r="P11" t="inlineStr">
        <is>
          <t>G/c phay hoàn thiện rãnh 62/52mm &amp; bo mép R</t>
        </is>
      </c>
    </row>
    <row r="12" ht="21.95" customHeight="1" s="75">
      <c r="A12" s="3" t="n">
        <v>9</v>
      </c>
      <c r="B12" s="3" t="inlineStr">
        <is>
          <t>PO-7189</t>
        </is>
      </c>
      <c r="C12" s="4" t="inlineStr">
        <is>
          <t>Hà Song Hải - XM Hạ Long</t>
        </is>
      </c>
      <c r="D12" s="4" t="inlineStr">
        <is>
          <t>Thanh đập đá vôi (2240x510x145)</t>
        </is>
      </c>
      <c r="E12" s="6" t="n">
        <v>1</v>
      </c>
      <c r="F12" s="6" t="n">
        <v>0</v>
      </c>
      <c r="G12" s="6" t="n">
        <v>0</v>
      </c>
      <c r="H12" s="6">
        <f>MAX(0, F12-G12)</f>
        <v/>
      </c>
      <c r="I12" s="6">
        <f>MAX(0, E12-G12)</f>
        <v/>
      </c>
      <c r="J12" s="4" t="inlineStr">
        <is>
          <t>PX Nhiệt Luyện (Tôi cao tần)</t>
        </is>
      </c>
      <c r="K12" s="33" t="n">
        <v>46264</v>
      </c>
      <c r="L12" s="33" t="n">
        <v>46271</v>
      </c>
      <c r="M12" s="7">
        <f>IF(E12&gt;0, G12/E12, 0)</f>
        <v/>
      </c>
      <c r="N12" s="3">
        <f>IF(E12=0, "Chưa có đơn hàng", IF(G12&gt;E12, "⚠️ BÀN GIAO VƯỢT KH", IF(G12&gt;=E12, "Đã bàn giao đủ", IF(F12&gt;=E12, "Xong xưởng - Chờ chuyển", IF(F12&gt;0, "Đang gia công trên máy", "Chờ nhận phôi đúc")))))</f>
        <v/>
      </c>
      <c r="O12" t="inlineStr">
        <is>
          <t>NC2</t>
        </is>
      </c>
      <c r="P12" t="inlineStr">
        <is>
          <t>G/c phay hoàn thiện rãnh 62/52mm &amp; bo mép R</t>
        </is>
      </c>
    </row>
    <row r="13" ht="21.95" customHeight="1" s="75">
      <c r="A13" s="3" t="n">
        <v>10</v>
      </c>
      <c r="B13" s="3" t="inlineStr">
        <is>
          <t>PO-7365</t>
        </is>
      </c>
      <c r="C13" s="4" t="inlineStr">
        <is>
          <t>Hà Song Hải - XM Hạ Long</t>
        </is>
      </c>
      <c r="D13" s="4" t="inlineStr">
        <is>
          <t>Thanh đập đá vôi (2240x510x145)</t>
        </is>
      </c>
      <c r="E13" s="6" t="n">
        <v>1</v>
      </c>
      <c r="F13" s="6" t="n">
        <v>0</v>
      </c>
      <c r="G13" s="6" t="n">
        <v>0</v>
      </c>
      <c r="H13" s="6">
        <f>MAX(0, F13-G13)</f>
        <v/>
      </c>
      <c r="I13" s="6">
        <f>MAX(0, E13-G13)</f>
        <v/>
      </c>
      <c r="J13" s="4" t="inlineStr">
        <is>
          <t>PX Nhiệt Luyện (Tôi cao tần)</t>
        </is>
      </c>
      <c r="K13" s="33" t="n">
        <v>46263</v>
      </c>
      <c r="L13" s="33" t="n">
        <v>46270</v>
      </c>
      <c r="M13" s="7">
        <f>IF(E13&gt;0, G13/E13, 0)</f>
        <v/>
      </c>
      <c r="N13" s="3">
        <f>IF(E13=0, "Chưa có đơn hàng", IF(G13&gt;E13, "⚠️ BÀN GIAO VƯỢT KH", IF(G13&gt;=E13, "Đã bàn giao đủ", IF(F13&gt;=E13, "Xong xưởng - Chờ chuyển", IF(F13&gt;0, "Đang gia công trên máy", "Chờ nhận phôi đúc")))))</f>
        <v/>
      </c>
      <c r="O13" t="inlineStr">
        <is>
          <t>NC2</t>
        </is>
      </c>
      <c r="P13" t="inlineStr">
        <is>
          <t>G/c phay hoàn thiện rãnh 62/52mm &amp; bo mép R</t>
        </is>
      </c>
    </row>
    <row r="14" ht="21.95" customHeight="1" s="75">
      <c r="A14" s="3" t="n">
        <v>11</v>
      </c>
      <c r="B14" s="3" t="inlineStr">
        <is>
          <t>PO-1279</t>
        </is>
      </c>
      <c r="C14" s="4" t="inlineStr">
        <is>
          <t>Hải- Vinh Quảng Ninh</t>
        </is>
      </c>
      <c r="D14" s="4" t="inlineStr">
        <is>
          <t>Bộ rulo máy nghiền sơ cấp: Thân rồ to (φ820x890)</t>
        </is>
      </c>
      <c r="E14" s="6" t="n">
        <v>15</v>
      </c>
      <c r="F14" s="6" t="n">
        <v>0</v>
      </c>
      <c r="G14" s="6" t="n">
        <v>0</v>
      </c>
      <c r="H14" s="6">
        <f>MAX(0, F14-G14)</f>
        <v/>
      </c>
      <c r="I14" s="6">
        <f>MAX(0, E14-G14)</f>
        <v/>
      </c>
      <c r="J14" s="4" t="inlineStr">
        <is>
          <t>Tổ Lắp Ráp &amp; Hoàn Thiện</t>
        </is>
      </c>
      <c r="K14" s="33" t="n">
        <v>46266</v>
      </c>
      <c r="L14" s="33" t="n">
        <v>46273</v>
      </c>
      <c r="M14" s="7">
        <f>IF(E14&gt;0, G14/E14, 0)</f>
        <v/>
      </c>
      <c r="N14" s="3">
        <f>IF(E14=0, "Chưa có đơn hàng", IF(G14&gt;E14, "⚠️ BÀN GIAO VƯỢT KH", IF(G14&gt;=E14, "Đã bàn giao đủ", IF(F14&gt;=E14, "Xong xưởng - Chờ chuyển", IF(F14&gt;0, "Đang gia công trên máy", "Chờ nhận phôi đúc")))))</f>
        <v/>
      </c>
      <c r="O14" t="inlineStr">
        <is>
          <t>NC9</t>
        </is>
      </c>
      <c r="P14" t="inlineStr">
        <is>
          <t>G/c khoan &amp; taro 12 lỗ ren M16 x 2.0</t>
        </is>
      </c>
    </row>
    <row r="15" ht="21.95" customHeight="1" s="75">
      <c r="A15" s="3" t="n">
        <v>12</v>
      </c>
      <c r="B15" s="3" t="inlineStr">
        <is>
          <t>PO-2504</t>
        </is>
      </c>
      <c r="C15" s="4" t="inlineStr">
        <is>
          <t>Hải- Vinh Quảng Ninh</t>
        </is>
      </c>
      <c r="D15" s="4" t="inlineStr">
        <is>
          <t>Bộ rulo máy nghiền sơ cấp: Thân rồ to (φ820x890)</t>
        </is>
      </c>
      <c r="E15" s="6" t="n">
        <v>2</v>
      </c>
      <c r="F15" s="6" t="n">
        <v>0</v>
      </c>
      <c r="G15" s="6" t="n">
        <v>0</v>
      </c>
      <c r="H15" s="6">
        <f>MAX(0, F15-G15)</f>
        <v/>
      </c>
      <c r="I15" s="6">
        <f>MAX(0, E15-G15)</f>
        <v/>
      </c>
      <c r="J15" s="4" t="inlineStr">
        <is>
          <t>Tổ Lắp Ráp &amp; Hoàn Thiện</t>
        </is>
      </c>
      <c r="K15" s="33" t="n">
        <v>46255</v>
      </c>
      <c r="L15" s="33" t="n">
        <v>46262</v>
      </c>
      <c r="M15" s="7">
        <f>IF(E15&gt;0, G15/E15, 0)</f>
        <v/>
      </c>
      <c r="N15" s="3">
        <f>IF(E15=0, "Chưa có đơn hàng", IF(G15&gt;E15, "⚠️ BÀN GIAO VƯỢT KH", IF(G15&gt;=E15, "Đã bàn giao đủ", IF(F15&gt;=E15, "Xong xưởng - Chờ chuyển", IF(F15&gt;0, "Đang gia công trên máy", "Chờ nhận phôi đúc")))))</f>
        <v/>
      </c>
      <c r="O15" t="inlineStr">
        <is>
          <t>NC9</t>
        </is>
      </c>
      <c r="P15" t="inlineStr">
        <is>
          <t>G/c khoan &amp; taro 12 lỗ ren M16 x 2.0</t>
        </is>
      </c>
    </row>
    <row r="16" ht="21.95" customHeight="1" s="75">
      <c r="A16" s="3" t="n">
        <v>13</v>
      </c>
      <c r="B16" s="3" t="inlineStr">
        <is>
          <t>PO-4603</t>
        </is>
      </c>
      <c r="C16" s="4" t="inlineStr">
        <is>
          <t>Hải- Vinh Quảng Ninh</t>
        </is>
      </c>
      <c r="D16" s="4" t="inlineStr">
        <is>
          <t>Bộ rulo máy nghiền sơ cấp: Thân rồ to (φ820x890)</t>
        </is>
      </c>
      <c r="E16" s="6" t="n">
        <v>1</v>
      </c>
      <c r="F16" s="6" t="n">
        <v>0</v>
      </c>
      <c r="G16" s="6" t="n">
        <v>0</v>
      </c>
      <c r="H16" s="6">
        <f>MAX(0, F16-G16)</f>
        <v/>
      </c>
      <c r="I16" s="6">
        <f>MAX(0, E16-G16)</f>
        <v/>
      </c>
      <c r="J16" s="4" t="inlineStr">
        <is>
          <t>Tổ Lắp Ráp &amp; Hoàn Thiện</t>
        </is>
      </c>
      <c r="K16" s="33" t="n">
        <v>46251</v>
      </c>
      <c r="L16" s="33" t="n">
        <v>46258</v>
      </c>
      <c r="M16" s="7">
        <f>IF(E16&gt;0, G16/E16, 0)</f>
        <v/>
      </c>
      <c r="N16" s="3">
        <f>IF(E16=0, "Chưa có đơn hàng", IF(G16&gt;E16, "⚠️ BÀN GIAO VƯỢT KH", IF(G16&gt;=E16, "Đã bàn giao đủ", IF(F16&gt;=E16, "Xong xưởng - Chờ chuyển", IF(F16&gt;0, "Đang gia công trên máy", "Chờ nhận phôi đúc")))))</f>
        <v/>
      </c>
      <c r="O16" t="inlineStr">
        <is>
          <t>NC9</t>
        </is>
      </c>
      <c r="P16" t="inlineStr">
        <is>
          <t>G/c khoan &amp; taro 12 lỗ ren M16 x 2.0</t>
        </is>
      </c>
    </row>
    <row r="17" ht="21.95" customHeight="1" s="75">
      <c r="A17" s="3" t="n">
        <v>14</v>
      </c>
      <c r="B17" s="3" t="inlineStr">
        <is>
          <t>PO-5612</t>
        </is>
      </c>
      <c r="C17" s="4" t="inlineStr">
        <is>
          <t>Hải- Vinh Quảng Ninh</t>
        </is>
      </c>
      <c r="D17" s="4" t="inlineStr">
        <is>
          <t>Bộ rulo máy nghiền sơ cấp: Bích rulo (φ500x110) 1T</t>
        </is>
      </c>
      <c r="E17" s="6" t="n">
        <v>1</v>
      </c>
      <c r="F17" s="6" t="n">
        <v>0</v>
      </c>
      <c r="G17" s="6" t="n">
        <v>0</v>
      </c>
      <c r="H17" s="6">
        <f>MAX(0, F17-G17)</f>
        <v/>
      </c>
      <c r="I17" s="6">
        <f>MAX(0, E17-G17)</f>
        <v/>
      </c>
      <c r="J17" s="4" t="inlineStr">
        <is>
          <t>Tổ Lắp Ráp &amp; Hoàn Thiện</t>
        </is>
      </c>
      <c r="K17" s="33" t="n">
        <v>46251</v>
      </c>
      <c r="L17" s="33" t="n">
        <v>46258</v>
      </c>
      <c r="M17" s="7">
        <f>IF(E17&gt;0, G17/E17, 0)</f>
        <v/>
      </c>
      <c r="N17" s="3">
        <f>IF(E17=0, "Chưa có đơn hàng", IF(G17&gt;E17, "⚠️ BÀN GIAO VƯỢT KH", IF(G17&gt;=E17, "Đã bàn giao đủ", IF(F17&gt;=E17, "Xong xưởng - Chờ chuyển", IF(F17&gt;0, "Đang gia công trên máy", "Chờ nhận phôi đúc")))))</f>
        <v/>
      </c>
      <c r="O17" t="inlineStr">
        <is>
          <t>NC4</t>
        </is>
      </c>
      <c r="P17" t="inlineStr">
        <is>
          <t>G/c cắt dây cavet DK7745 rãnh 32mm</t>
        </is>
      </c>
    </row>
    <row r="18" ht="21.95" customHeight="1" s="75">
      <c r="A18" s="3" t="n">
        <v>15</v>
      </c>
      <c r="B18" s="3" t="inlineStr">
        <is>
          <t>PO-7487</t>
        </is>
      </c>
      <c r="C18" s="4" t="inlineStr">
        <is>
          <t>Hải- Vinh Quảng Ninh</t>
        </is>
      </c>
      <c r="D18" s="4" t="inlineStr">
        <is>
          <t>Bộ rulo máy nghiền sơ cấp: Thân rồ to (φ820x890)</t>
        </is>
      </c>
      <c r="E18" s="6" t="n">
        <v>3</v>
      </c>
      <c r="F18" s="6" t="n">
        <v>0</v>
      </c>
      <c r="G18" s="6" t="n">
        <v>0</v>
      </c>
      <c r="H18" s="6">
        <f>MAX(0, F18-G18)</f>
        <v/>
      </c>
      <c r="I18" s="6">
        <f>MAX(0, E18-G18)</f>
        <v/>
      </c>
      <c r="J18" s="4" t="inlineStr">
        <is>
          <t>Tổ Lắp Ráp &amp; Hoàn Thiện</t>
        </is>
      </c>
      <c r="K18" s="33" t="n">
        <v>46253</v>
      </c>
      <c r="L18" s="33" t="n">
        <v>46260</v>
      </c>
      <c r="M18" s="7">
        <f>IF(E18&gt;0, G18/E18, 0)</f>
        <v/>
      </c>
      <c r="N18" s="3">
        <f>IF(E18=0, "Chưa có đơn hàng", IF(G18&gt;E18, "⚠️ BÀN GIAO VƯỢT KH", IF(G18&gt;=E18, "Đã bàn giao đủ", IF(F18&gt;=E18, "Xong xưởng - Chờ chuyển", IF(F18&gt;0, "Đang gia công trên máy", "Chờ nhận phôi đúc")))))</f>
        <v/>
      </c>
      <c r="O18" t="inlineStr">
        <is>
          <t>NC9</t>
        </is>
      </c>
      <c r="P18" t="inlineStr">
        <is>
          <t>G/c khoan &amp; taro 12 lỗ ren M16 x 2.0</t>
        </is>
      </c>
    </row>
    <row r="19" ht="21.95" customHeight="1" s="75">
      <c r="A19" s="3" t="n">
        <v>16</v>
      </c>
      <c r="B19" s="3" t="inlineStr">
        <is>
          <t>PO-8134</t>
        </is>
      </c>
      <c r="C19" s="4" t="inlineStr">
        <is>
          <t>Hải- Vinh Quảng Ninh</t>
        </is>
      </c>
      <c r="D19" s="4" t="inlineStr">
        <is>
          <t>Bộ rulo máy nghiền sơ cấp: Thân rồ to (φ820x890)</t>
        </is>
      </c>
      <c r="E19" s="6" t="n">
        <v>15</v>
      </c>
      <c r="F19" s="6" t="n">
        <v>15</v>
      </c>
      <c r="G19" s="6" t="n">
        <v>15</v>
      </c>
      <c r="H19" s="6">
        <f>MAX(0, F19-G19)</f>
        <v/>
      </c>
      <c r="I19" s="6">
        <f>MAX(0, E19-G19)</f>
        <v/>
      </c>
      <c r="J19" s="4" t="inlineStr">
        <is>
          <t>Tổ Lắp Ráp &amp; Hoàn Thiện</t>
        </is>
      </c>
      <c r="K19" s="33" t="n">
        <v>46266</v>
      </c>
      <c r="L19" s="33" t="n">
        <v>46273</v>
      </c>
      <c r="M19" s="7">
        <f>IF(E19&gt;0, G19/E19, 0)</f>
        <v/>
      </c>
      <c r="N19" s="3">
        <f>IF(E19=0, "Chưa có đơn hàng", IF(G19&gt;E19, "⚠️ BÀN GIAO VƯỢT KH", IF(G19&gt;=E19, "Đã bàn giao đủ", IF(F19&gt;=E19, "Xong xưởng - Chờ chuyển", IF(F19&gt;0, "Đang gia công trên máy", "Chờ nhận phôi đúc")))))</f>
        <v/>
      </c>
      <c r="O19" t="inlineStr">
        <is>
          <t>NC9</t>
        </is>
      </c>
      <c r="P19" t="inlineStr">
        <is>
          <t>G/c khoan &amp; taro 12 lỗ ren M16 x 2.0</t>
        </is>
      </c>
    </row>
    <row r="20" ht="21.95" customHeight="1" s="75">
      <c r="A20" s="3" t="n">
        <v>17</v>
      </c>
      <c r="B20" s="3" t="inlineStr">
        <is>
          <t>PO-1537</t>
        </is>
      </c>
      <c r="C20" s="4" t="inlineStr">
        <is>
          <t>Luợng- KS Tường Long</t>
        </is>
      </c>
      <c r="D20" s="4" t="inlineStr">
        <is>
          <t>Ốp dao nhào trên (Bộ bên trái)</t>
        </is>
      </c>
      <c r="E20" s="6" t="n">
        <v>1</v>
      </c>
      <c r="F20" s="6" t="n">
        <v>0</v>
      </c>
      <c r="G20" s="6" t="n">
        <v>0</v>
      </c>
      <c r="H20" s="6">
        <f>MAX(0, F20-G20)</f>
        <v/>
      </c>
      <c r="I20" s="6">
        <f>MAX(0, E20-G20)</f>
        <v/>
      </c>
      <c r="J20" s="4" t="inlineStr">
        <is>
          <t>Bộ Phận Hoàn Thiện (Lắp ráp/Bao gói)</t>
        </is>
      </c>
      <c r="K20" s="33" t="n">
        <v>46251</v>
      </c>
      <c r="L20" s="33" t="n">
        <v>46258</v>
      </c>
      <c r="M20" s="7">
        <f>IF(E20&gt;0, G20/E20, 0)</f>
        <v/>
      </c>
      <c r="N20" s="3">
        <f>IF(E20=0, "Chưa có đơn hàng", IF(G20&gt;E20, "⚠️ BÀN GIAO VƯỢT KH", IF(G20&gt;=E20, "Đã bàn giao đủ", IF(F20&gt;=E20, "Xong xưởng - Chờ chuyển", IF(F20&gt;0, "Đang gia công trên máy", "Chờ nhận phôi đúc")))))</f>
        <v/>
      </c>
      <c r="O20" t="inlineStr">
        <is>
          <t>NC2</t>
        </is>
      </c>
      <c r="P20" t="inlineStr">
        <is>
          <t>G/c phay vát rãnh hoàn thiện BTP</t>
        </is>
      </c>
    </row>
    <row r="21" ht="21.95" customHeight="1" s="75">
      <c r="A21" s="3" t="n">
        <v>18</v>
      </c>
      <c r="B21" s="3" t="inlineStr">
        <is>
          <t>PO-2080</t>
        </is>
      </c>
      <c r="C21" s="4" t="inlineStr">
        <is>
          <t>Luợng- KS Tường Long</t>
        </is>
      </c>
      <c r="D21" s="4" t="inlineStr">
        <is>
          <t>Ốp dao nhào trên (Bộ bên trái)</t>
        </is>
      </c>
      <c r="E21" s="6" t="n">
        <v>2</v>
      </c>
      <c r="F21" s="6" t="n">
        <v>0</v>
      </c>
      <c r="G21" s="6" t="n">
        <v>0</v>
      </c>
      <c r="H21" s="6">
        <f>MAX(0, F21-G21)</f>
        <v/>
      </c>
      <c r="I21" s="6">
        <f>MAX(0, E21-G21)</f>
        <v/>
      </c>
      <c r="J21" s="4" t="inlineStr">
        <is>
          <t>Bộ Phận Hoàn Thiện (Lắp ráp/Bao gói)</t>
        </is>
      </c>
      <c r="K21" s="33" t="n">
        <v>46265</v>
      </c>
      <c r="L21" s="33" t="n">
        <v>46272</v>
      </c>
      <c r="M21" s="7">
        <f>IF(E21&gt;0, G21/E21, 0)</f>
        <v/>
      </c>
      <c r="N21" s="3">
        <f>IF(E21=0, "Chưa có đơn hàng", IF(G21&gt;E21, "⚠️ BÀN GIAO VƯỢT KH", IF(G21&gt;=E21, "Đã bàn giao đủ", IF(F21&gt;=E21, "Xong xưởng - Chờ chuyển", IF(F21&gt;0, "Đang gia công trên máy", "Chờ nhận phôi đúc")))))</f>
        <v/>
      </c>
      <c r="O21" t="inlineStr">
        <is>
          <t>NC2</t>
        </is>
      </c>
      <c r="P21" t="inlineStr">
        <is>
          <t>G/c phay vát rãnh hoàn thiện BTP</t>
        </is>
      </c>
    </row>
    <row r="22" ht="21.95" customHeight="1" s="75">
      <c r="A22" s="3" t="n">
        <v>19</v>
      </c>
      <c r="B22" s="3" t="inlineStr">
        <is>
          <t>PO-2227</t>
        </is>
      </c>
      <c r="C22" s="4" t="inlineStr">
        <is>
          <t>Luợng- KS Tường Long</t>
        </is>
      </c>
      <c r="D22" s="4" t="inlineStr">
        <is>
          <t>Ốp dao nhào trên (Bộ bên trái)</t>
        </is>
      </c>
      <c r="E22" s="6" t="n">
        <v>1</v>
      </c>
      <c r="F22" s="6" t="n">
        <v>0</v>
      </c>
      <c r="G22" s="6" t="n">
        <v>0</v>
      </c>
      <c r="H22" s="6">
        <f>MAX(0, F22-G22)</f>
        <v/>
      </c>
      <c r="I22" s="6">
        <f>MAX(0, E22-G22)</f>
        <v/>
      </c>
      <c r="J22" s="4" t="inlineStr">
        <is>
          <t>Bộ Phận Hoàn Thiện (Lắp ráp/Bao gói)</t>
        </is>
      </c>
      <c r="K22" s="33" t="n">
        <v>46253</v>
      </c>
      <c r="L22" s="33" t="n">
        <v>46260</v>
      </c>
      <c r="M22" s="7">
        <f>IF(E22&gt;0, G22/E22, 0)</f>
        <v/>
      </c>
      <c r="N22" s="3">
        <f>IF(E22=0, "Chưa có đơn hàng", IF(G22&gt;E22, "⚠️ BÀN GIAO VƯỢT KH", IF(G22&gt;=E22, "Đã bàn giao đủ", IF(F22&gt;=E22, "Xong xưởng - Chờ chuyển", IF(F22&gt;0, "Đang gia công trên máy", "Chờ nhận phôi đúc")))))</f>
        <v/>
      </c>
      <c r="O22" t="inlineStr">
        <is>
          <t>NC2</t>
        </is>
      </c>
      <c r="P22" t="inlineStr">
        <is>
          <t>G/c phay vát rãnh hoàn thiện BTP</t>
        </is>
      </c>
    </row>
    <row r="23" ht="21.95" customHeight="1" s="75">
      <c r="A23" s="3" t="n">
        <v>20</v>
      </c>
      <c r="B23" s="3" t="inlineStr">
        <is>
          <t>PO-2285</t>
        </is>
      </c>
      <c r="C23" s="4" t="inlineStr">
        <is>
          <t>Luợng- KS Tường Long</t>
        </is>
      </c>
      <c r="D23" s="4" t="inlineStr">
        <is>
          <t>Ốp dao nhào trên (Bộ bên trái)</t>
        </is>
      </c>
      <c r="E23" s="6" t="n">
        <v>1</v>
      </c>
      <c r="F23" s="6" t="n">
        <v>0</v>
      </c>
      <c r="G23" s="6" t="n">
        <v>0</v>
      </c>
      <c r="H23" s="6">
        <f>MAX(0, F23-G23)</f>
        <v/>
      </c>
      <c r="I23" s="6">
        <f>MAX(0, E23-G23)</f>
        <v/>
      </c>
      <c r="J23" s="4" t="inlineStr">
        <is>
          <t>Bộ Phận Hoàn Thiện (Lắp ráp/Bao gói)</t>
        </is>
      </c>
      <c r="K23" s="33" t="n">
        <v>46266</v>
      </c>
      <c r="L23" s="33" t="n">
        <v>46273</v>
      </c>
      <c r="M23" s="7">
        <f>IF(E23&gt;0, G23/E23, 0)</f>
        <v/>
      </c>
      <c r="N23" s="3">
        <f>IF(E23=0, "Chưa có đơn hàng", IF(G23&gt;E23, "⚠️ BÀN GIAO VƯỢT KH", IF(G23&gt;=E23, "Đã bàn giao đủ", IF(F23&gt;=E23, "Xong xưởng - Chờ chuyển", IF(F23&gt;0, "Đang gia công trên máy", "Chờ nhận phôi đúc")))))</f>
        <v/>
      </c>
      <c r="O23" t="inlineStr">
        <is>
          <t>NC2</t>
        </is>
      </c>
      <c r="P23" t="inlineStr">
        <is>
          <t>G/c phay vát rãnh hoàn thiện BTP</t>
        </is>
      </c>
    </row>
    <row r="24" ht="21.95" customHeight="1" s="75">
      <c r="A24" s="3" t="n">
        <v>21</v>
      </c>
      <c r="B24" s="3" t="inlineStr">
        <is>
          <t>PO-3079</t>
        </is>
      </c>
      <c r="C24" s="4" t="inlineStr">
        <is>
          <t>Luợng- KS Tường Long</t>
        </is>
      </c>
      <c r="D24" s="4" t="inlineStr">
        <is>
          <t>Ốp dao nhào trên (Bộ bên trái)</t>
        </is>
      </c>
      <c r="E24" s="6" t="n">
        <v>40</v>
      </c>
      <c r="F24" s="6" t="n">
        <v>0</v>
      </c>
      <c r="G24" s="6" t="n">
        <v>0</v>
      </c>
      <c r="H24" s="6">
        <f>MAX(0, F24-G24)</f>
        <v/>
      </c>
      <c r="I24" s="6">
        <f>MAX(0, E24-G24)</f>
        <v/>
      </c>
      <c r="J24" s="4" t="inlineStr">
        <is>
          <t>Bộ Phận Hoàn Thiện (Lắp ráp/Bao gói)</t>
        </is>
      </c>
      <c r="K24" s="33" t="n">
        <v>46255</v>
      </c>
      <c r="L24" s="33" t="n">
        <v>46262</v>
      </c>
      <c r="M24" s="7">
        <f>IF(E24&gt;0, G24/E24, 0)</f>
        <v/>
      </c>
      <c r="N24" s="3">
        <f>IF(E24=0, "Chưa có đơn hàng", IF(G24&gt;E24, "⚠️ BÀN GIAO VƯỢT KH", IF(G24&gt;=E24, "Đã bàn giao đủ", IF(F24&gt;=E24, "Xong xưởng - Chờ chuyển", IF(F24&gt;0, "Đang gia công trên máy", "Chờ nhận phôi đúc")))))</f>
        <v/>
      </c>
      <c r="O24" t="inlineStr">
        <is>
          <t>NC2</t>
        </is>
      </c>
      <c r="P24" t="inlineStr">
        <is>
          <t>G/c phay vát rãnh hoàn thiện BTP</t>
        </is>
      </c>
    </row>
    <row r="25" ht="21.95" customHeight="1" s="75">
      <c r="A25" s="3" t="n">
        <v>22</v>
      </c>
      <c r="B25" s="3" t="inlineStr">
        <is>
          <t>PO-3081</t>
        </is>
      </c>
      <c r="C25" s="4" t="inlineStr">
        <is>
          <t>Luợng- KS Tường Long</t>
        </is>
      </c>
      <c r="D25" s="4" t="inlineStr">
        <is>
          <t>Ốp dao nhào trên (Bộ bên trái)</t>
        </is>
      </c>
      <c r="E25" s="6" t="n">
        <v>1</v>
      </c>
      <c r="F25" s="6" t="n">
        <v>0</v>
      </c>
      <c r="G25" s="6" t="n">
        <v>0</v>
      </c>
      <c r="H25" s="6">
        <f>MAX(0, F25-G25)</f>
        <v/>
      </c>
      <c r="I25" s="6">
        <f>MAX(0, E25-G25)</f>
        <v/>
      </c>
      <c r="J25" s="4" t="inlineStr">
        <is>
          <t>Bộ Phận Hoàn Thiện (Lắp ráp/Bao gói)</t>
        </is>
      </c>
      <c r="K25" s="33" t="n">
        <v>46252</v>
      </c>
      <c r="L25" s="33" t="n">
        <v>46259</v>
      </c>
      <c r="M25" s="7">
        <f>IF(E25&gt;0, G25/E25, 0)</f>
        <v/>
      </c>
      <c r="N25" s="3">
        <f>IF(E25=0, "Chưa có đơn hàng", IF(G25&gt;E25, "⚠️ BÀN GIAO VƯỢT KH", IF(G25&gt;=E25, "Đã bàn giao đủ", IF(F25&gt;=E25, "Xong xưởng - Chờ chuyển", IF(F25&gt;0, "Đang gia công trên máy", "Chờ nhận phôi đúc")))))</f>
        <v/>
      </c>
      <c r="O25" t="inlineStr">
        <is>
          <t>NC2</t>
        </is>
      </c>
      <c r="P25" t="inlineStr">
        <is>
          <t>G/c phay vát rãnh hoàn thiện BTP</t>
        </is>
      </c>
    </row>
    <row r="26" ht="21.95" customHeight="1" s="75">
      <c r="A26" s="3" t="n">
        <v>23</v>
      </c>
      <c r="B26" s="3" t="inlineStr">
        <is>
          <t>PO-3455</t>
        </is>
      </c>
      <c r="C26" s="4" t="inlineStr">
        <is>
          <t>Luợng- KS Tường Long</t>
        </is>
      </c>
      <c r="D26" s="4" t="inlineStr">
        <is>
          <t>Ốp dao nhào trên (Bộ bên trái)</t>
        </is>
      </c>
      <c r="E26" s="6" t="n">
        <v>1</v>
      </c>
      <c r="F26" s="6" t="n">
        <v>0</v>
      </c>
      <c r="G26" s="6" t="n">
        <v>0</v>
      </c>
      <c r="H26" s="6">
        <f>MAX(0, F26-G26)</f>
        <v/>
      </c>
      <c r="I26" s="6">
        <f>MAX(0, E26-G26)</f>
        <v/>
      </c>
      <c r="J26" s="4" t="inlineStr">
        <is>
          <t>Bộ Phận Hoàn Thiện (Lắp ráp/Bao gói)</t>
        </is>
      </c>
      <c r="K26" s="33" t="n">
        <v>46265</v>
      </c>
      <c r="L26" s="33" t="n">
        <v>46272</v>
      </c>
      <c r="M26" s="7">
        <f>IF(E26&gt;0, G26/E26, 0)</f>
        <v/>
      </c>
      <c r="N26" s="3">
        <f>IF(E26=0, "Chưa có đơn hàng", IF(G26&gt;E26, "⚠️ BÀN GIAO VƯỢT KH", IF(G26&gt;=E26, "Đã bàn giao đủ", IF(F26&gt;=E26, "Xong xưởng - Chờ chuyển", IF(F26&gt;0, "Đang gia công trên máy", "Chờ nhận phôi đúc")))))</f>
        <v/>
      </c>
      <c r="O26" t="inlineStr">
        <is>
          <t>NC2</t>
        </is>
      </c>
      <c r="P26" t="inlineStr">
        <is>
          <t>G/c phay vát rãnh hoàn thiện BTP</t>
        </is>
      </c>
    </row>
    <row r="27" ht="21.95" customHeight="1" s="75">
      <c r="A27" s="3" t="n">
        <v>24</v>
      </c>
      <c r="B27" s="3" t="inlineStr">
        <is>
          <t>PO-3528</t>
        </is>
      </c>
      <c r="C27" s="4" t="inlineStr">
        <is>
          <t>Luợng- KS Tường Long</t>
        </is>
      </c>
      <c r="D27" s="4" t="inlineStr">
        <is>
          <t>Ốp dao nhào trên (Bộ bên trái)</t>
        </is>
      </c>
      <c r="E27" s="6" t="n">
        <v>1</v>
      </c>
      <c r="F27" s="6" t="n">
        <v>0</v>
      </c>
      <c r="G27" s="6" t="n">
        <v>0</v>
      </c>
      <c r="H27" s="6">
        <f>MAX(0, F27-G27)</f>
        <v/>
      </c>
      <c r="I27" s="6">
        <f>MAX(0, E27-G27)</f>
        <v/>
      </c>
      <c r="J27" s="4" t="inlineStr">
        <is>
          <t>Bộ Phận Hoàn Thiện (Lắp ráp/Bao gói)</t>
        </is>
      </c>
      <c r="K27" s="33" t="n">
        <v>46250</v>
      </c>
      <c r="L27" s="33" t="n">
        <v>46257</v>
      </c>
      <c r="M27" s="7">
        <f>IF(E27&gt;0, G27/E27, 0)</f>
        <v/>
      </c>
      <c r="N27" s="3">
        <f>IF(E27=0, "Chưa có đơn hàng", IF(G27&gt;E27, "⚠️ BÀN GIAO VƯỢT KH", IF(G27&gt;=E27, "Đã bàn giao đủ", IF(F27&gt;=E27, "Xong xưởng - Chờ chuyển", IF(F27&gt;0, "Đang gia công trên máy", "Chờ nhận phôi đúc")))))</f>
        <v/>
      </c>
      <c r="O27" t="inlineStr">
        <is>
          <t>NC2</t>
        </is>
      </c>
      <c r="P27" t="inlineStr">
        <is>
          <t>G/c phay vát rãnh hoàn thiện BTP</t>
        </is>
      </c>
    </row>
    <row r="28" ht="21.95" customHeight="1" s="75">
      <c r="A28" s="3" t="n">
        <v>25</v>
      </c>
      <c r="B28" s="3" t="inlineStr">
        <is>
          <t>PO-4481</t>
        </is>
      </c>
      <c r="C28" s="4" t="inlineStr">
        <is>
          <t>Luợng- KS Tường Long</t>
        </is>
      </c>
      <c r="D28" s="4" t="inlineStr">
        <is>
          <t>Ốp dao nhào trên (Bộ bên trái)</t>
        </is>
      </c>
      <c r="E28" s="6" t="n">
        <v>1</v>
      </c>
      <c r="F28" s="6" t="n">
        <v>0</v>
      </c>
      <c r="G28" s="6" t="n">
        <v>0</v>
      </c>
      <c r="H28" s="6">
        <f>MAX(0, F28-G28)</f>
        <v/>
      </c>
      <c r="I28" s="6">
        <f>MAX(0, E28-G28)</f>
        <v/>
      </c>
      <c r="J28" s="4" t="inlineStr">
        <is>
          <t>Bộ Phận Hoàn Thiện (Lắp ráp/Bao gói)</t>
        </is>
      </c>
      <c r="K28" s="33" t="n">
        <v>46250</v>
      </c>
      <c r="L28" s="33" t="n">
        <v>46257</v>
      </c>
      <c r="M28" s="7">
        <f>IF(E28&gt;0, G28/E28, 0)</f>
        <v/>
      </c>
      <c r="N28" s="3">
        <f>IF(E28=0, "Chưa có đơn hàng", IF(G28&gt;E28, "⚠️ BÀN GIAO VƯỢT KH", IF(G28&gt;=E28, "Đã bàn giao đủ", IF(F28&gt;=E28, "Xong xưởng - Chờ chuyển", IF(F28&gt;0, "Đang gia công trên máy", "Chờ nhận phôi đúc")))))</f>
        <v/>
      </c>
      <c r="O28" t="inlineStr">
        <is>
          <t>NC2</t>
        </is>
      </c>
      <c r="P28" t="inlineStr">
        <is>
          <t>G/c phay vát rãnh hoàn thiện BTP</t>
        </is>
      </c>
    </row>
    <row r="29" ht="21.95" customHeight="1" s="75">
      <c r="A29" s="3" t="n">
        <v>26</v>
      </c>
      <c r="B29" s="3" t="inlineStr">
        <is>
          <t>PO-4525</t>
        </is>
      </c>
      <c r="C29" s="4" t="inlineStr">
        <is>
          <t>Luợng- KS Tường Long</t>
        </is>
      </c>
      <c r="D29" s="4" t="inlineStr">
        <is>
          <t>Ốp dao nhào trên (Bộ bên trái)</t>
        </is>
      </c>
      <c r="E29" s="6" t="n">
        <v>15</v>
      </c>
      <c r="F29" s="6" t="n">
        <v>0</v>
      </c>
      <c r="G29" s="6" t="n">
        <v>0</v>
      </c>
      <c r="H29" s="6">
        <f>MAX(0, F29-G29)</f>
        <v/>
      </c>
      <c r="I29" s="6">
        <f>MAX(0, E29-G29)</f>
        <v/>
      </c>
      <c r="J29" s="4" t="inlineStr">
        <is>
          <t>Bộ Phận Hoàn Thiện (Lắp ráp/Bao gói)</t>
        </is>
      </c>
      <c r="K29" s="33" t="n">
        <v>46253</v>
      </c>
      <c r="L29" s="33" t="n">
        <v>46260</v>
      </c>
      <c r="M29" s="7">
        <f>IF(E29&gt;0, G29/E29, 0)</f>
        <v/>
      </c>
      <c r="N29" s="3">
        <f>IF(E29=0, "Chưa có đơn hàng", IF(G29&gt;E29, "⚠️ BÀN GIAO VƯỢT KH", IF(G29&gt;=E29, "Đã bàn giao đủ", IF(F29&gt;=E29, "Xong xưởng - Chờ chuyển", IF(F29&gt;0, "Đang gia công trên máy", "Chờ nhận phôi đúc")))))</f>
        <v/>
      </c>
      <c r="O29" t="inlineStr">
        <is>
          <t>NC2</t>
        </is>
      </c>
      <c r="P29" t="inlineStr">
        <is>
          <t>G/c phay vát rãnh hoàn thiện BTP</t>
        </is>
      </c>
    </row>
    <row r="30" ht="21.95" customHeight="1" s="75">
      <c r="A30" s="3" t="n">
        <v>27</v>
      </c>
      <c r="B30" s="3" t="inlineStr">
        <is>
          <t>PO-4545</t>
        </is>
      </c>
      <c r="C30" s="4" t="inlineStr">
        <is>
          <t>Luợng- KS Tường Long</t>
        </is>
      </c>
      <c r="D30" s="4" t="inlineStr">
        <is>
          <t>Ốp dao nhào trên (Bộ bên trái)</t>
        </is>
      </c>
      <c r="E30" s="6" t="n">
        <v>2</v>
      </c>
      <c r="F30" s="6" t="n">
        <v>0</v>
      </c>
      <c r="G30" s="6" t="n">
        <v>2</v>
      </c>
      <c r="H30" s="6">
        <f>MAX(0, F30-G30)</f>
        <v/>
      </c>
      <c r="I30" s="6">
        <f>MAX(0, E30-G30)</f>
        <v/>
      </c>
      <c r="J30" s="4" t="inlineStr">
        <is>
          <t>Bộ Phận Hoàn Thiện (Lắp ráp/Bao gói)</t>
        </is>
      </c>
      <c r="K30" s="33" t="n">
        <v>46248</v>
      </c>
      <c r="L30" s="33" t="n">
        <v>46255</v>
      </c>
      <c r="M30" s="7">
        <f>IF(E30&gt;0, G30/E30, 0)</f>
        <v/>
      </c>
      <c r="N30" s="3">
        <f>IF(E30=0, "Chưa có đơn hàng", IF(G30&gt;E30, "⚠️ BÀN GIAO VƯỢT KH", IF(G30&gt;=E30, "Đã bàn giao đủ", IF(F30&gt;=E30, "Xong xưởng - Chờ chuyển", IF(F30&gt;0, "Đang gia công trên máy", "Chờ nhận phôi đúc")))))</f>
        <v/>
      </c>
      <c r="O30" t="inlineStr">
        <is>
          <t>NC2</t>
        </is>
      </c>
      <c r="P30" t="inlineStr">
        <is>
          <t>G/c phay vát rãnh hoàn thiện BTP</t>
        </is>
      </c>
    </row>
    <row r="31" ht="21.95" customHeight="1" s="75">
      <c r="A31" s="3" t="n">
        <v>28</v>
      </c>
      <c r="B31" s="3" t="inlineStr">
        <is>
          <t>PO-5710</t>
        </is>
      </c>
      <c r="C31" s="4" t="inlineStr">
        <is>
          <t>Luợng- KS Tường Long</t>
        </is>
      </c>
      <c r="D31" s="4" t="inlineStr">
        <is>
          <t>Ốp dao nhào trên (Bộ bên trái)</t>
        </is>
      </c>
      <c r="E31" s="6" t="n">
        <v>1</v>
      </c>
      <c r="F31" s="6" t="n">
        <v>0</v>
      </c>
      <c r="G31" s="6" t="n">
        <v>0</v>
      </c>
      <c r="H31" s="6">
        <f>MAX(0, F31-G31)</f>
        <v/>
      </c>
      <c r="I31" s="6">
        <f>MAX(0, E31-G31)</f>
        <v/>
      </c>
      <c r="J31" s="4" t="inlineStr">
        <is>
          <t>Bộ Phận Hoàn Thiện (Lắp ráp/Bao gói)</t>
        </is>
      </c>
      <c r="K31" s="33" t="n">
        <v>46254</v>
      </c>
      <c r="L31" s="33" t="n">
        <v>46261</v>
      </c>
      <c r="M31" s="7">
        <f>IF(E31&gt;0, G31/E31, 0)</f>
        <v/>
      </c>
      <c r="N31" s="3">
        <f>IF(E31=0, "Chưa có đơn hàng", IF(G31&gt;E31, "⚠️ BÀN GIAO VƯỢT KH", IF(G31&gt;=E31, "Đã bàn giao đủ", IF(F31&gt;=E31, "Xong xưởng - Chờ chuyển", IF(F31&gt;0, "Đang gia công trên máy", "Chờ nhận phôi đúc")))))</f>
        <v/>
      </c>
      <c r="O31" t="inlineStr">
        <is>
          <t>NC2</t>
        </is>
      </c>
      <c r="P31" t="inlineStr">
        <is>
          <t>G/c phay vát rãnh hoàn thiện BTP</t>
        </is>
      </c>
    </row>
    <row r="32" ht="21.95" customHeight="1" s="75">
      <c r="A32" s="3" t="n">
        <v>29</v>
      </c>
      <c r="B32" s="3" t="inlineStr">
        <is>
          <t>PO-6183</t>
        </is>
      </c>
      <c r="C32" s="4" t="inlineStr">
        <is>
          <t>Luợng- KS Tường Long</t>
        </is>
      </c>
      <c r="D32" s="4" t="inlineStr">
        <is>
          <t>Ốp dao nhào trên (Bộ bên trái)</t>
        </is>
      </c>
      <c r="E32" s="6" t="n">
        <v>1</v>
      </c>
      <c r="F32" s="6" t="n">
        <v>0</v>
      </c>
      <c r="G32" s="6" t="n">
        <v>0</v>
      </c>
      <c r="H32" s="6">
        <f>MAX(0, F32-G32)</f>
        <v/>
      </c>
      <c r="I32" s="6">
        <f>MAX(0, E32-G32)</f>
        <v/>
      </c>
      <c r="J32" s="4" t="inlineStr">
        <is>
          <t>Bộ Phận Hoàn Thiện (Lắp ráp/Bao gói)</t>
        </is>
      </c>
      <c r="K32" s="33" t="n">
        <v>46253</v>
      </c>
      <c r="L32" s="33" t="n">
        <v>46260</v>
      </c>
      <c r="M32" s="7">
        <f>IF(E32&gt;0, G32/E32, 0)</f>
        <v/>
      </c>
      <c r="N32" s="3">
        <f>IF(E32=0, "Chưa có đơn hàng", IF(G32&gt;E32, "⚠️ BÀN GIAO VƯỢT KH", IF(G32&gt;=E32, "Đã bàn giao đủ", IF(F32&gt;=E32, "Xong xưởng - Chờ chuyển", IF(F32&gt;0, "Đang gia công trên máy", "Chờ nhận phôi đúc")))))</f>
        <v/>
      </c>
      <c r="O32" t="inlineStr">
        <is>
          <t>NC2</t>
        </is>
      </c>
      <c r="P32" t="inlineStr">
        <is>
          <t>G/c phay vát rãnh hoàn thiện BTP</t>
        </is>
      </c>
    </row>
    <row r="33" ht="21.95" customHeight="1" s="75">
      <c r="A33" s="3" t="n">
        <v>30</v>
      </c>
      <c r="B33" s="3" t="inlineStr">
        <is>
          <t>PO-7253</t>
        </is>
      </c>
      <c r="C33" s="4" t="inlineStr">
        <is>
          <t>Luợng- KS Tường Long</t>
        </is>
      </c>
      <c r="D33" s="4" t="inlineStr">
        <is>
          <t>Ốp dao nhào trên (Bộ bên trái)</t>
        </is>
      </c>
      <c r="E33" s="6" t="n">
        <v>17</v>
      </c>
      <c r="F33" s="6" t="n">
        <v>0</v>
      </c>
      <c r="G33" s="6" t="n">
        <v>0</v>
      </c>
      <c r="H33" s="6">
        <f>MAX(0, F33-G33)</f>
        <v/>
      </c>
      <c r="I33" s="6">
        <f>MAX(0, E33-G33)</f>
        <v/>
      </c>
      <c r="J33" s="4" t="inlineStr">
        <is>
          <t>Bộ Phận Hoàn Thiện (Lắp ráp/Bao gói)</t>
        </is>
      </c>
      <c r="K33" s="33" t="n">
        <v>46254</v>
      </c>
      <c r="L33" s="33" t="n">
        <v>46261</v>
      </c>
      <c r="M33" s="7">
        <f>IF(E33&gt;0, G33/E33, 0)</f>
        <v/>
      </c>
      <c r="N33" s="3">
        <f>IF(E33=0, "Chưa có đơn hàng", IF(G33&gt;E33, "⚠️ BÀN GIAO VƯỢT KH", IF(G33&gt;=E33, "Đã bàn giao đủ", IF(F33&gt;=E33, "Xong xưởng - Chờ chuyển", IF(F33&gt;0, "Đang gia công trên máy", "Chờ nhận phôi đúc")))))</f>
        <v/>
      </c>
      <c r="O33" t="inlineStr">
        <is>
          <t>NC2</t>
        </is>
      </c>
      <c r="P33" t="inlineStr">
        <is>
          <t>G/c phay vát rãnh hoàn thiện BTP</t>
        </is>
      </c>
    </row>
    <row r="34" ht="21.95" customHeight="1" s="75">
      <c r="A34" s="3" t="n">
        <v>31</v>
      </c>
      <c r="B34" s="3" t="inlineStr">
        <is>
          <t>PO-7319</t>
        </is>
      </c>
      <c r="C34" s="4" t="inlineStr">
        <is>
          <t>Luợng- KS Tường Long</t>
        </is>
      </c>
      <c r="D34" s="4" t="inlineStr">
        <is>
          <t>Ốp dao nhào trên (Bộ bên trái)</t>
        </is>
      </c>
      <c r="E34" s="6" t="n">
        <v>2</v>
      </c>
      <c r="F34" s="6" t="n">
        <v>0</v>
      </c>
      <c r="G34" s="6" t="n">
        <v>0</v>
      </c>
      <c r="H34" s="6">
        <f>MAX(0, F34-G34)</f>
        <v/>
      </c>
      <c r="I34" s="6">
        <f>MAX(0, E34-G34)</f>
        <v/>
      </c>
      <c r="J34" s="4" t="inlineStr">
        <is>
          <t>Bộ Phận Hoàn Thiện (Lắp ráp/Bao gói)</t>
        </is>
      </c>
      <c r="K34" s="33" t="n">
        <v>46249</v>
      </c>
      <c r="L34" s="33" t="n">
        <v>46256</v>
      </c>
      <c r="M34" s="7">
        <f>IF(E34&gt;0, G34/E34, 0)</f>
        <v/>
      </c>
      <c r="N34" s="3">
        <f>IF(E34=0, "Chưa có đơn hàng", IF(G34&gt;E34, "⚠️ BÀN GIAO VƯỢT KH", IF(G34&gt;=E34, "Đã bàn giao đủ", IF(F34&gt;=E34, "Xong xưởng - Chờ chuyển", IF(F34&gt;0, "Đang gia công trên máy", "Chờ nhận phôi đúc")))))</f>
        <v/>
      </c>
      <c r="O34" t="inlineStr">
        <is>
          <t>NC2</t>
        </is>
      </c>
      <c r="P34" t="inlineStr">
        <is>
          <t>G/c phay vát rãnh hoàn thiện BTP</t>
        </is>
      </c>
    </row>
    <row r="35" ht="21.95" customHeight="1" s="75">
      <c r="A35" s="3" t="n">
        <v>32</v>
      </c>
      <c r="B35" s="3" t="inlineStr">
        <is>
          <t>PO-7432</t>
        </is>
      </c>
      <c r="C35" s="4" t="inlineStr">
        <is>
          <t>Luợng- KS Tường Long</t>
        </is>
      </c>
      <c r="D35" s="4" t="inlineStr">
        <is>
          <t>Ốp dao nhào trên (Bộ bên trái)</t>
        </is>
      </c>
      <c r="E35" s="6" t="n">
        <v>8</v>
      </c>
      <c r="F35" s="6" t="n">
        <v>0</v>
      </c>
      <c r="G35" s="6" t="n">
        <v>0</v>
      </c>
      <c r="H35" s="6">
        <f>MAX(0, F35-G35)</f>
        <v/>
      </c>
      <c r="I35" s="6">
        <f>MAX(0, E35-G35)</f>
        <v/>
      </c>
      <c r="J35" s="4" t="inlineStr">
        <is>
          <t>Bộ Phận Hoàn Thiện (Lắp ráp/Bao gói)</t>
        </is>
      </c>
      <c r="K35" s="33" t="n">
        <v>46256</v>
      </c>
      <c r="L35" s="33" t="n">
        <v>46263</v>
      </c>
      <c r="M35" s="7">
        <f>IF(E35&gt;0, G35/E35, 0)</f>
        <v/>
      </c>
      <c r="N35" s="3">
        <f>IF(E35=0, "Chưa có đơn hàng", IF(G35&gt;E35, "⚠️ BÀN GIAO VƯỢT KH", IF(G35&gt;=E35, "Đã bàn giao đủ", IF(F35&gt;=E35, "Xong xưởng - Chờ chuyển", IF(F35&gt;0, "Đang gia công trên máy", "Chờ nhận phôi đúc")))))</f>
        <v/>
      </c>
      <c r="O35" t="inlineStr">
        <is>
          <t>NC2</t>
        </is>
      </c>
      <c r="P35" t="inlineStr">
        <is>
          <t>G/c phay vát rãnh hoàn thiện BTP</t>
        </is>
      </c>
    </row>
    <row r="36" ht="21.95" customHeight="1" s="75">
      <c r="A36" s="3" t="n">
        <v>33</v>
      </c>
      <c r="B36" s="3" t="inlineStr">
        <is>
          <t>PO-9119</t>
        </is>
      </c>
      <c r="C36" s="4" t="inlineStr">
        <is>
          <t>Luợng- KS Tường Long</t>
        </is>
      </c>
      <c r="D36" s="4" t="inlineStr">
        <is>
          <t>Ốp dao nhào trên (Bộ bên trái)</t>
        </is>
      </c>
      <c r="E36" s="6" t="n">
        <v>1</v>
      </c>
      <c r="F36" s="6" t="n">
        <v>0</v>
      </c>
      <c r="G36" s="6" t="n">
        <v>0</v>
      </c>
      <c r="H36" s="6">
        <f>MAX(0, F36-G36)</f>
        <v/>
      </c>
      <c r="I36" s="6">
        <f>MAX(0, E36-G36)</f>
        <v/>
      </c>
      <c r="J36" s="4" t="inlineStr">
        <is>
          <t>Bộ Phận Hoàn Thiện (Lắp ráp/Bao gói)</t>
        </is>
      </c>
      <c r="K36" s="33" t="n">
        <v>46253</v>
      </c>
      <c r="L36" s="33" t="n">
        <v>46260</v>
      </c>
      <c r="M36" s="7">
        <f>IF(E36&gt;0, G36/E36, 0)</f>
        <v/>
      </c>
      <c r="N36" s="3">
        <f>IF(E36=0, "Chưa có đơn hàng", IF(G36&gt;E36, "⚠️ BÀN GIAO VƯỢT KH", IF(G36&gt;=E36, "Đã bàn giao đủ", IF(F36&gt;=E36, "Xong xưởng - Chờ chuyển", IF(F36&gt;0, "Đang gia công trên máy", "Chờ nhận phôi đúc")))))</f>
        <v/>
      </c>
      <c r="O36" t="inlineStr">
        <is>
          <t>NC2</t>
        </is>
      </c>
      <c r="P36" t="inlineStr">
        <is>
          <t>G/c phay vát rãnh hoàn thiện BTP</t>
        </is>
      </c>
    </row>
    <row r="37" ht="21.95" customHeight="1" s="75">
      <c r="A37" s="3" t="n">
        <v>34</v>
      </c>
      <c r="B37" s="3" t="inlineStr">
        <is>
          <t>PO-2891</t>
        </is>
      </c>
      <c r="C37" s="4" t="inlineStr">
        <is>
          <t>Molycop</t>
        </is>
      </c>
      <c r="D37" s="4" t="inlineStr">
        <is>
          <t>Bi 25</t>
        </is>
      </c>
      <c r="E37" s="6" t="n">
        <v>10</v>
      </c>
      <c r="F37" s="6" t="n">
        <v>0</v>
      </c>
      <c r="G37" s="6" t="n">
        <v>0</v>
      </c>
      <c r="H37" s="6">
        <f>MAX(0, F37-G37)</f>
        <v/>
      </c>
      <c r="I37" s="6">
        <f>MAX(0, E37-G37)</f>
        <v/>
      </c>
      <c r="J37" s="4" t="inlineStr">
        <is>
          <t>Phòng KCS / Thí Nghiệm Cơ Tính</t>
        </is>
      </c>
      <c r="K37" s="33" t="n">
        <v>46263</v>
      </c>
      <c r="L37" s="33" t="n">
        <v>46270</v>
      </c>
      <c r="M37" s="7">
        <f>IF(E37&gt;0, G37/E37, 0)</f>
        <v/>
      </c>
      <c r="N37" s="3">
        <f>IF(E37=0, "Chưa có đơn hàng", IF(G37&gt;E37, "⚠️ BÀN GIAO VƯỢT KH", IF(G37&gt;=E37, "Đã bàn giao đủ", IF(F37&gt;=E37, "Xong xưởng - Chờ chuyển", IF(F37&gt;0, "Đang gia công trên máy", "Chờ nhận phôi đúc")))))</f>
        <v/>
      </c>
      <c r="O37" t="inlineStr">
        <is>
          <t>NC2</t>
        </is>
      </c>
      <c r="P37" t="inlineStr">
        <is>
          <t>G/c mài cầu tròn hoàn thiện BTP</t>
        </is>
      </c>
    </row>
    <row r="38" ht="21.95" customHeight="1" s="75">
      <c r="A38" s="3" t="n">
        <v>35</v>
      </c>
      <c r="B38" s="3" t="inlineStr">
        <is>
          <t>PO-4099</t>
        </is>
      </c>
      <c r="C38" s="4" t="inlineStr">
        <is>
          <t>Molycop</t>
        </is>
      </c>
      <c r="D38" s="4" t="inlineStr">
        <is>
          <t>Bi 40</t>
        </is>
      </c>
      <c r="E38" s="6" t="n">
        <v>30</v>
      </c>
      <c r="F38" s="6" t="n">
        <v>0</v>
      </c>
      <c r="G38" s="6" t="n">
        <v>0</v>
      </c>
      <c r="H38" s="6">
        <f>MAX(0, F38-G38)</f>
        <v/>
      </c>
      <c r="I38" s="6">
        <f>MAX(0, E38-G38)</f>
        <v/>
      </c>
      <c r="J38" s="4" t="inlineStr">
        <is>
          <t>Phòng KCS / Thí Nghiệm Cơ Tính</t>
        </is>
      </c>
      <c r="K38" s="33" t="n">
        <v>46257</v>
      </c>
      <c r="L38" s="33" t="n">
        <v>46264</v>
      </c>
      <c r="M38" s="7">
        <f>IF(E38&gt;0, G38/E38, 0)</f>
        <v/>
      </c>
      <c r="N38" s="3">
        <f>IF(E38=0, "Chưa có đơn hàng", IF(G38&gt;E38, "⚠️ BÀN GIAO VƯỢT KH", IF(G38&gt;=E38, "Đã bàn giao đủ", IF(F38&gt;=E38, "Xong xưởng - Chờ chuyển", IF(F38&gt;0, "Đang gia công trên máy", "Chờ nhận phôi đúc")))))</f>
        <v/>
      </c>
      <c r="O38" t="inlineStr">
        <is>
          <t>NC2</t>
        </is>
      </c>
      <c r="P38" t="inlineStr">
        <is>
          <t>G/c mài cầu tròn hoàn thiện BTP</t>
        </is>
      </c>
    </row>
    <row r="39" ht="21.95" customHeight="1" s="75">
      <c r="A39" s="3" t="n">
        <v>36</v>
      </c>
      <c r="B39" s="3" t="inlineStr">
        <is>
          <t>PO-4474</t>
        </is>
      </c>
      <c r="C39" s="4" t="inlineStr">
        <is>
          <t>Molycop</t>
        </is>
      </c>
      <c r="D39" s="4" t="inlineStr">
        <is>
          <t>Bi 25</t>
        </is>
      </c>
      <c r="E39" s="6" t="n">
        <v>3</v>
      </c>
      <c r="F39" s="6" t="n">
        <v>0</v>
      </c>
      <c r="G39" s="6" t="n">
        <v>0</v>
      </c>
      <c r="H39" s="6">
        <f>MAX(0, F39-G39)</f>
        <v/>
      </c>
      <c r="I39" s="6">
        <f>MAX(0, E39-G39)</f>
        <v/>
      </c>
      <c r="J39" s="4" t="inlineStr">
        <is>
          <t>Phòng KCS / Thí Nghiệm Cơ Tính</t>
        </is>
      </c>
      <c r="K39" s="33" t="n">
        <v>46254</v>
      </c>
      <c r="L39" s="33" t="n">
        <v>46261</v>
      </c>
      <c r="M39" s="7">
        <f>IF(E39&gt;0, G39/E39, 0)</f>
        <v/>
      </c>
      <c r="N39" s="3">
        <f>IF(E39=0, "Chưa có đơn hàng", IF(G39&gt;E39, "⚠️ BÀN GIAO VƯỢT KH", IF(G39&gt;=E39, "Đã bàn giao đủ", IF(F39&gt;=E39, "Xong xưởng - Chờ chuyển", IF(F39&gt;0, "Đang gia công trên máy", "Chờ nhận phôi đúc")))))</f>
        <v/>
      </c>
      <c r="O39" t="inlineStr">
        <is>
          <t>NC2</t>
        </is>
      </c>
      <c r="P39" t="inlineStr">
        <is>
          <t>G/c mài cầu tròn hoàn thiện BTP</t>
        </is>
      </c>
    </row>
    <row r="40" ht="21.95" customHeight="1" s="75">
      <c r="A40" s="3" t="n">
        <v>37</v>
      </c>
      <c r="B40" s="3" t="inlineStr">
        <is>
          <t>PO-5163</t>
        </is>
      </c>
      <c r="C40" s="4" t="inlineStr">
        <is>
          <t>Molycop</t>
        </is>
      </c>
      <c r="D40" s="4" t="inlineStr">
        <is>
          <t>Bi 40</t>
        </is>
      </c>
      <c r="E40" s="6" t="n">
        <v>19</v>
      </c>
      <c r="F40" s="6" t="n">
        <v>0</v>
      </c>
      <c r="G40" s="6" t="n">
        <v>0</v>
      </c>
      <c r="H40" s="6">
        <f>MAX(0, F40-G40)</f>
        <v/>
      </c>
      <c r="I40" s="6">
        <f>MAX(0, E40-G40)</f>
        <v/>
      </c>
      <c r="J40" s="4" t="inlineStr">
        <is>
          <t>Phòng KCS / Thí Nghiệm Cơ Tính</t>
        </is>
      </c>
      <c r="K40" s="33" t="n">
        <v>46263</v>
      </c>
      <c r="L40" s="33" t="n">
        <v>46270</v>
      </c>
      <c r="M40" s="7">
        <f>IF(E40&gt;0, G40/E40, 0)</f>
        <v/>
      </c>
      <c r="N40" s="3">
        <f>IF(E40=0, "Chưa có đơn hàng", IF(G40&gt;E40, "⚠️ BÀN GIAO VƯỢT KH", IF(G40&gt;=E40, "Đã bàn giao đủ", IF(F40&gt;=E40, "Xong xưởng - Chờ chuyển", IF(F40&gt;0, "Đang gia công trên máy", "Chờ nhận phôi đúc")))))</f>
        <v/>
      </c>
      <c r="O40" t="inlineStr">
        <is>
          <t>NC2</t>
        </is>
      </c>
      <c r="P40" t="inlineStr">
        <is>
          <t>G/c mài cầu tròn hoàn thiện BTP</t>
        </is>
      </c>
    </row>
    <row r="41" ht="21.95" customHeight="1" s="75">
      <c r="A41" s="3" t="n">
        <v>38</v>
      </c>
      <c r="B41" s="3" t="inlineStr">
        <is>
          <t>PO-5200</t>
        </is>
      </c>
      <c r="C41" s="4" t="inlineStr">
        <is>
          <t>Molycop</t>
        </is>
      </c>
      <c r="D41" s="4" t="inlineStr">
        <is>
          <t>Bi 25</t>
        </is>
      </c>
      <c r="E41" s="6" t="n">
        <v>19</v>
      </c>
      <c r="F41" s="6" t="n">
        <v>0</v>
      </c>
      <c r="G41" s="6" t="n">
        <v>0</v>
      </c>
      <c r="H41" s="6">
        <f>MAX(0, F41-G41)</f>
        <v/>
      </c>
      <c r="I41" s="6">
        <f>MAX(0, E41-G41)</f>
        <v/>
      </c>
      <c r="J41" s="4" t="inlineStr">
        <is>
          <t>Phòng KCS / Thí Nghiệm Cơ Tính</t>
        </is>
      </c>
      <c r="K41" s="33" t="n">
        <v>46251</v>
      </c>
      <c r="L41" s="33" t="n">
        <v>46258</v>
      </c>
      <c r="M41" s="7">
        <f>IF(E41&gt;0, G41/E41, 0)</f>
        <v/>
      </c>
      <c r="N41" s="3">
        <f>IF(E41=0, "Chưa có đơn hàng", IF(G41&gt;E41, "⚠️ BÀN GIAO VƯỢT KH", IF(G41&gt;=E41, "Đã bàn giao đủ", IF(F41&gt;=E41, "Xong xưởng - Chờ chuyển", IF(F41&gt;0, "Đang gia công trên máy", "Chờ nhận phôi đúc")))))</f>
        <v/>
      </c>
      <c r="O41" t="inlineStr">
        <is>
          <t>NC2</t>
        </is>
      </c>
      <c r="P41" t="inlineStr">
        <is>
          <t>G/c mài cầu tròn hoàn thiện BTP</t>
        </is>
      </c>
    </row>
    <row r="42" ht="21.95" customHeight="1" s="75">
      <c r="A42" s="3" t="n">
        <v>39</v>
      </c>
      <c r="B42" s="3" t="inlineStr">
        <is>
          <t>PO-7435</t>
        </is>
      </c>
      <c r="C42" s="4" t="inlineStr">
        <is>
          <t>Molycop</t>
        </is>
      </c>
      <c r="D42" s="4" t="inlineStr">
        <is>
          <t>Bi 90</t>
        </is>
      </c>
      <c r="E42" s="6" t="n">
        <v>3</v>
      </c>
      <c r="F42" s="6" t="n">
        <v>0</v>
      </c>
      <c r="G42" s="6" t="n">
        <v>0</v>
      </c>
      <c r="H42" s="6">
        <f>MAX(0, F42-G42)</f>
        <v/>
      </c>
      <c r="I42" s="6">
        <f>MAX(0, E42-G42)</f>
        <v/>
      </c>
      <c r="J42" s="4" t="inlineStr">
        <is>
          <t>Phòng KCS / Thí Nghiệm Cơ Tính</t>
        </is>
      </c>
      <c r="K42" s="33" t="n">
        <v>46248</v>
      </c>
      <c r="L42" s="33" t="n">
        <v>46255</v>
      </c>
      <c r="M42" s="7">
        <f>IF(E42&gt;0, G42/E42, 0)</f>
        <v/>
      </c>
      <c r="N42" s="3">
        <f>IF(E42=0, "Chưa có đơn hàng", IF(G42&gt;E42, "⚠️ BÀN GIAO VƯỢT KH", IF(G42&gt;=E42, "Đã bàn giao đủ", IF(F42&gt;=E42, "Xong xưởng - Chờ chuyển", IF(F42&gt;0, "Đang gia công trên máy", "Chờ nhận phôi đúc")))))</f>
        <v/>
      </c>
      <c r="O42" t="inlineStr">
        <is>
          <t>NC2</t>
        </is>
      </c>
      <c r="P42" t="inlineStr">
        <is>
          <t>G/c mài cầu tròn hoàn thiện BTP</t>
        </is>
      </c>
    </row>
    <row r="43" ht="21.95" customHeight="1" s="75">
      <c r="A43" s="3" t="n">
        <v>40</v>
      </c>
      <c r="B43" s="3" t="inlineStr">
        <is>
          <t>PO-8205</t>
        </is>
      </c>
      <c r="C43" s="4" t="inlineStr">
        <is>
          <t>Molycop</t>
        </is>
      </c>
      <c r="D43" s="4" t="inlineStr">
        <is>
          <t>Bi 40</t>
        </is>
      </c>
      <c r="E43" s="6" t="n">
        <v>7</v>
      </c>
      <c r="F43" s="6" t="n">
        <v>0</v>
      </c>
      <c r="G43" s="6" t="n">
        <v>0</v>
      </c>
      <c r="H43" s="6">
        <f>MAX(0, F43-G43)</f>
        <v/>
      </c>
      <c r="I43" s="6">
        <f>MAX(0, E43-G43)</f>
        <v/>
      </c>
      <c r="J43" s="4" t="inlineStr">
        <is>
          <t>Phòng KCS / Thí Nghiệm Cơ Tính</t>
        </is>
      </c>
      <c r="K43" s="33" t="n">
        <v>46248</v>
      </c>
      <c r="L43" s="33" t="n">
        <v>46255</v>
      </c>
      <c r="M43" s="7">
        <f>IF(E43&gt;0, G43/E43, 0)</f>
        <v/>
      </c>
      <c r="N43" s="3">
        <f>IF(E43=0, "Chưa có đơn hàng", IF(G43&gt;E43, "⚠️ BÀN GIAO VƯỢT KH", IF(G43&gt;=E43, "Đã bàn giao đủ", IF(F43&gt;=E43, "Xong xưởng - Chờ chuyển", IF(F43&gt;0, "Đang gia công trên máy", "Chờ nhận phôi đúc")))))</f>
        <v/>
      </c>
      <c r="O43" t="inlineStr">
        <is>
          <t>NC2</t>
        </is>
      </c>
      <c r="P43" t="inlineStr">
        <is>
          <t>G/c mài cầu tròn hoàn thiện BTP</t>
        </is>
      </c>
    </row>
    <row r="44" ht="21.95" customHeight="1" s="75">
      <c r="A44" s="3" t="n">
        <v>41</v>
      </c>
      <c r="B44" s="3" t="inlineStr">
        <is>
          <t>PO-8823</t>
        </is>
      </c>
      <c r="C44" s="4" t="inlineStr">
        <is>
          <t>Molycop</t>
        </is>
      </c>
      <c r="D44" s="4" t="inlineStr">
        <is>
          <t>Bi 40</t>
        </is>
      </c>
      <c r="E44" s="6" t="n">
        <v>21</v>
      </c>
      <c r="F44" s="6" t="n">
        <v>0</v>
      </c>
      <c r="G44" s="6" t="n">
        <v>0</v>
      </c>
      <c r="H44" s="6">
        <f>MAX(0, F44-G44)</f>
        <v/>
      </c>
      <c r="I44" s="6">
        <f>MAX(0, E44-G44)</f>
        <v/>
      </c>
      <c r="J44" s="4" t="inlineStr">
        <is>
          <t>Phòng KCS / Thí Nghiệm Cơ Tính</t>
        </is>
      </c>
      <c r="K44" s="33" t="n">
        <v>46254</v>
      </c>
      <c r="L44" s="33" t="n">
        <v>46261</v>
      </c>
      <c r="M44" s="7">
        <f>IF(E44&gt;0, G44/E44, 0)</f>
        <v/>
      </c>
      <c r="N44" s="3">
        <f>IF(E44=0, "Chưa có đơn hàng", IF(G44&gt;E44, "⚠️ BÀN GIAO VƯỢT KH", IF(G44&gt;=E44, "Đã bàn giao đủ", IF(F44&gt;=E44, "Xong xưởng - Chờ chuyển", IF(F44&gt;0, "Đang gia công trên máy", "Chờ nhận phôi đúc")))))</f>
        <v/>
      </c>
      <c r="O44" t="inlineStr">
        <is>
          <t>NC2</t>
        </is>
      </c>
      <c r="P44" t="inlineStr">
        <is>
          <t>G/c mài cầu tròn hoàn thiện BTP</t>
        </is>
      </c>
    </row>
    <row r="45" ht="21.95" customHeight="1" s="75">
      <c r="A45" s="3" t="n">
        <v>42</v>
      </c>
      <c r="B45" s="3" t="inlineStr">
        <is>
          <t>PO-9933</t>
        </is>
      </c>
      <c r="C45" s="4" t="inlineStr">
        <is>
          <t>Molycop</t>
        </is>
      </c>
      <c r="D45" s="4" t="inlineStr">
        <is>
          <t>Bi 40</t>
        </is>
      </c>
      <c r="E45" s="6" t="n">
        <v>5</v>
      </c>
      <c r="F45" s="6" t="n">
        <v>0</v>
      </c>
      <c r="G45" s="6" t="n">
        <v>0</v>
      </c>
      <c r="H45" s="6">
        <f>MAX(0, F45-G45)</f>
        <v/>
      </c>
      <c r="I45" s="6">
        <f>MAX(0, E45-G45)</f>
        <v/>
      </c>
      <c r="J45" s="4" t="inlineStr">
        <is>
          <t>Phòng KCS / Thí Nghiệm Cơ Tính</t>
        </is>
      </c>
      <c r="K45" s="33" t="n">
        <v>46251</v>
      </c>
      <c r="L45" s="33" t="n">
        <v>46258</v>
      </c>
      <c r="M45" s="7">
        <f>IF(E45&gt;0, G45/E45, 0)</f>
        <v/>
      </c>
      <c r="N45" s="3">
        <f>IF(E45=0, "Chưa có đơn hàng", IF(G45&gt;E45, "⚠️ BÀN GIAO VƯỢT KH", IF(G45&gt;=E45, "Đã bàn giao đủ", IF(F45&gt;=E45, "Xong xưởng - Chờ chuyển", IF(F45&gt;0, "Đang gia công trên máy", "Chờ nhận phôi đúc")))))</f>
        <v/>
      </c>
      <c r="O45" t="inlineStr">
        <is>
          <t>NC2</t>
        </is>
      </c>
      <c r="P45" t="inlineStr">
        <is>
          <t>G/c mài cầu tròn hoàn thiện BTP</t>
        </is>
      </c>
    </row>
    <row r="46" ht="21.95" customHeight="1" s="75">
      <c r="A46" s="3" t="n">
        <v>43</v>
      </c>
      <c r="B46" s="3" t="inlineStr">
        <is>
          <t>PO-1243</t>
        </is>
      </c>
      <c r="C46" s="4" t="inlineStr">
        <is>
          <t>TFG</t>
        </is>
      </c>
      <c r="D46" s="4" t="inlineStr">
        <is>
          <t>Taytona Drawing No 2CG00820</t>
        </is>
      </c>
      <c r="E46" s="6" t="n">
        <v>1</v>
      </c>
      <c r="F46" s="6" t="n">
        <v>0</v>
      </c>
      <c r="G46" s="6" t="n">
        <v>0</v>
      </c>
      <c r="H46" s="6">
        <f>MAX(0, F46-G46)</f>
        <v/>
      </c>
      <c r="I46" s="6">
        <f>MAX(0, E46-G46)</f>
        <v/>
      </c>
      <c r="J46" s="4" t="inlineStr">
        <is>
          <t>Bộ Phận Hoàn Thiện (Lắp ráp/Bao gói)</t>
        </is>
      </c>
      <c r="K46" s="33" t="n">
        <v>46266</v>
      </c>
      <c r="L46" s="33" t="n">
        <v>46273</v>
      </c>
      <c r="M46" s="7">
        <f>IF(E46&gt;0, G46/E46, 0)</f>
        <v/>
      </c>
      <c r="N46" s="3">
        <f>IF(E46=0, "Chưa có đơn hàng", IF(G46&gt;E46, "⚠️ BÀN GIAO VƯỢT KH", IF(G46&gt;=E46, "Đã bàn giao đủ", IF(F46&gt;=E46, "Xong xưởng - Chờ chuyển", IF(F46&gt;0, "Đang gia công trên máy", "Chờ nhận phôi đúc")))))</f>
        <v/>
      </c>
      <c r="O46" t="inlineStr">
        <is>
          <t>NC2</t>
        </is>
      </c>
      <c r="P46" t="inlineStr">
        <is>
          <t>G/c hoàn thiện thành phẩm BTP</t>
        </is>
      </c>
    </row>
    <row r="47" ht="21.95" customHeight="1" s="75">
      <c r="A47" s="3" t="n">
        <v>44</v>
      </c>
      <c r="B47" s="3" t="inlineStr">
        <is>
          <t>PO-1400</t>
        </is>
      </c>
      <c r="C47" s="4" t="inlineStr">
        <is>
          <t>TFG</t>
        </is>
      </c>
      <c r="D47" s="4" t="inlineStr">
        <is>
          <t>Taytona Drawing No 2CG00820</t>
        </is>
      </c>
      <c r="E47" s="6" t="n">
        <v>1</v>
      </c>
      <c r="F47" s="6" t="n">
        <v>0</v>
      </c>
      <c r="G47" s="6" t="n">
        <v>0</v>
      </c>
      <c r="H47" s="6">
        <f>MAX(0, F47-G47)</f>
        <v/>
      </c>
      <c r="I47" s="6">
        <f>MAX(0, E47-G47)</f>
        <v/>
      </c>
      <c r="J47" s="4" t="inlineStr">
        <is>
          <t>Bộ Phận Hoàn Thiện (Lắp ráp/Bao gói)</t>
        </is>
      </c>
      <c r="K47" s="33" t="n">
        <v>46265</v>
      </c>
      <c r="L47" s="33" t="n">
        <v>46272</v>
      </c>
      <c r="M47" s="7">
        <f>IF(E47&gt;0, G47/E47, 0)</f>
        <v/>
      </c>
      <c r="N47" s="3">
        <f>IF(E47=0, "Chưa có đơn hàng", IF(G47&gt;E47, "⚠️ BÀN GIAO VƯỢT KH", IF(G47&gt;=E47, "Đã bàn giao đủ", IF(F47&gt;=E47, "Xong xưởng - Chờ chuyển", IF(F47&gt;0, "Đang gia công trên máy", "Chờ nhận phôi đúc")))))</f>
        <v/>
      </c>
      <c r="O47" t="inlineStr">
        <is>
          <t>NC2</t>
        </is>
      </c>
      <c r="P47" t="inlineStr">
        <is>
          <t>G/c hoàn thiện thành phẩm BTP</t>
        </is>
      </c>
    </row>
    <row r="48" ht="21.95" customHeight="1" s="75">
      <c r="A48" s="3" t="n">
        <v>45</v>
      </c>
      <c r="B48" s="3" t="inlineStr">
        <is>
          <t>PO-1877</t>
        </is>
      </c>
      <c r="C48" s="4" t="inlineStr">
        <is>
          <t>TFG</t>
        </is>
      </c>
      <c r="D48" s="4" t="inlineStr">
        <is>
          <t>Pattern Drawing No 2CG00820</t>
        </is>
      </c>
      <c r="E48" s="6" t="n">
        <v>1</v>
      </c>
      <c r="F48" s="6" t="n">
        <v>0</v>
      </c>
      <c r="G48" s="6" t="n">
        <v>0</v>
      </c>
      <c r="H48" s="6">
        <f>MAX(0, F48-G48)</f>
        <v/>
      </c>
      <c r="I48" s="6">
        <f>MAX(0, E48-G48)</f>
        <v/>
      </c>
      <c r="J48" s="4" t="inlineStr">
        <is>
          <t>Bộ Phận Hoàn Thiện (Lắp ráp/Bao gói)</t>
        </is>
      </c>
      <c r="K48" s="33" t="n">
        <v>46264</v>
      </c>
      <c r="L48" s="33" t="n">
        <v>46271</v>
      </c>
      <c r="M48" s="7">
        <f>IF(E48&gt;0, G48/E48, 0)</f>
        <v/>
      </c>
      <c r="N48" s="3">
        <f>IF(E48=0, "Chưa có đơn hàng", IF(G48&gt;E48, "⚠️ BÀN GIAO VƯỢT KH", IF(G48&gt;=E48, "Đã bàn giao đủ", IF(F48&gt;=E48, "Xong xưởng - Chờ chuyển", IF(F48&gt;0, "Đang gia công trên máy", "Chờ nhận phôi đúc")))))</f>
        <v/>
      </c>
      <c r="O48" t="inlineStr">
        <is>
          <t>NC2</t>
        </is>
      </c>
      <c r="P48" t="inlineStr">
        <is>
          <t>G/c hoàn thiện thành phẩm BTP</t>
        </is>
      </c>
    </row>
    <row r="49" ht="21.95" customHeight="1" s="75">
      <c r="A49" s="3" t="n">
        <v>46</v>
      </c>
      <c r="B49" s="3" t="inlineStr">
        <is>
          <t>PO-3223</t>
        </is>
      </c>
      <c r="C49" s="4" t="inlineStr">
        <is>
          <t>TFG</t>
        </is>
      </c>
      <c r="D49" s="4" t="inlineStr">
        <is>
          <t>Nut cover số hiệu F3P00064-2 theo bản vẽ 2CG01074</t>
        </is>
      </c>
      <c r="E49" s="6" t="n">
        <v>1</v>
      </c>
      <c r="F49" s="6" t="n">
        <v>0</v>
      </c>
      <c r="G49" s="6" t="n">
        <v>0</v>
      </c>
      <c r="H49" s="6">
        <f>MAX(0, F49-G49)</f>
        <v/>
      </c>
      <c r="I49" s="6">
        <f>MAX(0, E49-G49)</f>
        <v/>
      </c>
      <c r="J49" s="4" t="inlineStr">
        <is>
          <t>Bộ Phận Hoàn Thiện (Lắp ráp/Bao gói)</t>
        </is>
      </c>
      <c r="K49" s="33" t="n">
        <v>46252</v>
      </c>
      <c r="L49" s="33" t="n">
        <v>46259</v>
      </c>
      <c r="M49" s="7">
        <f>IF(E49&gt;0, G49/E49, 0)</f>
        <v/>
      </c>
      <c r="N49" s="3">
        <f>IF(E49=0, "Chưa có đơn hàng", IF(G49&gt;E49, "⚠️ BÀN GIAO VƯỢT KH", IF(G49&gt;=E49, "Đã bàn giao đủ", IF(F49&gt;=E49, "Xong xưởng - Chờ chuyển", IF(F49&gt;0, "Đang gia công trên máy", "Chờ nhận phôi đúc")))))</f>
        <v/>
      </c>
      <c r="O49" t="inlineStr">
        <is>
          <t>NC2</t>
        </is>
      </c>
      <c r="P49" t="inlineStr">
        <is>
          <t>G/c hoàn thiện thành phẩm BTP</t>
        </is>
      </c>
    </row>
    <row r="50" ht="21.95" customHeight="1" s="75">
      <c r="A50" s="3" t="n">
        <v>47</v>
      </c>
      <c r="B50" s="3" t="inlineStr">
        <is>
          <t>PO-8916</t>
        </is>
      </c>
      <c r="C50" s="4" t="inlineStr">
        <is>
          <t>TFG</t>
        </is>
      </c>
      <c r="D50" s="4" t="inlineStr">
        <is>
          <t>Pattern Drawing No 2CG00820</t>
        </is>
      </c>
      <c r="E50" s="6" t="n">
        <v>1</v>
      </c>
      <c r="F50" s="6" t="n">
        <v>0</v>
      </c>
      <c r="G50" s="6" t="n">
        <v>0</v>
      </c>
      <c r="H50" s="6">
        <f>MAX(0, F50-G50)</f>
        <v/>
      </c>
      <c r="I50" s="6">
        <f>MAX(0, E50-G50)</f>
        <v/>
      </c>
      <c r="J50" s="4" t="inlineStr">
        <is>
          <t>Bộ Phận Hoàn Thiện (Lắp ráp/Bao gói)</t>
        </is>
      </c>
      <c r="K50" s="33" t="n">
        <v>46263</v>
      </c>
      <c r="L50" s="33" t="n">
        <v>46270</v>
      </c>
      <c r="M50" s="7">
        <f>IF(E50&gt;0, G50/E50, 0)</f>
        <v/>
      </c>
      <c r="N50" s="3">
        <f>IF(E50=0, "Chưa có đơn hàng", IF(G50&gt;E50, "⚠️ BÀN GIAO VƯỢT KH", IF(G50&gt;=E50, "Đã bàn giao đủ", IF(F50&gt;=E50, "Xong xưởng - Chờ chuyển", IF(F50&gt;0, "Đang gia công trên máy", "Chờ nhận phôi đúc")))))</f>
        <v/>
      </c>
      <c r="O50" t="inlineStr">
        <is>
          <t>NC2</t>
        </is>
      </c>
      <c r="P50" t="inlineStr">
        <is>
          <t>G/c hoàn thiện thành phẩm BTP</t>
        </is>
      </c>
    </row>
    <row r="51" ht="21.95" customHeight="1" s="75">
      <c r="A51" s="3" t="n">
        <v>48</v>
      </c>
      <c r="B51" s="3" t="inlineStr">
        <is>
          <t>PO-9407</t>
        </is>
      </c>
      <c r="C51" s="4" t="inlineStr">
        <is>
          <t>TFG</t>
        </is>
      </c>
      <c r="D51" s="4" t="inlineStr">
        <is>
          <t>Nut cover số hiệu E4P08508 theo bản vẽ 2CG00744</t>
        </is>
      </c>
      <c r="E51" s="6" t="n">
        <v>1</v>
      </c>
      <c r="F51" s="6" t="n">
        <v>0</v>
      </c>
      <c r="G51" s="6" t="n">
        <v>0</v>
      </c>
      <c r="H51" s="6">
        <f>MAX(0, F51-G51)</f>
        <v/>
      </c>
      <c r="I51" s="6">
        <f>MAX(0, E51-G51)</f>
        <v/>
      </c>
      <c r="J51" s="4" t="inlineStr">
        <is>
          <t>Bộ Phận Hoàn Thiện (Lắp ráp/Bao gói)</t>
        </is>
      </c>
      <c r="K51" s="33" t="n">
        <v>46257</v>
      </c>
      <c r="L51" s="33" t="n">
        <v>46264</v>
      </c>
      <c r="M51" s="7">
        <f>IF(E51&gt;0, G51/E51, 0)</f>
        <v/>
      </c>
      <c r="N51" s="3">
        <f>IF(E51=0, "Chưa có đơn hàng", IF(G51&gt;E51, "⚠️ BÀN GIAO VƯỢT KH", IF(G51&gt;=E51, "Đã bàn giao đủ", IF(F51&gt;=E51, "Xong xưởng - Chờ chuyển", IF(F51&gt;0, "Đang gia công trên máy", "Chờ nhận phôi đúc")))))</f>
        <v/>
      </c>
      <c r="O51" t="inlineStr">
        <is>
          <t>NC2</t>
        </is>
      </c>
      <c r="P51" t="inlineStr">
        <is>
          <t>G/c hoàn thiện thành phẩm BTP</t>
        </is>
      </c>
    </row>
    <row r="52" ht="21.95" customHeight="1" s="75">
      <c r="A52" s="3" t="n">
        <v>49</v>
      </c>
      <c r="B52" s="3" t="inlineStr">
        <is>
          <t>PO-1050</t>
        </is>
      </c>
      <c r="C52" s="4" t="inlineStr">
        <is>
          <t>Thyssen</t>
        </is>
      </c>
      <c r="D52" s="4" t="inlineStr">
        <is>
          <t>Sealing trip, below</t>
        </is>
      </c>
      <c r="E52" s="6" t="n">
        <v>6</v>
      </c>
      <c r="F52" s="6" t="n">
        <v>0</v>
      </c>
      <c r="G52" s="6" t="n">
        <v>0</v>
      </c>
      <c r="H52" s="6">
        <f>MAX(0, F52-G52)</f>
        <v/>
      </c>
      <c r="I52" s="6">
        <f>MAX(0, E52-G52)</f>
        <v/>
      </c>
      <c r="J52" s="4" t="inlineStr">
        <is>
          <t>Bộ Phận Hoàn Thiện (Lắp ráp/Bao gói)</t>
        </is>
      </c>
      <c r="K52" s="33" t="n">
        <v>46249</v>
      </c>
      <c r="L52" s="33" t="n">
        <v>46256</v>
      </c>
      <c r="M52" s="7">
        <f>IF(E52&gt;0, G52/E52, 0)</f>
        <v/>
      </c>
      <c r="N52" s="3">
        <f>IF(E52=0, "Chưa có đơn hàng", IF(G52&gt;E52, "⚠️ BÀN GIAO VƯỢT KH", IF(G52&gt;=E52, "Đã bàn giao đủ", IF(F52&gt;=E52, "Xong xưởng - Chờ chuyển", IF(F52&gt;0, "Đang gia công trên máy", "Chờ nhận phôi đúc")))))</f>
        <v/>
      </c>
      <c r="O52" t="inlineStr">
        <is>
          <t>NC4</t>
        </is>
      </c>
      <c r="P52" t="inlineStr">
        <is>
          <t>G/c khoan lỗ phi 14/2 lỗ hoàn thiện</t>
        </is>
      </c>
    </row>
    <row r="53" ht="21.95" customHeight="1" s="75">
      <c r="A53" s="3" t="n">
        <v>50</v>
      </c>
      <c r="B53" s="3" t="inlineStr">
        <is>
          <t>PO-1091</t>
        </is>
      </c>
      <c r="C53" s="4" t="inlineStr">
        <is>
          <t>Thyssen</t>
        </is>
      </c>
      <c r="D53" s="4" t="inlineStr">
        <is>
          <t>Sealing strip, above</t>
        </is>
      </c>
      <c r="E53" s="6" t="n">
        <v>9</v>
      </c>
      <c r="F53" s="6" t="n">
        <v>0</v>
      </c>
      <c r="G53" s="6" t="n">
        <v>0</v>
      </c>
      <c r="H53" s="6">
        <f>MAX(0, F53-G53)</f>
        <v/>
      </c>
      <c r="I53" s="6">
        <f>MAX(0, E53-G53)</f>
        <v/>
      </c>
      <c r="J53" s="4" t="inlineStr">
        <is>
          <t>Bộ Phận Hoàn Thiện (Lắp ráp/Bao gói)</t>
        </is>
      </c>
      <c r="K53" s="33" t="n">
        <v>46261</v>
      </c>
      <c r="L53" s="33" t="n">
        <v>46268</v>
      </c>
      <c r="M53" s="7">
        <f>IF(E53&gt;0, G53/E53, 0)</f>
        <v/>
      </c>
      <c r="N53" s="3">
        <f>IF(E53=0, "Chưa có đơn hàng", IF(G53&gt;E53, "⚠️ BÀN GIAO VƯỢT KH", IF(G53&gt;=E53, "Đã bàn giao đủ", IF(F53&gt;=E53, "Xong xưởng - Chờ chuyển", IF(F53&gt;0, "Đang gia công trên máy", "Chờ nhận phôi đúc")))))</f>
        <v/>
      </c>
      <c r="O53" t="inlineStr">
        <is>
          <t>NC3</t>
        </is>
      </c>
      <c r="P53" t="inlineStr">
        <is>
          <t>G/c khoan lỗ phi 14/2 lỗ hoàn thiện</t>
        </is>
      </c>
    </row>
    <row r="54" ht="21.95" customHeight="1" s="75">
      <c r="A54" s="3" t="n">
        <v>51</v>
      </c>
      <c r="B54" s="3" t="inlineStr">
        <is>
          <t>PO-1099</t>
        </is>
      </c>
      <c r="C54" s="4" t="inlineStr">
        <is>
          <t>Thyssen</t>
        </is>
      </c>
      <c r="D54" s="4" t="inlineStr">
        <is>
          <t>Sealing strip, above</t>
        </is>
      </c>
      <c r="E54" s="6" t="n">
        <v>15</v>
      </c>
      <c r="F54" s="6" t="n">
        <v>0</v>
      </c>
      <c r="G54" s="6" t="n">
        <v>0</v>
      </c>
      <c r="H54" s="6">
        <f>MAX(0, F54-G54)</f>
        <v/>
      </c>
      <c r="I54" s="6">
        <f>MAX(0, E54-G54)</f>
        <v/>
      </c>
      <c r="J54" s="4" t="inlineStr">
        <is>
          <t>Bộ Phận Hoàn Thiện (Lắp ráp/Bao gói)</t>
        </is>
      </c>
      <c r="K54" s="33" t="n">
        <v>46265</v>
      </c>
      <c r="L54" s="33" t="n">
        <v>46272</v>
      </c>
      <c r="M54" s="7">
        <f>IF(E54&gt;0, G54/E54, 0)</f>
        <v/>
      </c>
      <c r="N54" s="3">
        <f>IF(E54=0, "Chưa có đơn hàng", IF(G54&gt;E54, "⚠️ BÀN GIAO VƯỢT KH", IF(G54&gt;=E54, "Đã bàn giao đủ", IF(F54&gt;=E54, "Xong xưởng - Chờ chuyển", IF(F54&gt;0, "Đang gia công trên máy", "Chờ nhận phôi đúc")))))</f>
        <v/>
      </c>
      <c r="O54" t="inlineStr">
        <is>
          <t>NC3</t>
        </is>
      </c>
      <c r="P54" t="inlineStr">
        <is>
          <t>G/c khoan lỗ phi 14/2 lỗ hoàn thiện</t>
        </is>
      </c>
    </row>
    <row r="55" ht="21.95" customHeight="1" s="75">
      <c r="A55" s="3" t="n">
        <v>52</v>
      </c>
      <c r="B55" s="3" t="inlineStr">
        <is>
          <t>PO-1112</t>
        </is>
      </c>
      <c r="C55" s="4" t="inlineStr">
        <is>
          <t>Thyssen</t>
        </is>
      </c>
      <c r="D55" s="4" t="inlineStr">
        <is>
          <t>Sealing strip, below</t>
        </is>
      </c>
      <c r="E55" s="6" t="n">
        <v>14</v>
      </c>
      <c r="F55" s="6" t="n">
        <v>0</v>
      </c>
      <c r="G55" s="6" t="n">
        <v>0</v>
      </c>
      <c r="H55" s="6">
        <f>MAX(0, F55-G55)</f>
        <v/>
      </c>
      <c r="I55" s="6">
        <f>MAX(0, E55-G55)</f>
        <v/>
      </c>
      <c r="J55" s="4" t="inlineStr">
        <is>
          <t>Bộ Phận Hoàn Thiện (Lắp ráp/Bao gói)</t>
        </is>
      </c>
      <c r="K55" s="33" t="n">
        <v>46252</v>
      </c>
      <c r="L55" s="33" t="n">
        <v>46259</v>
      </c>
      <c r="M55" s="7">
        <f>IF(E55&gt;0, G55/E55, 0)</f>
        <v/>
      </c>
      <c r="N55" s="3">
        <f>IF(E55=0, "Chưa có đơn hàng", IF(G55&gt;E55, "⚠️ BÀN GIAO VƯỢT KH", IF(G55&gt;=E55, "Đã bàn giao đủ", IF(F55&gt;=E55, "Xong xưởng - Chờ chuyển", IF(F55&gt;0, "Đang gia công trên máy", "Chờ nhận phôi đúc")))))</f>
        <v/>
      </c>
      <c r="O55" t="inlineStr">
        <is>
          <t>NC4</t>
        </is>
      </c>
      <c r="P55" t="inlineStr">
        <is>
          <t>G/c khoan lỗ phi 14/2 lỗ hoàn thiện</t>
        </is>
      </c>
    </row>
    <row r="56" ht="21.95" customHeight="1" s="75">
      <c r="A56" s="3" t="n">
        <v>53</v>
      </c>
      <c r="B56" s="3" t="inlineStr">
        <is>
          <t>PO-1168</t>
        </is>
      </c>
      <c r="C56" s="4" t="inlineStr">
        <is>
          <t>Thyssen</t>
        </is>
      </c>
      <c r="D56" s="4" t="inlineStr">
        <is>
          <t>Sealing strip, above</t>
        </is>
      </c>
      <c r="E56" s="6" t="n">
        <v>8</v>
      </c>
      <c r="F56" s="6" t="n">
        <v>0</v>
      </c>
      <c r="G56" s="6" t="n">
        <v>0</v>
      </c>
      <c r="H56" s="6">
        <f>MAX(0, F56-G56)</f>
        <v/>
      </c>
      <c r="I56" s="6">
        <f>MAX(0, E56-G56)</f>
        <v/>
      </c>
      <c r="J56" s="4" t="inlineStr">
        <is>
          <t>Bộ Phận Hoàn Thiện (Lắp ráp/Bao gói)</t>
        </is>
      </c>
      <c r="K56" s="33" t="n">
        <v>46262</v>
      </c>
      <c r="L56" s="33" t="n">
        <v>46269</v>
      </c>
      <c r="M56" s="7">
        <f>IF(E56&gt;0, G56/E56, 0)</f>
        <v/>
      </c>
      <c r="N56" s="3">
        <f>IF(E56=0, "Chưa có đơn hàng", IF(G56&gt;E56, "⚠️ BÀN GIAO VƯỢT KH", IF(G56&gt;=E56, "Đã bàn giao đủ", IF(F56&gt;=E56, "Xong xưởng - Chờ chuyển", IF(F56&gt;0, "Đang gia công trên máy", "Chờ nhận phôi đúc")))))</f>
        <v/>
      </c>
      <c r="O56" t="inlineStr">
        <is>
          <t>NC3</t>
        </is>
      </c>
      <c r="P56" t="inlineStr">
        <is>
          <t>G/c khoan lỗ phi 14/2 lỗ hoàn thiện</t>
        </is>
      </c>
    </row>
    <row r="57" ht="21.95" customHeight="1" s="75">
      <c r="A57" s="3" t="n">
        <v>54</v>
      </c>
      <c r="B57" s="3" t="inlineStr">
        <is>
          <t>PO-1193</t>
        </is>
      </c>
      <c r="C57" s="4" t="inlineStr">
        <is>
          <t>Thyssen</t>
        </is>
      </c>
      <c r="D57" s="4" t="inlineStr">
        <is>
          <t>Sealing trip, below</t>
        </is>
      </c>
      <c r="E57" s="6" t="n">
        <v>13</v>
      </c>
      <c r="F57" s="6" t="n">
        <v>0</v>
      </c>
      <c r="G57" s="6" t="n">
        <v>0</v>
      </c>
      <c r="H57" s="6">
        <f>MAX(0, F57-G57)</f>
        <v/>
      </c>
      <c r="I57" s="6">
        <f>MAX(0, E57-G57)</f>
        <v/>
      </c>
      <c r="J57" s="4" t="inlineStr">
        <is>
          <t>Bộ Phận Hoàn Thiện (Lắp ráp/Bao gói)</t>
        </is>
      </c>
      <c r="K57" s="33" t="n">
        <v>46249</v>
      </c>
      <c r="L57" s="33" t="n">
        <v>46256</v>
      </c>
      <c r="M57" s="7">
        <f>IF(E57&gt;0, G57/E57, 0)</f>
        <v/>
      </c>
      <c r="N57" s="3">
        <f>IF(E57=0, "Chưa có đơn hàng", IF(G57&gt;E57, "⚠️ BÀN GIAO VƯỢT KH", IF(G57&gt;=E57, "Đã bàn giao đủ", IF(F57&gt;=E57, "Xong xưởng - Chờ chuyển", IF(F57&gt;0, "Đang gia công trên máy", "Chờ nhận phôi đúc")))))</f>
        <v/>
      </c>
      <c r="O57" t="inlineStr">
        <is>
          <t>NC4</t>
        </is>
      </c>
      <c r="P57" t="inlineStr">
        <is>
          <t>G/c khoan lỗ phi 14/2 lỗ hoàn thiện</t>
        </is>
      </c>
    </row>
    <row r="58" ht="21.95" customHeight="1" s="75">
      <c r="A58" s="3" t="n">
        <v>55</v>
      </c>
      <c r="B58" s="3" t="inlineStr">
        <is>
          <t>PO-1415</t>
        </is>
      </c>
      <c r="C58" s="4" t="inlineStr">
        <is>
          <t>Thyssen</t>
        </is>
      </c>
      <c r="D58" s="4" t="inlineStr">
        <is>
          <t>Sealing strip, above</t>
        </is>
      </c>
      <c r="E58" s="6" t="n">
        <v>2</v>
      </c>
      <c r="F58" s="6" t="n">
        <v>0</v>
      </c>
      <c r="G58" s="6" t="n">
        <v>0</v>
      </c>
      <c r="H58" s="6">
        <f>MAX(0, F58-G58)</f>
        <v/>
      </c>
      <c r="I58" s="6">
        <f>MAX(0, E58-G58)</f>
        <v/>
      </c>
      <c r="J58" s="4" t="inlineStr">
        <is>
          <t>Bộ Phận Hoàn Thiện (Lắp ráp/Bao gói)</t>
        </is>
      </c>
      <c r="K58" s="33" t="n">
        <v>46263</v>
      </c>
      <c r="L58" s="33" t="n">
        <v>46270</v>
      </c>
      <c r="M58" s="7">
        <f>IF(E58&gt;0, G58/E58, 0)</f>
        <v/>
      </c>
      <c r="N58" s="3">
        <f>IF(E58=0, "Chưa có đơn hàng", IF(G58&gt;E58, "⚠️ BÀN GIAO VƯỢT KH", IF(G58&gt;=E58, "Đã bàn giao đủ", IF(F58&gt;=E58, "Xong xưởng - Chờ chuyển", IF(F58&gt;0, "Đang gia công trên máy", "Chờ nhận phôi đúc")))))</f>
        <v/>
      </c>
      <c r="O58" t="inlineStr">
        <is>
          <t>NC3</t>
        </is>
      </c>
      <c r="P58" t="inlineStr">
        <is>
          <t>G/c khoan lỗ phi 14/2 lỗ hoàn thiện</t>
        </is>
      </c>
    </row>
    <row r="59" ht="21.95" customHeight="1" s="75">
      <c r="A59" s="3" t="n">
        <v>56</v>
      </c>
      <c r="B59" s="3" t="inlineStr">
        <is>
          <t>PO-1464</t>
        </is>
      </c>
      <c r="C59" s="4" t="inlineStr">
        <is>
          <t>Thyssen</t>
        </is>
      </c>
      <c r="D59" s="4" t="inlineStr">
        <is>
          <t>Sealing trip, below</t>
        </is>
      </c>
      <c r="E59" s="6" t="n">
        <v>29</v>
      </c>
      <c r="F59" s="6" t="n">
        <v>28.25</v>
      </c>
      <c r="G59" s="6" t="n">
        <v>0</v>
      </c>
      <c r="H59" s="6" t="n">
        <v>28.25</v>
      </c>
      <c r="I59" s="6">
        <f>MAX(0, E59-G59)</f>
        <v/>
      </c>
      <c r="J59" s="4" t="inlineStr">
        <is>
          <t>Bộ Phận Hoàn Thiện (Lắp ráp/Bao gói)</t>
        </is>
      </c>
      <c r="K59" s="33" t="n">
        <v>46250</v>
      </c>
      <c r="L59" s="33" t="n">
        <v>46257</v>
      </c>
      <c r="M59" s="7">
        <f>IF(E59&gt;0, G59/E59, 0)</f>
        <v/>
      </c>
      <c r="N59" s="3">
        <f>IF(E59=0, "Chưa có đơn hàng", IF(G59&gt;E59, "⚠️ BÀN GIAO VƯỢT KH", IF(G59&gt;=E59, "Đã bàn giao đủ", IF(F59&gt;=E59, "Xong xưởng - Chờ chuyển", IF(F59&gt;0, "Đang gia công trên máy", "Chờ nhận phôi đúc")))))</f>
        <v/>
      </c>
      <c r="O59" t="inlineStr">
        <is>
          <t>NC4</t>
        </is>
      </c>
      <c r="P59" t="inlineStr">
        <is>
          <t>G/c khoan lỗ phi 14/2 lỗ hoàn thiện</t>
        </is>
      </c>
    </row>
    <row r="60" ht="21.95" customHeight="1" s="75">
      <c r="A60" s="3" t="n">
        <v>57</v>
      </c>
      <c r="B60" s="3" t="inlineStr">
        <is>
          <t>PO-1494</t>
        </is>
      </c>
      <c r="C60" s="4" t="inlineStr">
        <is>
          <t>Thyssen</t>
        </is>
      </c>
      <c r="D60" s="4" t="inlineStr">
        <is>
          <t>Sealing trip, below</t>
        </is>
      </c>
      <c r="E60" s="6" t="n">
        <v>8</v>
      </c>
      <c r="F60" s="6" t="n">
        <v>0</v>
      </c>
      <c r="G60" s="6" t="n">
        <v>0</v>
      </c>
      <c r="H60" s="6">
        <f>MAX(0, F60-G60)</f>
        <v/>
      </c>
      <c r="I60" s="6">
        <f>MAX(0, E60-G60)</f>
        <v/>
      </c>
      <c r="J60" s="4" t="inlineStr">
        <is>
          <t>Bộ Phận Hoàn Thiện (Lắp ráp/Bao gói)</t>
        </is>
      </c>
      <c r="K60" s="33" t="n">
        <v>46248</v>
      </c>
      <c r="L60" s="33" t="n">
        <v>46255</v>
      </c>
      <c r="M60" s="7">
        <f>IF(E60&gt;0, G60/E60, 0)</f>
        <v/>
      </c>
      <c r="N60" s="3">
        <f>IF(E60=0, "Chưa có đơn hàng", IF(G60&gt;E60, "⚠️ BÀN GIAO VƯỢT KH", IF(G60&gt;=E60, "Đã bàn giao đủ", IF(F60&gt;=E60, "Xong xưởng - Chờ chuyển", IF(F60&gt;0, "Đang gia công trên máy", "Chờ nhận phôi đúc")))))</f>
        <v/>
      </c>
      <c r="O60" t="inlineStr">
        <is>
          <t>NC4</t>
        </is>
      </c>
      <c r="P60" t="inlineStr">
        <is>
          <t>G/c khoan lỗ phi 14/2 lỗ hoàn thiện</t>
        </is>
      </c>
    </row>
    <row r="61" ht="21.95" customHeight="1" s="75">
      <c r="A61" s="3" t="n">
        <v>58</v>
      </c>
      <c r="B61" s="3" t="inlineStr">
        <is>
          <t>PO-1502</t>
        </is>
      </c>
      <c r="C61" s="4" t="inlineStr">
        <is>
          <t>Thyssen</t>
        </is>
      </c>
      <c r="D61" s="4" t="inlineStr">
        <is>
          <t>Sealing trip, below</t>
        </is>
      </c>
      <c r="E61" s="6" t="n">
        <v>5</v>
      </c>
      <c r="F61" s="6" t="n">
        <v>0</v>
      </c>
      <c r="G61" s="6" t="n">
        <v>0</v>
      </c>
      <c r="H61" s="6">
        <f>MAX(0, F61-G61)</f>
        <v/>
      </c>
      <c r="I61" s="6">
        <f>MAX(0, E61-G61)</f>
        <v/>
      </c>
      <c r="J61" s="4" t="inlineStr">
        <is>
          <t>Bộ Phận Hoàn Thiện (Lắp ráp/Bao gói)</t>
        </is>
      </c>
      <c r="K61" s="33" t="n">
        <v>46253</v>
      </c>
      <c r="L61" s="33" t="n">
        <v>46260</v>
      </c>
      <c r="M61" s="7">
        <f>IF(E61&gt;0, G61/E61, 0)</f>
        <v/>
      </c>
      <c r="N61" s="3">
        <f>IF(E61=0, "Chưa có đơn hàng", IF(G61&gt;E61, "⚠️ BÀN GIAO VƯỢT KH", IF(G61&gt;=E61, "Đã bàn giao đủ", IF(F61&gt;=E61, "Xong xưởng - Chờ chuyển", IF(F61&gt;0, "Đang gia công trên máy", "Chờ nhận phôi đúc")))))</f>
        <v/>
      </c>
      <c r="O61" t="inlineStr">
        <is>
          <t>NC4</t>
        </is>
      </c>
      <c r="P61" t="inlineStr">
        <is>
          <t>G/c khoan lỗ phi 14/2 lỗ hoàn thiện</t>
        </is>
      </c>
    </row>
    <row r="62" ht="21.95" customHeight="1" s="75">
      <c r="A62" s="3" t="n">
        <v>59</v>
      </c>
      <c r="B62" s="3" t="inlineStr">
        <is>
          <t>PO-1545</t>
        </is>
      </c>
      <c r="C62" s="4" t="inlineStr">
        <is>
          <t>Thyssen</t>
        </is>
      </c>
      <c r="D62" s="4" t="inlineStr">
        <is>
          <t>Sealing strip, below</t>
        </is>
      </c>
      <c r="E62" s="6" t="n">
        <v>26</v>
      </c>
      <c r="F62" s="6" t="n">
        <v>0</v>
      </c>
      <c r="G62" s="6" t="n">
        <v>0</v>
      </c>
      <c r="H62" s="6">
        <f>MAX(0, F62-G62)</f>
        <v/>
      </c>
      <c r="I62" s="6">
        <f>MAX(0, E62-G62)</f>
        <v/>
      </c>
      <c r="J62" s="4" t="inlineStr">
        <is>
          <t>Bộ Phận Hoàn Thiện (Lắp ráp/Bao gói)</t>
        </is>
      </c>
      <c r="K62" s="33" t="n">
        <v>46253</v>
      </c>
      <c r="L62" s="33" t="n">
        <v>46260</v>
      </c>
      <c r="M62" s="7">
        <f>IF(E62&gt;0, G62/E62, 0)</f>
        <v/>
      </c>
      <c r="N62" s="3">
        <f>IF(E62=0, "Chưa có đơn hàng", IF(G62&gt;E62, "⚠️ BÀN GIAO VƯỢT KH", IF(G62&gt;=E62, "Đã bàn giao đủ", IF(F62&gt;=E62, "Xong xưởng - Chờ chuyển", IF(F62&gt;0, "Đang gia công trên máy", "Chờ nhận phôi đúc")))))</f>
        <v/>
      </c>
      <c r="O62" t="inlineStr">
        <is>
          <t>NC4</t>
        </is>
      </c>
      <c r="P62" t="inlineStr">
        <is>
          <t>G/c khoan lỗ phi 14/2 lỗ hoàn thiện</t>
        </is>
      </c>
    </row>
    <row r="63" ht="21.95" customHeight="1" s="75">
      <c r="A63" s="3" t="n">
        <v>60</v>
      </c>
      <c r="B63" s="3" t="inlineStr">
        <is>
          <t>PO-1592</t>
        </is>
      </c>
      <c r="C63" s="4" t="inlineStr">
        <is>
          <t>Thyssen</t>
        </is>
      </c>
      <c r="D63" s="4" t="inlineStr">
        <is>
          <t>Sealing strip, below</t>
        </is>
      </c>
      <c r="E63" s="6" t="n">
        <v>16</v>
      </c>
      <c r="F63" s="6" t="n">
        <v>0</v>
      </c>
      <c r="G63" s="6" t="n">
        <v>0</v>
      </c>
      <c r="H63" s="6">
        <f>MAX(0, F63-G63)</f>
        <v/>
      </c>
      <c r="I63" s="6">
        <f>MAX(0, E63-G63)</f>
        <v/>
      </c>
      <c r="J63" s="4" t="inlineStr">
        <is>
          <t>Bộ Phận Hoàn Thiện (Lắp ráp/Bao gói)</t>
        </is>
      </c>
      <c r="K63" s="33" t="n">
        <v>46267</v>
      </c>
      <c r="L63" s="33" t="n">
        <v>46274</v>
      </c>
      <c r="M63" s="7">
        <f>IF(E63&gt;0, G63/E63, 0)</f>
        <v/>
      </c>
      <c r="N63" s="3">
        <f>IF(E63=0, "Chưa có đơn hàng", IF(G63&gt;E63, "⚠️ BÀN GIAO VƯỢT KH", IF(G63&gt;=E63, "Đã bàn giao đủ", IF(F63&gt;=E63, "Xong xưởng - Chờ chuyển", IF(F63&gt;0, "Đang gia công trên máy", "Chờ nhận phôi đúc")))))</f>
        <v/>
      </c>
      <c r="O63" t="inlineStr">
        <is>
          <t>NC4</t>
        </is>
      </c>
      <c r="P63" t="inlineStr">
        <is>
          <t>G/c khoan lỗ phi 14/2 lỗ hoàn thiện</t>
        </is>
      </c>
    </row>
    <row r="64" ht="21.95" customHeight="1" s="75">
      <c r="A64" s="3" t="n">
        <v>61</v>
      </c>
      <c r="B64" s="3" t="inlineStr">
        <is>
          <t>PO-1695</t>
        </is>
      </c>
      <c r="C64" s="4" t="inlineStr">
        <is>
          <t>Thyssen</t>
        </is>
      </c>
      <c r="D64" s="4" t="inlineStr">
        <is>
          <t>Sealing trip, below</t>
        </is>
      </c>
      <c r="E64" s="6" t="n">
        <v>10</v>
      </c>
      <c r="F64" s="6" t="n">
        <v>0</v>
      </c>
      <c r="G64" s="6" t="n">
        <v>0</v>
      </c>
      <c r="H64" s="6">
        <f>MAX(0, F64-G64)</f>
        <v/>
      </c>
      <c r="I64" s="6">
        <f>MAX(0, E64-G64)</f>
        <v/>
      </c>
      <c r="J64" s="4" t="inlineStr">
        <is>
          <t>Bộ Phận Hoàn Thiện (Lắp ráp/Bao gói)</t>
        </is>
      </c>
      <c r="K64" s="33" t="n">
        <v>46249</v>
      </c>
      <c r="L64" s="33" t="n">
        <v>46256</v>
      </c>
      <c r="M64" s="7">
        <f>IF(E64&gt;0, G64/E64, 0)</f>
        <v/>
      </c>
      <c r="N64" s="3">
        <f>IF(E64=0, "Chưa có đơn hàng", IF(G64&gt;E64, "⚠️ BÀN GIAO VƯỢT KH", IF(G64&gt;=E64, "Đã bàn giao đủ", IF(F64&gt;=E64, "Xong xưởng - Chờ chuyển", IF(F64&gt;0, "Đang gia công trên máy", "Chờ nhận phôi đúc")))))</f>
        <v/>
      </c>
      <c r="O64" t="inlineStr">
        <is>
          <t>NC4</t>
        </is>
      </c>
      <c r="P64" t="inlineStr">
        <is>
          <t>G/c khoan lỗ phi 14/2 lỗ hoàn thiện</t>
        </is>
      </c>
    </row>
    <row r="65">
      <c r="E65">
        <f>SUM(E4:E64)</f>
        <v/>
      </c>
      <c r="F65">
        <f>SUM(F4:F64)</f>
        <v/>
      </c>
      <c r="G65">
        <f>SUM(G4:G64)</f>
        <v/>
      </c>
      <c r="H65">
        <f>SUM(H4:H64)</f>
        <v/>
      </c>
      <c r="I65">
        <f>SUM(I4:I64)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BẢNG PHÂN TÍCH HIỆU SUẤT THIẾT BỊ TỔNG THỂ 17 MÁY (OEE = AVAILABILITY x PERFORMANCE x QUALITY)</t>
        </is>
      </c>
    </row>
    <row r="2">
      <c r="A2" t="inlineStr">
        <is>
          <t>Phân xưởng Gia công Cơ khí | Chuẩn quốc tế: A = T_chạy_thực/T_kế_hoạch | P = Tổng(SL*T_chuẩn)/T_chạy_thực | Q = SL_Đạt_KCS/Tổng_SL | OEE = A x P x Q</t>
        </is>
      </c>
    </row>
    <row r="3">
      <c r="A3" t="inlineStr">
        <is>
          <t>STT</t>
        </is>
      </c>
      <c r="B3" t="inlineStr">
        <is>
          <t>Mã Thiết Bị</t>
        </is>
      </c>
      <c r="C3" t="inlineStr">
        <is>
          <t>Tên Thiết Bị / Máy Gia Công</t>
        </is>
      </c>
      <c r="D3" t="inlineStr">
        <is>
          <t>Nhóm Công Nghệ</t>
        </is>
      </c>
      <c r="E3" t="inlineStr">
        <is>
          <t>Số Ca Vận Hành</t>
        </is>
      </c>
      <c r="F3" t="inlineStr">
        <is>
          <t>Thời Gian Kế Hoạch (Phút)</t>
        </is>
      </c>
      <c r="G3" t="inlineStr">
        <is>
          <t>Thời Gian Dừng Sự Cố (Phút)</t>
        </is>
      </c>
      <c r="H3" t="inlineStr">
        <is>
          <t>Thời Gian Chạy Thực (Phút)</t>
        </is>
      </c>
      <c r="I3" t="inlineStr">
        <is>
          <t>Độ Sẵn Sàng A (%)</t>
        </is>
      </c>
      <c r="J3" t="inlineStr">
        <is>
          <t>Tổng SL Sản Xuất (Chi tiết)</t>
        </is>
      </c>
      <c r="K3" t="inlineStr">
        <is>
          <t>SL Đạt Nghiệm Thu (OK)</t>
        </is>
      </c>
      <c r="L3" t="inlineStr">
        <is>
          <t>Tỷ Lệ Chất Lượng Q (%)</t>
        </is>
      </c>
      <c r="M3" t="inlineStr">
        <is>
          <t>Tổng Phút Chuẩn Công Nghệ (Phút)</t>
        </is>
      </c>
      <c r="N3" t="inlineStr">
        <is>
          <t>Hiệu Suất P Thô (%)</t>
        </is>
      </c>
      <c r="O3" t="inlineStr">
        <is>
          <t>Hiệu Suất P Tính OEE (Tối đa 100%)</t>
        </is>
      </c>
      <c r="P3" t="inlineStr">
        <is>
          <t>CHỈ SỐ OEE (%)</t>
        </is>
      </c>
      <c r="Q3" t="inlineStr">
        <is>
          <t>Xếp Hạng &amp; Cảnh Báo Định Mức</t>
        </is>
      </c>
    </row>
    <row r="4">
      <c r="A4" t="inlineStr">
        <is>
          <t>1</t>
        </is>
      </c>
      <c r="B4" t="inlineStr">
        <is>
          <t>M01</t>
        </is>
      </c>
      <c r="C4" t="inlineStr">
        <is>
          <t>Máy tiện FUJI</t>
        </is>
      </c>
      <c r="D4" t="inlineStr">
        <is>
          <t>Tiện CNC</t>
        </is>
      </c>
      <c r="E4" s="69">
        <f>COUNTIFS('07_Quet_Ma_Nhat_Ky_Ca'!$E:$E, "*" &amp; B4 &amp; "*")</f>
        <v/>
      </c>
      <c r="F4" s="70">
        <f>E4*480</f>
        <v/>
      </c>
      <c r="G4" s="70">
        <f>SUMIF('07_Quet_Ma_Nhat_Ky_Ca'!$E:$E, "*" &amp; B4 &amp; "*", '07_Quet_Ma_Nhat_Ky_Ca'!$R:$R)</f>
        <v/>
      </c>
      <c r="H4" s="70" t="n">
        <v>450</v>
      </c>
      <c r="I4" s="71" t="n">
        <v>0.9375</v>
      </c>
      <c r="J4" s="70">
        <f>IF(E4*60&gt;0, I4/(E4*60), 0)</f>
        <v/>
      </c>
      <c r="K4" s="70">
        <f>MIN(0.88, G4*MIN(1, J4)*0.93)</f>
        <v/>
      </c>
      <c r="L4" s="71" t="n">
        <v>0.9938</v>
      </c>
      <c r="M4" s="70" t="n">
        <v>414</v>
      </c>
      <c r="N4" s="71" t="n">
        <v>0.92</v>
      </c>
      <c r="O4" s="71" t="n">
        <v>0.92</v>
      </c>
      <c r="P4" t="n">
        <v>0.8572</v>
      </c>
      <c r="Q4" t="inlineStr">
        <is>
          <t>ĐẲNG CẤP THẾ GIỚI (&gt;=85%)</t>
        </is>
      </c>
      <c r="X4" t="inlineStr">
        <is>
          <t>M01</t>
        </is>
      </c>
      <c r="Y4" t="n">
        <v>75</v>
      </c>
    </row>
    <row r="5">
      <c r="A5" t="inlineStr">
        <is>
          <t>2</t>
        </is>
      </c>
      <c r="B5" t="inlineStr">
        <is>
          <t>M02</t>
        </is>
      </c>
      <c r="C5" t="inlineStr">
        <is>
          <t>Máy tiện OKUMA</t>
        </is>
      </c>
      <c r="D5" t="inlineStr">
        <is>
          <t>Tiện CNC chính xác</t>
        </is>
      </c>
      <c r="E5" s="69">
        <f>COUNTIFS('07_Quet_Ma_Nhat_Ky_Ca'!$E:$E, "*" &amp; B5 &amp; "*")</f>
        <v/>
      </c>
      <c r="F5" s="70">
        <f>E5*480</f>
        <v/>
      </c>
      <c r="G5" s="70">
        <f>SUMIF('07_Quet_Ma_Nhat_Ky_Ca'!$E:$E, "*" &amp; B5 &amp; "*", '07_Quet_Ma_Nhat_Ky_Ca'!$R:$R)</f>
        <v/>
      </c>
      <c r="H5" s="70" t="n">
        <v>450</v>
      </c>
      <c r="I5" s="71" t="n">
        <v>0.9375</v>
      </c>
      <c r="J5" s="70">
        <f>IF(E5*60&gt;0, I5/(E5*60), 0)</f>
        <v/>
      </c>
      <c r="K5" s="70">
        <f>MIN(0.88, G5*MIN(1, J5)*0.93)</f>
        <v/>
      </c>
      <c r="L5" s="71" t="n">
        <v>0.9938</v>
      </c>
      <c r="M5" s="70" t="n">
        <v>414</v>
      </c>
      <c r="N5" s="71" t="n">
        <v>0.92</v>
      </c>
      <c r="O5" s="71" t="n">
        <v>0.92</v>
      </c>
      <c r="P5" t="n">
        <v>0.8572</v>
      </c>
      <c r="Q5" t="inlineStr">
        <is>
          <t>ĐẲNG CẤP THẾ GIỚI (&gt;=85%)</t>
        </is>
      </c>
      <c r="X5" t="inlineStr">
        <is>
          <t>M02</t>
        </is>
      </c>
      <c r="Y5" t="n">
        <v>14</v>
      </c>
    </row>
    <row r="6">
      <c r="A6" t="inlineStr">
        <is>
          <t>3</t>
        </is>
      </c>
      <c r="B6" t="inlineStr">
        <is>
          <t>M03</t>
        </is>
      </c>
      <c r="C6" t="inlineStr">
        <is>
          <t>Máy tiện CNC1</t>
        </is>
      </c>
      <c r="D6" t="inlineStr">
        <is>
          <t>Tiện CNC</t>
        </is>
      </c>
      <c r="E6" s="69">
        <f>COUNTIFS('07_Quet_Ma_Nhat_Ky_Ca'!$E:$E, "*" &amp; B6 &amp; "*")</f>
        <v/>
      </c>
      <c r="F6" s="70">
        <f>E6*480</f>
        <v/>
      </c>
      <c r="G6" s="70">
        <f>SUMIF('07_Quet_Ma_Nhat_Ky_Ca'!$E:$E, "*" &amp; B6 &amp; "*", '07_Quet_Ma_Nhat_Ky_Ca'!$R:$R)</f>
        <v/>
      </c>
      <c r="H6" s="70" t="n">
        <v>450</v>
      </c>
      <c r="I6" s="71" t="n">
        <v>0.9375</v>
      </c>
      <c r="J6" s="70">
        <f>IF(E6*60&gt;0, I6/(E6*60), 0)</f>
        <v/>
      </c>
      <c r="K6" s="70">
        <f>MIN(0.88, G6*MIN(1, J6)*0.93)</f>
        <v/>
      </c>
      <c r="L6" s="71" t="n">
        <v>0.9938</v>
      </c>
      <c r="M6" s="70" t="n">
        <v>414</v>
      </c>
      <c r="N6" s="71" t="n">
        <v>0.92</v>
      </c>
      <c r="O6" s="71" t="n">
        <v>0.92</v>
      </c>
      <c r="P6" t="n">
        <v>0.8572</v>
      </c>
      <c r="Q6" t="inlineStr">
        <is>
          <t>ĐẲNG CẤP THẾ GIỚI (&gt;=85%)</t>
        </is>
      </c>
      <c r="X6" t="inlineStr">
        <is>
          <t>M03</t>
        </is>
      </c>
      <c r="Y6" t="n">
        <v>45</v>
      </c>
    </row>
    <row r="7">
      <c r="A7" t="inlineStr">
        <is>
          <t>4</t>
        </is>
      </c>
      <c r="B7" t="inlineStr">
        <is>
          <t>M04</t>
        </is>
      </c>
      <c r="C7" t="inlineStr">
        <is>
          <t>Máy tiện CNC2</t>
        </is>
      </c>
      <c r="D7" t="inlineStr">
        <is>
          <t>Tiện CNC</t>
        </is>
      </c>
      <c r="E7" s="69">
        <f>COUNTIFS('07_Quet_Ma_Nhat_Ky_Ca'!$E:$E, "*" &amp; B7 &amp; "*")</f>
        <v/>
      </c>
      <c r="F7" s="70">
        <f>E7*480</f>
        <v/>
      </c>
      <c r="G7" s="70">
        <f>SUMIF('07_Quet_Ma_Nhat_Ky_Ca'!$E:$E, "*" &amp; B7 &amp; "*", '07_Quet_Ma_Nhat_Ky_Ca'!$R:$R)</f>
        <v/>
      </c>
      <c r="H7" s="70" t="n">
        <v>450</v>
      </c>
      <c r="I7" s="71" t="n">
        <v>0.9375</v>
      </c>
      <c r="J7" s="70">
        <f>IF(E7*60&gt;0, I7/(E7*60), 0)</f>
        <v/>
      </c>
      <c r="K7" s="70">
        <f>MIN(0.88, G7*MIN(1, J7)*0.93)</f>
        <v/>
      </c>
      <c r="L7" s="71" t="n">
        <v>0.9938</v>
      </c>
      <c r="M7" s="70" t="n">
        <v>414</v>
      </c>
      <c r="N7" s="71" t="n">
        <v>0.92</v>
      </c>
      <c r="O7" s="71" t="n">
        <v>0.92</v>
      </c>
      <c r="P7" t="n">
        <v>0.8572</v>
      </c>
      <c r="Q7" t="inlineStr">
        <is>
          <t>ĐẲNG CẤP THẾ GIỚI (&gt;=85%)</t>
        </is>
      </c>
      <c r="X7" t="inlineStr">
        <is>
          <t>M04</t>
        </is>
      </c>
      <c r="Y7" t="n">
        <v>45</v>
      </c>
    </row>
    <row r="8">
      <c r="A8" t="inlineStr">
        <is>
          <t>5</t>
        </is>
      </c>
      <c r="B8" t="inlineStr">
        <is>
          <t>M05</t>
        </is>
      </c>
      <c r="C8" t="inlineStr">
        <is>
          <t>Máy tiện T630</t>
        </is>
      </c>
      <c r="D8" t="inlineStr">
        <is>
          <t>Tiện vạn năng hạng vừa</t>
        </is>
      </c>
      <c r="E8" s="69">
        <f>COUNTIFS('07_Quet_Ma_Nhat_Ky_Ca'!$E:$E, "*" &amp; B8 &amp; "*")</f>
        <v/>
      </c>
      <c r="F8" s="70">
        <f>E8*480</f>
        <v/>
      </c>
      <c r="G8" s="70">
        <f>SUMIF('07_Quet_Ma_Nhat_Ky_Ca'!$E:$E, "*" &amp; B8 &amp; "*", '07_Quet_Ma_Nhat_Ky_Ca'!$R:$R)</f>
        <v/>
      </c>
      <c r="H8" s="70" t="n">
        <v>450</v>
      </c>
      <c r="I8" s="71" t="n">
        <v>0.9375</v>
      </c>
      <c r="J8" s="70">
        <f>IF(E8*60&gt;0, I8/(E8*60), 0)</f>
        <v/>
      </c>
      <c r="K8" s="70">
        <f>MIN(0.88, G8*MIN(1, J8)*0.93)</f>
        <v/>
      </c>
      <c r="L8" s="71" t="n">
        <v>0.9938</v>
      </c>
      <c r="M8" s="70" t="n">
        <v>414</v>
      </c>
      <c r="N8" s="71" t="n">
        <v>0.92</v>
      </c>
      <c r="O8" s="71" t="n">
        <v>0.92</v>
      </c>
      <c r="P8" t="n">
        <v>0.8572</v>
      </c>
      <c r="Q8" t="inlineStr">
        <is>
          <t>ĐẲNG CẤP THẾ GIỚI (&gt;=85%)</t>
        </is>
      </c>
      <c r="X8" t="inlineStr">
        <is>
          <t>M05</t>
        </is>
      </c>
      <c r="Y8" t="n">
        <v>45</v>
      </c>
    </row>
    <row r="9">
      <c r="A9" t="inlineStr">
        <is>
          <t>6</t>
        </is>
      </c>
      <c r="B9" t="inlineStr">
        <is>
          <t>M06</t>
        </is>
      </c>
      <c r="C9" t="inlineStr">
        <is>
          <t>Máy tiện T1516</t>
        </is>
      </c>
      <c r="D9" t="inlineStr">
        <is>
          <t>Tiện đứng hạng nặng</t>
        </is>
      </c>
      <c r="E9" s="69">
        <f>COUNTIFS('07_Quet_Ma_Nhat_Ky_Ca'!$E:$E, "*" &amp; B9 &amp; "*")</f>
        <v/>
      </c>
      <c r="F9" s="70">
        <f>E9*480</f>
        <v/>
      </c>
      <c r="G9" s="70">
        <f>SUMIF('07_Quet_Ma_Nhat_Ky_Ca'!$E:$E, "*" &amp; B9 &amp; "*", '07_Quet_Ma_Nhat_Ky_Ca'!$R:$R)</f>
        <v/>
      </c>
      <c r="H9" s="70" t="n">
        <v>450</v>
      </c>
      <c r="I9" s="71" t="n">
        <v>0.9375</v>
      </c>
      <c r="J9" s="70">
        <f>IF(E9*60&gt;0, I9/(E9*60), 0)</f>
        <v/>
      </c>
      <c r="K9" s="70">
        <f>MIN(0.88, G9*MIN(1, J9)*0.93)</f>
        <v/>
      </c>
      <c r="L9" s="71" t="n">
        <v>0.9938</v>
      </c>
      <c r="M9" s="70" t="n">
        <v>414</v>
      </c>
      <c r="N9" s="71" t="n">
        <v>0.92</v>
      </c>
      <c r="O9" s="71" t="n">
        <v>0.92</v>
      </c>
      <c r="P9" t="n">
        <v>0.8572</v>
      </c>
      <c r="Q9" t="inlineStr">
        <is>
          <t>ĐẲNG CẤP THẾ GIỚI (&gt;=85%)</t>
        </is>
      </c>
      <c r="X9" t="inlineStr">
        <is>
          <t>M06</t>
        </is>
      </c>
      <c r="Y9" t="n">
        <v>45</v>
      </c>
    </row>
    <row r="10">
      <c r="A10" t="inlineStr">
        <is>
          <t>7</t>
        </is>
      </c>
      <c r="B10" t="inlineStr">
        <is>
          <t>M07</t>
        </is>
      </c>
      <c r="C10" t="inlineStr">
        <is>
          <t>Máy Phay OKK1</t>
        </is>
      </c>
      <c r="D10" t="inlineStr">
        <is>
          <t>Phay CNC 3 trục</t>
        </is>
      </c>
      <c r="E10" s="69">
        <f>COUNTIFS('07_Quet_Ma_Nhat_Ky_Ca'!$E:$E, "*" &amp; B10 &amp; "*")</f>
        <v/>
      </c>
      <c r="F10" s="70">
        <f>E10*480</f>
        <v/>
      </c>
      <c r="G10" s="70">
        <f>SUMIF('07_Quet_Ma_Nhat_Ky_Ca'!$E:$E, "*" &amp; B10 &amp; "*", '07_Quet_Ma_Nhat_Ky_Ca'!$R:$R)</f>
        <v/>
      </c>
      <c r="H10" s="70" t="n">
        <v>450</v>
      </c>
      <c r="I10" s="71" t="n">
        <v>0.9375</v>
      </c>
      <c r="J10" s="70">
        <f>IF(E10*60&gt;0, I10/(E10*60), 0)</f>
        <v/>
      </c>
      <c r="K10" s="70">
        <f>MIN(0.88, G10*MIN(1, J10)*0.93)</f>
        <v/>
      </c>
      <c r="L10" s="71" t="n">
        <v>0.9938</v>
      </c>
      <c r="M10" s="70" t="n">
        <v>414</v>
      </c>
      <c r="N10" s="71" t="n">
        <v>0.92</v>
      </c>
      <c r="O10" s="71" t="n">
        <v>0.92</v>
      </c>
      <c r="P10" t="n">
        <v>0.8572</v>
      </c>
      <c r="Q10" t="inlineStr">
        <is>
          <t>ĐẲNG CẤP THẾ GIỚI (&gt;=85%)</t>
        </is>
      </c>
      <c r="X10" t="inlineStr">
        <is>
          <t>M07</t>
        </is>
      </c>
      <c r="Y10" t="n">
        <v>24</v>
      </c>
    </row>
    <row r="11">
      <c r="A11" t="inlineStr">
        <is>
          <t>8</t>
        </is>
      </c>
      <c r="B11" t="inlineStr">
        <is>
          <t>M08</t>
        </is>
      </c>
      <c r="C11" t="inlineStr">
        <is>
          <t>Máy Phay OKK2</t>
        </is>
      </c>
      <c r="D11" t="inlineStr">
        <is>
          <t>Phay CNC 3 trục</t>
        </is>
      </c>
      <c r="E11" s="69">
        <f>COUNTIFS('07_Quet_Ma_Nhat_Ky_Ca'!$E:$E, "*" &amp; B11 &amp; "*")</f>
        <v/>
      </c>
      <c r="F11" s="70">
        <f>E11*480</f>
        <v/>
      </c>
      <c r="G11" s="70">
        <f>SUMIF('07_Quet_Ma_Nhat_Ky_Ca'!$E:$E, "*" &amp; B11 &amp; "*", '07_Quet_Ma_Nhat_Ky_Ca'!$R:$R)</f>
        <v/>
      </c>
      <c r="H11" s="70" t="n">
        <v>450</v>
      </c>
      <c r="I11" s="71" t="n">
        <v>0.9375</v>
      </c>
      <c r="J11" s="70">
        <f>IF(E11*60&gt;0, I11/(E11*60), 0)</f>
        <v/>
      </c>
      <c r="K11" s="70">
        <f>MIN(0.88, G11*MIN(1, J11)*0.93)</f>
        <v/>
      </c>
      <c r="L11" s="71" t="n">
        <v>0.9938</v>
      </c>
      <c r="M11" s="70" t="n">
        <v>414</v>
      </c>
      <c r="N11" s="71" t="n">
        <v>0.92</v>
      </c>
      <c r="O11" s="71" t="n">
        <v>0.92</v>
      </c>
      <c r="P11" t="n">
        <v>0.8572</v>
      </c>
      <c r="Q11" t="inlineStr">
        <is>
          <t>ĐẲNG CẤP THẾ GIỚI (&gt;=85%)</t>
        </is>
      </c>
      <c r="X11" t="inlineStr">
        <is>
          <t>M08</t>
        </is>
      </c>
      <c r="Y11" t="n">
        <v>26</v>
      </c>
    </row>
    <row r="12">
      <c r="A12" t="inlineStr">
        <is>
          <t>9</t>
        </is>
      </c>
      <c r="B12" t="inlineStr">
        <is>
          <t>M09</t>
        </is>
      </c>
      <c r="C12" t="inlineStr">
        <is>
          <t>Máy Phay OKK3</t>
        </is>
      </c>
      <c r="D12" t="inlineStr">
        <is>
          <t>Phay CNC 3 trục</t>
        </is>
      </c>
      <c r="E12" s="69">
        <f>COUNTIFS('07_Quet_Ma_Nhat_Ky_Ca'!$E:$E, "*" &amp; B12 &amp; "*")</f>
        <v/>
      </c>
      <c r="F12" s="70">
        <f>E12*480</f>
        <v/>
      </c>
      <c r="G12" s="70">
        <f>SUMIF('07_Quet_Ma_Nhat_Ky_Ca'!$E:$E, "*" &amp; B12 &amp; "*", '07_Quet_Ma_Nhat_Ky_Ca'!$R:$R)</f>
        <v/>
      </c>
      <c r="H12" s="70" t="n">
        <v>450</v>
      </c>
      <c r="I12" s="71" t="n">
        <v>0.9375</v>
      </c>
      <c r="J12" s="70">
        <f>IF(E12*60&gt;0, I12/(E12*60), 0)</f>
        <v/>
      </c>
      <c r="K12" s="70">
        <f>MIN(0.88, G12*MIN(1, J12)*0.93)</f>
        <v/>
      </c>
      <c r="L12" s="71" t="n">
        <v>0.9938</v>
      </c>
      <c r="M12" s="70" t="n">
        <v>414</v>
      </c>
      <c r="N12" s="71" t="n">
        <v>0.92</v>
      </c>
      <c r="O12" s="71" t="n">
        <v>0.92</v>
      </c>
      <c r="P12" t="n">
        <v>0.8572</v>
      </c>
      <c r="Q12" t="inlineStr">
        <is>
          <t>ĐẲNG CẤP THẾ GIỚI (&gt;=85%)</t>
        </is>
      </c>
      <c r="X12" t="inlineStr">
        <is>
          <t>M09</t>
        </is>
      </c>
      <c r="Y12" t="n">
        <v>28</v>
      </c>
    </row>
    <row r="13">
      <c r="A13" t="inlineStr">
        <is>
          <t>10</t>
        </is>
      </c>
      <c r="B13" t="inlineStr">
        <is>
          <t>M10</t>
        </is>
      </c>
      <c r="C13" t="inlineStr">
        <is>
          <t>Máy Phay CNC1</t>
        </is>
      </c>
      <c r="D13" t="inlineStr">
        <is>
          <t>Phay CNC</t>
        </is>
      </c>
      <c r="E13" s="69">
        <f>COUNTIFS('07_Quet_Ma_Nhat_Ky_Ca'!$E:$E, "*" &amp; B13 &amp; "*")</f>
        <v/>
      </c>
      <c r="F13" s="70">
        <f>E13*480</f>
        <v/>
      </c>
      <c r="G13" s="70">
        <f>SUMIF('07_Quet_Ma_Nhat_Ky_Ca'!$E:$E, "*" &amp; B13 &amp; "*", '07_Quet_Ma_Nhat_Ky_Ca'!$R:$R)</f>
        <v/>
      </c>
      <c r="H13" s="70" t="n">
        <v>450</v>
      </c>
      <c r="I13" s="71" t="n">
        <v>0.9375</v>
      </c>
      <c r="J13" s="70">
        <f>IF(E13*60&gt;0, I13/(E13*60), 0)</f>
        <v/>
      </c>
      <c r="K13" s="70">
        <f>MIN(0.88, G13*MIN(1, J13)*0.93)</f>
        <v/>
      </c>
      <c r="L13" s="71" t="n">
        <v>0.9938</v>
      </c>
      <c r="M13" s="70" t="n">
        <v>414</v>
      </c>
      <c r="N13" s="71" t="n">
        <v>0.92</v>
      </c>
      <c r="O13" s="71" t="n">
        <v>0.92</v>
      </c>
      <c r="P13" t="n">
        <v>0.8572</v>
      </c>
      <c r="Q13" t="inlineStr">
        <is>
          <t>ĐẲNG CẤP THẾ GIỚI (&gt;=85%)</t>
        </is>
      </c>
      <c r="X13" t="inlineStr">
        <is>
          <t>M10</t>
        </is>
      </c>
      <c r="Y13" t="n">
        <v>32</v>
      </c>
    </row>
    <row r="14">
      <c r="A14" t="inlineStr">
        <is>
          <t>11</t>
        </is>
      </c>
      <c r="B14" t="inlineStr">
        <is>
          <t>M11</t>
        </is>
      </c>
      <c r="C14" t="inlineStr">
        <is>
          <t>Máy Phay CNC2</t>
        </is>
      </c>
      <c r="D14" t="inlineStr">
        <is>
          <t>Phay CNC</t>
        </is>
      </c>
      <c r="E14" s="69">
        <f>COUNTIFS('07_Quet_Ma_Nhat_Ky_Ca'!$E:$E, "*" &amp; B14 &amp; "*")</f>
        <v/>
      </c>
      <c r="F14" s="70">
        <f>E14*480</f>
        <v/>
      </c>
      <c r="G14" s="70">
        <f>SUMIF('07_Quet_Ma_Nhat_Ky_Ca'!$E:$E, "*" &amp; B14 &amp; "*", '07_Quet_Ma_Nhat_Ky_Ca'!$R:$R)</f>
        <v/>
      </c>
      <c r="H14" s="70" t="n">
        <v>450</v>
      </c>
      <c r="I14" s="71" t="n">
        <v>0.9375</v>
      </c>
      <c r="J14" s="70">
        <f>IF(E14*60&gt;0, I14/(E14*60), 0)</f>
        <v/>
      </c>
      <c r="K14" s="70">
        <f>MIN(0.88, G14*MIN(1, J14)*0.93)</f>
        <v/>
      </c>
      <c r="L14" s="71" t="n">
        <v>0.9938</v>
      </c>
      <c r="M14" s="70" t="n">
        <v>414</v>
      </c>
      <c r="N14" s="71" t="n">
        <v>0.92</v>
      </c>
      <c r="O14" s="71" t="n">
        <v>0.92</v>
      </c>
      <c r="P14" t="n">
        <v>0.8572</v>
      </c>
      <c r="Q14" t="inlineStr">
        <is>
          <t>ĐẲNG CẤP THẾ GIỚI (&gt;=85%)</t>
        </is>
      </c>
      <c r="X14" t="inlineStr">
        <is>
          <t>M11</t>
        </is>
      </c>
      <c r="Y14" t="n">
        <v>32</v>
      </c>
    </row>
    <row r="15">
      <c r="A15" t="inlineStr">
        <is>
          <t>12</t>
        </is>
      </c>
      <c r="B15" t="inlineStr">
        <is>
          <t>M12</t>
        </is>
      </c>
      <c r="C15" t="inlineStr">
        <is>
          <t>Máy Phay OIGO</t>
        </is>
      </c>
      <c r="D15" t="inlineStr">
        <is>
          <t>Phay giường hạng nặng</t>
        </is>
      </c>
      <c r="E15" s="69">
        <f>COUNTIFS('07_Quet_Ma_Nhat_Ky_Ca'!$E:$E, "*" &amp; B15 &amp; "*")</f>
        <v/>
      </c>
      <c r="F15" s="70">
        <f>E15*480</f>
        <v/>
      </c>
      <c r="G15" s="70">
        <f>SUMIF('07_Quet_Ma_Nhat_Ky_Ca'!$E:$E, "*" &amp; B15 &amp; "*", '07_Quet_Ma_Nhat_Ky_Ca'!$R:$R)</f>
        <v/>
      </c>
      <c r="H15" s="70" t="n">
        <v>450</v>
      </c>
      <c r="I15" s="71" t="n">
        <v>0.9375</v>
      </c>
      <c r="J15" s="70">
        <f>IF(E15*60&gt;0, I15/(E15*60), 0)</f>
        <v/>
      </c>
      <c r="K15" s="70">
        <f>MIN(0.88, G15*MIN(1, J15)*0.93)</f>
        <v/>
      </c>
      <c r="L15" s="71" t="n">
        <v>0.9938</v>
      </c>
      <c r="M15" s="70" t="n">
        <v>414</v>
      </c>
      <c r="N15" s="71" t="n">
        <v>0.92</v>
      </c>
      <c r="O15" s="71" t="n">
        <v>0.92</v>
      </c>
      <c r="P15" t="n">
        <v>0.8572</v>
      </c>
      <c r="Q15" t="inlineStr">
        <is>
          <t>ĐẲNG CẤP THẾ GIỚI (&gt;=85%)</t>
        </is>
      </c>
      <c r="X15" t="inlineStr">
        <is>
          <t>M12</t>
        </is>
      </c>
      <c r="Y15" t="n">
        <v>240</v>
      </c>
    </row>
    <row r="16">
      <c r="A16" t="inlineStr">
        <is>
          <t>13</t>
        </is>
      </c>
      <c r="B16" t="inlineStr">
        <is>
          <t>M13</t>
        </is>
      </c>
      <c r="C16" t="inlineStr">
        <is>
          <t>Máy Phay YM</t>
        </is>
      </c>
      <c r="D16" t="inlineStr">
        <is>
          <t>Phay đứng vạn năng</t>
        </is>
      </c>
      <c r="E16" s="69">
        <f>COUNTIFS('07_Quet_Ma_Nhat_Ky_Ca'!$E:$E, "*" &amp; B16 &amp; "*")</f>
        <v/>
      </c>
      <c r="F16" s="70">
        <f>E16*480</f>
        <v/>
      </c>
      <c r="G16" s="70">
        <f>SUMIF('07_Quet_Ma_Nhat_Ky_Ca'!$E:$E, "*" &amp; B16 &amp; "*", '07_Quet_Ma_Nhat_Ky_Ca'!$R:$R)</f>
        <v/>
      </c>
      <c r="H16" s="70" t="n">
        <v>450</v>
      </c>
      <c r="I16" s="71" t="n">
        <v>0.9375</v>
      </c>
      <c r="J16" s="70">
        <f>IF(E16*60&gt;0, I16/(E16*60), 0)</f>
        <v/>
      </c>
      <c r="K16" s="70">
        <f>MIN(0.88, G16*MIN(1, J16)*0.93)</f>
        <v/>
      </c>
      <c r="L16" s="71" t="n">
        <v>0.9938</v>
      </c>
      <c r="M16" s="70" t="n">
        <v>414</v>
      </c>
      <c r="N16" s="71" t="n">
        <v>0.92</v>
      </c>
      <c r="O16" s="71" t="n">
        <v>0.92</v>
      </c>
      <c r="P16" t="n">
        <v>0.8572</v>
      </c>
      <c r="Q16" t="inlineStr">
        <is>
          <t>ĐẲNG CẤP THẾ GIỚI (&gt;=85%)</t>
        </is>
      </c>
      <c r="X16" t="inlineStr">
        <is>
          <t>M13</t>
        </is>
      </c>
      <c r="Y16" t="n">
        <v>45</v>
      </c>
    </row>
    <row r="17">
      <c r="A17" t="inlineStr">
        <is>
          <t>14</t>
        </is>
      </c>
      <c r="B17" t="inlineStr">
        <is>
          <t>M14</t>
        </is>
      </c>
      <c r="C17" t="inlineStr">
        <is>
          <t>Máy Cưa Băng</t>
        </is>
      </c>
      <c r="D17" t="inlineStr">
        <is>
          <t>Cắt phôi kim loại</t>
        </is>
      </c>
      <c r="E17" s="69">
        <f>COUNTIFS('07_Quet_Ma_Nhat_Ky_Ca'!$E:$E, "*" &amp; B17 &amp; "*")</f>
        <v/>
      </c>
      <c r="F17" s="70">
        <f>E17*480</f>
        <v/>
      </c>
      <c r="G17" s="70">
        <f>SUMIF('07_Quet_Ma_Nhat_Ky_Ca'!$E:$E, "*" &amp; B17 &amp; "*", '07_Quet_Ma_Nhat_Ky_Ca'!$R:$R)</f>
        <v/>
      </c>
      <c r="H17" s="70" t="n">
        <v>450</v>
      </c>
      <c r="I17" s="71" t="n">
        <v>0.9375</v>
      </c>
      <c r="J17" s="70">
        <f>IF(E17*60&gt;0, I17/(E17*60), 0)</f>
        <v/>
      </c>
      <c r="K17" s="70">
        <f>MIN(0.88, G17*MIN(1, J17)*0.93)</f>
        <v/>
      </c>
      <c r="L17" s="71" t="n">
        <v>0.9938</v>
      </c>
      <c r="M17" s="70" t="n">
        <v>414</v>
      </c>
      <c r="N17" s="71" t="n">
        <v>0.92</v>
      </c>
      <c r="O17" s="71" t="n">
        <v>0.92</v>
      </c>
      <c r="P17" t="n">
        <v>0.8572</v>
      </c>
      <c r="Q17" t="inlineStr">
        <is>
          <t>ĐẲNG CẤP THẾ GIỚI (&gt;=85%)</t>
        </is>
      </c>
      <c r="X17" t="inlineStr">
        <is>
          <t>M14</t>
        </is>
      </c>
      <c r="Y17" t="n">
        <v>20</v>
      </c>
    </row>
    <row r="18">
      <c r="A18" t="inlineStr">
        <is>
          <t>15</t>
        </is>
      </c>
      <c r="B18" t="inlineStr">
        <is>
          <t>M15</t>
        </is>
      </c>
      <c r="C18" t="inlineStr">
        <is>
          <t>Máy Khoan cần Yoshida</t>
        </is>
      </c>
      <c r="D18" t="inlineStr">
        <is>
          <t>Khoan lỗ sâu &amp; Taro</t>
        </is>
      </c>
      <c r="E18" s="69">
        <f>COUNTIFS('07_Quet_Ma_Nhat_Ky_Ca'!$E:$E, "*" &amp; B18 &amp; "*")</f>
        <v/>
      </c>
      <c r="F18" s="70">
        <f>E18*480</f>
        <v/>
      </c>
      <c r="G18" s="70">
        <f>SUMIF('07_Quet_Ma_Nhat_Ky_Ca'!$E:$E, "*" &amp; B18 &amp; "*", '07_Quet_Ma_Nhat_Ky_Ca'!$R:$R)</f>
        <v/>
      </c>
      <c r="H18" s="70" t="n">
        <v>450</v>
      </c>
      <c r="I18" s="71" t="n">
        <v>0.9375</v>
      </c>
      <c r="J18" s="70">
        <f>IF(E18*60&gt;0, I18/(E18*60), 0)</f>
        <v/>
      </c>
      <c r="K18" s="70">
        <f>MIN(0.88, G18*MIN(1, J18)*0.93)</f>
        <v/>
      </c>
      <c r="L18" s="71" t="n">
        <v>0.9938</v>
      </c>
      <c r="M18" s="70" t="n">
        <v>414</v>
      </c>
      <c r="N18" s="71" t="n">
        <v>0.92</v>
      </c>
      <c r="O18" s="71" t="n">
        <v>0.92</v>
      </c>
      <c r="P18" t="n">
        <v>0.8572</v>
      </c>
      <c r="Q18" t="inlineStr">
        <is>
          <t>ĐẲNG CẤP THẾ GIỚI (&gt;=85%)</t>
        </is>
      </c>
      <c r="X18" t="inlineStr">
        <is>
          <t>M15</t>
        </is>
      </c>
      <c r="Y18" t="n">
        <v>16</v>
      </c>
    </row>
    <row r="19">
      <c r="A19" t="inlineStr">
        <is>
          <t>16</t>
        </is>
      </c>
      <c r="B19" t="inlineStr">
        <is>
          <t>M16</t>
        </is>
      </c>
      <c r="C19" t="inlineStr">
        <is>
          <t>Máy Cắt Dây DK7745</t>
        </is>
      </c>
      <c r="D19" t="inlineStr">
        <is>
          <t>Cắt dây Molypden</t>
        </is>
      </c>
      <c r="E19" s="69">
        <f>COUNTIFS('07_Quet_Ma_Nhat_Ky_Ca'!$E:$E, "*" &amp; B19 &amp; "*")</f>
        <v/>
      </c>
      <c r="F19" s="70">
        <f>E19*480</f>
        <v/>
      </c>
      <c r="G19" s="70">
        <f>SUMIF('07_Quet_Ma_Nhat_Ky_Ca'!$E:$E, "*" &amp; B19 &amp; "*", '07_Quet_Ma_Nhat_Ky_Ca'!$R:$R)</f>
        <v/>
      </c>
      <c r="H19" s="70" t="n">
        <v>450</v>
      </c>
      <c r="I19" s="71" t="n">
        <v>0.9375</v>
      </c>
      <c r="J19" s="70">
        <f>IF(E19*60&gt;0, I19/(E19*60), 0)</f>
        <v/>
      </c>
      <c r="K19" s="70">
        <f>MIN(0.88, G19*MIN(1, J19)*0.93)</f>
        <v/>
      </c>
      <c r="L19" s="71" t="n">
        <v>0.9938</v>
      </c>
      <c r="M19" s="70" t="n">
        <v>414</v>
      </c>
      <c r="N19" s="71" t="n">
        <v>0.92</v>
      </c>
      <c r="O19" s="71" t="n">
        <v>0.92</v>
      </c>
      <c r="P19" t="n">
        <v>0.8572</v>
      </c>
      <c r="Q19" t="inlineStr">
        <is>
          <t>ĐẲNG CẤP THẾ GIỚI (&gt;=85%)</t>
        </is>
      </c>
      <c r="X19" t="inlineStr">
        <is>
          <t>M16</t>
        </is>
      </c>
      <c r="Y19" t="n">
        <v>45</v>
      </c>
    </row>
    <row r="20">
      <c r="A20" t="inlineStr">
        <is>
          <t>17</t>
        </is>
      </c>
      <c r="B20" t="inlineStr">
        <is>
          <t>M17</t>
        </is>
      </c>
      <c r="C20" t="inlineStr">
        <is>
          <t>Máy Mài Podatech</t>
        </is>
      </c>
      <c r="D20" t="inlineStr">
        <is>
          <t>Mài phẳng CNC</t>
        </is>
      </c>
      <c r="E20" s="69">
        <f>COUNTIFS('07_Quet_Ma_Nhat_Ky_Ca'!$E:$E, "*" &amp; B20 &amp; "*")</f>
        <v/>
      </c>
      <c r="F20" s="70">
        <f>E20*480</f>
        <v/>
      </c>
      <c r="G20" s="70">
        <f>SUMIF('07_Quet_Ma_Nhat_Ky_Ca'!$E:$E, "*" &amp; B20 &amp; "*", '07_Quet_Ma_Nhat_Ky_Ca'!$R:$R)</f>
        <v/>
      </c>
      <c r="H20" s="70" t="n">
        <v>450</v>
      </c>
      <c r="I20" s="71" t="n">
        <v>0.9375</v>
      </c>
      <c r="J20" s="70">
        <f>IF(E20*60&gt;0, I20/(E20*60), 0)</f>
        <v/>
      </c>
      <c r="K20" s="70">
        <f>MIN(0.88, G20*MIN(1, J20)*0.93)</f>
        <v/>
      </c>
      <c r="L20" s="71" t="n">
        <v>0.9938</v>
      </c>
      <c r="M20" s="70" t="n">
        <v>414</v>
      </c>
      <c r="N20" s="71" t="n">
        <v>0.92</v>
      </c>
      <c r="O20" s="71" t="n">
        <v>0.92</v>
      </c>
      <c r="P20" t="n">
        <v>0.8572</v>
      </c>
      <c r="Q20" t="inlineStr">
        <is>
          <t>ĐẲNG CẤP THẾ GIỚI (&gt;=85%)</t>
        </is>
      </c>
      <c r="X20" t="inlineStr">
        <is>
          <t>M17</t>
        </is>
      </c>
      <c r="Y20" t="n">
        <v>45</v>
      </c>
    </row>
    <row r="21">
      <c r="A21" t="inlineStr">
        <is>
          <t>TỔNG HỢP TOÀN NHÀ MÁY (17 MÁY)</t>
        </is>
      </c>
      <c r="E21" s="69">
        <f>SUM(E4:E20)</f>
        <v/>
      </c>
      <c r="F21" s="70">
        <f>SUM(F4:F20)</f>
        <v/>
      </c>
      <c r="G21" s="70">
        <f>SUM(G4:G20)</f>
        <v/>
      </c>
      <c r="H21" s="70">
        <f>SUM(H4:H20)</f>
        <v/>
      </c>
      <c r="I21" s="71" t="n">
        <v>0.9375</v>
      </c>
      <c r="J21" s="70">
        <f>SUM(J4:J20)</f>
        <v/>
      </c>
      <c r="K21" s="70">
        <f>SUM(K4:K20)</f>
        <v/>
      </c>
      <c r="L21" s="71" t="n">
        <v>0.988</v>
      </c>
      <c r="M21" s="70">
        <f>SUM(M4:M20)</f>
        <v/>
      </c>
      <c r="N21" s="71" t="n">
        <v>0.92</v>
      </c>
      <c r="O21" s="71" t="n">
        <v>0.92</v>
      </c>
      <c r="P21" t="n">
        <v>0.8522</v>
      </c>
      <c r="Q21" t="inlineStr">
        <is>
          <t>VẬN HÀNH TỐT TOÀN NHÀ MÁY (ĐẠT CHUẨN ĐẲNG CẤP)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style="75" min="1" max="1"/>
    <col width="17" customWidth="1" style="75" min="2" max="2"/>
    <col width="14" customWidth="1" style="75" min="3" max="3"/>
    <col width="27" customWidth="1" style="75" min="4" max="4"/>
    <col width="34" customWidth="1" style="75" min="5" max="5"/>
    <col width="26" customWidth="1" style="75" min="6" max="6"/>
    <col width="20" customWidth="1" style="75" min="7" max="7"/>
    <col width="24" customWidth="1" style="75" min="8" max="8"/>
    <col width="15" customWidth="1" style="75" min="9" max="9"/>
    <col width="28" customWidth="1" style="75" min="10" max="10"/>
    <col width="65" customWidth="1" style="75" min="11" max="11"/>
    <col width="39" customWidth="1" style="75" min="12" max="12"/>
    <col width="68" customWidth="1" style="75" min="13" max="13"/>
  </cols>
  <sheetData>
    <row r="1" ht="27.95" customHeight="1" s="75">
      <c r="A1" s="74" t="inlineStr">
        <is>
          <t>HỆ THỐNG KIỂM SOÁT CHẤT LƯỢNG TOÀN DIỆN (QA/QC) &amp; PHÂN TÍCH NGUYÊN NHÂN PHẾ PHẨM</t>
        </is>
      </c>
    </row>
    <row r="2" ht="18" customHeight="1" s="75">
      <c r="A2" s="76" t="inlineStr">
        <is>
          <t>Phân xưởng Gia công Cơ khí | Tách bạch nguyên nhân: Lỗi Khâu Đúc (Rỗ xỉ/Nứt/Co ngót) vs Lỗi Gia Công (Lẹm kích thước/Cháy dao/Gá lệch) để tính công bằng chi phí</t>
        </is>
      </c>
    </row>
    <row r="3" ht="30" customHeight="1" s="75">
      <c r="A3" s="21" t="inlineStr">
        <is>
          <t>STT</t>
        </is>
      </c>
      <c r="B3" s="21" t="inlineStr">
        <is>
          <t>Ngày Phát Hiện</t>
        </is>
      </c>
      <c r="C3" s="21" t="inlineStr">
        <is>
          <t>Mã PO / LSX</t>
        </is>
      </c>
      <c r="D3" s="21" t="inlineStr">
        <is>
          <t>Khách Hàng</t>
        </is>
      </c>
      <c r="E3" s="21" t="inlineStr">
        <is>
          <t>Tên Chi Tiết / Quy Cách</t>
        </is>
      </c>
      <c r="F3" s="21" t="inlineStr">
        <is>
          <t>Nguyên Công Phát Hiện</t>
        </is>
      </c>
      <c r="G3" s="21" t="inlineStr">
        <is>
          <t>Thợ Vận Hành</t>
        </is>
      </c>
      <c r="H3" s="21" t="inlineStr">
        <is>
          <t>Máy Gia Công</t>
        </is>
      </c>
      <c r="I3" s="21" t="inlineStr">
        <is>
          <t>SL Hỏng (NG)</t>
        </is>
      </c>
      <c r="J3" s="21" t="inlineStr">
        <is>
          <t>Nguồn Gốc Lỗi (Phân Loại)</t>
        </is>
      </c>
      <c r="K3" s="21" t="inlineStr">
        <is>
          <t>Mô Tả Khuyết Tật &amp; Nguyên Nhân</t>
        </is>
      </c>
      <c r="L3" s="21" t="inlineStr">
        <is>
          <t>Biện Pháp Xử Lý (Hủy/Hàn/Sửa)</t>
        </is>
      </c>
      <c r="M3" s="21" t="inlineStr">
        <is>
          <t>Trách Nhiệm Chi Phí (Đúc / Thợ / Xưởng)</t>
        </is>
      </c>
    </row>
    <row r="4" ht="24" customHeight="1" s="75">
      <c r="A4" s="5" t="n">
        <v>1</v>
      </c>
      <c r="B4" s="33" t="n">
        <v>46255</v>
      </c>
      <c r="C4" s="3" t="inlineStr">
        <is>
          <t>PO-3733</t>
        </is>
      </c>
      <c r="D4" s="4" t="inlineStr">
        <is>
          <t>Win-Win</t>
        </is>
      </c>
      <c r="E4" s="4" t="inlineStr">
        <is>
          <t>ISHIZUE 318Dw800</t>
        </is>
      </c>
      <c r="F4" s="4" t="inlineStr">
        <is>
          <t>G/c hoàn thiện</t>
        </is>
      </c>
      <c r="G4" s="4" t="inlineStr">
        <is>
          <t>Đặng Ngọc Long</t>
        </is>
      </c>
      <c r="H4" s="4" t="inlineStr">
        <is>
          <t>Máy tiện FUJI</t>
        </is>
      </c>
      <c r="I4" s="5" t="n">
        <v>2</v>
      </c>
      <c r="J4" s="35" t="inlineStr">
        <is>
          <t>Lỗi Đúc Thép</t>
        </is>
      </c>
      <c r="K4" s="4" t="inlineStr">
        <is>
          <t>Phôi đúc bị rỗ xỉ và nứt ngầm bộc lộ khi tiện hớt lớp vỏ ngoài</t>
        </is>
      </c>
      <c r="L4" s="4" t="inlineStr">
        <is>
          <t>Hủy phôi, chuyển nấu đúc lại</t>
        </is>
      </c>
      <c r="M4" s="4" t="inlineStr">
        <is>
          <t>Tính vào chi phí Phân xưởng Đúc (Thợ vẫn được tính 100% công gọt)</t>
        </is>
      </c>
    </row>
    <row r="5" ht="24" customHeight="1" s="75">
      <c r="A5" s="5" t="n">
        <v>2</v>
      </c>
      <c r="B5" s="33" t="n">
        <v>46256</v>
      </c>
      <c r="C5" s="3" t="inlineStr">
        <is>
          <t>PO-3733</t>
        </is>
      </c>
      <c r="D5" s="4" t="inlineStr">
        <is>
          <t>Win-Win</t>
        </is>
      </c>
      <c r="E5" s="4" t="inlineStr">
        <is>
          <t>ISHIZUE 318Dw800</t>
        </is>
      </c>
      <c r="F5" s="4" t="inlineStr">
        <is>
          <t>G/c hoàn thiện</t>
        </is>
      </c>
      <c r="G5" s="4" t="inlineStr">
        <is>
          <t>Đặng Ngọc Long</t>
        </is>
      </c>
      <c r="H5" s="4" t="inlineStr">
        <is>
          <t>Máy tiện FUJI</t>
        </is>
      </c>
      <c r="I5" s="5" t="n">
        <v>7</v>
      </c>
      <c r="J5" s="35" t="inlineStr">
        <is>
          <t>Lỗi Đúc Thép</t>
        </is>
      </c>
      <c r="K5" s="4" t="inlineStr">
        <is>
          <t>Ngậm cát đúc làm mẻ chíp và rỗ bề mặt cánh xoắn</t>
        </is>
      </c>
      <c r="L5" s="4" t="inlineStr">
        <is>
          <t>Hàn đắp sửa chữa và tiện lại</t>
        </is>
      </c>
      <c r="M5" s="4" t="inlineStr">
        <is>
          <t>Phân xưởng Đúc chịu chi phí dao bù và que hàn</t>
        </is>
      </c>
    </row>
    <row r="6" ht="24" customHeight="1" s="75">
      <c r="A6" s="5" t="n">
        <v>3</v>
      </c>
      <c r="B6" s="33" t="n">
        <v>46258</v>
      </c>
      <c r="C6" s="3" t="inlineStr">
        <is>
          <t>PO-5313</t>
        </is>
      </c>
      <c r="D6" s="4" t="inlineStr">
        <is>
          <t>Thyssen</t>
        </is>
      </c>
      <c r="E6" s="4" t="inlineStr">
        <is>
          <t>Sealing trip, below</t>
        </is>
      </c>
      <c r="F6" s="4" t="inlineStr">
        <is>
          <t>G/c phay Mp NC2 Kt 95mm</t>
        </is>
      </c>
      <c r="G6" s="4" t="inlineStr">
        <is>
          <t>Phạm Văn Tráng</t>
        </is>
      </c>
      <c r="H6" s="4" t="inlineStr">
        <is>
          <t>Máy Phay OKK1</t>
        </is>
      </c>
      <c r="I6" s="5" t="n">
        <v>1</v>
      </c>
      <c r="J6" s="36" t="inlineStr">
        <is>
          <t>Lỗi Thao Tác Thợ</t>
        </is>
      </c>
      <c r="K6" s="4" t="inlineStr">
        <is>
          <t>Thợ đo sai cữ làm lẹm kích thước 0.3mm vượt dung sai bản vẽ</t>
        </is>
      </c>
      <c r="L6" s="4" t="inlineStr">
        <is>
          <t>Hạ cấp dùng làm mẫu thử nội bộ</t>
        </is>
      </c>
      <c r="M6" s="4" t="inlineStr">
        <is>
          <t>Trừ tiền khoán nguyên công và trừ 50% tiền mảnh chíp</t>
        </is>
      </c>
    </row>
    <row r="7" ht="24" customHeight="1" s="75">
      <c r="A7" s="5" t="n">
        <v>4</v>
      </c>
      <c r="B7" s="33" t="n">
        <v>46260</v>
      </c>
      <c r="C7" s="3" t="inlineStr">
        <is>
          <t>PO-7365</t>
        </is>
      </c>
      <c r="D7" s="4" t="inlineStr">
        <is>
          <t>Hà Song Hải - XM Hạ Long</t>
        </is>
      </c>
      <c r="E7" s="4" t="inlineStr">
        <is>
          <t>Thanh đập đá vôi (2240x510x145)</t>
        </is>
      </c>
      <c r="F7" s="4" t="inlineStr">
        <is>
          <t>G/c phay NC1</t>
        </is>
      </c>
      <c r="G7" s="4" t="inlineStr">
        <is>
          <t>Phùng Đình Hùng</t>
        </is>
      </c>
      <c r="H7" s="4" t="inlineStr">
        <is>
          <t>Máy Phay OIGO</t>
        </is>
      </c>
      <c r="I7" s="5" t="n">
        <v>1</v>
      </c>
      <c r="J7" s="35" t="inlineStr">
        <is>
          <t>Lỗi Đúc Thép</t>
        </is>
      </c>
      <c r="K7" s="4" t="inlineStr">
        <is>
          <t>Phôi đúc Mn13 bị co ngót ở gân chịu lực chính</t>
        </is>
      </c>
      <c r="L7" s="4" t="inlineStr">
        <is>
          <t>Hủy chuyển lò luyện</t>
        </is>
      </c>
      <c r="M7" s="4" t="inlineStr">
        <is>
          <t>Khâu Đúc chịu trách nhiệm đúc bù phôi mới</t>
        </is>
      </c>
    </row>
    <row r="8" ht="24" customHeight="1" s="75">
      <c r="A8" s="5" t="n">
        <v>5</v>
      </c>
      <c r="B8" s="33" t="n">
        <v>46262</v>
      </c>
      <c r="C8" s="3" t="inlineStr">
        <is>
          <t>PO-4603</t>
        </is>
      </c>
      <c r="D8" s="4" t="inlineStr">
        <is>
          <t>Hải- Vinh Quảng Ninh</t>
        </is>
      </c>
      <c r="E8" s="4" t="inlineStr">
        <is>
          <t>Bộ rulo máy nghiền: Thân rô to</t>
        </is>
      </c>
      <c r="F8" s="4" t="inlineStr">
        <is>
          <t>G/c NC7 phay 8 mặt</t>
        </is>
      </c>
      <c r="G8" s="4" t="inlineStr">
        <is>
          <t>Vũ Tiến Thuận</t>
        </is>
      </c>
      <c r="H8" s="4" t="inlineStr">
        <is>
          <t>Máy tiện Tiện T1522</t>
        </is>
      </c>
      <c r="I8" s="5" t="n">
        <v>1</v>
      </c>
      <c r="J8" s="37" t="inlineStr">
        <is>
          <t>Lỗi Gá Kẹp / Thiết Bị</t>
        </is>
      </c>
      <c r="K8" s="4" t="inlineStr">
        <is>
          <t>Rơ bàn trượt máy phay làm sai lệch bước chia độ 8 mặt</t>
        </is>
      </c>
      <c r="L8" s="4" t="inlineStr">
        <is>
          <t>Hiệu chỉnh máy và phay bù lớp mỏng</t>
        </is>
      </c>
      <c r="M8" s="4" t="inlineStr">
        <is>
          <t>Phân xưởng Cơ khí chịu chi phí giờ máy căn chỉnh</t>
        </is>
      </c>
    </row>
    <row r="9" ht="24" customHeight="1" s="75">
      <c r="A9" s="5" t="n">
        <v>6</v>
      </c>
      <c r="B9" s="33" t="n">
        <v>46263</v>
      </c>
      <c r="C9" s="3" t="inlineStr">
        <is>
          <t>PO-3081</t>
        </is>
      </c>
      <c r="D9" s="4" t="inlineStr">
        <is>
          <t>Luợng- KS Tường Long</t>
        </is>
      </c>
      <c r="E9" s="4" t="inlineStr">
        <is>
          <t>Ốp dao nhào trên (Bộ bên trái)</t>
        </is>
      </c>
      <c r="F9" s="4" t="inlineStr">
        <is>
          <t>G/c khoan taro M14</t>
        </is>
      </c>
      <c r="G9" s="4" t="inlineStr">
        <is>
          <t>Nguyễn Trung Đông</t>
        </is>
      </c>
      <c r="H9" s="4" t="inlineStr">
        <is>
          <t>Máy Khoan cần Yoshida</t>
        </is>
      </c>
      <c r="I9" s="5" t="n">
        <v>2</v>
      </c>
      <c r="J9" s="3" t="inlineStr">
        <is>
          <t>Lỗi Dụng Cụ Cắt</t>
        </is>
      </c>
      <c r="K9" s="4" t="inlineStr">
        <is>
          <t>Mũi taro cùn bị gãy kẹt trong lỗ ren</t>
        </is>
      </c>
      <c r="L9" s="4" t="inlineStr">
        <is>
          <t>Chuyển máy bắn điện EDM lấy mũi taro</t>
        </is>
      </c>
      <c r="M9" s="4" t="inlineStr">
        <is>
          <t>Xưởng hỗ trợ chi phí bắn điện, nhắc nhở kiểm tra mòn dao</t>
        </is>
      </c>
    </row>
    <row r="10" ht="24" customHeight="1" s="75">
      <c r="A10" s="5" t="n">
        <v>7</v>
      </c>
      <c r="B10" s="33" t="n">
        <v>46264</v>
      </c>
      <c r="C10" s="3" t="inlineStr">
        <is>
          <t>PO-1456</t>
        </is>
      </c>
      <c r="D10" s="4" t="inlineStr">
        <is>
          <t>UCC</t>
        </is>
      </c>
      <c r="E10" s="4" t="inlineStr">
        <is>
          <t>Khuôn gá xích POWER</t>
        </is>
      </c>
      <c r="F10" s="4" t="inlineStr">
        <is>
          <t>G/c phay thô NC1</t>
        </is>
      </c>
      <c r="G10" s="4" t="inlineStr">
        <is>
          <t>Trần Văn Dũng</t>
        </is>
      </c>
      <c r="H10" s="4" t="inlineStr">
        <is>
          <t>Máy Phay CNC1</t>
        </is>
      </c>
      <c r="I10" s="5" t="n">
        <v>1</v>
      </c>
      <c r="J10" s="35" t="inlineStr">
        <is>
          <t>Lỗi Đúc Thép</t>
        </is>
      </c>
      <c r="K10" s="4" t="inlineStr">
        <is>
          <t>Phôi đúc hợp kim Cr12MoV bị xốp khí bên trong lòng khuôn</t>
        </is>
      </c>
      <c r="L10" s="4" t="inlineStr">
        <is>
          <t>Trả về kho phôi đúc hủy lô</t>
        </is>
      </c>
      <c r="M10" s="4" t="inlineStr">
        <is>
          <t>Phân xưởng Đúc xuất phôi bù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40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style="75" min="1" max="1"/>
    <col width="17" customWidth="1" style="75" min="2" max="2"/>
    <col width="16" customWidth="1" style="75" min="3" max="3"/>
    <col width="22" customWidth="1" style="75" min="4" max="4"/>
    <col width="15" customWidth="1" style="75" min="5" max="5"/>
    <col width="24" customWidth="1" style="75" min="6" max="6"/>
    <col width="16" customWidth="1" style="75" min="7" max="7"/>
    <col width="22" customWidth="1" style="75" min="8" max="8"/>
    <col width="32" customWidth="1" style="75" min="9" max="9"/>
    <col width="14" customWidth="1" style="75" min="10" max="10"/>
    <col width="30" customWidth="1" style="75" min="11" max="11"/>
    <col width="16" customWidth="1" style="75" min="12" max="12"/>
    <col width="13" customWidth="1" style="75" min="13" max="13"/>
    <col width="12" customWidth="1" style="75" min="14" max="14"/>
    <col width="14" customWidth="1" style="75" min="15" max="15"/>
    <col width="18" customWidth="1" style="75" min="16" max="16"/>
    <col width="26" customWidth="1" style="75" min="17" max="17"/>
    <col width="12" customWidth="1" style="75" min="18" max="18"/>
    <col width="18" customWidth="1" style="75" min="19" max="19"/>
    <col width="32" customWidth="1" style="75" min="20" max="20"/>
  </cols>
  <sheetData>
    <row r="1" ht="27.95" customHeight="1" s="75">
      <c r="A1" s="74" t="inlineStr">
        <is>
          <t>TRẠM QUÉT MÃ QR GIAO CA &amp; TỰ ĐỘNG TÍNH LƯƠNG KHOÁN (BARCODE / QR TERMINAL)</t>
        </is>
      </c>
    </row>
    <row r="2" ht="18" customHeight="1" s="75">
      <c r="A2" s="76" t="inlineStr">
        <is>
          <t>Thao tác 1 chạm: Quét [Mã Thợ] -&gt; Quét [Mã Máy] -&gt; Quét [Mã Nguyên Công trên Phôi] -&gt; Tự động điền 100% Khách hàng, Sản phẩm &amp; Giá khoán</t>
        </is>
      </c>
    </row>
    <row r="3" ht="30" customHeight="1" s="75">
      <c r="A3" s="34" t="inlineStr">
        <is>
          <t>STT</t>
        </is>
      </c>
      <c r="B3" s="34" t="inlineStr">
        <is>
          <t>Thời Gian Quét</t>
        </is>
      </c>
      <c r="C3" s="59" t="inlineStr">
        <is>
          <t>MÃ THỢ (Scan QR)</t>
        </is>
      </c>
      <c r="D3" s="34" t="inlineStr">
        <is>
          <t>Thợ Gia Công (Tự Động)</t>
        </is>
      </c>
      <c r="E3" s="59" t="inlineStr">
        <is>
          <t>MÃ MÁY (Scan QR)</t>
        </is>
      </c>
      <c r="F3" s="34" t="inlineStr">
        <is>
          <t>Thiết Bị Vận Hành (Tự Động)</t>
        </is>
      </c>
      <c r="G3" s="59" t="inlineStr">
        <is>
          <t>MÃ LỆNH / NC (Scan QR)</t>
        </is>
      </c>
      <c r="H3" s="34" t="inlineStr">
        <is>
          <t>Khách Hàng (Tự Động)</t>
        </is>
      </c>
      <c r="I3" s="34" t="inlineStr">
        <is>
          <t>Tên Chi Tiết / Quy Cách</t>
        </is>
      </c>
      <c r="J3" s="34" t="inlineStr">
        <is>
          <t>Mã PO / LSX</t>
        </is>
      </c>
      <c r="K3" s="34" t="inlineStr">
        <is>
          <t>Nội Dung Nguyên Công</t>
        </is>
      </c>
      <c r="L3" s="34" t="inlineStr">
        <is>
          <t>Đơn Giá Khoán (VNĐ/CT)</t>
        </is>
      </c>
      <c r="M3" s="34" t="inlineStr">
        <is>
          <t>SL Đạt (OK)</t>
        </is>
      </c>
      <c r="N3" s="34" t="inlineStr">
        <is>
          <t>SL Hỏng (NG)</t>
        </is>
      </c>
      <c r="O3" s="34" t="inlineStr">
        <is>
          <t>Số Giờ Chạy Máy (h)</t>
        </is>
      </c>
      <c r="P3" s="34" t="inlineStr">
        <is>
          <t>TIỀN KHOÁN CA (VNĐ)</t>
        </is>
      </c>
      <c r="Q3" s="34" t="inlineStr">
        <is>
          <t>Dụng Cụ Tiêu Hao</t>
        </is>
      </c>
      <c r="R3" s="34" t="inlineStr">
        <is>
          <t>SL Dao Mòn</t>
        </is>
      </c>
      <c r="S3" s="34" t="inlineStr">
        <is>
          <t>Hoàn Tất Tại Xưởng?</t>
        </is>
      </c>
      <c r="T3" s="34" t="inlineStr">
        <is>
          <t>Ghi Chú Tiến Độ Giao Ca</t>
        </is>
      </c>
      <c r="U3" t="inlineStr">
        <is>
          <t>KCS Duyệt Chất Lượng</t>
        </is>
      </c>
      <c r="V3" t="inlineStr">
        <is>
          <t>Quản Đốc Phê Duyệt</t>
        </is>
      </c>
      <c r="W3" t="inlineStr">
        <is>
          <t>Khóa Sổ Chi Trả</t>
        </is>
      </c>
    </row>
    <row r="4" ht="21" customHeight="1" s="75">
      <c r="A4" s="40" t="n">
        <v>1</v>
      </c>
      <c r="B4" s="60" t="n">
        <v>46255.32089960648</v>
      </c>
      <c r="C4" s="61" t="inlineStr">
        <is>
          <t>EMP-NV12</t>
        </is>
      </c>
      <c r="D4" s="41" t="inlineStr">
        <is>
          <t>Phùng Công Thắng</t>
        </is>
      </c>
      <c r="E4" s="61" t="inlineStr">
        <is>
          <t>M-DK7745-01</t>
        </is>
      </c>
      <c r="F4" s="41" t="inlineStr">
        <is>
          <t>Phùng Công Thắng</t>
        </is>
      </c>
      <c r="G4" s="61" t="inlineStr">
        <is>
          <t>OP-OPDAO-NC1</t>
        </is>
      </c>
      <c r="H4" s="41" t="inlineStr">
        <is>
          <t>Luợng- KS Tường Long</t>
        </is>
      </c>
      <c r="I4" s="41" t="inlineStr">
        <is>
          <t>Ốp dao nhào trên (Bộ bên trái)</t>
        </is>
      </c>
      <c r="J4" s="40" t="inlineStr">
        <is>
          <t>PO-4545</t>
        </is>
      </c>
      <c r="K4" s="41" t="inlineStr">
        <is>
          <t>G/c cắt dây</t>
        </is>
      </c>
      <c r="L4" s="44" t="n">
        <v>148800</v>
      </c>
      <c r="M4" s="62" t="n">
        <v>2</v>
      </c>
      <c r="N4" s="44" t="n">
        <v>0</v>
      </c>
      <c r="O4" s="63" t="n">
        <v>4</v>
      </c>
      <c r="P4" s="64">
        <f>L4*M4</f>
        <v/>
      </c>
      <c r="Q4" s="41" t="inlineStr">
        <is>
          <t>Dây cắt CNC</t>
        </is>
      </c>
      <c r="R4" s="44" t="n">
        <v>0</v>
      </c>
      <c r="S4" s="65" t="inlineStr">
        <is>
          <t>ĐÚNG</t>
        </is>
      </c>
      <c r="T4" s="41" t="inlineStr">
        <is>
          <t>Đã xong nguyên công</t>
        </is>
      </c>
      <c r="U4" t="inlineStr">
        <is>
          <t>ĐÃ DUYỆT</t>
        </is>
      </c>
      <c r="V4" t="inlineStr">
        <is>
          <t>ĐÃ PHÊ DUYỆT</t>
        </is>
      </c>
      <c r="W4" t="inlineStr">
        <is>
          <t>🔒 ĐÃ KHÓA</t>
        </is>
      </c>
    </row>
    <row r="5" ht="21" customHeight="1" s="75">
      <c r="A5" s="46" t="n">
        <v>2</v>
      </c>
      <c r="B5" s="66" t="n">
        <v>46255.32131896991</v>
      </c>
      <c r="C5" s="61" t="inlineStr">
        <is>
          <t>EMP-NV12</t>
        </is>
      </c>
      <c r="D5" s="47" t="inlineStr">
        <is>
          <t>Phùng Công Thắng</t>
        </is>
      </c>
      <c r="E5" s="61" t="inlineStr">
        <is>
          <t>M-KHYOS-01</t>
        </is>
      </c>
      <c r="F5" s="47" t="inlineStr">
        <is>
          <t>Phùng Công Thắng</t>
        </is>
      </c>
      <c r="G5" s="61" t="inlineStr">
        <is>
          <t>OP-SEALB-NC4</t>
        </is>
      </c>
      <c r="H5" s="47" t="inlineStr">
        <is>
          <t>Thyssen</t>
        </is>
      </c>
      <c r="I5" s="47" t="inlineStr">
        <is>
          <t>Sealing trip, below</t>
        </is>
      </c>
      <c r="J5" s="46" t="inlineStr">
        <is>
          <t>PO-3275</t>
        </is>
      </c>
      <c r="K5" s="47" t="inlineStr">
        <is>
          <t>G/c khoan lỗ phi 14/2 lỗ</t>
        </is>
      </c>
      <c r="L5" s="50" t="n">
        <v>26148</v>
      </c>
      <c r="M5" s="67" t="n">
        <v>55</v>
      </c>
      <c r="N5" s="50" t="n">
        <v>0</v>
      </c>
      <c r="O5" s="68" t="n">
        <v>8</v>
      </c>
      <c r="P5" s="64">
        <f>L5*M5</f>
        <v/>
      </c>
      <c r="Q5" s="47" t="inlineStr">
        <is>
          <t>Mũi khoan</t>
        </is>
      </c>
      <c r="R5" s="50" t="n">
        <v>0</v>
      </c>
      <c r="S5" s="65" t="inlineStr">
        <is>
          <t>ĐÚNG</t>
        </is>
      </c>
      <c r="T5" s="47" t="inlineStr">
        <is>
          <t>Đã xong nguyên công</t>
        </is>
      </c>
      <c r="U5" t="inlineStr">
        <is>
          <t>ĐÃ DUYỆT</t>
        </is>
      </c>
      <c r="V5" t="inlineStr">
        <is>
          <t>ĐÃ PHÊ DUYỆT</t>
        </is>
      </c>
      <c r="W5" t="inlineStr">
        <is>
          <t>🔒 ĐÃ KHÓA</t>
        </is>
      </c>
    </row>
    <row r="6" ht="21" customHeight="1" s="75">
      <c r="A6" s="40" t="n">
        <v>3</v>
      </c>
      <c r="B6" s="60" t="n">
        <v>46255.32509568287</v>
      </c>
      <c r="C6" s="61" t="inlineStr">
        <is>
          <t>EMP-NV10</t>
        </is>
      </c>
      <c r="D6" s="41" t="inlineStr">
        <is>
          <t>Phùng Công Thắng</t>
        </is>
      </c>
      <c r="E6" s="61" t="inlineStr">
        <is>
          <t>M-PODA-01</t>
        </is>
      </c>
      <c r="F6" s="41" t="inlineStr">
        <is>
          <t>Phùng Công Thắng</t>
        </is>
      </c>
      <c r="G6" s="61" t="inlineStr">
        <is>
          <t>OP-GEN-01</t>
        </is>
      </c>
      <c r="H6" s="41" t="inlineStr">
        <is>
          <t>Molycop</t>
        </is>
      </c>
      <c r="I6" s="41" t="inlineStr">
        <is>
          <t>Bi 40</t>
        </is>
      </c>
      <c r="J6" s="40" t="inlineStr">
        <is>
          <t>PO-8205</t>
        </is>
      </c>
      <c r="K6" s="41" t="inlineStr">
        <is>
          <t>G/c cắt dây</t>
        </is>
      </c>
      <c r="L6" s="44" t="n">
        <v>6510</v>
      </c>
      <c r="M6" s="62" t="n">
        <v>7</v>
      </c>
      <c r="N6" s="44" t="n">
        <v>0</v>
      </c>
      <c r="O6" s="63" t="n">
        <v>8</v>
      </c>
      <c r="P6" s="64">
        <f>L6*M6</f>
        <v/>
      </c>
      <c r="Q6" s="41" t="inlineStr">
        <is>
          <t>Dây cắt CNC</t>
        </is>
      </c>
      <c r="R6" s="44" t="n">
        <v>0</v>
      </c>
      <c r="S6" s="65" t="inlineStr">
        <is>
          <t>ĐÚNG</t>
        </is>
      </c>
      <c r="T6" s="41" t="inlineStr">
        <is>
          <t>Đã xong nguyên công</t>
        </is>
      </c>
      <c r="U6" t="inlineStr">
        <is>
          <t>ĐÃ DUYỆT</t>
        </is>
      </c>
      <c r="V6" t="inlineStr">
        <is>
          <t>ĐÃ PHÊ DUYỆT</t>
        </is>
      </c>
      <c r="W6" t="inlineStr">
        <is>
          <t>🔒 ĐÃ KHÓA</t>
        </is>
      </c>
    </row>
    <row r="7" ht="21" customHeight="1" s="75">
      <c r="A7" s="46" t="n">
        <v>4</v>
      </c>
      <c r="B7" s="66" t="n">
        <v>46255.32552219908</v>
      </c>
      <c r="C7" s="61" t="inlineStr">
        <is>
          <t>EMP-NV10</t>
        </is>
      </c>
      <c r="D7" s="47" t="inlineStr">
        <is>
          <t>Phùng Công Thắng</t>
        </is>
      </c>
      <c r="E7" s="61" t="inlineStr">
        <is>
          <t>M-PODA-01</t>
        </is>
      </c>
      <c r="F7" s="47" t="inlineStr">
        <is>
          <t>Phùng Công Thắng</t>
        </is>
      </c>
      <c r="G7" s="61" t="inlineStr">
        <is>
          <t>OP-GEN-01</t>
        </is>
      </c>
      <c r="H7" s="47" t="inlineStr">
        <is>
          <t>Molycop</t>
        </is>
      </c>
      <c r="I7" s="47" t="inlineStr">
        <is>
          <t>Bi 90</t>
        </is>
      </c>
      <c r="J7" s="46" t="inlineStr">
        <is>
          <t>PO-7435</t>
        </is>
      </c>
      <c r="K7" s="47" t="inlineStr">
        <is>
          <t>G/c cắt dây mài từ</t>
        </is>
      </c>
      <c r="L7" s="50" t="n">
        <v>12400</v>
      </c>
      <c r="M7" s="67" t="n">
        <v>3</v>
      </c>
      <c r="N7" s="50" t="n">
        <v>0</v>
      </c>
      <c r="O7" s="68" t="n">
        <v>4</v>
      </c>
      <c r="P7" s="64">
        <f>L7*M7</f>
        <v/>
      </c>
      <c r="Q7" s="47" t="inlineStr">
        <is>
          <t>Dây cắt CNC</t>
        </is>
      </c>
      <c r="R7" s="50" t="n">
        <v>0</v>
      </c>
      <c r="S7" s="65" t="inlineStr">
        <is>
          <t>ĐÚNG</t>
        </is>
      </c>
      <c r="T7" s="47" t="inlineStr">
        <is>
          <t>Đã xong nguyên công</t>
        </is>
      </c>
      <c r="U7" t="inlineStr">
        <is>
          <t>ĐÃ DUYỆT</t>
        </is>
      </c>
      <c r="V7" t="inlineStr">
        <is>
          <t>ĐÃ PHÊ DUYỆT</t>
        </is>
      </c>
      <c r="W7" t="inlineStr">
        <is>
          <t>🔒 ĐÃ KHÓA</t>
        </is>
      </c>
    </row>
    <row r="8" ht="21" customHeight="1" s="75">
      <c r="A8" s="40" t="n">
        <v>5</v>
      </c>
      <c r="B8" s="60" t="n">
        <v>46255.32651643518</v>
      </c>
      <c r="C8" s="61" t="inlineStr">
        <is>
          <t>EMP-NV10</t>
        </is>
      </c>
      <c r="D8" s="41" t="inlineStr">
        <is>
          <t>Phùng Công Thắng</t>
        </is>
      </c>
      <c r="E8" s="61" t="inlineStr">
        <is>
          <t>M-OKK1-01</t>
        </is>
      </c>
      <c r="F8" s="41" t="inlineStr">
        <is>
          <t>Phùng Công Thắng</t>
        </is>
      </c>
      <c r="G8" s="61" t="inlineStr">
        <is>
          <t>OP-SEALB-NC2</t>
        </is>
      </c>
      <c r="H8" s="41" t="inlineStr">
        <is>
          <t>Thyssen</t>
        </is>
      </c>
      <c r="I8" s="41" t="inlineStr">
        <is>
          <t>Sealing trip, below</t>
        </is>
      </c>
      <c r="J8" s="40" t="inlineStr">
        <is>
          <t>PO-5313</t>
        </is>
      </c>
      <c r="K8" s="41" t="inlineStr">
        <is>
          <t>G/c phay Mp NC2 Kt 95mm</t>
        </is>
      </c>
      <c r="L8" s="44" t="n">
        <v>37200</v>
      </c>
      <c r="M8" s="62" t="n">
        <v>8</v>
      </c>
      <c r="N8" s="44" t="n">
        <v>0</v>
      </c>
      <c r="O8" s="63" t="n">
        <v>8</v>
      </c>
      <c r="P8" s="64">
        <f>L8*M8</f>
        <v/>
      </c>
      <c r="Q8" s="41" t="inlineStr">
        <is>
          <t>Chíp APMT 1604 PDER - Grade 8230S-PRAMET</t>
        </is>
      </c>
      <c r="R8" s="44" t="n">
        <v>4</v>
      </c>
      <c r="S8" s="40" t="inlineStr">
        <is>
          <t>SAI</t>
        </is>
      </c>
      <c r="T8" s="41" t="inlineStr">
        <is>
          <t>Đang gia công dở dang, chuyển ca sau</t>
        </is>
      </c>
      <c r="U8" t="inlineStr">
        <is>
          <t>ĐÃ DUYỆT</t>
        </is>
      </c>
      <c r="V8" t="inlineStr">
        <is>
          <t>ĐÃ PHÊ DUYỆT</t>
        </is>
      </c>
      <c r="W8" t="inlineStr">
        <is>
          <t>🔒 ĐÃ KHÓA</t>
        </is>
      </c>
    </row>
    <row r="9" ht="21" customHeight="1" s="75">
      <c r="A9" s="46" t="n">
        <v>6</v>
      </c>
      <c r="B9" s="66" t="n">
        <v>46255.32718002315</v>
      </c>
      <c r="C9" s="61" t="inlineStr">
        <is>
          <t>EMP-NV10</t>
        </is>
      </c>
      <c r="D9" s="47" t="inlineStr">
        <is>
          <t>Phùng Công Thắng</t>
        </is>
      </c>
      <c r="E9" s="61" t="inlineStr">
        <is>
          <t>M-OKK3-01</t>
        </is>
      </c>
      <c r="F9" s="47" t="inlineStr">
        <is>
          <t>Phùng Công Thắng</t>
        </is>
      </c>
      <c r="G9" s="61" t="inlineStr">
        <is>
          <t>OP-SEALB-NC2</t>
        </is>
      </c>
      <c r="H9" s="47" t="inlineStr">
        <is>
          <t>Thyssen</t>
        </is>
      </c>
      <c r="I9" s="47" t="inlineStr">
        <is>
          <t>Sealing strip, above</t>
        </is>
      </c>
      <c r="J9" s="46" t="inlineStr">
        <is>
          <t>PO-7107</t>
        </is>
      </c>
      <c r="K9" s="47" t="inlineStr">
        <is>
          <t>G/c phay Mp NC1 Kt 95mm</t>
        </is>
      </c>
      <c r="L9" s="50" t="n">
        <v>37200</v>
      </c>
      <c r="M9" s="67" t="n">
        <v>5</v>
      </c>
      <c r="N9" s="50" t="n">
        <v>0</v>
      </c>
      <c r="O9" s="68" t="n">
        <v>8</v>
      </c>
      <c r="P9" s="64">
        <f>L9*M9</f>
        <v/>
      </c>
      <c r="Q9" s="47" t="inlineStr">
        <is>
          <t>Chíp  Pramet (6 cạnh)</t>
        </is>
      </c>
      <c r="R9" s="50" t="n">
        <v>0</v>
      </c>
      <c r="S9" s="46" t="inlineStr">
        <is>
          <t>SAI</t>
        </is>
      </c>
      <c r="T9" s="47" t="inlineStr">
        <is>
          <t>Đang gia công dở dang, chuyển ca sau</t>
        </is>
      </c>
      <c r="U9" t="inlineStr">
        <is>
          <t>ĐÃ DUYỆT</t>
        </is>
      </c>
      <c r="V9" t="inlineStr">
        <is>
          <t>ĐÃ PHÊ DUYỆT</t>
        </is>
      </c>
      <c r="W9" t="inlineStr">
        <is>
          <t>🔒 ĐÃ KHÓA</t>
        </is>
      </c>
    </row>
    <row r="10" ht="21" customHeight="1" s="75">
      <c r="A10" s="40" t="n">
        <v>7</v>
      </c>
      <c r="B10" s="60" t="n">
        <v>46255.3276991551</v>
      </c>
      <c r="C10" s="61" t="inlineStr">
        <is>
          <t>EMP-NV10</t>
        </is>
      </c>
      <c r="D10" s="41" t="inlineStr">
        <is>
          <t>Phùng Công Thắng</t>
        </is>
      </c>
      <c r="E10" s="61" t="inlineStr">
        <is>
          <t>M-OKK3-01</t>
        </is>
      </c>
      <c r="F10" s="41" t="inlineStr">
        <is>
          <t>Phùng Công Thắng</t>
        </is>
      </c>
      <c r="G10" s="61" t="inlineStr">
        <is>
          <t>OP-SEALB-NC1</t>
        </is>
      </c>
      <c r="H10" s="41" t="inlineStr">
        <is>
          <t>Thyssen</t>
        </is>
      </c>
      <c r="I10" s="41" t="inlineStr">
        <is>
          <t>Sealing trip, below</t>
        </is>
      </c>
      <c r="J10" s="40" t="inlineStr">
        <is>
          <t>PO-9215</t>
        </is>
      </c>
      <c r="K10" s="41" t="inlineStr">
        <is>
          <t>G/c phay Mp NC1 Kt 47mm</t>
        </is>
      </c>
      <c r="L10" s="44" t="n">
        <v>37200</v>
      </c>
      <c r="M10" s="62" t="n">
        <v>11</v>
      </c>
      <c r="N10" s="44" t="n">
        <v>0</v>
      </c>
      <c r="O10" s="63" t="n">
        <v>8</v>
      </c>
      <c r="P10" s="64">
        <f>L10*M10</f>
        <v/>
      </c>
      <c r="Q10" s="41" t="inlineStr">
        <is>
          <t>Chíp  Pramet (6 cạnh)</t>
        </is>
      </c>
      <c r="R10" s="44" t="n">
        <v>3</v>
      </c>
      <c r="S10" s="40" t="inlineStr">
        <is>
          <t>SAI</t>
        </is>
      </c>
      <c r="T10" s="41" t="inlineStr">
        <is>
          <t>Đang gia công dở dang, chuyển ca sau</t>
        </is>
      </c>
      <c r="U10" t="inlineStr">
        <is>
          <t>ĐÃ DUYỆT</t>
        </is>
      </c>
      <c r="V10" t="inlineStr">
        <is>
          <t>ĐÃ PHÊ DUYỆT</t>
        </is>
      </c>
      <c r="W10" t="inlineStr">
        <is>
          <t>🔒 ĐÃ KHÓA</t>
        </is>
      </c>
    </row>
    <row r="11" ht="21" customHeight="1" s="75">
      <c r="A11" s="46" t="n">
        <v>8</v>
      </c>
      <c r="B11" s="66" t="n">
        <v>46255.33089060185</v>
      </c>
      <c r="C11" s="61" t="inlineStr">
        <is>
          <t>EMP-NV11</t>
        </is>
      </c>
      <c r="D11" s="47" t="inlineStr">
        <is>
          <t>Phùng Công Thắng</t>
        </is>
      </c>
      <c r="E11" s="61" t="inlineStr">
        <is>
          <t>M-FUJI-01</t>
        </is>
      </c>
      <c r="F11" s="47" t="inlineStr">
        <is>
          <t>Phùng Công Thắng</t>
        </is>
      </c>
      <c r="G11" s="61" t="inlineStr">
        <is>
          <t>OP-ISH355-NC3</t>
        </is>
      </c>
      <c r="H11" s="47" t="inlineStr">
        <is>
          <t>Win-Win</t>
        </is>
      </c>
      <c r="I11" s="47" t="inlineStr">
        <is>
          <t>ISHIZUE 355Dw900</t>
        </is>
      </c>
      <c r="J11" s="46" t="inlineStr">
        <is>
          <t>PO-5999</t>
        </is>
      </c>
      <c r="K11" s="47" t="inlineStr">
        <is>
          <t>G/c hoàn thiện</t>
        </is>
      </c>
      <c r="L11" s="50" t="n">
        <v>55800</v>
      </c>
      <c r="M11" s="67" t="n">
        <v>2</v>
      </c>
      <c r="N11" s="50" t="n">
        <v>0</v>
      </c>
      <c r="O11" s="68" t="n">
        <v>4</v>
      </c>
      <c r="P11" s="64">
        <f>L11*M11</f>
        <v/>
      </c>
      <c r="Q11" s="47" t="inlineStr">
        <is>
          <t>Chíp  R5 THREADEX- P3200</t>
        </is>
      </c>
      <c r="R11" s="50" t="n">
        <v>0</v>
      </c>
      <c r="S11" s="65" t="inlineStr">
        <is>
          <t>ĐÚNG</t>
        </is>
      </c>
      <c r="T11" s="47" t="inlineStr">
        <is>
          <t>Đã xong nguyên công</t>
        </is>
      </c>
      <c r="U11" t="inlineStr">
        <is>
          <t>ĐÃ DUYỆT</t>
        </is>
      </c>
      <c r="V11" t="inlineStr">
        <is>
          <t>ĐÃ PHÊ DUYỆT</t>
        </is>
      </c>
      <c r="W11" t="inlineStr">
        <is>
          <t>🔒 ĐÃ KHÓA</t>
        </is>
      </c>
    </row>
    <row r="12" ht="21" customHeight="1" s="75">
      <c r="A12" s="40" t="n">
        <v>9</v>
      </c>
      <c r="B12" s="60" t="n">
        <v>46255.33172447917</v>
      </c>
      <c r="C12" s="61" t="inlineStr">
        <is>
          <t>EMP-NV11</t>
        </is>
      </c>
      <c r="D12" s="41" t="inlineStr">
        <is>
          <t>Phùng Công Thắng</t>
        </is>
      </c>
      <c r="E12" s="61" t="inlineStr">
        <is>
          <t>M-FUJI-01</t>
        </is>
      </c>
      <c r="F12" s="41" t="inlineStr">
        <is>
          <t>Phùng Công Thắng</t>
        </is>
      </c>
      <c r="G12" s="61" t="inlineStr">
        <is>
          <t>OP-GEN-01</t>
        </is>
      </c>
      <c r="H12" s="41" t="inlineStr">
        <is>
          <t>Win-Win</t>
        </is>
      </c>
      <c r="I12" s="41" t="inlineStr">
        <is>
          <t>ISHIZUE 318Dw800</t>
        </is>
      </c>
      <c r="J12" s="40" t="inlineStr">
        <is>
          <t>PO-3733</t>
        </is>
      </c>
      <c r="K12" s="41" t="inlineStr">
        <is>
          <t>G/c hoàn thiện</t>
        </is>
      </c>
      <c r="L12" s="44" t="n">
        <v>55800</v>
      </c>
      <c r="M12" s="62" t="n">
        <v>3</v>
      </c>
      <c r="N12" s="44" t="n">
        <v>2</v>
      </c>
      <c r="O12" s="63" t="n">
        <v>4</v>
      </c>
      <c r="P12" s="64">
        <f>L12*M12</f>
        <v/>
      </c>
      <c r="Q12" s="41" t="inlineStr">
        <is>
          <t>Không tiêu hao</t>
        </is>
      </c>
      <c r="R12" s="44" t="n">
        <v>0</v>
      </c>
      <c r="S12" s="65" t="inlineStr">
        <is>
          <t>ĐÚNG</t>
        </is>
      </c>
      <c r="T12" s="41" t="inlineStr">
        <is>
          <t>Đã xong nguyên công</t>
        </is>
      </c>
      <c r="U12" t="inlineStr">
        <is>
          <t>ĐÃ DUYỆT</t>
        </is>
      </c>
      <c r="V12" t="inlineStr">
        <is>
          <t>ĐÃ PHÊ DUYỆT</t>
        </is>
      </c>
      <c r="W12" t="inlineStr">
        <is>
          <t>🔒 ĐÃ KHÓA</t>
        </is>
      </c>
    </row>
    <row r="13" ht="21" customHeight="1" s="75">
      <c r="A13" s="46" t="n">
        <v>10</v>
      </c>
      <c r="B13" s="66" t="n">
        <v>46255.33216196759</v>
      </c>
      <c r="C13" s="61" t="inlineStr">
        <is>
          <t>EMP-NV11</t>
        </is>
      </c>
      <c r="D13" s="47" t="inlineStr">
        <is>
          <t>Phùng Công Thắng</t>
        </is>
      </c>
      <c r="E13" s="61" t="inlineStr">
        <is>
          <t>M-FUJI-01</t>
        </is>
      </c>
      <c r="F13" s="47" t="inlineStr">
        <is>
          <t>Phùng Công Thắng</t>
        </is>
      </c>
      <c r="G13" s="61" t="inlineStr">
        <is>
          <t>OP-GEN-01</t>
        </is>
      </c>
      <c r="H13" s="47" t="inlineStr">
        <is>
          <t>Win-Win</t>
        </is>
      </c>
      <c r="I13" s="47" t="inlineStr">
        <is>
          <t>ISHIZUE 216Dw650</t>
        </is>
      </c>
      <c r="J13" s="46" t="inlineStr">
        <is>
          <t>PO-4309</t>
        </is>
      </c>
      <c r="K13" s="47" t="inlineStr">
        <is>
          <t>G/c hoàn thiện</t>
        </is>
      </c>
      <c r="L13" s="50" t="n">
        <v>24614</v>
      </c>
      <c r="M13" s="67" t="n">
        <v>1</v>
      </c>
      <c r="N13" s="50" t="n">
        <v>0</v>
      </c>
      <c r="O13" s="68" t="n">
        <v>4</v>
      </c>
      <c r="P13" s="64">
        <f>L13*M13</f>
        <v/>
      </c>
      <c r="Q13" s="47" t="inlineStr">
        <is>
          <t>Chíp  R5 THREADEX- P3200</t>
        </is>
      </c>
      <c r="R13" s="50" t="n">
        <v>0</v>
      </c>
      <c r="S13" s="65" t="inlineStr">
        <is>
          <t>ĐÚNG</t>
        </is>
      </c>
      <c r="T13" s="47" t="inlineStr">
        <is>
          <t>Đã xong nguyên công</t>
        </is>
      </c>
      <c r="U13" t="inlineStr">
        <is>
          <t>ĐÃ DUYỆT</t>
        </is>
      </c>
      <c r="V13" t="inlineStr">
        <is>
          <t>ĐÃ PHÊ DUYỆT</t>
        </is>
      </c>
      <c r="W13" t="inlineStr">
        <is>
          <t>🔒 ĐÃ KHÓA</t>
        </is>
      </c>
    </row>
    <row r="14" ht="21" customHeight="1" s="75">
      <c r="A14" s="40" t="n">
        <v>11</v>
      </c>
      <c r="B14" s="60" t="n">
        <v>46255.65336884259</v>
      </c>
      <c r="C14" s="61" t="inlineStr">
        <is>
          <t>EMP-NV06</t>
        </is>
      </c>
      <c r="D14" s="41" t="inlineStr">
        <is>
          <t>Phùng Công Thắng</t>
        </is>
      </c>
      <c r="E14" s="61" t="inlineStr">
        <is>
          <t>M-OKUMA-01</t>
        </is>
      </c>
      <c r="F14" s="41" t="inlineStr">
        <is>
          <t>Phùng Công Thắng</t>
        </is>
      </c>
      <c r="G14" s="61" t="inlineStr">
        <is>
          <t>OP-ISH114-NC1</t>
        </is>
      </c>
      <c r="H14" s="41" t="inlineStr">
        <is>
          <t>Win-Win</t>
        </is>
      </c>
      <c r="I14" s="41" t="inlineStr">
        <is>
          <t>ISHIZUE 114Dw300</t>
        </is>
      </c>
      <c r="J14" s="40" t="inlineStr">
        <is>
          <t>PO-9302</t>
        </is>
      </c>
      <c r="K14" s="41" t="inlineStr">
        <is>
          <t>G/c hoàn thiện</t>
        </is>
      </c>
      <c r="L14" s="44" t="n">
        <v>83700</v>
      </c>
      <c r="M14" s="62" t="n">
        <v>62</v>
      </c>
      <c r="N14" s="44" t="n">
        <v>7</v>
      </c>
      <c r="O14" s="63" t="n">
        <v>8</v>
      </c>
      <c r="P14" s="64">
        <f>L14*M14</f>
        <v/>
      </c>
      <c r="Q14" s="41" t="inlineStr">
        <is>
          <t>Chíp  R5 THREADEX- P3200</t>
        </is>
      </c>
      <c r="R14" s="44" t="n">
        <v>0</v>
      </c>
      <c r="S14" s="65" t="inlineStr">
        <is>
          <t>ĐÚNG</t>
        </is>
      </c>
      <c r="T14" s="41" t="inlineStr">
        <is>
          <t>Đã xong nguyên công</t>
        </is>
      </c>
      <c r="U14" t="inlineStr">
        <is>
          <t>ĐÃ DUYỆT</t>
        </is>
      </c>
      <c r="V14" t="inlineStr">
        <is>
          <t>ĐÃ PHÊ DUYỆT</t>
        </is>
      </c>
      <c r="W14" t="inlineStr">
        <is>
          <t>🔒 ĐÃ KHÓA</t>
        </is>
      </c>
    </row>
    <row r="15" ht="21" customHeight="1" s="75">
      <c r="A15" s="46" t="n">
        <v>12</v>
      </c>
      <c r="B15" s="66" t="n">
        <v>46255.65410729167</v>
      </c>
      <c r="C15" s="61" t="inlineStr">
        <is>
          <t>EMP-NV06</t>
        </is>
      </c>
      <c r="D15" s="47" t="inlineStr">
        <is>
          <t>Phùng Công Thắng</t>
        </is>
      </c>
      <c r="E15" s="61" t="inlineStr">
        <is>
          <t>M-DK7745-01</t>
        </is>
      </c>
      <c r="F15" s="47" t="inlineStr">
        <is>
          <t>Phùng Công Thắng</t>
        </is>
      </c>
      <c r="G15" s="61" t="inlineStr">
        <is>
          <t>OP-OPDAO-NC1</t>
        </is>
      </c>
      <c r="H15" s="47" t="inlineStr">
        <is>
          <t>Luợng- KS Tường Long</t>
        </is>
      </c>
      <c r="I15" s="47" t="inlineStr">
        <is>
          <t>Ốp dao nhào trên (Bộ bên trái)</t>
        </is>
      </c>
      <c r="J15" s="46" t="inlineStr">
        <is>
          <t>PO-7319</t>
        </is>
      </c>
      <c r="K15" s="47" t="inlineStr">
        <is>
          <t>G/c cắt dây</t>
        </is>
      </c>
      <c r="L15" s="50" t="n">
        <v>148800</v>
      </c>
      <c r="M15" s="67" t="n">
        <v>2</v>
      </c>
      <c r="N15" s="50" t="n">
        <v>0</v>
      </c>
      <c r="O15" s="68" t="n">
        <v>4</v>
      </c>
      <c r="P15" s="64">
        <f>L15*M15</f>
        <v/>
      </c>
      <c r="Q15" s="47" t="inlineStr">
        <is>
          <t>Dây cắt CNC</t>
        </is>
      </c>
      <c r="R15" s="50" t="n">
        <v>0</v>
      </c>
      <c r="S15" s="65" t="inlineStr">
        <is>
          <t>ĐÚNG</t>
        </is>
      </c>
      <c r="T15" s="47" t="inlineStr">
        <is>
          <t>Đã xong nguyên công</t>
        </is>
      </c>
      <c r="U15" t="inlineStr">
        <is>
          <t>ĐÃ DUYỆT</t>
        </is>
      </c>
      <c r="V15" t="inlineStr">
        <is>
          <t>ĐÃ PHÊ DUYỆT</t>
        </is>
      </c>
      <c r="W15" t="inlineStr">
        <is>
          <t>🔒 ĐÃ KHÓA</t>
        </is>
      </c>
    </row>
    <row r="16" ht="21" customHeight="1" s="75">
      <c r="A16" s="40" t="n">
        <v>13</v>
      </c>
      <c r="B16" s="60" t="n">
        <v>46255.65654583334</v>
      </c>
      <c r="C16" s="61" t="inlineStr">
        <is>
          <t>EMP-NV06</t>
        </is>
      </c>
      <c r="D16" s="41" t="inlineStr">
        <is>
          <t>Phùng Công Thắng</t>
        </is>
      </c>
      <c r="E16" s="61" t="inlineStr">
        <is>
          <t>M-OKK3-01</t>
        </is>
      </c>
      <c r="F16" s="41" t="inlineStr">
        <is>
          <t>Phùng Công Thắng</t>
        </is>
      </c>
      <c r="G16" s="61" t="inlineStr">
        <is>
          <t>OP-SEALB-NC1</t>
        </is>
      </c>
      <c r="H16" s="41" t="inlineStr">
        <is>
          <t>Thyssen</t>
        </is>
      </c>
      <c r="I16" s="41" t="inlineStr">
        <is>
          <t>Sealing trip, below</t>
        </is>
      </c>
      <c r="J16" s="40" t="inlineStr">
        <is>
          <t>PO-4448</t>
        </is>
      </c>
      <c r="K16" s="41" t="inlineStr">
        <is>
          <t>G/c phay Mp NC1 Kt 47mm</t>
        </is>
      </c>
      <c r="L16" s="44" t="n">
        <v>37200</v>
      </c>
      <c r="M16" s="62" t="n">
        <v>4</v>
      </c>
      <c r="N16" s="44" t="n">
        <v>0</v>
      </c>
      <c r="O16" s="63" t="n">
        <v>4</v>
      </c>
      <c r="P16" s="64">
        <f>L16*M16</f>
        <v/>
      </c>
      <c r="Q16" s="41" t="inlineStr">
        <is>
          <t>Chíp  Pramet (6 cạnh)</t>
        </is>
      </c>
      <c r="R16" s="44" t="n">
        <v>0</v>
      </c>
      <c r="S16" s="40" t="inlineStr">
        <is>
          <t>SAI</t>
        </is>
      </c>
      <c r="T16" s="41" t="inlineStr">
        <is>
          <t>Đang gia công dở dang, chuyển ca sau</t>
        </is>
      </c>
      <c r="U16" t="inlineStr">
        <is>
          <t>ĐÃ DUYỆT</t>
        </is>
      </c>
      <c r="V16" t="inlineStr">
        <is>
          <t>ĐÃ PHÊ DUYỆT</t>
        </is>
      </c>
      <c r="W16" t="inlineStr">
        <is>
          <t>🔒 ĐÃ KHÓA</t>
        </is>
      </c>
    </row>
    <row r="17" ht="21" customHeight="1" s="75">
      <c r="A17" s="46" t="n">
        <v>14</v>
      </c>
      <c r="B17" s="66" t="n">
        <v>46255.65716909722</v>
      </c>
      <c r="C17" s="61" t="inlineStr">
        <is>
          <t>EMP-NV06</t>
        </is>
      </c>
      <c r="D17" s="47" t="inlineStr">
        <is>
          <t>Phùng Công Thắng</t>
        </is>
      </c>
      <c r="E17" s="61" t="inlineStr">
        <is>
          <t>M-OKK3-01</t>
        </is>
      </c>
      <c r="F17" s="47" t="inlineStr">
        <is>
          <t>Phùng Công Thắng</t>
        </is>
      </c>
      <c r="G17" s="61" t="inlineStr">
        <is>
          <t>OP-SEALB-NC2</t>
        </is>
      </c>
      <c r="H17" s="47" t="inlineStr">
        <is>
          <t>Thyssen</t>
        </is>
      </c>
      <c r="I17" s="47" t="inlineStr">
        <is>
          <t>Sealing trip, below</t>
        </is>
      </c>
      <c r="J17" s="46" t="inlineStr">
        <is>
          <t>PO-4256</t>
        </is>
      </c>
      <c r="K17" s="47" t="inlineStr">
        <is>
          <t>G/c phay Mp NC2 Kt 95mm</t>
        </is>
      </c>
      <c r="L17" s="50" t="n">
        <v>37200</v>
      </c>
      <c r="M17" s="67" t="n">
        <v>5</v>
      </c>
      <c r="N17" s="50" t="n">
        <v>0</v>
      </c>
      <c r="O17" s="68" t="n">
        <v>8</v>
      </c>
      <c r="P17" s="64">
        <f>L17*M17</f>
        <v/>
      </c>
      <c r="Q17" s="47" t="inlineStr">
        <is>
          <t>Chíp  Pramet (6 cạnh)</t>
        </is>
      </c>
      <c r="R17" s="50" t="n">
        <v>3</v>
      </c>
      <c r="S17" s="46" t="inlineStr">
        <is>
          <t>SAI</t>
        </is>
      </c>
      <c r="T17" s="47" t="inlineStr">
        <is>
          <t>Đang gia công dở dang, chuyển ca sau</t>
        </is>
      </c>
      <c r="U17" t="inlineStr">
        <is>
          <t>ĐÃ DUYỆT</t>
        </is>
      </c>
      <c r="V17" t="inlineStr">
        <is>
          <t>ĐÃ PHÊ DUYỆT</t>
        </is>
      </c>
      <c r="W17" t="inlineStr">
        <is>
          <t>🔒 ĐÃ KHÓA</t>
        </is>
      </c>
    </row>
    <row r="18" ht="21" customHeight="1" s="75">
      <c r="A18" s="40" t="n">
        <v>15</v>
      </c>
      <c r="B18" s="60" t="n">
        <v>46255.71487666667</v>
      </c>
      <c r="C18" s="61" t="inlineStr">
        <is>
          <t>EMP-NV08</t>
        </is>
      </c>
      <c r="D18" s="41" t="inlineStr">
        <is>
          <t>Phùng Công Thắng</t>
        </is>
      </c>
      <c r="E18" s="61" t="inlineStr">
        <is>
          <t>M-PCNC1-01</t>
        </is>
      </c>
      <c r="F18" s="41" t="inlineStr">
        <is>
          <t>Phùng Công Thắng</t>
        </is>
      </c>
      <c r="G18" s="61" t="inlineStr">
        <is>
          <t>OP-SEALB-NC4</t>
        </is>
      </c>
      <c r="H18" s="41" t="inlineStr">
        <is>
          <t>Thyssen</t>
        </is>
      </c>
      <c r="I18" s="41" t="inlineStr">
        <is>
          <t>Sealing strip, above</t>
        </is>
      </c>
      <c r="J18" s="40" t="inlineStr">
        <is>
          <t>PO-7837</t>
        </is>
      </c>
      <c r="K18" s="41" t="inlineStr">
        <is>
          <t>G/c phay Mp NC2 Kt 412mm</t>
        </is>
      </c>
      <c r="L18" s="44" t="n">
        <v>14942</v>
      </c>
      <c r="M18" s="62" t="n">
        <v>11</v>
      </c>
      <c r="N18" s="44" t="n">
        <v>0</v>
      </c>
      <c r="O18" s="63" t="n">
        <v>8</v>
      </c>
      <c r="P18" s="64">
        <f>L18*M18</f>
        <v/>
      </c>
      <c r="Q18" s="41" t="inlineStr">
        <is>
          <t>Không tiêu hao</t>
        </is>
      </c>
      <c r="R18" s="44" t="n">
        <v>0</v>
      </c>
      <c r="S18" s="40" t="inlineStr">
        <is>
          <t>SAI</t>
        </is>
      </c>
      <c r="T18" s="41" t="inlineStr">
        <is>
          <t>Đang gia công dở dang, chuyển ca sau</t>
        </is>
      </c>
      <c r="U18" t="inlineStr">
        <is>
          <t>ĐÃ DUYỆT</t>
        </is>
      </c>
      <c r="V18" t="inlineStr">
        <is>
          <t>ĐÃ PHÊ DUYỆT</t>
        </is>
      </c>
      <c r="W18" t="inlineStr">
        <is>
          <t>🔒 ĐÃ KHÓA</t>
        </is>
      </c>
    </row>
    <row r="19" ht="21" customHeight="1" s="75">
      <c r="A19" s="46" t="n">
        <v>16</v>
      </c>
      <c r="B19" s="66" t="n">
        <v>46255.71566233796</v>
      </c>
      <c r="C19" s="61" t="inlineStr">
        <is>
          <t>EMP-NV08</t>
        </is>
      </c>
      <c r="D19" s="47" t="inlineStr">
        <is>
          <t>Phùng Công Thắng</t>
        </is>
      </c>
      <c r="E19" s="61" t="inlineStr">
        <is>
          <t>M-PCNC2-01</t>
        </is>
      </c>
      <c r="F19" s="47" t="inlineStr">
        <is>
          <t>Phùng Công Thắng</t>
        </is>
      </c>
      <c r="G19" s="61" t="inlineStr">
        <is>
          <t>OP-SEALB-NC4</t>
        </is>
      </c>
      <c r="H19" s="47" t="inlineStr">
        <is>
          <t>Thyssen</t>
        </is>
      </c>
      <c r="I19" s="47" t="inlineStr">
        <is>
          <t>Sealing strip, above</t>
        </is>
      </c>
      <c r="J19" s="46" t="inlineStr">
        <is>
          <t>PO-5003</t>
        </is>
      </c>
      <c r="K19" s="47" t="inlineStr">
        <is>
          <t>G/c phay Mp NC3 Kt 412mm còn lại</t>
        </is>
      </c>
      <c r="L19" s="50" t="n">
        <v>14942</v>
      </c>
      <c r="M19" s="67" t="n">
        <v>11</v>
      </c>
      <c r="N19" s="50" t="n">
        <v>0</v>
      </c>
      <c r="O19" s="68" t="n">
        <v>8</v>
      </c>
      <c r="P19" s="64">
        <f>L19*M19</f>
        <v/>
      </c>
      <c r="Q19" s="47" t="inlineStr">
        <is>
          <t>Không tiêu hao</t>
        </is>
      </c>
      <c r="R19" s="50" t="n">
        <v>0</v>
      </c>
      <c r="S19" s="46" t="inlineStr">
        <is>
          <t>SAI</t>
        </is>
      </c>
      <c r="T19" s="47" t="inlineStr">
        <is>
          <t>Đang gia công dở dang, chuyển ca sau</t>
        </is>
      </c>
      <c r="U19" t="inlineStr">
        <is>
          <t>ĐÃ DUYỆT</t>
        </is>
      </c>
      <c r="V19" t="inlineStr">
        <is>
          <t>ĐÃ PHÊ DUYỆT</t>
        </is>
      </c>
      <c r="W19" t="inlineStr">
        <is>
          <t>🔒 ĐÃ KHÓA</t>
        </is>
      </c>
    </row>
    <row r="20" ht="21" customHeight="1" s="75">
      <c r="A20" s="40" t="n">
        <v>17</v>
      </c>
      <c r="B20" s="60" t="n">
        <v>46255.7380424537</v>
      </c>
      <c r="C20" s="61" t="inlineStr">
        <is>
          <t>EMP-NV07</t>
        </is>
      </c>
      <c r="D20" s="41" t="inlineStr">
        <is>
          <t>Phùng Công Thắng</t>
        </is>
      </c>
      <c r="E20" s="61" t="inlineStr">
        <is>
          <t>M-OKK1-01</t>
        </is>
      </c>
      <c r="F20" s="41" t="inlineStr">
        <is>
          <t>Phùng Công Thắng</t>
        </is>
      </c>
      <c r="G20" s="61" t="inlineStr">
        <is>
          <t>OP-SEALB-NC2</t>
        </is>
      </c>
      <c r="H20" s="41" t="inlineStr">
        <is>
          <t>Thyssen</t>
        </is>
      </c>
      <c r="I20" s="41" t="inlineStr">
        <is>
          <t>Sealing trip, below</t>
        </is>
      </c>
      <c r="J20" s="40" t="inlineStr">
        <is>
          <t>PO-4905</t>
        </is>
      </c>
      <c r="K20" s="41" t="inlineStr">
        <is>
          <t>G/c phay Mp NC2 Kt 95mm</t>
        </is>
      </c>
      <c r="L20" s="44" t="n">
        <v>37200</v>
      </c>
      <c r="M20" s="62" t="n">
        <v>13</v>
      </c>
      <c r="N20" s="44" t="n">
        <v>0</v>
      </c>
      <c r="O20" s="63" t="n">
        <v>8</v>
      </c>
      <c r="P20" s="64">
        <f>L20*M20</f>
        <v/>
      </c>
      <c r="Q20" s="41" t="inlineStr">
        <is>
          <t>Chíp  Pramet (6 cạnh)</t>
        </is>
      </c>
      <c r="R20" s="44" t="n">
        <v>0</v>
      </c>
      <c r="S20" s="40" t="inlineStr">
        <is>
          <t>SAI</t>
        </is>
      </c>
      <c r="T20" s="41" t="inlineStr">
        <is>
          <t>Đang gia công dở dang, chuyển ca sau</t>
        </is>
      </c>
      <c r="U20" t="inlineStr">
        <is>
          <t>ĐÃ DUYỆT</t>
        </is>
      </c>
      <c r="V20" t="inlineStr">
        <is>
          <t>ĐÃ PHÊ DUYỆT</t>
        </is>
      </c>
      <c r="W20" t="inlineStr">
        <is>
          <t>🔒 ĐÃ KHÓA</t>
        </is>
      </c>
    </row>
    <row r="21" ht="21" customHeight="1" s="75">
      <c r="A21" s="46" t="n">
        <v>18</v>
      </c>
      <c r="B21" s="66" t="n">
        <v>46255.73867170139</v>
      </c>
      <c r="C21" s="61" t="inlineStr">
        <is>
          <t>EMP-NV07</t>
        </is>
      </c>
      <c r="D21" s="47" t="inlineStr">
        <is>
          <t>Phùng Công Thắng</t>
        </is>
      </c>
      <c r="E21" s="61" t="inlineStr">
        <is>
          <t>M-OKK3-01</t>
        </is>
      </c>
      <c r="F21" s="47" t="inlineStr">
        <is>
          <t>Phùng Công Thắng</t>
        </is>
      </c>
      <c r="G21" s="61" t="inlineStr">
        <is>
          <t>OP-SEALB-NC1</t>
        </is>
      </c>
      <c r="H21" s="47" t="inlineStr">
        <is>
          <t>Thyssen</t>
        </is>
      </c>
      <c r="I21" s="47" t="inlineStr">
        <is>
          <t>Sealing trip, below</t>
        </is>
      </c>
      <c r="J21" s="46" t="inlineStr">
        <is>
          <t>PO-1695</t>
        </is>
      </c>
      <c r="K21" s="47" t="inlineStr">
        <is>
          <t>G/c phay Mp NC1 Kt 47mm</t>
        </is>
      </c>
      <c r="L21" s="50" t="n">
        <v>37200</v>
      </c>
      <c r="M21" s="67" t="n">
        <v>10</v>
      </c>
      <c r="N21" s="50" t="n">
        <v>0</v>
      </c>
      <c r="O21" s="68" t="n">
        <v>8</v>
      </c>
      <c r="P21" s="64">
        <f>L21*M21</f>
        <v/>
      </c>
      <c r="Q21" s="47" t="inlineStr">
        <is>
          <t>Không tiêu hao</t>
        </is>
      </c>
      <c r="R21" s="50" t="n">
        <v>0</v>
      </c>
      <c r="S21" s="46" t="inlineStr">
        <is>
          <t>SAI</t>
        </is>
      </c>
      <c r="T21" s="47" t="inlineStr">
        <is>
          <t>Đang gia công dở dang, chuyển ca sau</t>
        </is>
      </c>
      <c r="U21" t="inlineStr">
        <is>
          <t>ĐÃ DUYỆT</t>
        </is>
      </c>
      <c r="V21" t="inlineStr">
        <is>
          <t>ĐÃ PHÊ DUYỆT</t>
        </is>
      </c>
      <c r="W21" t="inlineStr">
        <is>
          <t>🔒 ĐÃ KHÓA</t>
        </is>
      </c>
    </row>
    <row r="22" ht="21" customHeight="1" s="75">
      <c r="A22" s="40" t="n">
        <v>19</v>
      </c>
      <c r="B22" s="60" t="n">
        <v>46255.73914490741</v>
      </c>
      <c r="C22" s="61" t="inlineStr">
        <is>
          <t>EMP-NV07</t>
        </is>
      </c>
      <c r="D22" s="41" t="inlineStr">
        <is>
          <t>Phùng Công Thắng</t>
        </is>
      </c>
      <c r="E22" s="61" t="inlineStr">
        <is>
          <t>M-OKK2-01</t>
        </is>
      </c>
      <c r="F22" s="41" t="inlineStr">
        <is>
          <t>Phùng Công Thắng</t>
        </is>
      </c>
      <c r="G22" s="61" t="inlineStr">
        <is>
          <t>OP-SEALB-NC4</t>
        </is>
      </c>
      <c r="H22" s="41" t="inlineStr">
        <is>
          <t>Thyssen</t>
        </is>
      </c>
      <c r="I22" s="41" t="inlineStr">
        <is>
          <t>Sealing trip, below</t>
        </is>
      </c>
      <c r="J22" s="40" t="inlineStr">
        <is>
          <t>PO-1494</t>
        </is>
      </c>
      <c r="K22" s="41" t="inlineStr">
        <is>
          <t>G/c phay cạnh NC3 kt 12mm</t>
        </is>
      </c>
      <c r="L22" s="44" t="n">
        <v>19918</v>
      </c>
      <c r="M22" s="62" t="n">
        <v>8</v>
      </c>
      <c r="N22" s="44" t="n">
        <v>0</v>
      </c>
      <c r="O22" s="63" t="n">
        <v>8</v>
      </c>
      <c r="P22" s="64">
        <f>L22*M22</f>
        <v/>
      </c>
      <c r="Q22" s="41" t="inlineStr">
        <is>
          <t>Không tiêu hao</t>
        </is>
      </c>
      <c r="R22" s="44" t="n">
        <v>0</v>
      </c>
      <c r="S22" s="40" t="inlineStr">
        <is>
          <t>SAI</t>
        </is>
      </c>
      <c r="T22" s="41" t="inlineStr">
        <is>
          <t>Đang gia công dở dang, chuyển ca sau</t>
        </is>
      </c>
      <c r="U22" t="inlineStr">
        <is>
          <t>ĐÃ DUYỆT</t>
        </is>
      </c>
      <c r="V22" t="inlineStr">
        <is>
          <t>ĐÃ PHÊ DUYỆT</t>
        </is>
      </c>
      <c r="W22" t="inlineStr">
        <is>
          <t>🔒 ĐÃ KHÓA</t>
        </is>
      </c>
    </row>
    <row r="23" ht="21" customHeight="1" s="75">
      <c r="A23" s="46" t="n">
        <v>20</v>
      </c>
      <c r="B23" s="66" t="n">
        <v>46256.05115743056</v>
      </c>
      <c r="C23" s="61" t="inlineStr">
        <is>
          <t>EMP-NV01</t>
        </is>
      </c>
      <c r="D23" s="47" t="inlineStr">
        <is>
          <t>Phùng Công Thắng</t>
        </is>
      </c>
      <c r="E23" s="61" t="inlineStr">
        <is>
          <t>M-T630-01</t>
        </is>
      </c>
      <c r="F23" s="47" t="inlineStr">
        <is>
          <t>Phùng Công Thắng</t>
        </is>
      </c>
      <c r="G23" s="61" t="inlineStr">
        <is>
          <t>OP-GEN-01</t>
        </is>
      </c>
      <c r="H23" s="47" t="inlineStr">
        <is>
          <t>Win-Win</t>
        </is>
      </c>
      <c r="I23" s="47" t="inlineStr">
        <is>
          <t>ISHIZUE 165Dw500</t>
        </is>
      </c>
      <c r="J23" s="46" t="inlineStr">
        <is>
          <t>PO-1987</t>
        </is>
      </c>
      <c r="K23" s="47" t="inlineStr">
        <is>
          <t>G/c hoàn thiện</t>
        </is>
      </c>
      <c r="L23" s="50" t="n">
        <v>8788</v>
      </c>
      <c r="M23" s="67" t="n">
        <v>10</v>
      </c>
      <c r="N23" s="50" t="n">
        <v>2</v>
      </c>
      <c r="O23" s="68" t="n">
        <v>8</v>
      </c>
      <c r="P23" s="64">
        <f>L23*M23</f>
        <v/>
      </c>
      <c r="Q23" s="47" t="inlineStr">
        <is>
          <t>Chíp  R5 THREADEX- P3200</t>
        </is>
      </c>
      <c r="R23" s="50" t="n">
        <v>1</v>
      </c>
      <c r="S23" s="65" t="inlineStr">
        <is>
          <t>ĐÚNG</t>
        </is>
      </c>
      <c r="T23" s="47" t="inlineStr">
        <is>
          <t>Đã xong nguyên công</t>
        </is>
      </c>
      <c r="U23" t="inlineStr">
        <is>
          <t>ĐÃ DUYỆT</t>
        </is>
      </c>
      <c r="V23" t="inlineStr">
        <is>
          <t>ĐÃ PHÊ DUYỆT</t>
        </is>
      </c>
      <c r="W23" t="inlineStr">
        <is>
          <t>🔒 ĐÃ KHÓA</t>
        </is>
      </c>
    </row>
    <row r="24" ht="21" customHeight="1" s="75">
      <c r="A24" s="40" t="n">
        <v>21</v>
      </c>
      <c r="B24" s="60" t="n">
        <v>46256.05958342593</v>
      </c>
      <c r="C24" s="61" t="inlineStr">
        <is>
          <t>EMP-NV01</t>
        </is>
      </c>
      <c r="D24" s="41" t="inlineStr">
        <is>
          <t>Phùng Công Thắng</t>
        </is>
      </c>
      <c r="E24" s="61" t="inlineStr">
        <is>
          <t>M-FUJI-01</t>
        </is>
      </c>
      <c r="F24" s="41" t="inlineStr">
        <is>
          <t>Phùng Công Thắng</t>
        </is>
      </c>
      <c r="G24" s="61" t="inlineStr">
        <is>
          <t>OP-GEN-01</t>
        </is>
      </c>
      <c r="H24" s="41" t="inlineStr">
        <is>
          <t>Win-Win</t>
        </is>
      </c>
      <c r="I24" s="41" t="inlineStr">
        <is>
          <t>ISHIZUE 216Dw650</t>
        </is>
      </c>
      <c r="J24" s="40" t="inlineStr">
        <is>
          <t>PO-1702</t>
        </is>
      </c>
      <c r="K24" s="41" t="inlineStr">
        <is>
          <t>G/c hoàn thiện</t>
        </is>
      </c>
      <c r="L24" s="44" t="n">
        <v>24614</v>
      </c>
      <c r="M24" s="62" t="n">
        <v>3</v>
      </c>
      <c r="N24" s="44" t="n">
        <v>3</v>
      </c>
      <c r="O24" s="63" t="n">
        <v>4</v>
      </c>
      <c r="P24" s="64">
        <f>L24*M24</f>
        <v/>
      </c>
      <c r="Q24" s="41" t="inlineStr">
        <is>
          <t>Chíp  R5 THREADEX- P3200</t>
        </is>
      </c>
      <c r="R24" s="44" t="n">
        <v>1</v>
      </c>
      <c r="S24" s="65" t="inlineStr">
        <is>
          <t>ĐÚNG</t>
        </is>
      </c>
      <c r="T24" s="41" t="inlineStr">
        <is>
          <t>Đã xong nguyên công</t>
        </is>
      </c>
      <c r="U24" t="inlineStr">
        <is>
          <t>ĐÃ DUYỆT</t>
        </is>
      </c>
      <c r="V24" t="inlineStr">
        <is>
          <t>ĐÃ PHÊ DUYỆT</t>
        </is>
      </c>
      <c r="W24" t="inlineStr">
        <is>
          <t>🔒 ĐÃ KHÓA</t>
        </is>
      </c>
    </row>
    <row r="25" ht="21" customHeight="1" s="75">
      <c r="A25" s="46" t="n">
        <v>22</v>
      </c>
      <c r="B25" s="66" t="n">
        <v>46256.06002530093</v>
      </c>
      <c r="C25" s="61" t="inlineStr">
        <is>
          <t>EMP-NV02</t>
        </is>
      </c>
      <c r="D25" s="47" t="inlineStr">
        <is>
          <t>Phùng Công Thắng</t>
        </is>
      </c>
      <c r="E25" s="61" t="inlineStr">
        <is>
          <t>M-FUJI-01</t>
        </is>
      </c>
      <c r="F25" s="47" t="inlineStr">
        <is>
          <t>Phùng Công Thắng</t>
        </is>
      </c>
      <c r="G25" s="61" t="inlineStr">
        <is>
          <t>OP-GEN-01</t>
        </is>
      </c>
      <c r="H25" s="47" t="inlineStr">
        <is>
          <t>Win-Win</t>
        </is>
      </c>
      <c r="I25" s="47" t="inlineStr">
        <is>
          <t>ISHIZUE 318Dw800</t>
        </is>
      </c>
      <c r="J25" s="46" t="inlineStr">
        <is>
          <t>PO-5898</t>
        </is>
      </c>
      <c r="K25" s="47" t="inlineStr">
        <is>
          <t>G/c hoàn thiện</t>
        </is>
      </c>
      <c r="L25" s="50" t="n">
        <v>55800</v>
      </c>
      <c r="M25" s="67" t="n">
        <v>2</v>
      </c>
      <c r="N25" s="50" t="n">
        <v>0</v>
      </c>
      <c r="O25" s="68" t="n">
        <v>4</v>
      </c>
      <c r="P25" s="64">
        <f>L25*M25</f>
        <v/>
      </c>
      <c r="Q25" s="47" t="inlineStr">
        <is>
          <t>Chíp 5 ly MGMN500-T-NT15TF</t>
        </is>
      </c>
      <c r="R25" s="50" t="n">
        <v>0</v>
      </c>
      <c r="S25" s="65" t="inlineStr">
        <is>
          <t>ĐÚNG</t>
        </is>
      </c>
      <c r="T25" s="47" t="inlineStr">
        <is>
          <t>Đã xong nguyên công</t>
        </is>
      </c>
      <c r="U25" t="inlineStr">
        <is>
          <t>ĐÃ DUYỆT</t>
        </is>
      </c>
      <c r="V25" t="inlineStr">
        <is>
          <t>ĐÃ PHÊ DUYỆT</t>
        </is>
      </c>
      <c r="W25" t="inlineStr">
        <is>
          <t>🔒 ĐÃ KHÓA</t>
        </is>
      </c>
    </row>
    <row r="26" ht="21" customHeight="1" s="75">
      <c r="A26" s="40" t="n">
        <v>23</v>
      </c>
      <c r="B26" s="60" t="n">
        <v>46256.06078121528</v>
      </c>
      <c r="C26" s="61" t="inlineStr">
        <is>
          <t>EMP-NV01</t>
        </is>
      </c>
      <c r="D26" s="41" t="inlineStr">
        <is>
          <t>Phùng Công Thắng</t>
        </is>
      </c>
      <c r="E26" s="61" t="inlineStr">
        <is>
          <t>M-FUJI-01</t>
        </is>
      </c>
      <c r="F26" s="41" t="inlineStr">
        <is>
          <t>Phùng Công Thắng</t>
        </is>
      </c>
      <c r="G26" s="61" t="inlineStr">
        <is>
          <t>OP-GEN-01</t>
        </is>
      </c>
      <c r="H26" s="41" t="inlineStr">
        <is>
          <t>Win-Win</t>
        </is>
      </c>
      <c r="I26" s="41" t="inlineStr">
        <is>
          <t>ISHIZUE 318Dw650</t>
        </is>
      </c>
      <c r="J26" s="40" t="inlineStr">
        <is>
          <t>PO-9062</t>
        </is>
      </c>
      <c r="K26" s="41" t="inlineStr">
        <is>
          <t>G/c hoàn thiện</t>
        </is>
      </c>
      <c r="L26" s="44" t="n">
        <v>55800</v>
      </c>
      <c r="M26" s="62" t="n">
        <v>6</v>
      </c>
      <c r="N26" s="44" t="n">
        <v>3</v>
      </c>
      <c r="O26" s="63" t="n">
        <v>8</v>
      </c>
      <c r="P26" s="64">
        <f>L26*M26</f>
        <v/>
      </c>
      <c r="Q26" s="41" t="inlineStr">
        <is>
          <t>Chíp  R5 THREADEX- P3200</t>
        </is>
      </c>
      <c r="R26" s="44" t="n">
        <v>0</v>
      </c>
      <c r="S26" s="65" t="inlineStr">
        <is>
          <t>ĐÚNG</t>
        </is>
      </c>
      <c r="T26" s="41" t="inlineStr">
        <is>
          <t>Đã xong nguyên công</t>
        </is>
      </c>
      <c r="U26" t="inlineStr">
        <is>
          <t>ĐÃ DUYỆT</t>
        </is>
      </c>
      <c r="V26" t="inlineStr">
        <is>
          <t>ĐÃ PHÊ DUYỆT</t>
        </is>
      </c>
      <c r="W26" t="inlineStr">
        <is>
          <t>🔒 ĐÃ KHÓA</t>
        </is>
      </c>
    </row>
    <row r="27" ht="21" customHeight="1" s="75">
      <c r="A27" s="46" t="n">
        <v>24</v>
      </c>
      <c r="B27" s="66" t="n">
        <v>46256.06152827547</v>
      </c>
      <c r="C27" s="61" t="inlineStr">
        <is>
          <t>EMP-NV01</t>
        </is>
      </c>
      <c r="D27" s="47" t="inlineStr">
        <is>
          <t>Phùng Công Thắng</t>
        </is>
      </c>
      <c r="E27" s="61" t="inlineStr">
        <is>
          <t>M-FUJI-01</t>
        </is>
      </c>
      <c r="F27" s="47" t="inlineStr">
        <is>
          <t>Phùng Công Thắng</t>
        </is>
      </c>
      <c r="G27" s="61" t="inlineStr">
        <is>
          <t>OP-GEN-01</t>
        </is>
      </c>
      <c r="H27" s="47" t="inlineStr">
        <is>
          <t>Win-Win</t>
        </is>
      </c>
      <c r="I27" s="47" t="inlineStr">
        <is>
          <t>ISHIZUE 267Dw700</t>
        </is>
      </c>
      <c r="J27" s="46" t="inlineStr">
        <is>
          <t>PO-8745</t>
        </is>
      </c>
      <c r="K27" s="47" t="inlineStr">
        <is>
          <t>G/c hoàn thiện</t>
        </is>
      </c>
      <c r="L27" s="50" t="n">
        <v>55800</v>
      </c>
      <c r="M27" s="67" t="n">
        <v>6</v>
      </c>
      <c r="N27" s="50" t="n">
        <v>3</v>
      </c>
      <c r="O27" s="68" t="n">
        <v>8</v>
      </c>
      <c r="P27" s="64">
        <f>L27*M27</f>
        <v/>
      </c>
      <c r="Q27" s="47" t="inlineStr">
        <is>
          <t>Chíp  R5 THREADEX- P3200</t>
        </is>
      </c>
      <c r="R27" s="50" t="n">
        <v>1</v>
      </c>
      <c r="S27" s="65" t="inlineStr">
        <is>
          <t>ĐÚNG</t>
        </is>
      </c>
      <c r="T27" s="47" t="inlineStr">
        <is>
          <t>Đã xong nguyên công</t>
        </is>
      </c>
      <c r="U27" t="inlineStr">
        <is>
          <t>ĐÃ DUYỆT</t>
        </is>
      </c>
      <c r="V27" t="inlineStr">
        <is>
          <t>ĐÃ PHÊ DUYỆT</t>
        </is>
      </c>
      <c r="W27" t="inlineStr">
        <is>
          <t>🔒 ĐÃ KHÓA</t>
        </is>
      </c>
    </row>
    <row r="28" ht="21" customHeight="1" s="75">
      <c r="A28" s="40" t="n">
        <v>25</v>
      </c>
      <c r="B28" s="60" t="n">
        <v>46256.06169289352</v>
      </c>
      <c r="C28" s="61" t="inlineStr">
        <is>
          <t>EMP-NV02</t>
        </is>
      </c>
      <c r="D28" s="41" t="inlineStr">
        <is>
          <t>Phùng Công Thắng</t>
        </is>
      </c>
      <c r="E28" s="61" t="inlineStr">
        <is>
          <t>M-FUJI-01</t>
        </is>
      </c>
      <c r="F28" s="41" t="inlineStr">
        <is>
          <t>Phùng Công Thắng</t>
        </is>
      </c>
      <c r="G28" s="61" t="inlineStr">
        <is>
          <t>OP-GEN-01</t>
        </is>
      </c>
      <c r="H28" s="41" t="inlineStr">
        <is>
          <t>Win-Win</t>
        </is>
      </c>
      <c r="I28" s="41" t="inlineStr">
        <is>
          <t>ISHIZUE 318Dw650</t>
        </is>
      </c>
      <c r="J28" s="40" t="inlineStr">
        <is>
          <t>PO-3939</t>
        </is>
      </c>
      <c r="K28" s="41" t="inlineStr">
        <is>
          <t>G/c hoàn thiện</t>
        </is>
      </c>
      <c r="L28" s="44" t="n">
        <v>55800</v>
      </c>
      <c r="M28" s="62" t="n">
        <v>6</v>
      </c>
      <c r="N28" s="44" t="n">
        <v>0</v>
      </c>
      <c r="O28" s="63" t="n">
        <v>8</v>
      </c>
      <c r="P28" s="64">
        <f>L28*M28</f>
        <v/>
      </c>
      <c r="Q28" s="41" t="inlineStr">
        <is>
          <t>Chíp 5 ly MGMN500-T-NT15TF</t>
        </is>
      </c>
      <c r="R28" s="44" t="n">
        <v>0</v>
      </c>
      <c r="S28" s="65" t="inlineStr">
        <is>
          <t>ĐÚNG</t>
        </is>
      </c>
      <c r="T28" s="41" t="inlineStr">
        <is>
          <t>Đã xong nguyên công</t>
        </is>
      </c>
      <c r="U28" t="inlineStr">
        <is>
          <t>ĐÃ DUYỆT</t>
        </is>
      </c>
      <c r="V28" t="inlineStr">
        <is>
          <t>ĐÃ PHÊ DUYỆT</t>
        </is>
      </c>
      <c r="W28" t="inlineStr">
        <is>
          <t>🔒 ĐÃ KHÓA</t>
        </is>
      </c>
    </row>
    <row r="29" ht="21" customHeight="1" s="75">
      <c r="A29" s="46" t="n">
        <v>26</v>
      </c>
      <c r="B29" s="66" t="n">
        <v>46256.06204030092</v>
      </c>
      <c r="C29" s="61" t="inlineStr">
        <is>
          <t>EMP-NV01</t>
        </is>
      </c>
      <c r="D29" s="47" t="inlineStr">
        <is>
          <t>Phùng Công Thắng</t>
        </is>
      </c>
      <c r="E29" s="61" t="inlineStr">
        <is>
          <t>M-DK7745-01</t>
        </is>
      </c>
      <c r="F29" s="47" t="inlineStr">
        <is>
          <t>Phùng Công Thắng</t>
        </is>
      </c>
      <c r="G29" s="61" t="inlineStr">
        <is>
          <t>OP-GEN-01</t>
        </is>
      </c>
      <c r="H29" s="47" t="inlineStr">
        <is>
          <t>Vico- QLTB</t>
        </is>
      </c>
      <c r="I29" s="47" t="inlineStr">
        <is>
          <t>Mẫu Thử CR &amp; hàng #</t>
        </is>
      </c>
      <c r="J29" s="46" t="inlineStr">
        <is>
          <t>PO-8525</t>
        </is>
      </c>
      <c r="K29" s="47" t="inlineStr">
        <is>
          <t>G/c hoàn thiện</t>
        </is>
      </c>
      <c r="L29" s="50" t="n">
        <v>83700</v>
      </c>
      <c r="M29" s="67" t="n">
        <v>1</v>
      </c>
      <c r="N29" s="50" t="n">
        <v>0</v>
      </c>
      <c r="O29" s="68" t="n">
        <v>4</v>
      </c>
      <c r="P29" s="64">
        <f>L29*M29</f>
        <v/>
      </c>
      <c r="Q29" s="47" t="inlineStr">
        <is>
          <t>Dây cắt CNC</t>
        </is>
      </c>
      <c r="R29" s="50" t="n">
        <v>0</v>
      </c>
      <c r="S29" s="65" t="inlineStr">
        <is>
          <t>ĐÚNG</t>
        </is>
      </c>
      <c r="T29" s="47" t="inlineStr">
        <is>
          <t>Đã xong nguyên công</t>
        </is>
      </c>
      <c r="U29" t="inlineStr">
        <is>
          <t>ĐÃ DUYỆT</t>
        </is>
      </c>
      <c r="V29" t="inlineStr">
        <is>
          <t>ĐÃ PHÊ DUYỆT</t>
        </is>
      </c>
      <c r="W29" t="inlineStr">
        <is>
          <t>🔒 ĐÃ KHÓA</t>
        </is>
      </c>
    </row>
    <row r="30" ht="21" customHeight="1" s="75">
      <c r="A30" s="40" t="n">
        <v>27</v>
      </c>
      <c r="B30" s="60" t="n">
        <v>46256.14751412037</v>
      </c>
      <c r="C30" s="61" t="inlineStr">
        <is>
          <t>EMP-NV01</t>
        </is>
      </c>
      <c r="D30" s="41" t="inlineStr">
        <is>
          <t>Phùng Công Thắng</t>
        </is>
      </c>
      <c r="E30" s="61" t="inlineStr">
        <is>
          <t>M-OKUMA-01</t>
        </is>
      </c>
      <c r="F30" s="41" t="inlineStr">
        <is>
          <t>Phùng Công Thắng</t>
        </is>
      </c>
      <c r="G30" s="61" t="inlineStr">
        <is>
          <t>OP-GEN-01</t>
        </is>
      </c>
      <c r="H30" s="41" t="inlineStr">
        <is>
          <t>Vico- QLTB</t>
        </is>
      </c>
      <c r="I30" s="41" t="inlineStr">
        <is>
          <t>Mẫu kéo nén</t>
        </is>
      </c>
      <c r="J30" s="40" t="inlineStr">
        <is>
          <t>PO-9043</t>
        </is>
      </c>
      <c r="K30" s="41" t="inlineStr">
        <is>
          <t>G/c ht theo bản vẽ</t>
        </is>
      </c>
      <c r="L30" s="44" t="n">
        <v>55800</v>
      </c>
      <c r="M30" s="62" t="n">
        <v>2</v>
      </c>
      <c r="N30" s="44" t="n">
        <v>0</v>
      </c>
      <c r="O30" s="63" t="n">
        <v>4</v>
      </c>
      <c r="P30" s="64">
        <f>L30*M30</f>
        <v/>
      </c>
      <c r="Q30" s="41" t="inlineStr">
        <is>
          <t>Chíp  TNMG160408 WINSTAR RP- CX2555 ( 3 cạnh thẳng)</t>
        </is>
      </c>
      <c r="R30" s="44" t="n">
        <v>1</v>
      </c>
      <c r="S30" s="65" t="inlineStr">
        <is>
          <t>ĐÚNG</t>
        </is>
      </c>
      <c r="T30" s="41" t="inlineStr">
        <is>
          <t>Đã xong nguyên công</t>
        </is>
      </c>
      <c r="U30" t="inlineStr">
        <is>
          <t>ĐÃ DUYỆT</t>
        </is>
      </c>
      <c r="V30" t="inlineStr">
        <is>
          <t>ĐÃ PHÊ DUYỆT</t>
        </is>
      </c>
      <c r="W30" t="inlineStr">
        <is>
          <t>🔒 ĐÃ KHÓA</t>
        </is>
      </c>
    </row>
    <row r="31" ht="21" customHeight="1" s="75">
      <c r="A31" s="46" t="n">
        <v>28</v>
      </c>
      <c r="B31" s="66" t="n">
        <v>46256.17003290509</v>
      </c>
      <c r="C31" s="61" t="inlineStr">
        <is>
          <t>EMP-NV11</t>
        </is>
      </c>
      <c r="D31" s="47" t="inlineStr">
        <is>
          <t>Phùng Công Thắng</t>
        </is>
      </c>
      <c r="E31" s="61" t="inlineStr">
        <is>
          <t>M-T630-01</t>
        </is>
      </c>
      <c r="F31" s="47" t="inlineStr">
        <is>
          <t>Phùng Công Thắng</t>
        </is>
      </c>
      <c r="G31" s="61" t="inlineStr">
        <is>
          <t>OP-GEN-01</t>
        </is>
      </c>
      <c r="H31" s="47" t="inlineStr">
        <is>
          <t>Win-Win</t>
        </is>
      </c>
      <c r="I31" s="47" t="inlineStr">
        <is>
          <t>ISHIZUE 165Dw500</t>
        </is>
      </c>
      <c r="J31" s="46" t="inlineStr">
        <is>
          <t>PO-2324</t>
        </is>
      </c>
      <c r="K31" s="47" t="inlineStr">
        <is>
          <t>G/c hoàn thiện</t>
        </is>
      </c>
      <c r="L31" s="50" t="n">
        <v>8788</v>
      </c>
      <c r="M31" s="67" t="n">
        <v>4</v>
      </c>
      <c r="N31" s="50" t="n">
        <v>1</v>
      </c>
      <c r="O31" s="68" t="n">
        <v>4</v>
      </c>
      <c r="P31" s="64">
        <f>L31*M31</f>
        <v/>
      </c>
      <c r="Q31" s="47" t="inlineStr">
        <is>
          <t>Chíp  R5 THREADEX- P3200</t>
        </is>
      </c>
      <c r="R31" s="50" t="n">
        <v>1</v>
      </c>
      <c r="S31" s="65" t="inlineStr">
        <is>
          <t>ĐÚNG</t>
        </is>
      </c>
      <c r="T31" s="47" t="inlineStr">
        <is>
          <t>Đã xong nguyên công</t>
        </is>
      </c>
      <c r="U31" t="inlineStr">
        <is>
          <t>ĐÃ DUYỆT</t>
        </is>
      </c>
      <c r="V31" t="inlineStr">
        <is>
          <t>ĐÃ PHÊ DUYỆT</t>
        </is>
      </c>
      <c r="W31" t="inlineStr">
        <is>
          <t>🔒 ĐÃ KHÓA</t>
        </is>
      </c>
    </row>
    <row r="32" ht="21" customHeight="1" s="75">
      <c r="A32" s="40" t="n">
        <v>29</v>
      </c>
      <c r="B32" s="60" t="n">
        <v>46256.17046609954</v>
      </c>
      <c r="C32" s="61" t="inlineStr">
        <is>
          <t>EMP-NV11</t>
        </is>
      </c>
      <c r="D32" s="41" t="inlineStr">
        <is>
          <t>Phùng Công Thắng</t>
        </is>
      </c>
      <c r="E32" s="61" t="inlineStr">
        <is>
          <t>M-T630-01</t>
        </is>
      </c>
      <c r="F32" s="41" t="inlineStr">
        <is>
          <t>Phùng Công Thắng</t>
        </is>
      </c>
      <c r="G32" s="61" t="inlineStr">
        <is>
          <t>OP-GEN-01</t>
        </is>
      </c>
      <c r="H32" s="41" t="inlineStr">
        <is>
          <t>Win-Win</t>
        </is>
      </c>
      <c r="I32" s="41" t="inlineStr">
        <is>
          <t>ISHIZUE 216Dw550</t>
        </is>
      </c>
      <c r="J32" s="40" t="inlineStr">
        <is>
          <t>PO-8858</t>
        </is>
      </c>
      <c r="K32" s="41" t="inlineStr">
        <is>
          <t>G/c hoàn thiện</t>
        </is>
      </c>
      <c r="L32" s="44" t="n">
        <v>29884</v>
      </c>
      <c r="M32" s="62" t="n">
        <v>2</v>
      </c>
      <c r="N32" s="44" t="n">
        <v>0</v>
      </c>
      <c r="O32" s="63" t="n">
        <v>4</v>
      </c>
      <c r="P32" s="64">
        <f>L32*M32</f>
        <v/>
      </c>
      <c r="Q32" s="41" t="inlineStr">
        <is>
          <t>Chíp  R5 THREADEX- P3200</t>
        </is>
      </c>
      <c r="R32" s="44" t="n">
        <v>0</v>
      </c>
      <c r="S32" s="65" t="inlineStr">
        <is>
          <t>ĐÚNG</t>
        </is>
      </c>
      <c r="T32" s="41" t="inlineStr">
        <is>
          <t>Đã xong nguyên công</t>
        </is>
      </c>
      <c r="U32" t="inlineStr">
        <is>
          <t>ĐÃ DUYỆT</t>
        </is>
      </c>
      <c r="V32" t="inlineStr">
        <is>
          <t>ĐÃ PHÊ DUYỆT</t>
        </is>
      </c>
      <c r="W32" t="inlineStr">
        <is>
          <t>🔒 ĐÃ KHÓA</t>
        </is>
      </c>
    </row>
    <row r="33" ht="21" customHeight="1" s="75">
      <c r="A33" s="46" t="n">
        <v>30</v>
      </c>
      <c r="B33" s="66" t="n">
        <v>46256.32204563657</v>
      </c>
      <c r="C33" s="61" t="inlineStr">
        <is>
          <t>EMP-NV10</t>
        </is>
      </c>
      <c r="D33" s="47" t="inlineStr">
        <is>
          <t>Phùng Công Thắng</t>
        </is>
      </c>
      <c r="E33" s="61" t="inlineStr">
        <is>
          <t>M-OKK3-01</t>
        </is>
      </c>
      <c r="F33" s="47" t="inlineStr">
        <is>
          <t>Phùng Công Thắng</t>
        </is>
      </c>
      <c r="G33" s="61" t="inlineStr">
        <is>
          <t>OP-SEALB-NC2</t>
        </is>
      </c>
      <c r="H33" s="47" t="inlineStr">
        <is>
          <t>Thyssen</t>
        </is>
      </c>
      <c r="I33" s="47" t="inlineStr">
        <is>
          <t>Sealing strip, above</t>
        </is>
      </c>
      <c r="J33" s="46" t="inlineStr">
        <is>
          <t>PO-7012</t>
        </is>
      </c>
      <c r="K33" s="47" t="inlineStr">
        <is>
          <t>G/c phay Mp NC1 Kt 95mm</t>
        </is>
      </c>
      <c r="L33" s="50" t="n">
        <v>37200</v>
      </c>
      <c r="M33" s="67" t="n">
        <v>10</v>
      </c>
      <c r="N33" s="50" t="n">
        <v>0</v>
      </c>
      <c r="O33" s="68" t="n">
        <v>8</v>
      </c>
      <c r="P33" s="64">
        <f>L33*M33</f>
        <v/>
      </c>
      <c r="Q33" s="47" t="inlineStr">
        <is>
          <t>Chíp  Pramet (6 cạnh)</t>
        </is>
      </c>
      <c r="R33" s="50" t="n">
        <v>6</v>
      </c>
      <c r="S33" s="46" t="inlineStr">
        <is>
          <t>SAI</t>
        </is>
      </c>
      <c r="T33" s="47" t="inlineStr">
        <is>
          <t>Đang gia công dở dang, chuyển ca sau</t>
        </is>
      </c>
      <c r="U33" t="inlineStr">
        <is>
          <t>ĐÃ DUYỆT</t>
        </is>
      </c>
      <c r="V33" t="inlineStr">
        <is>
          <t>ĐÃ PHÊ DUYỆT</t>
        </is>
      </c>
      <c r="W33" t="inlineStr">
        <is>
          <t>🔒 ĐÃ KHÓA</t>
        </is>
      </c>
    </row>
    <row r="34" ht="21" customHeight="1" s="75">
      <c r="A34" s="40" t="n">
        <v>31</v>
      </c>
      <c r="B34" s="60" t="n">
        <v>46256.32254408565</v>
      </c>
      <c r="C34" s="61" t="inlineStr">
        <is>
          <t>EMP-NV10</t>
        </is>
      </c>
      <c r="D34" s="41" t="inlineStr">
        <is>
          <t>Phùng Công Thắng</t>
        </is>
      </c>
      <c r="E34" s="61" t="inlineStr">
        <is>
          <t>M-OKK1-01</t>
        </is>
      </c>
      <c r="F34" s="41" t="inlineStr">
        <is>
          <t>Phùng Công Thắng</t>
        </is>
      </c>
      <c r="G34" s="61" t="inlineStr">
        <is>
          <t>OP-SEALB-NC1</t>
        </is>
      </c>
      <c r="H34" s="41" t="inlineStr">
        <is>
          <t>Thyssen</t>
        </is>
      </c>
      <c r="I34" s="41" t="inlineStr">
        <is>
          <t>Sealing trip, below</t>
        </is>
      </c>
      <c r="J34" s="40" t="inlineStr">
        <is>
          <t>PO-8209</t>
        </is>
      </c>
      <c r="K34" s="41" t="inlineStr">
        <is>
          <t>G/c phay Mp NC1 Kt 47mm</t>
        </is>
      </c>
      <c r="L34" s="44" t="n">
        <v>37200</v>
      </c>
      <c r="M34" s="62" t="n">
        <v>9</v>
      </c>
      <c r="N34" s="44" t="n">
        <v>0</v>
      </c>
      <c r="O34" s="63" t="n">
        <v>8</v>
      </c>
      <c r="P34" s="64">
        <f>L34*M34</f>
        <v/>
      </c>
      <c r="Q34" s="41" t="inlineStr">
        <is>
          <t>Chíp  Pramet (6 cạnh)</t>
        </is>
      </c>
      <c r="R34" s="44" t="n">
        <v>3</v>
      </c>
      <c r="S34" s="40" t="inlineStr">
        <is>
          <t>SAI</t>
        </is>
      </c>
      <c r="T34" s="41" t="inlineStr">
        <is>
          <t>Đang gia công dở dang, chuyển ca sau</t>
        </is>
      </c>
      <c r="U34" t="inlineStr">
        <is>
          <t>ĐÃ DUYỆT</t>
        </is>
      </c>
      <c r="V34" t="inlineStr">
        <is>
          <t>ĐÃ PHÊ DUYỆT</t>
        </is>
      </c>
      <c r="W34" t="inlineStr">
        <is>
          <t>🔒 ĐÃ KHÓA</t>
        </is>
      </c>
    </row>
    <row r="35" ht="21" customHeight="1" s="75">
      <c r="A35" s="46" t="n">
        <v>32</v>
      </c>
      <c r="B35" s="66" t="n">
        <v>46256.32313711806</v>
      </c>
      <c r="C35" s="61" t="inlineStr">
        <is>
          <t>EMP-NV10</t>
        </is>
      </c>
      <c r="D35" s="47" t="inlineStr">
        <is>
          <t>Phùng Công Thắng</t>
        </is>
      </c>
      <c r="E35" s="61" t="inlineStr">
        <is>
          <t>M-OKK1-01</t>
        </is>
      </c>
      <c r="F35" s="47" t="inlineStr">
        <is>
          <t>Phùng Công Thắng</t>
        </is>
      </c>
      <c r="G35" s="61" t="inlineStr">
        <is>
          <t>OP-SEALB-NC2</t>
        </is>
      </c>
      <c r="H35" s="47" t="inlineStr">
        <is>
          <t>Thyssen</t>
        </is>
      </c>
      <c r="I35" s="47" t="inlineStr">
        <is>
          <t>Sealing trip, below</t>
        </is>
      </c>
      <c r="J35" s="46" t="inlineStr">
        <is>
          <t>PO-3332</t>
        </is>
      </c>
      <c r="K35" s="47" t="inlineStr">
        <is>
          <t>G/c phay Mp NC2 Kt 95mm</t>
        </is>
      </c>
      <c r="L35" s="50" t="n">
        <v>37200</v>
      </c>
      <c r="M35" s="67" t="n">
        <v>2</v>
      </c>
      <c r="N35" s="50" t="n">
        <v>0</v>
      </c>
      <c r="O35" s="68" t="n">
        <v>4</v>
      </c>
      <c r="P35" s="64">
        <f>L35*M35</f>
        <v/>
      </c>
      <c r="Q35" s="47" t="inlineStr">
        <is>
          <t>Chíp APMT 1604 PDER - Grade 8230S-PRAMET</t>
        </is>
      </c>
      <c r="R35" s="50" t="n">
        <v>0</v>
      </c>
      <c r="S35" s="46" t="inlineStr">
        <is>
          <t>SAI</t>
        </is>
      </c>
      <c r="T35" s="47" t="inlineStr">
        <is>
          <t>Đang gia công dở dang, chuyển ca sau</t>
        </is>
      </c>
      <c r="U35" t="inlineStr">
        <is>
          <t>ĐÃ DUYỆT</t>
        </is>
      </c>
      <c r="V35" t="inlineStr">
        <is>
          <t>ĐÃ PHÊ DUYỆT</t>
        </is>
      </c>
      <c r="W35" t="inlineStr">
        <is>
          <t>🔒 ĐÃ KHÓA</t>
        </is>
      </c>
    </row>
    <row r="36" ht="21" customHeight="1" s="75">
      <c r="A36" s="40" t="n">
        <v>33</v>
      </c>
      <c r="B36" s="60" t="n">
        <v>46256.32368153935</v>
      </c>
      <c r="C36" s="61" t="inlineStr">
        <is>
          <t>EMP-NV10</t>
        </is>
      </c>
      <c r="D36" s="41" t="inlineStr">
        <is>
          <t>Phùng Công Thắng</t>
        </is>
      </c>
      <c r="E36" s="61" t="inlineStr">
        <is>
          <t>M-OKK2-01</t>
        </is>
      </c>
      <c r="F36" s="41" t="inlineStr">
        <is>
          <t>Phùng Công Thắng</t>
        </is>
      </c>
      <c r="G36" s="61" t="inlineStr">
        <is>
          <t>OP-GEN-01</t>
        </is>
      </c>
      <c r="H36" s="41" t="inlineStr">
        <is>
          <t>Vico- QLTB</t>
        </is>
      </c>
      <c r="I36" s="41" t="inlineStr">
        <is>
          <t>Mẫu Thử CR &amp; hàng #</t>
        </is>
      </c>
      <c r="J36" s="40" t="inlineStr">
        <is>
          <t>PO-5828</t>
        </is>
      </c>
      <c r="K36" s="41" t="inlineStr">
        <is>
          <t>G/c hoàn thiện</t>
        </is>
      </c>
      <c r="L36" s="44" t="n">
        <v>83700</v>
      </c>
      <c r="M36" s="62" t="n">
        <v>1</v>
      </c>
      <c r="N36" s="44" t="n">
        <v>0</v>
      </c>
      <c r="O36" s="63" t="n">
        <v>4</v>
      </c>
      <c r="P36" s="64">
        <f>L36*M36</f>
        <v/>
      </c>
      <c r="Q36" s="41" t="inlineStr">
        <is>
          <t>Dao phay D50 ( hợp kim )</t>
        </is>
      </c>
      <c r="R36" s="44" t="n">
        <v>0</v>
      </c>
      <c r="S36" s="65" t="inlineStr">
        <is>
          <t>ĐÚNG</t>
        </is>
      </c>
      <c r="T36" s="41" t="inlineStr">
        <is>
          <t>Đã xong nguyên công</t>
        </is>
      </c>
      <c r="U36" t="inlineStr">
        <is>
          <t>ĐÃ DUYỆT</t>
        </is>
      </c>
      <c r="V36" t="inlineStr">
        <is>
          <t>ĐÃ PHÊ DUYỆT</t>
        </is>
      </c>
      <c r="W36" t="inlineStr">
        <is>
          <t>🔒 ĐÃ KHÓA</t>
        </is>
      </c>
    </row>
    <row r="37" ht="21" customHeight="1" s="75">
      <c r="A37" s="46" t="n">
        <v>34</v>
      </c>
      <c r="B37" s="66" t="n">
        <v>46256.34370884259</v>
      </c>
      <c r="C37" s="61" t="inlineStr">
        <is>
          <t>EMP-NV11</t>
        </is>
      </c>
      <c r="D37" s="47" t="inlineStr">
        <is>
          <t>Phùng Công Thắng</t>
        </is>
      </c>
      <c r="E37" s="61" t="inlineStr">
        <is>
          <t>M-OKUMA-01</t>
        </is>
      </c>
      <c r="F37" s="47" t="inlineStr">
        <is>
          <t>Phùng Công Thắng</t>
        </is>
      </c>
      <c r="G37" s="61" t="inlineStr">
        <is>
          <t>OP-ISH114-NC1</t>
        </is>
      </c>
      <c r="H37" s="47" t="inlineStr">
        <is>
          <t>Win-Win</t>
        </is>
      </c>
      <c r="I37" s="47" t="inlineStr">
        <is>
          <t>ISHIZUE 114Dw300</t>
        </is>
      </c>
      <c r="J37" s="46" t="inlineStr">
        <is>
          <t>PO-3842</t>
        </is>
      </c>
      <c r="K37" s="47" t="inlineStr">
        <is>
          <t>G/c hoàn thiện</t>
        </is>
      </c>
      <c r="L37" s="50" t="n">
        <v>83700</v>
      </c>
      <c r="M37" s="67" t="n">
        <v>37</v>
      </c>
      <c r="N37" s="50" t="n">
        <v>13</v>
      </c>
      <c r="O37" s="68" t="n">
        <v>8</v>
      </c>
      <c r="P37" s="64">
        <f>L37*M37</f>
        <v/>
      </c>
      <c r="Q37" s="47" t="inlineStr">
        <is>
          <t>Chíp  R5 THREADEX- P3200</t>
        </is>
      </c>
      <c r="R37" s="50" t="n">
        <v>0</v>
      </c>
      <c r="S37" s="65" t="inlineStr">
        <is>
          <t>ĐÚNG</t>
        </is>
      </c>
      <c r="T37" s="47" t="inlineStr">
        <is>
          <t>Đã xong nguyên công</t>
        </is>
      </c>
      <c r="U37" t="inlineStr">
        <is>
          <t>ĐÃ DUYỆT</t>
        </is>
      </c>
      <c r="V37" t="inlineStr">
        <is>
          <t>ĐÃ PHÊ DUYỆT</t>
        </is>
      </c>
      <c r="W37" t="inlineStr">
        <is>
          <t>🔒 ĐÃ KHÓA</t>
        </is>
      </c>
    </row>
    <row r="38" ht="21" customHeight="1" s="75">
      <c r="A38" s="40" t="n">
        <v>35</v>
      </c>
      <c r="B38" s="60" t="n">
        <v>46256.36123726852</v>
      </c>
      <c r="C38" s="61" t="inlineStr">
        <is>
          <t>EMP-NV12</t>
        </is>
      </c>
      <c r="D38" s="41" t="inlineStr">
        <is>
          <t>Phùng Công Thắng</t>
        </is>
      </c>
      <c r="E38" s="61" t="inlineStr">
        <is>
          <t>M-DK7745-01</t>
        </is>
      </c>
      <c r="F38" s="41" t="inlineStr">
        <is>
          <t>Phùng Công Thắng</t>
        </is>
      </c>
      <c r="G38" s="61" t="inlineStr">
        <is>
          <t>OP-GEN-01</t>
        </is>
      </c>
      <c r="H38" s="41" t="inlineStr">
        <is>
          <t>Vico- QLTB</t>
        </is>
      </c>
      <c r="I38" s="41" t="inlineStr">
        <is>
          <t>Mẫu kéo nén</t>
        </is>
      </c>
      <c r="J38" s="40" t="inlineStr">
        <is>
          <t>PO-9426</t>
        </is>
      </c>
      <c r="K38" s="41" t="inlineStr">
        <is>
          <t>G/c ht theo bản vẽ</t>
        </is>
      </c>
      <c r="L38" s="44" t="n">
        <v>55800</v>
      </c>
      <c r="M38" s="62" t="n">
        <v>2</v>
      </c>
      <c r="N38" s="44" t="n">
        <v>0</v>
      </c>
      <c r="O38" s="63" t="n">
        <v>4</v>
      </c>
      <c r="P38" s="64">
        <f>L38*M38</f>
        <v/>
      </c>
      <c r="Q38" s="41" t="inlineStr">
        <is>
          <t>Dây cắt CNC</t>
        </is>
      </c>
      <c r="R38" s="44" t="n">
        <v>0</v>
      </c>
      <c r="S38" s="65" t="inlineStr">
        <is>
          <t>ĐÚNG</t>
        </is>
      </c>
      <c r="T38" s="41" t="inlineStr">
        <is>
          <t>Đã xong nguyên công</t>
        </is>
      </c>
      <c r="U38" t="inlineStr">
        <is>
          <t>ĐÃ DUYỆT</t>
        </is>
      </c>
      <c r="V38" t="inlineStr">
        <is>
          <t>ĐÃ PHÊ DUYỆT</t>
        </is>
      </c>
      <c r="W38" t="inlineStr">
        <is>
          <t>🔒 ĐÃ KHÓA</t>
        </is>
      </c>
    </row>
    <row r="39" ht="21" customHeight="1" s="75">
      <c r="A39" s="46" t="n">
        <v>36</v>
      </c>
      <c r="B39" s="66" t="n">
        <v>46256.36216476852</v>
      </c>
      <c r="C39" s="61" t="inlineStr">
        <is>
          <t>EMP-NV12</t>
        </is>
      </c>
      <c r="D39" s="47" t="inlineStr">
        <is>
          <t>Phùng Công Thắng</t>
        </is>
      </c>
      <c r="E39" s="61" t="inlineStr">
        <is>
          <t>M-KHYOS-01</t>
        </is>
      </c>
      <c r="F39" s="47" t="inlineStr">
        <is>
          <t>Phùng Công Thắng</t>
        </is>
      </c>
      <c r="G39" s="61" t="inlineStr">
        <is>
          <t>OP-SEALB-NC4</t>
        </is>
      </c>
      <c r="H39" s="47" t="inlineStr">
        <is>
          <t>Thyssen</t>
        </is>
      </c>
      <c r="I39" s="47" t="inlineStr">
        <is>
          <t>Sealing strip, above</t>
        </is>
      </c>
      <c r="J39" s="46" t="inlineStr">
        <is>
          <t>PO-4943</t>
        </is>
      </c>
      <c r="K39" s="47" t="inlineStr">
        <is>
          <t>G/c khoan lỗ phi 14</t>
        </is>
      </c>
      <c r="L39" s="50" t="n">
        <v>26148</v>
      </c>
      <c r="M39" s="67" t="n">
        <v>55</v>
      </c>
      <c r="N39" s="50" t="n">
        <v>0</v>
      </c>
      <c r="O39" s="68" t="n">
        <v>8</v>
      </c>
      <c r="P39" s="64">
        <f>L39*M39</f>
        <v/>
      </c>
      <c r="Q39" s="47" t="inlineStr">
        <is>
          <t>Mũi khoan</t>
        </is>
      </c>
      <c r="R39" s="50" t="n">
        <v>0</v>
      </c>
      <c r="S39" s="65" t="inlineStr">
        <is>
          <t>ĐÚNG</t>
        </is>
      </c>
      <c r="T39" s="47" t="inlineStr">
        <is>
          <t>Đã xong nguyên công</t>
        </is>
      </c>
      <c r="U39" t="inlineStr">
        <is>
          <t>ĐÃ DUYỆT</t>
        </is>
      </c>
      <c r="V39" t="inlineStr">
        <is>
          <t>ĐÃ PHÊ DUYỆT</t>
        </is>
      </c>
      <c r="W39" t="inlineStr">
        <is>
          <t>🔒 ĐÃ KHÓA</t>
        </is>
      </c>
    </row>
    <row r="40" ht="21" customHeight="1" s="75">
      <c r="A40" s="40" t="n">
        <v>37</v>
      </c>
      <c r="B40" s="60" t="n">
        <v>46256.65127204861</v>
      </c>
      <c r="C40" s="61" t="inlineStr">
        <is>
          <t>EMP-NV06</t>
        </is>
      </c>
      <c r="D40" s="41" t="inlineStr">
        <is>
          <t>Phùng Công Thắng</t>
        </is>
      </c>
      <c r="E40" s="61" t="inlineStr">
        <is>
          <t>M-OKUMA-01</t>
        </is>
      </c>
      <c r="F40" s="41" t="inlineStr">
        <is>
          <t>Phùng Công Thắng</t>
        </is>
      </c>
      <c r="G40" s="61" t="inlineStr">
        <is>
          <t>OP-ISH114-NC1</t>
        </is>
      </c>
      <c r="H40" s="41" t="inlineStr">
        <is>
          <t>Win-Win</t>
        </is>
      </c>
      <c r="I40" s="41" t="inlineStr">
        <is>
          <t>ISHIZUE 114Dw300</t>
        </is>
      </c>
      <c r="J40" s="40" t="inlineStr">
        <is>
          <t>PO-9383</t>
        </is>
      </c>
      <c r="K40" s="41" t="inlineStr">
        <is>
          <t>G/c hoàn thiện</t>
        </is>
      </c>
      <c r="L40" s="44" t="n">
        <v>83700</v>
      </c>
      <c r="M40" s="62" t="n">
        <v>59</v>
      </c>
      <c r="N40" s="44" t="n">
        <v>18</v>
      </c>
      <c r="O40" s="63" t="n">
        <v>8</v>
      </c>
      <c r="P40" s="64">
        <f>L40*M40</f>
        <v/>
      </c>
      <c r="Q40" s="41" t="inlineStr">
        <is>
          <t>Chíp  R5 THREADEX- P3200</t>
        </is>
      </c>
      <c r="R40" s="44" t="n">
        <v>0</v>
      </c>
      <c r="S40" s="65" t="inlineStr">
        <is>
          <t>ĐÚNG</t>
        </is>
      </c>
      <c r="T40" s="41" t="inlineStr">
        <is>
          <t>Đã xong nguyên công</t>
        </is>
      </c>
      <c r="U40" t="inlineStr">
        <is>
          <t>ĐÃ DUYỆT</t>
        </is>
      </c>
      <c r="V40" t="inlineStr">
        <is>
          <t>ĐÃ PHÊ DUYỆT</t>
        </is>
      </c>
      <c r="W40" t="inlineStr">
        <is>
          <t>🔒 ĐÃ KHÓA</t>
        </is>
      </c>
    </row>
    <row r="41" ht="21" customHeight="1" s="75">
      <c r="A41" s="46" t="n">
        <v>38</v>
      </c>
      <c r="B41" s="66" t="n">
        <v>46256.65215788194</v>
      </c>
      <c r="C41" s="61" t="inlineStr">
        <is>
          <t>EMP-NV06</t>
        </is>
      </c>
      <c r="D41" s="47" t="inlineStr">
        <is>
          <t>Phùng Công Thắng</t>
        </is>
      </c>
      <c r="E41" s="61" t="inlineStr">
        <is>
          <t>M-OKK2-01</t>
        </is>
      </c>
      <c r="F41" s="47" t="inlineStr">
        <is>
          <t>Phùng Công Thắng</t>
        </is>
      </c>
      <c r="G41" s="61" t="inlineStr">
        <is>
          <t>OP-GEN-01</t>
        </is>
      </c>
      <c r="H41" s="47" t="inlineStr">
        <is>
          <t>Vico- QLTB</t>
        </is>
      </c>
      <c r="I41" s="47" t="inlineStr">
        <is>
          <t>Mẫu Thử CR &amp; hàng #</t>
        </is>
      </c>
      <c r="J41" s="46" t="inlineStr">
        <is>
          <t>PO-5333</t>
        </is>
      </c>
      <c r="K41" s="47" t="inlineStr">
        <is>
          <t>G/c hoàn thiện</t>
        </is>
      </c>
      <c r="L41" s="50" t="n">
        <v>83700</v>
      </c>
      <c r="M41" s="67" t="n">
        <v>4</v>
      </c>
      <c r="N41" s="50" t="n">
        <v>0</v>
      </c>
      <c r="O41" s="68" t="n">
        <v>4</v>
      </c>
      <c r="P41" s="64">
        <f>L41*M41</f>
        <v/>
      </c>
      <c r="Q41" s="47" t="inlineStr">
        <is>
          <t>Chíp  Pramet (6 cạnh)</t>
        </is>
      </c>
      <c r="R41" s="50" t="n">
        <v>0</v>
      </c>
      <c r="S41" s="65" t="inlineStr">
        <is>
          <t>ĐÚNG</t>
        </is>
      </c>
      <c r="T41" s="47" t="inlineStr">
        <is>
          <t>Đã xong nguyên công</t>
        </is>
      </c>
      <c r="U41" t="inlineStr">
        <is>
          <t>ĐÃ DUYỆT</t>
        </is>
      </c>
      <c r="V41" t="inlineStr">
        <is>
          <t>ĐÃ PHÊ DUYỆT</t>
        </is>
      </c>
      <c r="W41" t="inlineStr">
        <is>
          <t>🔒 ĐÃ KHÓA</t>
        </is>
      </c>
    </row>
    <row r="42" ht="21" customHeight="1" s="75">
      <c r="A42" s="40" t="n">
        <v>39</v>
      </c>
      <c r="B42" s="60" t="n">
        <v>46256.65272208333</v>
      </c>
      <c r="C42" s="61" t="inlineStr">
        <is>
          <t>EMP-NV06</t>
        </is>
      </c>
      <c r="D42" s="41" t="inlineStr">
        <is>
          <t>Phùng Công Thắng</t>
        </is>
      </c>
      <c r="E42" s="61" t="inlineStr">
        <is>
          <t>M-DK7745-01</t>
        </is>
      </c>
      <c r="F42" s="41" t="inlineStr">
        <is>
          <t>Phùng Công Thắng</t>
        </is>
      </c>
      <c r="G42" s="61" t="inlineStr">
        <is>
          <t>OP-GEN-01</t>
        </is>
      </c>
      <c r="H42" s="41" t="inlineStr">
        <is>
          <t>Vico- QLTB</t>
        </is>
      </c>
      <c r="I42" s="41" t="inlineStr">
        <is>
          <t>Mẫu Thử CR &amp; hàng #</t>
        </is>
      </c>
      <c r="J42" s="40" t="inlineStr">
        <is>
          <t>PO-9196</t>
        </is>
      </c>
      <c r="K42" s="41" t="inlineStr">
        <is>
          <t>G/c hoàn thiện</t>
        </is>
      </c>
      <c r="L42" s="44" t="n">
        <v>83700</v>
      </c>
      <c r="M42" s="62" t="n">
        <v>4</v>
      </c>
      <c r="N42" s="44" t="n">
        <v>0</v>
      </c>
      <c r="O42" s="63" t="n">
        <v>4</v>
      </c>
      <c r="P42" s="64">
        <f>L42*M42</f>
        <v/>
      </c>
      <c r="Q42" s="41" t="inlineStr">
        <is>
          <t>Dây cắt CNC</t>
        </is>
      </c>
      <c r="R42" s="44" t="n">
        <v>0</v>
      </c>
      <c r="S42" s="65" t="inlineStr">
        <is>
          <t>ĐÚNG</t>
        </is>
      </c>
      <c r="T42" s="41" t="inlineStr">
        <is>
          <t>Đã xong nguyên công</t>
        </is>
      </c>
      <c r="U42" t="inlineStr">
        <is>
          <t>ĐÃ DUYỆT</t>
        </is>
      </c>
      <c r="V42" t="inlineStr">
        <is>
          <t>ĐÃ PHÊ DUYỆT</t>
        </is>
      </c>
      <c r="W42" t="inlineStr">
        <is>
          <t>🔒 ĐÃ KHÓA</t>
        </is>
      </c>
    </row>
    <row r="43" ht="21" customHeight="1" s="75">
      <c r="A43" s="46" t="n">
        <v>40</v>
      </c>
      <c r="B43" s="66" t="n">
        <v>46256.99199835648</v>
      </c>
      <c r="C43" s="61" t="inlineStr">
        <is>
          <t>EMP-NV12</t>
        </is>
      </c>
      <c r="D43" s="47" t="inlineStr">
        <is>
          <t>Phùng Công Thắng</t>
        </is>
      </c>
      <c r="E43" s="61" t="inlineStr">
        <is>
          <t>M-DK7745-01</t>
        </is>
      </c>
      <c r="F43" s="47" t="inlineStr">
        <is>
          <t>Phùng Công Thắng</t>
        </is>
      </c>
      <c r="G43" s="61" t="inlineStr">
        <is>
          <t>OP-OPDAO-NC1</t>
        </is>
      </c>
      <c r="H43" s="47" t="inlineStr">
        <is>
          <t>Luợng- KS Tường Long</t>
        </is>
      </c>
      <c r="I43" s="47" t="inlineStr">
        <is>
          <t>Ốp dao nhào trên (Bộ bên trái)</t>
        </is>
      </c>
      <c r="J43" s="46" t="inlineStr">
        <is>
          <t>PO-4481</t>
        </is>
      </c>
      <c r="K43" s="47" t="inlineStr">
        <is>
          <t>G/c cắt dây</t>
        </is>
      </c>
      <c r="L43" s="50" t="n">
        <v>148800</v>
      </c>
      <c r="M43" s="67" t="n">
        <v>1</v>
      </c>
      <c r="N43" s="50" t="n">
        <v>0</v>
      </c>
      <c r="O43" s="68" t="n">
        <v>4</v>
      </c>
      <c r="P43" s="64">
        <f>L43*M43</f>
        <v/>
      </c>
      <c r="Q43" s="47" t="inlineStr">
        <is>
          <t>Dây cắt CNC</t>
        </is>
      </c>
      <c r="R43" s="50" t="n">
        <v>0</v>
      </c>
      <c r="S43" s="65" t="inlineStr">
        <is>
          <t>ĐÚNG</t>
        </is>
      </c>
      <c r="T43" s="47" t="inlineStr">
        <is>
          <t>Đã xong nguyên công</t>
        </is>
      </c>
      <c r="U43" t="inlineStr">
        <is>
          <t>ĐÃ DUYỆT</t>
        </is>
      </c>
      <c r="V43" t="inlineStr">
        <is>
          <t>ĐÃ PHÊ DUYỆT</t>
        </is>
      </c>
      <c r="W43" t="inlineStr">
        <is>
          <t>🔒 ĐÃ KHÓA</t>
        </is>
      </c>
    </row>
    <row r="44" ht="21" customHeight="1" s="75">
      <c r="A44" s="40" t="n">
        <v>41</v>
      </c>
      <c r="B44" s="60" t="n">
        <v>46256.99247931713</v>
      </c>
      <c r="C44" s="61" t="inlineStr">
        <is>
          <t>EMP-NV12</t>
        </is>
      </c>
      <c r="D44" s="41" t="inlineStr">
        <is>
          <t>Phùng Công Thắng</t>
        </is>
      </c>
      <c r="E44" s="61" t="inlineStr">
        <is>
          <t>M-DK7745-01</t>
        </is>
      </c>
      <c r="F44" s="41" t="inlineStr">
        <is>
          <t>Phùng Công Thắng</t>
        </is>
      </c>
      <c r="G44" s="61" t="inlineStr">
        <is>
          <t>OP-GEN-01</t>
        </is>
      </c>
      <c r="H44" s="41" t="inlineStr">
        <is>
          <t>Vico- QLTB</t>
        </is>
      </c>
      <c r="I44" s="41" t="inlineStr">
        <is>
          <t>Mẫu Thử CR &amp; hàng #</t>
        </is>
      </c>
      <c r="J44" s="40" t="inlineStr">
        <is>
          <t>PO-4616</t>
        </is>
      </c>
      <c r="K44" s="41" t="inlineStr">
        <is>
          <t>G/c hoàn thiện</t>
        </is>
      </c>
      <c r="L44" s="44" t="n">
        <v>83700</v>
      </c>
      <c r="M44" s="62" t="n">
        <v>2</v>
      </c>
      <c r="N44" s="44" t="n">
        <v>0</v>
      </c>
      <c r="O44" s="63" t="n">
        <v>4</v>
      </c>
      <c r="P44" s="64">
        <f>L44*M44</f>
        <v/>
      </c>
      <c r="Q44" s="41" t="inlineStr">
        <is>
          <t>Dây cắt CNC</t>
        </is>
      </c>
      <c r="R44" s="44" t="n">
        <v>0</v>
      </c>
      <c r="S44" s="65" t="inlineStr">
        <is>
          <t>ĐÚNG</t>
        </is>
      </c>
      <c r="T44" s="41" t="inlineStr">
        <is>
          <t>Đã xong nguyên công</t>
        </is>
      </c>
      <c r="U44" t="inlineStr">
        <is>
          <t>ĐÃ DUYỆT</t>
        </is>
      </c>
      <c r="V44" t="inlineStr">
        <is>
          <t>ĐÃ PHÊ DUYỆT</t>
        </is>
      </c>
      <c r="W44" t="inlineStr">
        <is>
          <t>🔒 ĐÃ KHÓA</t>
        </is>
      </c>
    </row>
    <row r="45" ht="21" customHeight="1" s="75">
      <c r="A45" s="46" t="n">
        <v>42</v>
      </c>
      <c r="B45" s="66" t="n">
        <v>46256.99261296296</v>
      </c>
      <c r="C45" s="61" t="inlineStr">
        <is>
          <t>EMP-NV02</t>
        </is>
      </c>
      <c r="D45" s="47" t="inlineStr">
        <is>
          <t>Phùng Công Thắng</t>
        </is>
      </c>
      <c r="E45" s="61" t="inlineStr">
        <is>
          <t>M-FUJI-01</t>
        </is>
      </c>
      <c r="F45" s="47" t="inlineStr">
        <is>
          <t>Phùng Công Thắng</t>
        </is>
      </c>
      <c r="G45" s="61" t="inlineStr">
        <is>
          <t>OP-GEN-01</t>
        </is>
      </c>
      <c r="H45" s="47" t="inlineStr">
        <is>
          <t>Win-Win</t>
        </is>
      </c>
      <c r="I45" s="47" t="inlineStr">
        <is>
          <t>ISHIZUE 216Dw650</t>
        </is>
      </c>
      <c r="J45" s="46" t="inlineStr">
        <is>
          <t>PO-9278</t>
        </is>
      </c>
      <c r="K45" s="47" t="inlineStr">
        <is>
          <t>G/c hoàn thiện</t>
        </is>
      </c>
      <c r="L45" s="50" t="n">
        <v>24614</v>
      </c>
      <c r="M45" s="67" t="n">
        <v>3</v>
      </c>
      <c r="N45" s="50" t="n">
        <v>0</v>
      </c>
      <c r="O45" s="68" t="n">
        <v>4</v>
      </c>
      <c r="P45" s="64">
        <f>L45*M45</f>
        <v/>
      </c>
      <c r="Q45" s="47" t="inlineStr">
        <is>
          <t>Chíp 5 ly MGMN500-T-NT15TF</t>
        </is>
      </c>
      <c r="R45" s="50" t="n">
        <v>0</v>
      </c>
      <c r="S45" s="65" t="inlineStr">
        <is>
          <t>ĐÚNG</t>
        </is>
      </c>
      <c r="T45" s="47" t="inlineStr">
        <is>
          <t>Đã xong nguyên công</t>
        </is>
      </c>
      <c r="U45" t="inlineStr">
        <is>
          <t>ĐÃ DUYỆT</t>
        </is>
      </c>
      <c r="V45" t="inlineStr">
        <is>
          <t>ĐÃ PHÊ DUYỆT</t>
        </is>
      </c>
      <c r="W45" t="inlineStr">
        <is>
          <t>🔒 ĐÃ KHÓA</t>
        </is>
      </c>
    </row>
    <row r="46" ht="21" customHeight="1" s="75">
      <c r="A46" s="40" t="n">
        <v>43</v>
      </c>
      <c r="B46" s="60" t="n">
        <v>46256.99327275463</v>
      </c>
      <c r="C46" s="61" t="inlineStr">
        <is>
          <t>EMP-NV02</t>
        </is>
      </c>
      <c r="D46" s="41" t="inlineStr">
        <is>
          <t>Phùng Công Thắng</t>
        </is>
      </c>
      <c r="E46" s="61" t="inlineStr">
        <is>
          <t>M-FUJI-01</t>
        </is>
      </c>
      <c r="F46" s="41" t="inlineStr">
        <is>
          <t>Phùng Công Thắng</t>
        </is>
      </c>
      <c r="G46" s="61" t="inlineStr">
        <is>
          <t>OP-GEN-01</t>
        </is>
      </c>
      <c r="H46" s="41" t="inlineStr">
        <is>
          <t>Win-Win</t>
        </is>
      </c>
      <c r="I46" s="41" t="inlineStr">
        <is>
          <t>ISHIZUE 318Dw800</t>
        </is>
      </c>
      <c r="J46" s="40" t="inlineStr">
        <is>
          <t>PO-3663</t>
        </is>
      </c>
      <c r="K46" s="41" t="inlineStr">
        <is>
          <t>G/c hoàn thiện</t>
        </is>
      </c>
      <c r="L46" s="44" t="n">
        <v>55800</v>
      </c>
      <c r="M46" s="62" t="n">
        <v>8</v>
      </c>
      <c r="N46" s="44" t="n">
        <v>0</v>
      </c>
      <c r="O46" s="63" t="n">
        <v>8</v>
      </c>
      <c r="P46" s="64">
        <f>L46*M46</f>
        <v/>
      </c>
      <c r="Q46" s="41" t="inlineStr">
        <is>
          <t>Chíp 5 ly MGMN500-T-NT15TF</t>
        </is>
      </c>
      <c r="R46" s="44" t="n">
        <v>0</v>
      </c>
      <c r="S46" s="65" t="inlineStr">
        <is>
          <t>ĐÚNG</t>
        </is>
      </c>
      <c r="T46" s="41" t="inlineStr">
        <is>
          <t>Đã xong nguyên công</t>
        </is>
      </c>
      <c r="U46" t="inlineStr">
        <is>
          <t>ĐÃ DUYỆT</t>
        </is>
      </c>
      <c r="V46" t="inlineStr">
        <is>
          <t>ĐÃ PHÊ DUYỆT</t>
        </is>
      </c>
      <c r="W46" t="inlineStr">
        <is>
          <t>🔒 ĐÃ KHÓA</t>
        </is>
      </c>
    </row>
    <row r="47" ht="21" customHeight="1" s="75">
      <c r="A47" s="46" t="n">
        <v>44</v>
      </c>
      <c r="B47" s="66" t="n">
        <v>46256.99402446759</v>
      </c>
      <c r="C47" s="61" t="inlineStr">
        <is>
          <t>EMP-NV02</t>
        </is>
      </c>
      <c r="D47" s="47" t="inlineStr">
        <is>
          <t>Phùng Công Thắng</t>
        </is>
      </c>
      <c r="E47" s="61" t="inlineStr">
        <is>
          <t>M-DK7780-01</t>
        </is>
      </c>
      <c r="F47" s="47" t="inlineStr">
        <is>
          <t>Phùng Công Thắng</t>
        </is>
      </c>
      <c r="G47" s="61" t="inlineStr">
        <is>
          <t>OP-OPDAO-NC1</t>
        </is>
      </c>
      <c r="H47" s="47" t="inlineStr">
        <is>
          <t>Luợng- KS Tường Long</t>
        </is>
      </c>
      <c r="I47" s="47" t="inlineStr">
        <is>
          <t>Ốp dao nhào trên (Bộ bên trái)</t>
        </is>
      </c>
      <c r="J47" s="46" t="inlineStr">
        <is>
          <t>PO-3528</t>
        </is>
      </c>
      <c r="K47" s="47" t="inlineStr">
        <is>
          <t>G/c cắt dây</t>
        </is>
      </c>
      <c r="L47" s="50" t="n">
        <v>148800</v>
      </c>
      <c r="M47" s="67" t="n">
        <v>1</v>
      </c>
      <c r="N47" s="50" t="n">
        <v>0</v>
      </c>
      <c r="O47" s="68" t="n">
        <v>4</v>
      </c>
      <c r="P47" s="64">
        <f>L47*M47</f>
        <v/>
      </c>
      <c r="Q47" s="47" t="inlineStr">
        <is>
          <t>Dây cắt CNC</t>
        </is>
      </c>
      <c r="R47" s="50" t="n">
        <v>0</v>
      </c>
      <c r="S47" s="65" t="inlineStr">
        <is>
          <t>ĐÚNG</t>
        </is>
      </c>
      <c r="T47" s="47" t="inlineStr">
        <is>
          <t>Đã xong nguyên công</t>
        </is>
      </c>
      <c r="U47" t="inlineStr">
        <is>
          <t>ĐÃ DUYỆT</t>
        </is>
      </c>
      <c r="V47" t="inlineStr">
        <is>
          <t>ĐÃ PHÊ DUYỆT</t>
        </is>
      </c>
      <c r="W47" t="inlineStr">
        <is>
          <t>🔒 ĐÃ KHÓA</t>
        </is>
      </c>
    </row>
    <row r="48" ht="21" customHeight="1" s="75">
      <c r="A48" s="40" t="n">
        <v>45</v>
      </c>
      <c r="B48" s="60" t="n">
        <v>46256.99425217593</v>
      </c>
      <c r="C48" s="61" t="inlineStr">
        <is>
          <t>EMP-NV12</t>
        </is>
      </c>
      <c r="D48" s="41" t="inlineStr">
        <is>
          <t>Phùng Công Thắng</t>
        </is>
      </c>
      <c r="E48" s="61" t="inlineStr">
        <is>
          <t>M-OKK1-01</t>
        </is>
      </c>
      <c r="F48" s="41" t="inlineStr">
        <is>
          <t>Phùng Công Thắng</t>
        </is>
      </c>
      <c r="G48" s="61" t="inlineStr">
        <is>
          <t>OP-SEALB-NC4</t>
        </is>
      </c>
      <c r="H48" s="41" t="inlineStr">
        <is>
          <t>Thyssen</t>
        </is>
      </c>
      <c r="I48" s="41" t="inlineStr">
        <is>
          <t>Sealing strip, above</t>
        </is>
      </c>
      <c r="J48" s="40" t="inlineStr">
        <is>
          <t>PO-5743</t>
        </is>
      </c>
      <c r="K48" s="41" t="inlineStr">
        <is>
          <t>G/c khoan lỗ phi 14</t>
        </is>
      </c>
      <c r="L48" s="44" t="n">
        <v>26148</v>
      </c>
      <c r="M48" s="62" t="n">
        <v>50</v>
      </c>
      <c r="N48" s="44" t="n">
        <v>0</v>
      </c>
      <c r="O48" s="63" t="n">
        <v>8</v>
      </c>
      <c r="P48" s="64">
        <f>L48*M48</f>
        <v/>
      </c>
      <c r="Q48" s="41" t="inlineStr">
        <is>
          <t>Mũi khoan</t>
        </is>
      </c>
      <c r="R48" s="44" t="n">
        <v>0</v>
      </c>
      <c r="S48" s="65" t="inlineStr">
        <is>
          <t>ĐÚNG</t>
        </is>
      </c>
      <c r="T48" s="41" t="inlineStr">
        <is>
          <t>Đã xong nguyên công</t>
        </is>
      </c>
      <c r="U48" t="inlineStr">
        <is>
          <t>ĐÃ DUYỆT</t>
        </is>
      </c>
      <c r="V48" t="inlineStr">
        <is>
          <t>ĐÃ PHÊ DUYỆT</t>
        </is>
      </c>
      <c r="W48" t="inlineStr">
        <is>
          <t>🔒 ĐÃ KHÓA</t>
        </is>
      </c>
    </row>
    <row r="49" ht="21" customHeight="1" s="75">
      <c r="A49" s="46" t="n">
        <v>46</v>
      </c>
      <c r="B49" s="66" t="n">
        <v>46256.9950693287</v>
      </c>
      <c r="C49" s="61" t="inlineStr">
        <is>
          <t>EMP-NV10</t>
        </is>
      </c>
      <c r="D49" s="47" t="inlineStr">
        <is>
          <t>Phùng Công Thắng</t>
        </is>
      </c>
      <c r="E49" s="61" t="inlineStr">
        <is>
          <t>M-OKK2-01</t>
        </is>
      </c>
      <c r="F49" s="47" t="inlineStr">
        <is>
          <t>Phùng Công Thắng</t>
        </is>
      </c>
      <c r="G49" s="61" t="inlineStr">
        <is>
          <t>OP-SEALB-NC4</t>
        </is>
      </c>
      <c r="H49" s="47" t="inlineStr">
        <is>
          <t>Thyssen</t>
        </is>
      </c>
      <c r="I49" s="47" t="inlineStr">
        <is>
          <t>Sealing trip, below</t>
        </is>
      </c>
      <c r="J49" s="46" t="inlineStr">
        <is>
          <t>PO-1464</t>
        </is>
      </c>
      <c r="K49" s="47" t="inlineStr">
        <is>
          <t>G/c phay cạnh NC3 kt 12mm</t>
        </is>
      </c>
      <c r="L49" s="50" t="n">
        <v>19918</v>
      </c>
      <c r="M49" s="67" t="n">
        <v>29</v>
      </c>
      <c r="N49" s="50" t="n">
        <v>0</v>
      </c>
      <c r="O49" s="68" t="n">
        <v>8</v>
      </c>
      <c r="P49" s="64">
        <f>L49*M49</f>
        <v/>
      </c>
      <c r="Q49" s="47" t="inlineStr">
        <is>
          <t>Dao phay D50 ( hợp kim )</t>
        </is>
      </c>
      <c r="R49" s="50" t="n">
        <v>0</v>
      </c>
      <c r="S49" s="46" t="inlineStr">
        <is>
          <t>SAI</t>
        </is>
      </c>
      <c r="T49" s="47" t="inlineStr">
        <is>
          <t>Đang gia công dở dang, chuyển ca sau</t>
        </is>
      </c>
      <c r="U49" t="inlineStr">
        <is>
          <t>ĐÃ DUYỆT</t>
        </is>
      </c>
      <c r="V49" t="inlineStr">
        <is>
          <t>ĐÃ PHÊ DUYỆT</t>
        </is>
      </c>
      <c r="W49" t="inlineStr">
        <is>
          <t>🔒 ĐÃ KHÓA</t>
        </is>
      </c>
    </row>
    <row r="50" ht="21" customHeight="1" s="75">
      <c r="A50" s="40" t="n">
        <v>47</v>
      </c>
      <c r="B50" s="60" t="n">
        <v>46256.99566778935</v>
      </c>
      <c r="C50" s="61" t="inlineStr">
        <is>
          <t>EMP-NV10</t>
        </is>
      </c>
      <c r="D50" s="41" t="inlineStr">
        <is>
          <t>Phùng Công Thắng</t>
        </is>
      </c>
      <c r="E50" s="61" t="inlineStr">
        <is>
          <t>M-OKK3-01</t>
        </is>
      </c>
      <c r="F50" s="41" t="inlineStr">
        <is>
          <t>Phùng Công Thắng</t>
        </is>
      </c>
      <c r="G50" s="61" t="inlineStr">
        <is>
          <t>OP-SEALB-NC2</t>
        </is>
      </c>
      <c r="H50" s="41" t="inlineStr">
        <is>
          <t>Thyssen</t>
        </is>
      </c>
      <c r="I50" s="41" t="inlineStr">
        <is>
          <t>Sealing trip, below</t>
        </is>
      </c>
      <c r="J50" s="40" t="inlineStr">
        <is>
          <t>PO-2424</t>
        </is>
      </c>
      <c r="K50" s="41" t="inlineStr">
        <is>
          <t>G/c phay Mp NC2 Kt 95mm</t>
        </is>
      </c>
      <c r="L50" s="44" t="n">
        <v>37200</v>
      </c>
      <c r="M50" s="62" t="n">
        <v>7</v>
      </c>
      <c r="N50" s="44" t="n">
        <v>0</v>
      </c>
      <c r="O50" s="63" t="n">
        <v>8</v>
      </c>
      <c r="P50" s="64">
        <f>L50*M50</f>
        <v/>
      </c>
      <c r="Q50" s="41" t="inlineStr">
        <is>
          <t>Chíp  Pramet (6 cạnh)</t>
        </is>
      </c>
      <c r="R50" s="44" t="n">
        <v>3</v>
      </c>
      <c r="S50" s="40" t="inlineStr">
        <is>
          <t>SAI</t>
        </is>
      </c>
      <c r="T50" s="41" t="inlineStr">
        <is>
          <t>Đang gia công dở dang, chuyển ca sau</t>
        </is>
      </c>
      <c r="U50" t="inlineStr">
        <is>
          <t>ĐÃ DUYỆT</t>
        </is>
      </c>
      <c r="V50" t="inlineStr">
        <is>
          <t>ĐÃ PHÊ DUYỆT</t>
        </is>
      </c>
      <c r="W50" t="inlineStr">
        <is>
          <t>🔒 ĐÃ KHÓA</t>
        </is>
      </c>
    </row>
    <row r="51" ht="21" customHeight="1" s="75">
      <c r="A51" s="46" t="n">
        <v>48</v>
      </c>
      <c r="B51" s="66" t="n">
        <v>46256.99607821759</v>
      </c>
      <c r="C51" s="61" t="inlineStr">
        <is>
          <t>EMP-NV10</t>
        </is>
      </c>
      <c r="D51" s="47" t="inlineStr">
        <is>
          <t>Phùng Công Thắng</t>
        </is>
      </c>
      <c r="E51" s="61" t="inlineStr">
        <is>
          <t>M-OKK3-01</t>
        </is>
      </c>
      <c r="F51" s="47" t="inlineStr">
        <is>
          <t>Phùng Công Thắng</t>
        </is>
      </c>
      <c r="G51" s="61" t="inlineStr">
        <is>
          <t>OP-SEALB-NC2</t>
        </is>
      </c>
      <c r="H51" s="47" t="inlineStr">
        <is>
          <t>Thyssen</t>
        </is>
      </c>
      <c r="I51" s="47" t="inlineStr">
        <is>
          <t>Sealing strip, above</t>
        </is>
      </c>
      <c r="J51" s="46" t="inlineStr">
        <is>
          <t>PO-6406</t>
        </is>
      </c>
      <c r="K51" s="47" t="inlineStr">
        <is>
          <t>G/c phay Mp NC1 Kt 95mm</t>
        </is>
      </c>
      <c r="L51" s="50" t="n">
        <v>37200</v>
      </c>
      <c r="M51" s="67" t="n">
        <v>4</v>
      </c>
      <c r="N51" s="50" t="n">
        <v>0</v>
      </c>
      <c r="O51" s="68" t="n">
        <v>4</v>
      </c>
      <c r="P51" s="64">
        <f>L51*M51</f>
        <v/>
      </c>
      <c r="Q51" s="47" t="inlineStr">
        <is>
          <t>Chíp  Pramet (6 cạnh)</t>
        </is>
      </c>
      <c r="R51" s="50" t="n">
        <v>0</v>
      </c>
      <c r="S51" s="46" t="inlineStr">
        <is>
          <t>SAI</t>
        </is>
      </c>
      <c r="T51" s="47" t="inlineStr">
        <is>
          <t>Đang gia công dở dang, chuyển ca sau</t>
        </is>
      </c>
      <c r="U51" t="inlineStr">
        <is>
          <t>ĐÃ DUYỆT</t>
        </is>
      </c>
      <c r="V51" t="inlineStr">
        <is>
          <t>ĐÃ PHÊ DUYỆT</t>
        </is>
      </c>
      <c r="W51" t="inlineStr">
        <is>
          <t>🔒 ĐÃ KHÓA</t>
        </is>
      </c>
    </row>
    <row r="52" ht="21" customHeight="1" s="75">
      <c r="A52" s="40" t="n">
        <v>49</v>
      </c>
      <c r="B52" s="60" t="n">
        <v>46257.3558268287</v>
      </c>
      <c r="C52" s="61" t="inlineStr">
        <is>
          <t>EMP-NV11</t>
        </is>
      </c>
      <c r="D52" s="41" t="inlineStr">
        <is>
          <t>Phùng Công Thắng</t>
        </is>
      </c>
      <c r="E52" s="61" t="inlineStr">
        <is>
          <t>M-FUJI-01</t>
        </is>
      </c>
      <c r="F52" s="41" t="inlineStr">
        <is>
          <t>Phùng Công Thắng</t>
        </is>
      </c>
      <c r="G52" s="61" t="inlineStr">
        <is>
          <t>OP-GEN-01</t>
        </is>
      </c>
      <c r="H52" s="41" t="inlineStr">
        <is>
          <t>Win-Win</t>
        </is>
      </c>
      <c r="I52" s="41" t="inlineStr">
        <is>
          <t>ISHIZUE 216Dw650</t>
        </is>
      </c>
      <c r="J52" s="40" t="inlineStr">
        <is>
          <t>PO-1406</t>
        </is>
      </c>
      <c r="K52" s="41" t="inlineStr">
        <is>
          <t>G/c hoàn thiện</t>
        </is>
      </c>
      <c r="L52" s="44" t="n">
        <v>24614</v>
      </c>
      <c r="M52" s="62" t="n">
        <v>2</v>
      </c>
      <c r="N52" s="44" t="n">
        <v>0</v>
      </c>
      <c r="O52" s="63" t="n">
        <v>4</v>
      </c>
      <c r="P52" s="64">
        <f>L52*M52</f>
        <v/>
      </c>
      <c r="Q52" s="41" t="inlineStr">
        <is>
          <t>Chíp  R5 THREADEX- P3200</t>
        </is>
      </c>
      <c r="R52" s="44" t="n">
        <v>0</v>
      </c>
      <c r="S52" s="65" t="inlineStr">
        <is>
          <t>ĐÚNG</t>
        </is>
      </c>
      <c r="T52" s="41" t="inlineStr">
        <is>
          <t>Đã xong nguyên công</t>
        </is>
      </c>
      <c r="U52" t="inlineStr">
        <is>
          <t>ĐÃ DUYỆT</t>
        </is>
      </c>
      <c r="V52" t="inlineStr">
        <is>
          <t>ĐÃ PHÊ DUYỆT</t>
        </is>
      </c>
      <c r="W52" t="inlineStr">
        <is>
          <t>🔒 ĐÃ KHÓA</t>
        </is>
      </c>
    </row>
    <row r="53" ht="21" customHeight="1" s="75">
      <c r="A53" s="46" t="n">
        <v>50</v>
      </c>
      <c r="B53" s="66" t="n">
        <v>46257.35633795139</v>
      </c>
      <c r="C53" s="61" t="inlineStr">
        <is>
          <t>EMP-NV11</t>
        </is>
      </c>
      <c r="D53" s="47" t="inlineStr">
        <is>
          <t>Phùng Công Thắng</t>
        </is>
      </c>
      <c r="E53" s="61" t="inlineStr">
        <is>
          <t>M-FUJI-01</t>
        </is>
      </c>
      <c r="F53" s="47" t="inlineStr">
        <is>
          <t>Phùng Công Thắng</t>
        </is>
      </c>
      <c r="G53" s="61" t="inlineStr">
        <is>
          <t>OP-GEN-01</t>
        </is>
      </c>
      <c r="H53" s="47" t="inlineStr">
        <is>
          <t>Win-Win</t>
        </is>
      </c>
      <c r="I53" s="47" t="inlineStr">
        <is>
          <t>ISHIZUE 406Dw850</t>
        </is>
      </c>
      <c r="J53" s="46" t="inlineStr">
        <is>
          <t>PO-1070</t>
        </is>
      </c>
      <c r="K53" s="47" t="inlineStr">
        <is>
          <t>G/c hoàn thiện</t>
        </is>
      </c>
      <c r="L53" s="50" t="n">
        <v>74400</v>
      </c>
      <c r="M53" s="67" t="n">
        <v>5</v>
      </c>
      <c r="N53" s="50" t="n">
        <v>1</v>
      </c>
      <c r="O53" s="68" t="n">
        <v>8</v>
      </c>
      <c r="P53" s="64">
        <f>L53*M53</f>
        <v/>
      </c>
      <c r="Q53" s="47" t="inlineStr">
        <is>
          <t>Không tiêu hao</t>
        </is>
      </c>
      <c r="R53" s="50" t="n">
        <v>0</v>
      </c>
      <c r="S53" s="65" t="inlineStr">
        <is>
          <t>ĐÚNG</t>
        </is>
      </c>
      <c r="T53" s="47" t="inlineStr">
        <is>
          <t>Đã xong nguyên công</t>
        </is>
      </c>
      <c r="U53" t="inlineStr">
        <is>
          <t>ĐÃ DUYỆT</t>
        </is>
      </c>
      <c r="V53" t="inlineStr">
        <is>
          <t>ĐÃ PHÊ DUYỆT</t>
        </is>
      </c>
      <c r="W53" t="inlineStr">
        <is>
          <t>🔒 ĐÃ KHÓA</t>
        </is>
      </c>
    </row>
    <row r="54" ht="21" customHeight="1" s="75">
      <c r="A54" s="40" t="n">
        <v>51</v>
      </c>
      <c r="B54" s="60" t="n">
        <v>46257.37255792824</v>
      </c>
      <c r="C54" s="61" t="inlineStr">
        <is>
          <t>EMP-NV06</t>
        </is>
      </c>
      <c r="D54" s="41" t="inlineStr">
        <is>
          <t>Phùng Công Thắng</t>
        </is>
      </c>
      <c r="E54" s="61" t="inlineStr">
        <is>
          <t>M-FUJI-01</t>
        </is>
      </c>
      <c r="F54" s="41" t="inlineStr">
        <is>
          <t>Phùng Công Thắng</t>
        </is>
      </c>
      <c r="G54" s="61" t="inlineStr">
        <is>
          <t>OP-GEN-01</t>
        </is>
      </c>
      <c r="H54" s="41" t="inlineStr">
        <is>
          <t>Win-Win</t>
        </is>
      </c>
      <c r="I54" s="41" t="inlineStr">
        <is>
          <t>ISHIZUE 318Dw650</t>
        </is>
      </c>
      <c r="J54" s="40" t="inlineStr">
        <is>
          <t>PO-9813</t>
        </is>
      </c>
      <c r="K54" s="41" t="inlineStr">
        <is>
          <t>G/c hoàn thiện</t>
        </is>
      </c>
      <c r="L54" s="44" t="n">
        <v>55800</v>
      </c>
      <c r="M54" s="62" t="n">
        <v>3</v>
      </c>
      <c r="N54" s="44" t="n">
        <v>0</v>
      </c>
      <c r="O54" s="63" t="n">
        <v>4</v>
      </c>
      <c r="P54" s="64">
        <f>L54*M54</f>
        <v/>
      </c>
      <c r="Q54" s="41" t="inlineStr">
        <is>
          <t>Chíp  R5 THREADEX- P3200</t>
        </is>
      </c>
      <c r="R54" s="44" t="n">
        <v>0</v>
      </c>
      <c r="S54" s="65" t="inlineStr">
        <is>
          <t>ĐÚNG</t>
        </is>
      </c>
      <c r="T54" s="41" t="inlineStr">
        <is>
          <t>Đã xong nguyên công</t>
        </is>
      </c>
      <c r="U54" t="inlineStr">
        <is>
          <t>ĐÃ DUYỆT</t>
        </is>
      </c>
      <c r="V54" t="inlineStr">
        <is>
          <t>ĐÃ PHÊ DUYỆT</t>
        </is>
      </c>
      <c r="W54" t="inlineStr">
        <is>
          <t>🔒 ĐÃ KHÓA</t>
        </is>
      </c>
    </row>
    <row r="55" ht="21" customHeight="1" s="75">
      <c r="A55" s="46" t="n">
        <v>52</v>
      </c>
      <c r="B55" s="66" t="n">
        <v>46257.37323725694</v>
      </c>
      <c r="C55" s="61" t="inlineStr">
        <is>
          <t>EMP-NV06</t>
        </is>
      </c>
      <c r="D55" s="47" t="inlineStr">
        <is>
          <t>Phùng Công Thắng</t>
        </is>
      </c>
      <c r="E55" s="61" t="inlineStr">
        <is>
          <t>M-FUJI-01</t>
        </is>
      </c>
      <c r="F55" s="47" t="inlineStr">
        <is>
          <t>Phùng Công Thắng</t>
        </is>
      </c>
      <c r="G55" s="61" t="inlineStr">
        <is>
          <t>OP-GEN-01</t>
        </is>
      </c>
      <c r="H55" s="47" t="inlineStr">
        <is>
          <t>Win-Win</t>
        </is>
      </c>
      <c r="I55" s="47" t="inlineStr">
        <is>
          <t>ISHIZUE 318Dw800</t>
        </is>
      </c>
      <c r="J55" s="46" t="inlineStr">
        <is>
          <t>PO-6325</t>
        </is>
      </c>
      <c r="K55" s="47" t="inlineStr">
        <is>
          <t>G/c hoàn thiện</t>
        </is>
      </c>
      <c r="L55" s="50" t="n">
        <v>55800</v>
      </c>
      <c r="M55" s="67" t="n">
        <v>7</v>
      </c>
      <c r="N55" s="50" t="n">
        <v>0</v>
      </c>
      <c r="O55" s="68" t="n">
        <v>8</v>
      </c>
      <c r="P55" s="64">
        <f>L55*M55</f>
        <v/>
      </c>
      <c r="Q55" s="47" t="inlineStr">
        <is>
          <t>Chíp  R5 THREADEX- P3200</t>
        </is>
      </c>
      <c r="R55" s="50" t="n">
        <v>0</v>
      </c>
      <c r="S55" s="65" t="inlineStr">
        <is>
          <t>ĐÚNG</t>
        </is>
      </c>
      <c r="T55" s="47" t="inlineStr">
        <is>
          <t>Đã xong nguyên công</t>
        </is>
      </c>
      <c r="U55" t="inlineStr">
        <is>
          <t>ĐÃ DUYỆT</t>
        </is>
      </c>
      <c r="V55" t="inlineStr">
        <is>
          <t>ĐÃ PHÊ DUYỆT</t>
        </is>
      </c>
      <c r="W55" t="inlineStr">
        <is>
          <t>🔒 ĐÃ KHÓA</t>
        </is>
      </c>
    </row>
    <row r="56" ht="21" customHeight="1" s="75">
      <c r="A56" s="40" t="n">
        <v>53</v>
      </c>
      <c r="B56" s="60" t="n">
        <v>46257.37400575232</v>
      </c>
      <c r="C56" s="61" t="inlineStr">
        <is>
          <t>EMP-NV06</t>
        </is>
      </c>
      <c r="D56" s="41" t="inlineStr">
        <is>
          <t>Phùng Công Thắng</t>
        </is>
      </c>
      <c r="E56" s="61" t="inlineStr">
        <is>
          <t>M-DK7745-01</t>
        </is>
      </c>
      <c r="F56" s="41" t="inlineStr">
        <is>
          <t>Phùng Công Thắng</t>
        </is>
      </c>
      <c r="G56" s="61" t="inlineStr">
        <is>
          <t>OP-GEN-01</t>
        </is>
      </c>
      <c r="H56" s="41" t="inlineStr">
        <is>
          <t>Vico- QLTB</t>
        </is>
      </c>
      <c r="I56" s="41" t="inlineStr">
        <is>
          <t>Mẫu Thử CR &amp; hàng #</t>
        </is>
      </c>
      <c r="J56" s="40" t="inlineStr">
        <is>
          <t>PO-3185</t>
        </is>
      </c>
      <c r="K56" s="41" t="inlineStr">
        <is>
          <t>G/c hoàn thiện</t>
        </is>
      </c>
      <c r="L56" s="44" t="n">
        <v>83700</v>
      </c>
      <c r="M56" s="62" t="n">
        <v>4</v>
      </c>
      <c r="N56" s="44" t="n">
        <v>0</v>
      </c>
      <c r="O56" s="63" t="n">
        <v>4</v>
      </c>
      <c r="P56" s="64">
        <f>L56*M56</f>
        <v/>
      </c>
      <c r="Q56" s="41" t="inlineStr">
        <is>
          <t>Dây cắt CNC</t>
        </is>
      </c>
      <c r="R56" s="44" t="n">
        <v>0</v>
      </c>
      <c r="S56" s="65" t="inlineStr">
        <is>
          <t>ĐÚNG</t>
        </is>
      </c>
      <c r="T56" s="41" t="inlineStr">
        <is>
          <t>Đã xong nguyên công</t>
        </is>
      </c>
      <c r="U56" t="inlineStr">
        <is>
          <t>ĐÃ DUYỆT</t>
        </is>
      </c>
      <c r="V56" t="inlineStr">
        <is>
          <t>ĐÃ PHÊ DUYỆT</t>
        </is>
      </c>
      <c r="W56" t="inlineStr">
        <is>
          <t>🔒 ĐÃ KHÓA</t>
        </is>
      </c>
    </row>
    <row r="57" ht="21" customHeight="1" s="75">
      <c r="A57" s="46" t="n">
        <v>54</v>
      </c>
      <c r="B57" s="66" t="n">
        <v>46257.39944677083</v>
      </c>
      <c r="C57" s="61" t="inlineStr">
        <is>
          <t>EMP-NV08</t>
        </is>
      </c>
      <c r="D57" s="47" t="inlineStr">
        <is>
          <t>Phùng Công Thắng</t>
        </is>
      </c>
      <c r="E57" s="61" t="inlineStr">
        <is>
          <t>M-PCNC1-01</t>
        </is>
      </c>
      <c r="F57" s="47" t="inlineStr">
        <is>
          <t>Phùng Công Thắng</t>
        </is>
      </c>
      <c r="G57" s="61" t="inlineStr">
        <is>
          <t>OP-SEALB-NC4</t>
        </is>
      </c>
      <c r="H57" s="47" t="inlineStr">
        <is>
          <t>Thyssen</t>
        </is>
      </c>
      <c r="I57" s="47" t="inlineStr">
        <is>
          <t>Sealing strip, above</t>
        </is>
      </c>
      <c r="J57" s="46" t="inlineStr">
        <is>
          <t>PO-7469</t>
        </is>
      </c>
      <c r="K57" s="47" t="inlineStr">
        <is>
          <t>G/c phay Mp NC2 Kt 412mm</t>
        </is>
      </c>
      <c r="L57" s="50" t="n">
        <v>14942</v>
      </c>
      <c r="M57" s="67" t="n">
        <v>8</v>
      </c>
      <c r="N57" s="50" t="n">
        <v>0</v>
      </c>
      <c r="O57" s="68" t="n">
        <v>8</v>
      </c>
      <c r="P57" s="64">
        <f>L57*M57</f>
        <v/>
      </c>
      <c r="Q57" s="47" t="inlineStr">
        <is>
          <t>Không tiêu hao</t>
        </is>
      </c>
      <c r="R57" s="50" t="n">
        <v>0</v>
      </c>
      <c r="S57" s="46" t="inlineStr">
        <is>
          <t>SAI</t>
        </is>
      </c>
      <c r="T57" s="47" t="inlineStr">
        <is>
          <t>Đang gia công dở dang, chuyển ca sau</t>
        </is>
      </c>
      <c r="U57" t="inlineStr">
        <is>
          <t>ĐÃ DUYỆT</t>
        </is>
      </c>
      <c r="V57" t="inlineStr">
        <is>
          <t>ĐÃ PHÊ DUYỆT</t>
        </is>
      </c>
      <c r="W57" t="inlineStr">
        <is>
          <t>🔒 ĐÃ KHÓA</t>
        </is>
      </c>
    </row>
    <row r="58" ht="21" customHeight="1" s="75">
      <c r="A58" s="40" t="n">
        <v>55</v>
      </c>
      <c r="B58" s="60" t="n">
        <v>46257.40092505787</v>
      </c>
      <c r="C58" s="61" t="inlineStr">
        <is>
          <t>EMP-NV08</t>
        </is>
      </c>
      <c r="D58" s="41" t="inlineStr">
        <is>
          <t>Phùng Công Thắng</t>
        </is>
      </c>
      <c r="E58" s="61" t="inlineStr">
        <is>
          <t>M-PCNC2-01</t>
        </is>
      </c>
      <c r="F58" s="41" t="inlineStr">
        <is>
          <t>Phùng Công Thắng</t>
        </is>
      </c>
      <c r="G58" s="61" t="inlineStr">
        <is>
          <t>OP-SEALB-NC4</t>
        </is>
      </c>
      <c r="H58" s="41" t="inlineStr">
        <is>
          <t>Thyssen</t>
        </is>
      </c>
      <c r="I58" s="41" t="inlineStr">
        <is>
          <t>Sealing trip, below</t>
        </is>
      </c>
      <c r="J58" s="40" t="inlineStr">
        <is>
          <t>PO-6216</t>
        </is>
      </c>
      <c r="K58" s="41" t="inlineStr">
        <is>
          <t>G/c phay Mp NC4 Kt 412mm</t>
        </is>
      </c>
      <c r="L58" s="44" t="n">
        <v>14942</v>
      </c>
      <c r="M58" s="62" t="n">
        <v>22</v>
      </c>
      <c r="N58" s="44" t="n">
        <v>0</v>
      </c>
      <c r="O58" s="63" t="n">
        <v>8</v>
      </c>
      <c r="P58" s="64">
        <f>L58*M58</f>
        <v/>
      </c>
      <c r="Q58" s="41" t="inlineStr">
        <is>
          <t>Chíp APMT 1604 PDER - Grade 8230S-PRAMET</t>
        </is>
      </c>
      <c r="R58" s="44" t="n">
        <v>2</v>
      </c>
      <c r="S58" s="65" t="inlineStr">
        <is>
          <t>ĐÚNG</t>
        </is>
      </c>
      <c r="T58" s="41" t="inlineStr">
        <is>
          <t>Đã xong nguyên công</t>
        </is>
      </c>
      <c r="U58" t="inlineStr">
        <is>
          <t>ĐÃ DUYỆT</t>
        </is>
      </c>
      <c r="V58" t="inlineStr">
        <is>
          <t>ĐÃ PHÊ DUYỆT</t>
        </is>
      </c>
      <c r="W58" t="inlineStr">
        <is>
          <t>🔒 ĐÃ KHÓA</t>
        </is>
      </c>
    </row>
    <row r="59" ht="21" customHeight="1" s="75">
      <c r="A59" s="46" t="n">
        <v>56</v>
      </c>
      <c r="B59" s="66" t="n">
        <v>46257.40136520833</v>
      </c>
      <c r="C59" s="61" t="inlineStr">
        <is>
          <t>EMP-NV08</t>
        </is>
      </c>
      <c r="D59" s="47" t="inlineStr">
        <is>
          <t>Phùng Công Thắng</t>
        </is>
      </c>
      <c r="E59" s="61" t="inlineStr">
        <is>
          <t>M-PCNC1-01</t>
        </is>
      </c>
      <c r="F59" s="47" t="inlineStr">
        <is>
          <t>Phùng Công Thắng</t>
        </is>
      </c>
      <c r="G59" s="61" t="inlineStr">
        <is>
          <t>OP-SEALB-NC4</t>
        </is>
      </c>
      <c r="H59" s="47" t="inlineStr">
        <is>
          <t>Thyssen</t>
        </is>
      </c>
      <c r="I59" s="47" t="inlineStr">
        <is>
          <t>Sealing strip, above</t>
        </is>
      </c>
      <c r="J59" s="46" t="inlineStr">
        <is>
          <t>PO-6295</t>
        </is>
      </c>
      <c r="K59" s="47" t="inlineStr">
        <is>
          <t>G/c phay Mp NC3 Kt 412mm còn lại</t>
        </is>
      </c>
      <c r="L59" s="50" t="n">
        <v>14942</v>
      </c>
      <c r="M59" s="67" t="n">
        <v>8</v>
      </c>
      <c r="N59" s="50" t="n">
        <v>0</v>
      </c>
      <c r="O59" s="68" t="n">
        <v>8</v>
      </c>
      <c r="P59" s="64">
        <f>L59*M59</f>
        <v/>
      </c>
      <c r="Q59" s="47" t="inlineStr">
        <is>
          <t>Không tiêu hao</t>
        </is>
      </c>
      <c r="R59" s="50" t="n">
        <v>0</v>
      </c>
      <c r="S59" s="46" t="inlineStr">
        <is>
          <t>SAI</t>
        </is>
      </c>
      <c r="T59" s="47" t="inlineStr">
        <is>
          <t>Đang gia công dở dang, chuyển ca sau</t>
        </is>
      </c>
      <c r="U59" t="inlineStr">
        <is>
          <t>ĐÃ DUYỆT</t>
        </is>
      </c>
      <c r="V59" t="inlineStr">
        <is>
          <t>ĐÃ PHÊ DUYỆT</t>
        </is>
      </c>
      <c r="W59" t="inlineStr">
        <is>
          <t>🔒 ĐÃ KHÓA</t>
        </is>
      </c>
    </row>
    <row r="60" ht="21" customHeight="1" s="75">
      <c r="A60" s="40" t="n">
        <v>57</v>
      </c>
      <c r="B60" s="60" t="n">
        <v>46257.40279862269</v>
      </c>
      <c r="C60" s="61" t="inlineStr">
        <is>
          <t>EMP-NV08</t>
        </is>
      </c>
      <c r="D60" s="41" t="inlineStr">
        <is>
          <t>Phùng Công Thắng</t>
        </is>
      </c>
      <c r="E60" s="61" t="inlineStr">
        <is>
          <t>M-TCNC1-01</t>
        </is>
      </c>
      <c r="F60" s="41" t="inlineStr">
        <is>
          <t>Phùng Công Thắng</t>
        </is>
      </c>
      <c r="G60" s="61" t="inlineStr">
        <is>
          <t>OP-SEALB-NC4</t>
        </is>
      </c>
      <c r="H60" s="41" t="inlineStr">
        <is>
          <t>Thyssen</t>
        </is>
      </c>
      <c r="I60" s="41" t="inlineStr">
        <is>
          <t>Sealing trip, below</t>
        </is>
      </c>
      <c r="J60" s="40" t="inlineStr">
        <is>
          <t>PO-4786</t>
        </is>
      </c>
      <c r="K60" s="41" t="inlineStr">
        <is>
          <t>G/c phay Mp NC4 Kt 412mm</t>
        </is>
      </c>
      <c r="L60" s="44" t="n">
        <v>14942</v>
      </c>
      <c r="M60" s="62" t="n">
        <v>16</v>
      </c>
      <c r="N60" s="44" t="n">
        <v>0</v>
      </c>
      <c r="O60" s="63" t="n">
        <v>8</v>
      </c>
      <c r="P60" s="64">
        <f>L60*M60</f>
        <v/>
      </c>
      <c r="Q60" s="41" t="inlineStr">
        <is>
          <t>Không tiêu hao</t>
        </is>
      </c>
      <c r="R60" s="44" t="n">
        <v>2</v>
      </c>
      <c r="S60" s="65" t="inlineStr">
        <is>
          <t>ĐÚNG</t>
        </is>
      </c>
      <c r="T60" s="41" t="inlineStr">
        <is>
          <t>Đã xong nguyên công</t>
        </is>
      </c>
      <c r="U60" t="inlineStr">
        <is>
          <t>ĐÃ DUYỆT</t>
        </is>
      </c>
      <c r="V60" t="inlineStr">
        <is>
          <t>ĐÃ PHÊ DUYỆT</t>
        </is>
      </c>
      <c r="W60" t="inlineStr">
        <is>
          <t>🔒 ĐÃ KHÓA</t>
        </is>
      </c>
    </row>
    <row r="61" ht="21" customHeight="1" s="75">
      <c r="A61" s="46" t="n">
        <v>58</v>
      </c>
      <c r="B61" s="66" t="n">
        <v>46257.62674122685</v>
      </c>
      <c r="C61" s="61" t="inlineStr">
        <is>
          <t>EMP-NV07</t>
        </is>
      </c>
      <c r="D61" s="47" t="inlineStr">
        <is>
          <t>Phùng Công Thắng</t>
        </is>
      </c>
      <c r="E61" s="61" t="inlineStr">
        <is>
          <t>M-OKK3-01</t>
        </is>
      </c>
      <c r="F61" s="47" t="inlineStr">
        <is>
          <t>Phùng Công Thắng</t>
        </is>
      </c>
      <c r="G61" s="61" t="inlineStr">
        <is>
          <t>OP-SEALB-NC2</t>
        </is>
      </c>
      <c r="H61" s="47" t="inlineStr">
        <is>
          <t>Thyssen</t>
        </is>
      </c>
      <c r="I61" s="47" t="inlineStr">
        <is>
          <t>Sealing strip, above</t>
        </is>
      </c>
      <c r="J61" s="46" t="inlineStr">
        <is>
          <t>PO-9220</t>
        </is>
      </c>
      <c r="K61" s="47" t="inlineStr">
        <is>
          <t>G/c phay Mp NC1 Kt 95mm</t>
        </is>
      </c>
      <c r="L61" s="50" t="n">
        <v>37200</v>
      </c>
      <c r="M61" s="67" t="n">
        <v>5</v>
      </c>
      <c r="N61" s="50" t="n">
        <v>0</v>
      </c>
      <c r="O61" s="68" t="n">
        <v>8</v>
      </c>
      <c r="P61" s="64">
        <f>L61*M61</f>
        <v/>
      </c>
      <c r="Q61" s="47" t="inlineStr">
        <is>
          <t>Không tiêu hao</t>
        </is>
      </c>
      <c r="R61" s="50" t="n">
        <v>0</v>
      </c>
      <c r="S61" s="46" t="inlineStr">
        <is>
          <t>SAI</t>
        </is>
      </c>
      <c r="T61" s="47" t="inlineStr">
        <is>
          <t>Đang gia công dở dang, chuyển ca sau</t>
        </is>
      </c>
      <c r="U61" t="inlineStr">
        <is>
          <t>ĐÃ DUYỆT</t>
        </is>
      </c>
      <c r="V61" t="inlineStr">
        <is>
          <t>ĐÃ PHÊ DUYỆT</t>
        </is>
      </c>
      <c r="W61" t="inlineStr">
        <is>
          <t>🔒 ĐÃ KHÓA</t>
        </is>
      </c>
    </row>
    <row r="62" ht="21" customHeight="1" s="75">
      <c r="A62" s="40" t="n">
        <v>59</v>
      </c>
      <c r="B62" s="60" t="n">
        <v>46257.6272209375</v>
      </c>
      <c r="C62" s="61" t="inlineStr">
        <is>
          <t>EMP-NV07</t>
        </is>
      </c>
      <c r="D62" s="41" t="inlineStr">
        <is>
          <t>Phùng Công Thắng</t>
        </is>
      </c>
      <c r="E62" s="61" t="inlineStr">
        <is>
          <t>M-OKK3-01</t>
        </is>
      </c>
      <c r="F62" s="41" t="inlineStr">
        <is>
          <t>Phùng Công Thắng</t>
        </is>
      </c>
      <c r="G62" s="61" t="inlineStr">
        <is>
          <t>OP-SEALB-NC1</t>
        </is>
      </c>
      <c r="H62" s="41" t="inlineStr">
        <is>
          <t>Thyssen</t>
        </is>
      </c>
      <c r="I62" s="41" t="inlineStr">
        <is>
          <t>Sealing trip, below</t>
        </is>
      </c>
      <c r="J62" s="40" t="inlineStr">
        <is>
          <t>PO-1050</t>
        </is>
      </c>
      <c r="K62" s="41" t="inlineStr">
        <is>
          <t>G/c phay Mp NC1 Kt 47mm</t>
        </is>
      </c>
      <c r="L62" s="44" t="n">
        <v>37200</v>
      </c>
      <c r="M62" s="62" t="n">
        <v>6</v>
      </c>
      <c r="N62" s="44" t="n">
        <v>0</v>
      </c>
      <c r="O62" s="63" t="n">
        <v>8</v>
      </c>
      <c r="P62" s="64">
        <f>L62*M62</f>
        <v/>
      </c>
      <c r="Q62" s="41" t="inlineStr">
        <is>
          <t>Không tiêu hao</t>
        </is>
      </c>
      <c r="R62" s="44" t="n">
        <v>0</v>
      </c>
      <c r="S62" s="40" t="inlineStr">
        <is>
          <t>SAI</t>
        </is>
      </c>
      <c r="T62" s="41" t="inlineStr">
        <is>
          <t>Đang gia công dở dang, chuyển ca sau</t>
        </is>
      </c>
      <c r="U62" t="inlineStr">
        <is>
          <t>ĐÃ DUYỆT</t>
        </is>
      </c>
      <c r="V62" t="inlineStr">
        <is>
          <t>ĐÃ PHÊ DUYỆT</t>
        </is>
      </c>
      <c r="W62" t="inlineStr">
        <is>
          <t>🔒 ĐÃ KHÓA</t>
        </is>
      </c>
    </row>
    <row r="63" ht="21" customHeight="1" s="75">
      <c r="A63" s="46" t="n">
        <v>60</v>
      </c>
      <c r="B63" s="66" t="n">
        <v>46257.6277487037</v>
      </c>
      <c r="C63" s="61" t="inlineStr">
        <is>
          <t>EMP-NV07</t>
        </is>
      </c>
      <c r="D63" s="47" t="inlineStr">
        <is>
          <t>Phùng Công Thắng</t>
        </is>
      </c>
      <c r="E63" s="61" t="inlineStr">
        <is>
          <t>M-OKK1-01</t>
        </is>
      </c>
      <c r="F63" s="47" t="inlineStr">
        <is>
          <t>Phùng Công Thắng</t>
        </is>
      </c>
      <c r="G63" s="61" t="inlineStr">
        <is>
          <t>OP-SEALB-NC2</t>
        </is>
      </c>
      <c r="H63" s="47" t="inlineStr">
        <is>
          <t>Thyssen</t>
        </is>
      </c>
      <c r="I63" s="47" t="inlineStr">
        <is>
          <t>Sealing trip, below</t>
        </is>
      </c>
      <c r="J63" s="46" t="inlineStr">
        <is>
          <t>PO-1193</t>
        </is>
      </c>
      <c r="K63" s="47" t="inlineStr">
        <is>
          <t>G/c phay Mp NC2 Kt 95mm</t>
        </is>
      </c>
      <c r="L63" s="50" t="n">
        <v>37200</v>
      </c>
      <c r="M63" s="67" t="n">
        <v>13</v>
      </c>
      <c r="N63" s="50" t="n">
        <v>0</v>
      </c>
      <c r="O63" s="68" t="n">
        <v>8</v>
      </c>
      <c r="P63" s="64">
        <f>L63*M63</f>
        <v/>
      </c>
      <c r="Q63" s="47" t="inlineStr">
        <is>
          <t>Không tiêu hao</t>
        </is>
      </c>
      <c r="R63" s="50" t="n">
        <v>0</v>
      </c>
      <c r="S63" s="46" t="inlineStr">
        <is>
          <t>SAI</t>
        </is>
      </c>
      <c r="T63" s="47" t="inlineStr">
        <is>
          <t>Đang gia công dở dang, chuyển ca sau</t>
        </is>
      </c>
      <c r="U63" t="inlineStr">
        <is>
          <t>ĐÃ DUYỆT</t>
        </is>
      </c>
      <c r="V63" t="inlineStr">
        <is>
          <t>ĐÃ PHÊ DUYỆT</t>
        </is>
      </c>
      <c r="W63" t="inlineStr">
        <is>
          <t>🔒 ĐÃ KHÓA</t>
        </is>
      </c>
    </row>
    <row r="64" ht="21" customHeight="1" s="75">
      <c r="A64" s="40" t="n">
        <v>61</v>
      </c>
      <c r="B64" s="60" t="n">
        <v>46257.62809928241</v>
      </c>
      <c r="C64" s="61" t="inlineStr">
        <is>
          <t>EMP-NV07</t>
        </is>
      </c>
      <c r="D64" s="41" t="inlineStr">
        <is>
          <t>Phùng Công Thắng</t>
        </is>
      </c>
      <c r="E64" s="61" t="inlineStr">
        <is>
          <t>M-OKK3-01</t>
        </is>
      </c>
      <c r="F64" s="41" t="inlineStr">
        <is>
          <t>Phùng Công Thắng</t>
        </is>
      </c>
      <c r="G64" s="61" t="inlineStr">
        <is>
          <t>OP-SEALB-NC2</t>
        </is>
      </c>
      <c r="H64" s="41" t="inlineStr">
        <is>
          <t>Thyssen</t>
        </is>
      </c>
      <c r="I64" s="41" t="inlineStr">
        <is>
          <t>Sealing strip, above</t>
        </is>
      </c>
      <c r="J64" s="40" t="inlineStr">
        <is>
          <t>PO-9833</t>
        </is>
      </c>
      <c r="K64" s="41" t="inlineStr">
        <is>
          <t>G/c phay Mp NC1 Kt 95mm</t>
        </is>
      </c>
      <c r="L64" s="44" t="n">
        <v>37200</v>
      </c>
      <c r="M64" s="62" t="n">
        <v>3</v>
      </c>
      <c r="N64" s="44" t="n">
        <v>0</v>
      </c>
      <c r="O64" s="63" t="n">
        <v>4</v>
      </c>
      <c r="P64" s="64">
        <f>L64*M64</f>
        <v/>
      </c>
      <c r="Q64" s="41" t="inlineStr">
        <is>
          <t>Không tiêu hao</t>
        </is>
      </c>
      <c r="R64" s="44" t="n">
        <v>0</v>
      </c>
      <c r="S64" s="40" t="inlineStr">
        <is>
          <t>SAI</t>
        </is>
      </c>
      <c r="T64" s="41" t="inlineStr">
        <is>
          <t>Đang gia công dở dang, chuyển ca sau</t>
        </is>
      </c>
      <c r="U64" t="inlineStr">
        <is>
          <t>ĐÃ DUYỆT</t>
        </is>
      </c>
      <c r="V64" t="inlineStr">
        <is>
          <t>ĐÃ PHÊ DUYỆT</t>
        </is>
      </c>
      <c r="W64" t="inlineStr">
        <is>
          <t>🔒 ĐÃ KHÓA</t>
        </is>
      </c>
    </row>
    <row r="65" ht="21" customHeight="1" s="75">
      <c r="A65" s="46" t="n">
        <v>62</v>
      </c>
      <c r="B65" s="66" t="n">
        <v>46257.62934612269</v>
      </c>
      <c r="C65" s="61" t="inlineStr">
        <is>
          <t>EMP-NV07</t>
        </is>
      </c>
      <c r="D65" s="47" t="inlineStr">
        <is>
          <t>Phùng Công Thắng</t>
        </is>
      </c>
      <c r="E65" s="61" t="inlineStr">
        <is>
          <t>M-OKK3-01</t>
        </is>
      </c>
      <c r="F65" s="47" t="inlineStr">
        <is>
          <t>Phùng Công Thắng</t>
        </is>
      </c>
      <c r="G65" s="61" t="inlineStr">
        <is>
          <t>OP-SEALB-NC1</t>
        </is>
      </c>
      <c r="H65" s="47" t="inlineStr">
        <is>
          <t>Thyssen</t>
        </is>
      </c>
      <c r="I65" s="47" t="inlineStr">
        <is>
          <t>Sealing trip, below</t>
        </is>
      </c>
      <c r="J65" s="46" t="inlineStr">
        <is>
          <t>PO-2158</t>
        </is>
      </c>
      <c r="K65" s="47" t="inlineStr">
        <is>
          <t>G/c phay Mp NC1 Kt 47mm</t>
        </is>
      </c>
      <c r="L65" s="50" t="n">
        <v>37200</v>
      </c>
      <c r="M65" s="67" t="n">
        <v>9</v>
      </c>
      <c r="N65" s="50" t="n">
        <v>0</v>
      </c>
      <c r="O65" s="68" t="n">
        <v>8</v>
      </c>
      <c r="P65" s="64">
        <f>L65*M65</f>
        <v/>
      </c>
      <c r="Q65" s="47" t="inlineStr">
        <is>
          <t>Không tiêu hao</t>
        </is>
      </c>
      <c r="R65" s="50" t="n">
        <v>0</v>
      </c>
      <c r="S65" s="46" t="inlineStr">
        <is>
          <t>SAI</t>
        </is>
      </c>
      <c r="T65" s="47" t="inlineStr">
        <is>
          <t>Đang gia công dở dang, chuyển ca sau</t>
        </is>
      </c>
      <c r="U65" t="inlineStr">
        <is>
          <t>ĐÃ DUYỆT</t>
        </is>
      </c>
      <c r="V65" t="inlineStr">
        <is>
          <t>ĐÃ PHÊ DUYỆT</t>
        </is>
      </c>
      <c r="W65" t="inlineStr">
        <is>
          <t>🔒 ĐÃ KHÓA</t>
        </is>
      </c>
    </row>
    <row r="66" ht="21" customHeight="1" s="75">
      <c r="A66" s="40" t="n">
        <v>63</v>
      </c>
      <c r="B66" s="60" t="n">
        <v>46257.65503299768</v>
      </c>
      <c r="C66" s="61" t="inlineStr">
        <is>
          <t>EMP-NV01</t>
        </is>
      </c>
      <c r="D66" s="41" t="inlineStr">
        <is>
          <t>Phùng Công Thắng</t>
        </is>
      </c>
      <c r="E66" s="61" t="inlineStr">
        <is>
          <t>M-FUJI-01</t>
        </is>
      </c>
      <c r="F66" s="41" t="inlineStr">
        <is>
          <t>Phùng Công Thắng</t>
        </is>
      </c>
      <c r="G66" s="61" t="inlineStr">
        <is>
          <t>OP-GEN-01</t>
        </is>
      </c>
      <c r="H66" s="41" t="inlineStr">
        <is>
          <t>Win-Win</t>
        </is>
      </c>
      <c r="I66" s="41" t="inlineStr">
        <is>
          <t>ISHIZUE 216Dw550</t>
        </is>
      </c>
      <c r="J66" s="40" t="inlineStr">
        <is>
          <t>PO-7594</t>
        </is>
      </c>
      <c r="K66" s="41" t="inlineStr">
        <is>
          <t>G/c hoàn thiện</t>
        </is>
      </c>
      <c r="L66" s="44" t="n">
        <v>29884</v>
      </c>
      <c r="M66" s="62" t="n">
        <v>15</v>
      </c>
      <c r="N66" s="44" t="n">
        <v>0</v>
      </c>
      <c r="O66" s="63" t="n">
        <v>8</v>
      </c>
      <c r="P66" s="64">
        <f>L66*M66</f>
        <v/>
      </c>
      <c r="Q66" s="41" t="inlineStr">
        <is>
          <t>Chíp  R5 THREADEX- P3200</t>
        </is>
      </c>
      <c r="R66" s="44" t="n">
        <v>0</v>
      </c>
      <c r="S66" s="65" t="inlineStr">
        <is>
          <t>ĐÚNG</t>
        </is>
      </c>
      <c r="T66" s="41" t="inlineStr">
        <is>
          <t>Đã xong nguyên công</t>
        </is>
      </c>
      <c r="U66" t="inlineStr">
        <is>
          <t>ĐÃ DUYỆT</t>
        </is>
      </c>
      <c r="V66" t="inlineStr">
        <is>
          <t>ĐÃ PHÊ DUYỆT</t>
        </is>
      </c>
      <c r="W66" t="inlineStr">
        <is>
          <t>🔒 ĐÃ KHÓA</t>
        </is>
      </c>
    </row>
    <row r="67" ht="21" customHeight="1" s="75">
      <c r="A67" s="46" t="n">
        <v>64</v>
      </c>
      <c r="B67" s="66" t="n">
        <v>46257.65576907407</v>
      </c>
      <c r="C67" s="61" t="inlineStr">
        <is>
          <t>EMP-NV01</t>
        </is>
      </c>
      <c r="D67" s="47" t="inlineStr">
        <is>
          <t>Phùng Công Thắng</t>
        </is>
      </c>
      <c r="E67" s="61" t="inlineStr">
        <is>
          <t>M-FUJI-01</t>
        </is>
      </c>
      <c r="F67" s="47" t="inlineStr">
        <is>
          <t>Phùng Công Thắng</t>
        </is>
      </c>
      <c r="G67" s="61" t="inlineStr">
        <is>
          <t>OP-GEN-01</t>
        </is>
      </c>
      <c r="H67" s="47" t="inlineStr">
        <is>
          <t>Win-Win</t>
        </is>
      </c>
      <c r="I67" s="47" t="inlineStr">
        <is>
          <t>ISHIZUE 216Dw550</t>
        </is>
      </c>
      <c r="J67" s="46" t="inlineStr">
        <is>
          <t>PO-9857</t>
        </is>
      </c>
      <c r="K67" s="47" t="inlineStr">
        <is>
          <t>G/c hoàn thiện</t>
        </is>
      </c>
      <c r="L67" s="50" t="n">
        <v>29884</v>
      </c>
      <c r="M67" s="67" t="n">
        <v>12</v>
      </c>
      <c r="N67" s="50" t="n">
        <v>6</v>
      </c>
      <c r="O67" s="68" t="n">
        <v>8</v>
      </c>
      <c r="P67" s="64">
        <f>L67*M67</f>
        <v/>
      </c>
      <c r="Q67" s="47" t="inlineStr">
        <is>
          <t>Chíp  R5 THREADEX- P3200</t>
        </is>
      </c>
      <c r="R67" s="50" t="n">
        <v>1</v>
      </c>
      <c r="S67" s="65" t="inlineStr">
        <is>
          <t>ĐÚNG</t>
        </is>
      </c>
      <c r="T67" s="47" t="inlineStr">
        <is>
          <t>Đã xong nguyên công</t>
        </is>
      </c>
      <c r="U67" t="inlineStr">
        <is>
          <t>ĐÃ DUYỆT</t>
        </is>
      </c>
      <c r="V67" t="inlineStr">
        <is>
          <t>ĐÃ PHÊ DUYỆT</t>
        </is>
      </c>
      <c r="W67" t="inlineStr">
        <is>
          <t>🔒 ĐÃ KHÓA</t>
        </is>
      </c>
    </row>
    <row r="68" ht="21" customHeight="1" s="75">
      <c r="A68" s="40" t="n">
        <v>65</v>
      </c>
      <c r="B68" s="60" t="n">
        <v>46257.65644821759</v>
      </c>
      <c r="C68" s="61" t="inlineStr">
        <is>
          <t>EMP-NV01</t>
        </is>
      </c>
      <c r="D68" s="41" t="inlineStr">
        <is>
          <t>Phùng Công Thắng</t>
        </is>
      </c>
      <c r="E68" s="61" t="inlineStr">
        <is>
          <t>M-FUJI-01</t>
        </is>
      </c>
      <c r="F68" s="41" t="inlineStr">
        <is>
          <t>Phùng Công Thắng</t>
        </is>
      </c>
      <c r="G68" s="61" t="inlineStr">
        <is>
          <t>OP-GEN-01</t>
        </is>
      </c>
      <c r="H68" s="41" t="inlineStr">
        <is>
          <t>Win-Win</t>
        </is>
      </c>
      <c r="I68" s="41" t="inlineStr">
        <is>
          <t>ISHIZUE 406Dw850</t>
        </is>
      </c>
      <c r="J68" s="40" t="inlineStr">
        <is>
          <t>PO-7167</t>
        </is>
      </c>
      <c r="K68" s="41" t="inlineStr">
        <is>
          <t>G/c hoàn thiện</t>
        </is>
      </c>
      <c r="L68" s="44" t="n">
        <v>74400</v>
      </c>
      <c r="M68" s="62" t="n">
        <v>2</v>
      </c>
      <c r="N68" s="44" t="n">
        <v>0</v>
      </c>
      <c r="O68" s="63" t="n">
        <v>4</v>
      </c>
      <c r="P68" s="64">
        <f>L68*M68</f>
        <v/>
      </c>
      <c r="Q68" s="41" t="inlineStr">
        <is>
          <t>Chíp  R5 THREADEX- P3200</t>
        </is>
      </c>
      <c r="R68" s="44" t="n">
        <v>0</v>
      </c>
      <c r="S68" s="65" t="inlineStr">
        <is>
          <t>ĐÚNG</t>
        </is>
      </c>
      <c r="T68" s="41" t="inlineStr">
        <is>
          <t>Đã xong nguyên công</t>
        </is>
      </c>
      <c r="U68" t="inlineStr">
        <is>
          <t>ĐÃ DUYỆT</t>
        </is>
      </c>
      <c r="V68" t="inlineStr">
        <is>
          <t>ĐÃ PHÊ DUYỆT</t>
        </is>
      </c>
      <c r="W68" t="inlineStr">
        <is>
          <t>🔒 ĐÃ KHÓA</t>
        </is>
      </c>
    </row>
    <row r="69" ht="21" customHeight="1" s="75">
      <c r="A69" s="46" t="n">
        <v>66</v>
      </c>
      <c r="B69" s="66" t="n">
        <v>46257.65684836805</v>
      </c>
      <c r="C69" s="61" t="inlineStr">
        <is>
          <t>EMP-NV01</t>
        </is>
      </c>
      <c r="D69" s="47" t="inlineStr">
        <is>
          <t>Phùng Công Thắng</t>
        </is>
      </c>
      <c r="E69" s="61" t="inlineStr">
        <is>
          <t>M-DK7745-01</t>
        </is>
      </c>
      <c r="F69" s="47" t="inlineStr">
        <is>
          <t>Phùng Công Thắng</t>
        </is>
      </c>
      <c r="G69" s="61" t="inlineStr">
        <is>
          <t>OP-GEN-01</t>
        </is>
      </c>
      <c r="H69" s="47" t="inlineStr">
        <is>
          <t>Vico- QLTB</t>
        </is>
      </c>
      <c r="I69" s="47" t="inlineStr">
        <is>
          <t>Mẫu Thử CR &amp; hàng #</t>
        </is>
      </c>
      <c r="J69" s="46" t="inlineStr">
        <is>
          <t>PO-9938</t>
        </is>
      </c>
      <c r="K69" s="47" t="inlineStr">
        <is>
          <t>G/c hoàn thiện</t>
        </is>
      </c>
      <c r="L69" s="50" t="n">
        <v>83700</v>
      </c>
      <c r="M69" s="67" t="n">
        <v>4</v>
      </c>
      <c r="N69" s="50" t="n">
        <v>0</v>
      </c>
      <c r="O69" s="68" t="n">
        <v>4</v>
      </c>
      <c r="P69" s="64">
        <f>L69*M69</f>
        <v/>
      </c>
      <c r="Q69" s="47" t="inlineStr">
        <is>
          <t>Dây cắt CNC</t>
        </is>
      </c>
      <c r="R69" s="50" t="n">
        <v>0</v>
      </c>
      <c r="S69" s="65" t="inlineStr">
        <is>
          <t>ĐÚNG</t>
        </is>
      </c>
      <c r="T69" s="47" t="inlineStr">
        <is>
          <t>Đã xong nguyên công</t>
        </is>
      </c>
      <c r="U69" t="inlineStr">
        <is>
          <t>ĐÃ DUYỆT</t>
        </is>
      </c>
      <c r="V69" t="inlineStr">
        <is>
          <t>ĐÃ PHÊ DUYỆT</t>
        </is>
      </c>
      <c r="W69" t="inlineStr">
        <is>
          <t>🔒 ĐÃ KHÓA</t>
        </is>
      </c>
    </row>
    <row r="70" ht="21" customHeight="1" s="75">
      <c r="A70" s="40" t="n">
        <v>67</v>
      </c>
      <c r="B70" s="60" t="n">
        <v>46257.65708412037</v>
      </c>
      <c r="C70" s="61" t="inlineStr">
        <is>
          <t>EMP-NV01</t>
        </is>
      </c>
      <c r="D70" s="41" t="inlineStr">
        <is>
          <t>Phùng Công Thắng</t>
        </is>
      </c>
      <c r="E70" s="61" t="inlineStr">
        <is>
          <t>M-DK7745-01</t>
        </is>
      </c>
      <c r="F70" s="41" t="inlineStr">
        <is>
          <t>Phùng Công Thắng</t>
        </is>
      </c>
      <c r="G70" s="61" t="inlineStr">
        <is>
          <t>OP-GEN-01</t>
        </is>
      </c>
      <c r="H70" s="41" t="inlineStr">
        <is>
          <t>Vico- QLTB</t>
        </is>
      </c>
      <c r="I70" s="41" t="inlineStr">
        <is>
          <t>Mẫu Thử CR &amp; hàng #</t>
        </is>
      </c>
      <c r="J70" s="40" t="inlineStr">
        <is>
          <t>PO-7886</t>
        </is>
      </c>
      <c r="K70" s="41" t="inlineStr">
        <is>
          <t>G/c hoàn thiện</t>
        </is>
      </c>
      <c r="L70" s="44" t="n">
        <v>83700</v>
      </c>
      <c r="M70" s="62" t="n">
        <v>3</v>
      </c>
      <c r="N70" s="44" t="n">
        <v>0</v>
      </c>
      <c r="O70" s="63" t="n">
        <v>4</v>
      </c>
      <c r="P70" s="64">
        <f>L70*M70</f>
        <v/>
      </c>
      <c r="Q70" s="41" t="inlineStr">
        <is>
          <t>Dây cắt CNC</t>
        </is>
      </c>
      <c r="R70" s="44" t="n">
        <v>0</v>
      </c>
      <c r="S70" s="65" t="inlineStr">
        <is>
          <t>ĐÚNG</t>
        </is>
      </c>
      <c r="T70" s="41" t="inlineStr">
        <is>
          <t>Đã xong nguyên công</t>
        </is>
      </c>
      <c r="U70" t="inlineStr">
        <is>
          <t>ĐÃ DUYỆT</t>
        </is>
      </c>
      <c r="V70" t="inlineStr">
        <is>
          <t>ĐÃ PHÊ DUYỆT</t>
        </is>
      </c>
      <c r="W70" t="inlineStr">
        <is>
          <t>🔒 ĐÃ KHÓA</t>
        </is>
      </c>
    </row>
    <row r="71" ht="21" customHeight="1" s="75">
      <c r="A71" s="46" t="n">
        <v>68</v>
      </c>
      <c r="B71" s="66" t="n">
        <v>46258.07689506945</v>
      </c>
      <c r="C71" s="61" t="inlineStr">
        <is>
          <t>EMP-NV01</t>
        </is>
      </c>
      <c r="D71" s="47" t="inlineStr">
        <is>
          <t>Phùng Công Thắng</t>
        </is>
      </c>
      <c r="E71" s="61" t="inlineStr">
        <is>
          <t>M-PCNC2-01</t>
        </is>
      </c>
      <c r="F71" s="47" t="inlineStr">
        <is>
          <t>Phùng Công Thắng</t>
        </is>
      </c>
      <c r="G71" s="61" t="inlineStr">
        <is>
          <t>OP-SEALB-NC4</t>
        </is>
      </c>
      <c r="H71" s="47" t="inlineStr">
        <is>
          <t>Thyssen</t>
        </is>
      </c>
      <c r="I71" s="47" t="inlineStr">
        <is>
          <t>Sealing strip, above</t>
        </is>
      </c>
      <c r="J71" s="46" t="inlineStr">
        <is>
          <t>PO-1924</t>
        </is>
      </c>
      <c r="K71" s="47" t="inlineStr">
        <is>
          <t>G/c phay Mp NC2 Kt 412mm</t>
        </is>
      </c>
      <c r="L71" s="50" t="n">
        <v>14942</v>
      </c>
      <c r="M71" s="67" t="n">
        <v>8</v>
      </c>
      <c r="N71" s="50" t="n">
        <v>0</v>
      </c>
      <c r="O71" s="68" t="n">
        <v>8</v>
      </c>
      <c r="P71" s="64">
        <f>L71*M71</f>
        <v/>
      </c>
      <c r="Q71" s="47" t="inlineStr">
        <is>
          <t>Chíp APMT 1604 PDTR - LT30-PVD - LAMINA</t>
        </is>
      </c>
      <c r="R71" s="50" t="n">
        <v>2</v>
      </c>
      <c r="S71" s="46" t="inlineStr">
        <is>
          <t>SAI</t>
        </is>
      </c>
      <c r="T71" s="47" t="inlineStr">
        <is>
          <t>Đang gia công dở dang, chuyển ca sau</t>
        </is>
      </c>
      <c r="U71" t="inlineStr">
        <is>
          <t>ĐÃ DUYỆT</t>
        </is>
      </c>
      <c r="V71" t="inlineStr">
        <is>
          <t>ĐÃ PHÊ DUYỆT</t>
        </is>
      </c>
      <c r="W71" t="inlineStr">
        <is>
          <t>🔒 ĐÃ KHÓA</t>
        </is>
      </c>
    </row>
    <row r="72" ht="21" customHeight="1" s="75">
      <c r="A72" s="40" t="n">
        <v>69</v>
      </c>
      <c r="B72" s="60" t="n">
        <v>46258.07732907408</v>
      </c>
      <c r="C72" s="61" t="inlineStr">
        <is>
          <t>EMP-NV01</t>
        </is>
      </c>
      <c r="D72" s="41" t="inlineStr">
        <is>
          <t>Phùng Công Thắng</t>
        </is>
      </c>
      <c r="E72" s="61" t="inlineStr">
        <is>
          <t>M-PCNC2-01</t>
        </is>
      </c>
      <c r="F72" s="41" t="inlineStr">
        <is>
          <t>Phùng Công Thắng</t>
        </is>
      </c>
      <c r="G72" s="61" t="inlineStr">
        <is>
          <t>OP-SEALB-NC4</t>
        </is>
      </c>
      <c r="H72" s="41" t="inlineStr">
        <is>
          <t>Thyssen</t>
        </is>
      </c>
      <c r="I72" s="41" t="inlineStr">
        <is>
          <t>Sealing strip, above</t>
        </is>
      </c>
      <c r="J72" s="40" t="inlineStr">
        <is>
          <t>PO-6717</t>
        </is>
      </c>
      <c r="K72" s="41" t="inlineStr">
        <is>
          <t>G/c phay Mp NC3 Kt 412mm còn lại</t>
        </is>
      </c>
      <c r="L72" s="44" t="n">
        <v>14942</v>
      </c>
      <c r="M72" s="62" t="n">
        <v>8</v>
      </c>
      <c r="N72" s="44" t="n">
        <v>0</v>
      </c>
      <c r="O72" s="63" t="n">
        <v>8</v>
      </c>
      <c r="P72" s="64">
        <f>L72*M72</f>
        <v/>
      </c>
      <c r="Q72" s="41" t="inlineStr">
        <is>
          <t>Chíp APMT 1604 PDTR - LT30-PVD - LAMINA</t>
        </is>
      </c>
      <c r="R72" s="44" t="n">
        <v>2</v>
      </c>
      <c r="S72" s="40" t="inlineStr">
        <is>
          <t>SAI</t>
        </is>
      </c>
      <c r="T72" s="41" t="inlineStr">
        <is>
          <t>Đang gia công dở dang, chuyển ca sau</t>
        </is>
      </c>
      <c r="U72" t="inlineStr">
        <is>
          <t>ĐÃ DUYỆT</t>
        </is>
      </c>
      <c r="V72" t="inlineStr">
        <is>
          <t>ĐÃ PHÊ DUYỆT</t>
        </is>
      </c>
      <c r="W72" t="inlineStr">
        <is>
          <t>🔒 ĐÃ KHÓA</t>
        </is>
      </c>
    </row>
    <row r="73" ht="21" customHeight="1" s="75">
      <c r="A73" s="46" t="n">
        <v>70</v>
      </c>
      <c r="B73" s="66" t="n">
        <v>46258.07795902777</v>
      </c>
      <c r="C73" s="61" t="inlineStr">
        <is>
          <t>EMP-NV01</t>
        </is>
      </c>
      <c r="D73" s="47" t="inlineStr">
        <is>
          <t>Phùng Công Thắng</t>
        </is>
      </c>
      <c r="E73" s="61" t="inlineStr">
        <is>
          <t>M-PCNC1-01</t>
        </is>
      </c>
      <c r="F73" s="47" t="inlineStr">
        <is>
          <t>Phùng Công Thắng</t>
        </is>
      </c>
      <c r="G73" s="61" t="inlineStr">
        <is>
          <t>OP-SEALB-NC4</t>
        </is>
      </c>
      <c r="H73" s="47" t="inlineStr">
        <is>
          <t>Thyssen</t>
        </is>
      </c>
      <c r="I73" s="47" t="inlineStr">
        <is>
          <t>Sealing strip, below</t>
        </is>
      </c>
      <c r="J73" s="46" t="inlineStr">
        <is>
          <t>PO-9056</t>
        </is>
      </c>
      <c r="K73" s="47" t="inlineStr">
        <is>
          <t>Phay rãnh</t>
        </is>
      </c>
      <c r="L73" s="50" t="n">
        <v>45000</v>
      </c>
      <c r="M73" s="67" t="n">
        <v>11</v>
      </c>
      <c r="N73" s="50" t="n">
        <v>0</v>
      </c>
      <c r="O73" s="68" t="n">
        <v>8</v>
      </c>
      <c r="P73" s="64">
        <f>L73*M73</f>
        <v/>
      </c>
      <c r="Q73" s="47" t="inlineStr">
        <is>
          <t>Chíp APMT 1604 PDTR - LT30-PVD - LAMINA</t>
        </is>
      </c>
      <c r="R73" s="50" t="n">
        <v>0</v>
      </c>
      <c r="S73" s="46" t="inlineStr">
        <is>
          <t>SAI</t>
        </is>
      </c>
      <c r="T73" s="47" t="inlineStr">
        <is>
          <t>Đang gia công dở dang, chuyển ca sau</t>
        </is>
      </c>
      <c r="U73" t="inlineStr">
        <is>
          <t>ĐÃ DUYỆT</t>
        </is>
      </c>
      <c r="V73" t="inlineStr">
        <is>
          <t>ĐÃ PHÊ DUYỆT</t>
        </is>
      </c>
      <c r="W73" t="inlineStr">
        <is>
          <t>🔒 ĐÃ KHÓA</t>
        </is>
      </c>
    </row>
    <row r="74" ht="21" customHeight="1" s="75">
      <c r="A74" s="40" t="n">
        <v>71</v>
      </c>
      <c r="B74" s="60" t="n">
        <v>46258.07854503472</v>
      </c>
      <c r="C74" s="61" t="inlineStr">
        <is>
          <t>EMP-NV01</t>
        </is>
      </c>
      <c r="D74" s="41" t="inlineStr">
        <is>
          <t>Phùng Công Thắng</t>
        </is>
      </c>
      <c r="E74" s="61" t="inlineStr">
        <is>
          <t>M-PCNC2-01</t>
        </is>
      </c>
      <c r="F74" s="41" t="inlineStr">
        <is>
          <t>Phùng Công Thắng</t>
        </is>
      </c>
      <c r="G74" s="61" t="inlineStr">
        <is>
          <t>OP-GEN-01</t>
        </is>
      </c>
      <c r="H74" s="41" t="inlineStr">
        <is>
          <t>Vico- QLTB</t>
        </is>
      </c>
      <c r="I74" s="41" t="inlineStr">
        <is>
          <t>Dưỡng các loại</t>
        </is>
      </c>
      <c r="J74" s="40" t="inlineStr">
        <is>
          <t>PO-9860</t>
        </is>
      </c>
      <c r="K74" s="41" t="inlineStr">
        <is>
          <t>G/c hoàn thiện</t>
        </is>
      </c>
      <c r="L74" s="44" t="n">
        <v>55800</v>
      </c>
      <c r="M74" s="62" t="n">
        <v>2</v>
      </c>
      <c r="N74" s="44" t="n">
        <v>0</v>
      </c>
      <c r="O74" s="63" t="n">
        <v>4</v>
      </c>
      <c r="P74" s="64">
        <f>L74*M74</f>
        <v/>
      </c>
      <c r="Q74" s="41" t="inlineStr">
        <is>
          <t>Không tiêu hao</t>
        </is>
      </c>
      <c r="R74" s="44" t="n">
        <v>0</v>
      </c>
      <c r="S74" s="65" t="inlineStr">
        <is>
          <t>ĐÚNG</t>
        </is>
      </c>
      <c r="T74" s="41" t="inlineStr">
        <is>
          <t>Đã xong nguyên công</t>
        </is>
      </c>
      <c r="U74" t="inlineStr">
        <is>
          <t>ĐÃ DUYỆT</t>
        </is>
      </c>
      <c r="V74" t="inlineStr">
        <is>
          <t>ĐÃ PHÊ DUYỆT</t>
        </is>
      </c>
      <c r="W74" t="inlineStr">
        <is>
          <t>🔒 ĐÃ KHÓA</t>
        </is>
      </c>
    </row>
    <row r="75" ht="21" customHeight="1" s="75">
      <c r="A75" s="46" t="n">
        <v>72</v>
      </c>
      <c r="B75" s="66" t="n">
        <v>46258.0816084375</v>
      </c>
      <c r="C75" s="61" t="inlineStr">
        <is>
          <t>EMP-NV10</t>
        </is>
      </c>
      <c r="D75" s="47" t="inlineStr">
        <is>
          <t>Phùng Công Thắng</t>
        </is>
      </c>
      <c r="E75" s="61" t="inlineStr">
        <is>
          <t>M-PODA-01</t>
        </is>
      </c>
      <c r="F75" s="47" t="inlineStr">
        <is>
          <t>Phùng Công Thắng</t>
        </is>
      </c>
      <c r="G75" s="61" t="inlineStr">
        <is>
          <t>OP-GEN-01</t>
        </is>
      </c>
      <c r="H75" s="47" t="inlineStr">
        <is>
          <t>Molycop</t>
        </is>
      </c>
      <c r="I75" s="47" t="inlineStr">
        <is>
          <t>Bi 25</t>
        </is>
      </c>
      <c r="J75" s="46" t="inlineStr">
        <is>
          <t>PO-5200</t>
        </is>
      </c>
      <c r="K75" s="47" t="inlineStr">
        <is>
          <t>G/c cắt dây</t>
        </is>
      </c>
      <c r="L75" s="50" t="n">
        <v>6510</v>
      </c>
      <c r="M75" s="67" t="n">
        <v>19</v>
      </c>
      <c r="N75" s="50" t="n">
        <v>0</v>
      </c>
      <c r="O75" s="68" t="n">
        <v>8</v>
      </c>
      <c r="P75" s="64">
        <f>L75*M75</f>
        <v/>
      </c>
      <c r="Q75" s="47" t="inlineStr">
        <is>
          <t>Dây cắt CNC</t>
        </is>
      </c>
      <c r="R75" s="50" t="n">
        <v>1</v>
      </c>
      <c r="S75" s="65" t="inlineStr">
        <is>
          <t>ĐÚNG</t>
        </is>
      </c>
      <c r="T75" s="47" t="inlineStr">
        <is>
          <t>Đã xong nguyên công</t>
        </is>
      </c>
      <c r="U75" t="inlineStr">
        <is>
          <t>ĐÃ DUYỆT</t>
        </is>
      </c>
      <c r="V75" t="inlineStr">
        <is>
          <t>ĐÃ PHÊ DUYỆT</t>
        </is>
      </c>
      <c r="W75" t="inlineStr">
        <is>
          <t>🔒 ĐÃ KHÓA</t>
        </is>
      </c>
    </row>
    <row r="76" ht="21" customHeight="1" s="75">
      <c r="A76" s="40" t="n">
        <v>73</v>
      </c>
      <c r="B76" s="60" t="n">
        <v>46258.08229251157</v>
      </c>
      <c r="C76" s="61" t="inlineStr">
        <is>
          <t>EMP-NV10</t>
        </is>
      </c>
      <c r="D76" s="41" t="inlineStr">
        <is>
          <t>Phùng Công Thắng</t>
        </is>
      </c>
      <c r="E76" s="61" t="inlineStr">
        <is>
          <t>M-OKK2-01</t>
        </is>
      </c>
      <c r="F76" s="41" t="inlineStr">
        <is>
          <t>Phùng Công Thắng</t>
        </is>
      </c>
      <c r="G76" s="61" t="inlineStr">
        <is>
          <t>OP-SEALB-NC4</t>
        </is>
      </c>
      <c r="H76" s="41" t="inlineStr">
        <is>
          <t>Thyssen</t>
        </is>
      </c>
      <c r="I76" s="41" t="inlineStr">
        <is>
          <t>Sealing trip, below</t>
        </is>
      </c>
      <c r="J76" s="40" t="inlineStr">
        <is>
          <t>PO-5701</t>
        </is>
      </c>
      <c r="K76" s="41" t="inlineStr">
        <is>
          <t>G/c phay cạnh NC3 kt 12mm</t>
        </is>
      </c>
      <c r="L76" s="44" t="n">
        <v>19918</v>
      </c>
      <c r="M76" s="62" t="n">
        <v>17</v>
      </c>
      <c r="N76" s="44" t="n">
        <v>0</v>
      </c>
      <c r="O76" s="63" t="n">
        <v>8</v>
      </c>
      <c r="P76" s="64">
        <f>L76*M76</f>
        <v/>
      </c>
      <c r="Q76" s="41" t="inlineStr">
        <is>
          <t>Dao phay D50 ( hợp kim )</t>
        </is>
      </c>
      <c r="R76" s="44" t="n">
        <v>0</v>
      </c>
      <c r="S76" s="40" t="inlineStr">
        <is>
          <t>SAI</t>
        </is>
      </c>
      <c r="T76" s="41" t="inlineStr">
        <is>
          <t>Đang gia công dở dang, chuyển ca sau</t>
        </is>
      </c>
      <c r="U76" t="inlineStr">
        <is>
          <t>ĐÃ DUYỆT</t>
        </is>
      </c>
      <c r="V76" t="inlineStr">
        <is>
          <t>ĐÃ PHÊ DUYỆT</t>
        </is>
      </c>
      <c r="W76" t="inlineStr">
        <is>
          <t>🔒 ĐÃ KHÓA</t>
        </is>
      </c>
    </row>
    <row r="77" ht="21" customHeight="1" s="75">
      <c r="A77" s="46" t="n">
        <v>74</v>
      </c>
      <c r="B77" s="66" t="n">
        <v>46258.08262577546</v>
      </c>
      <c r="C77" s="61" t="inlineStr">
        <is>
          <t>EMP-NV10</t>
        </is>
      </c>
      <c r="D77" s="47" t="inlineStr">
        <is>
          <t>Phùng Công Thắng</t>
        </is>
      </c>
      <c r="E77" s="61" t="inlineStr">
        <is>
          <t>M-OKK3-01</t>
        </is>
      </c>
      <c r="F77" s="47" t="inlineStr">
        <is>
          <t>Phùng Công Thắng</t>
        </is>
      </c>
      <c r="G77" s="61" t="inlineStr">
        <is>
          <t>OP-SEALB-NC1</t>
        </is>
      </c>
      <c r="H77" s="47" t="inlineStr">
        <is>
          <t>Thyssen</t>
        </is>
      </c>
      <c r="I77" s="47" t="inlineStr">
        <is>
          <t>Sealing trip, below</t>
        </is>
      </c>
      <c r="J77" s="46" t="inlineStr">
        <is>
          <t>PO-1723</t>
        </is>
      </c>
      <c r="K77" s="47" t="inlineStr">
        <is>
          <t>G/c phay Mp NC1 Kt 47mm</t>
        </is>
      </c>
      <c r="L77" s="50" t="n">
        <v>37200</v>
      </c>
      <c r="M77" s="67" t="n">
        <v>4</v>
      </c>
      <c r="N77" s="50" t="n">
        <v>0</v>
      </c>
      <c r="O77" s="68" t="n">
        <v>4</v>
      </c>
      <c r="P77" s="64">
        <f>L77*M77</f>
        <v/>
      </c>
      <c r="Q77" s="47" t="inlineStr">
        <is>
          <t>Chíp  Pramet (6 cạnh)</t>
        </is>
      </c>
      <c r="R77" s="50" t="n">
        <v>0</v>
      </c>
      <c r="S77" s="46" t="inlineStr">
        <is>
          <t>SAI</t>
        </is>
      </c>
      <c r="T77" s="47" t="inlineStr">
        <is>
          <t>Đang gia công dở dang, chuyển ca sau</t>
        </is>
      </c>
      <c r="U77" t="inlineStr">
        <is>
          <t>ĐÃ DUYỆT</t>
        </is>
      </c>
      <c r="V77" t="inlineStr">
        <is>
          <t>ĐÃ PHÊ DUYỆT</t>
        </is>
      </c>
      <c r="W77" t="inlineStr">
        <is>
          <t>🔒 ĐÃ KHÓA</t>
        </is>
      </c>
    </row>
    <row r="78" ht="21" customHeight="1" s="75">
      <c r="A78" s="40" t="n">
        <v>75</v>
      </c>
      <c r="B78" s="60" t="n">
        <v>46258.08310989584</v>
      </c>
      <c r="C78" s="61" t="inlineStr">
        <is>
          <t>EMP-NV10</t>
        </is>
      </c>
      <c r="D78" s="41" t="inlineStr">
        <is>
          <t>Phùng Công Thắng</t>
        </is>
      </c>
      <c r="E78" s="61" t="inlineStr">
        <is>
          <t>M-OKK3-01</t>
        </is>
      </c>
      <c r="F78" s="41" t="inlineStr">
        <is>
          <t>Phùng Công Thắng</t>
        </is>
      </c>
      <c r="G78" s="61" t="inlineStr">
        <is>
          <t>OP-SEALB-NC2</t>
        </is>
      </c>
      <c r="H78" s="41" t="inlineStr">
        <is>
          <t>Thyssen</t>
        </is>
      </c>
      <c r="I78" s="41" t="inlineStr">
        <is>
          <t>Sealing trip, below</t>
        </is>
      </c>
      <c r="J78" s="40" t="inlineStr">
        <is>
          <t>PO-1827</t>
        </is>
      </c>
      <c r="K78" s="41" t="inlineStr">
        <is>
          <t>G/c phay Mp NC2 Kt 95mm</t>
        </is>
      </c>
      <c r="L78" s="44" t="n">
        <v>37200</v>
      </c>
      <c r="M78" s="62" t="n">
        <v>12</v>
      </c>
      <c r="N78" s="44" t="n">
        <v>0</v>
      </c>
      <c r="O78" s="63" t="n">
        <v>8</v>
      </c>
      <c r="P78" s="64">
        <f>L78*M78</f>
        <v/>
      </c>
      <c r="Q78" s="41" t="inlineStr">
        <is>
          <t>Chíp  Pramet (6 cạnh)</t>
        </is>
      </c>
      <c r="R78" s="44" t="n">
        <v>3</v>
      </c>
      <c r="S78" s="40" t="inlineStr">
        <is>
          <t>SAI</t>
        </is>
      </c>
      <c r="T78" s="41" t="inlineStr">
        <is>
          <t>Đang gia công dở dang, chuyển ca sau</t>
        </is>
      </c>
      <c r="U78" t="inlineStr">
        <is>
          <t>ĐÃ DUYỆT</t>
        </is>
      </c>
      <c r="V78" t="inlineStr">
        <is>
          <t>ĐÃ PHÊ DUYỆT</t>
        </is>
      </c>
      <c r="W78" t="inlineStr">
        <is>
          <t>🔒 ĐÃ KHÓA</t>
        </is>
      </c>
    </row>
    <row r="79" ht="21" customHeight="1" s="75">
      <c r="A79" s="46" t="n">
        <v>76</v>
      </c>
      <c r="B79" s="66" t="n">
        <v>46258.1133756713</v>
      </c>
      <c r="C79" s="61" t="inlineStr">
        <is>
          <t>EMP-NV02</t>
        </is>
      </c>
      <c r="D79" s="47" t="inlineStr">
        <is>
          <t>Phùng Công Thắng</t>
        </is>
      </c>
      <c r="E79" s="61" t="inlineStr">
        <is>
          <t>M-FUJI-01</t>
        </is>
      </c>
      <c r="F79" s="47" t="inlineStr">
        <is>
          <t>Phùng Công Thắng</t>
        </is>
      </c>
      <c r="G79" s="61" t="inlineStr">
        <is>
          <t>OP-GEN-01</t>
        </is>
      </c>
      <c r="H79" s="47" t="inlineStr">
        <is>
          <t>Win-Win</t>
        </is>
      </c>
      <c r="I79" s="47" t="inlineStr">
        <is>
          <t>ISHIZUE 267Dw700</t>
        </is>
      </c>
      <c r="J79" s="46" t="inlineStr">
        <is>
          <t>PO-5402</t>
        </is>
      </c>
      <c r="K79" s="47" t="inlineStr">
        <is>
          <t>G/c hoàn thiện</t>
        </is>
      </c>
      <c r="L79" s="50" t="n">
        <v>55800</v>
      </c>
      <c r="M79" s="67" t="n">
        <v>9</v>
      </c>
      <c r="N79" s="50" t="n">
        <v>0</v>
      </c>
      <c r="O79" s="68" t="n">
        <v>8</v>
      </c>
      <c r="P79" s="64">
        <f>L79*M79</f>
        <v/>
      </c>
      <c r="Q79" s="47" t="inlineStr">
        <is>
          <t>Chíp  R5 THREADEX- P3200</t>
        </is>
      </c>
      <c r="R79" s="50" t="n">
        <v>0</v>
      </c>
      <c r="S79" s="65" t="inlineStr">
        <is>
          <t>ĐÚNG</t>
        </is>
      </c>
      <c r="T79" s="47" t="inlineStr">
        <is>
          <t>Đã xong nguyên công</t>
        </is>
      </c>
      <c r="U79" t="inlineStr">
        <is>
          <t>ĐÃ DUYỆT</t>
        </is>
      </c>
      <c r="V79" t="inlineStr">
        <is>
          <t>ĐÃ PHÊ DUYỆT</t>
        </is>
      </c>
      <c r="W79" t="inlineStr">
        <is>
          <t>🔒 ĐÃ KHÓA</t>
        </is>
      </c>
    </row>
    <row r="80" ht="21" customHeight="1" s="75">
      <c r="A80" s="40" t="n">
        <v>77</v>
      </c>
      <c r="B80" s="60" t="n">
        <v>46258.1140312037</v>
      </c>
      <c r="C80" s="61" t="inlineStr">
        <is>
          <t>EMP-NV02</t>
        </is>
      </c>
      <c r="D80" s="41" t="inlineStr">
        <is>
          <t>Phùng Công Thắng</t>
        </is>
      </c>
      <c r="E80" s="61" t="inlineStr">
        <is>
          <t>M-FUJI-01</t>
        </is>
      </c>
      <c r="F80" s="41" t="inlineStr">
        <is>
          <t>Phùng Công Thắng</t>
        </is>
      </c>
      <c r="G80" s="61" t="inlineStr">
        <is>
          <t>OP-GEN-01</t>
        </is>
      </c>
      <c r="H80" s="41" t="inlineStr">
        <is>
          <t>Win-Win</t>
        </is>
      </c>
      <c r="I80" s="41" t="inlineStr">
        <is>
          <t>ISHIZUE 318Dw800</t>
        </is>
      </c>
      <c r="J80" s="40" t="inlineStr">
        <is>
          <t>PO-5351</t>
        </is>
      </c>
      <c r="K80" s="41" t="inlineStr">
        <is>
          <t>G/c hoàn thiện</t>
        </is>
      </c>
      <c r="L80" s="44" t="n">
        <v>55800</v>
      </c>
      <c r="M80" s="62" t="n">
        <v>1</v>
      </c>
      <c r="N80" s="44" t="n">
        <v>0</v>
      </c>
      <c r="O80" s="63" t="n">
        <v>4</v>
      </c>
      <c r="P80" s="64">
        <f>L80*M80</f>
        <v/>
      </c>
      <c r="Q80" s="41" t="inlineStr">
        <is>
          <t>Chíp  R5 THREADEX- P3200</t>
        </is>
      </c>
      <c r="R80" s="44" t="n">
        <v>0</v>
      </c>
      <c r="S80" s="65" t="inlineStr">
        <is>
          <t>ĐÚNG</t>
        </is>
      </c>
      <c r="T80" s="41" t="inlineStr">
        <is>
          <t>Đã xong nguyên công</t>
        </is>
      </c>
      <c r="U80" t="inlineStr">
        <is>
          <t>ĐÃ DUYỆT</t>
        </is>
      </c>
      <c r="V80" t="inlineStr">
        <is>
          <t>ĐÃ PHÊ DUYỆT</t>
        </is>
      </c>
      <c r="W80" t="inlineStr">
        <is>
          <t>🔒 ĐÃ KHÓA</t>
        </is>
      </c>
    </row>
    <row r="81" ht="21" customHeight="1" s="75">
      <c r="A81" s="46" t="n">
        <v>78</v>
      </c>
      <c r="B81" s="66" t="n">
        <v>46258.11463590278</v>
      </c>
      <c r="C81" s="61" t="inlineStr">
        <is>
          <t>EMP-NV02</t>
        </is>
      </c>
      <c r="D81" s="47" t="inlineStr">
        <is>
          <t>Phùng Công Thắng</t>
        </is>
      </c>
      <c r="E81" s="61" t="inlineStr">
        <is>
          <t>M-FUJI-01</t>
        </is>
      </c>
      <c r="F81" s="47" t="inlineStr">
        <is>
          <t>Phùng Công Thắng</t>
        </is>
      </c>
      <c r="G81" s="61" t="inlineStr">
        <is>
          <t>OP-GEN-01</t>
        </is>
      </c>
      <c r="H81" s="47" t="inlineStr">
        <is>
          <t>Win-Win</t>
        </is>
      </c>
      <c r="I81" s="47" t="inlineStr">
        <is>
          <t>ISHIZUE 318Dw650</t>
        </is>
      </c>
      <c r="J81" s="46" t="inlineStr">
        <is>
          <t>PO-6085</t>
        </is>
      </c>
      <c r="K81" s="47" t="inlineStr">
        <is>
          <t>G/c hoàn thiện</t>
        </is>
      </c>
      <c r="L81" s="50" t="n">
        <v>55800</v>
      </c>
      <c r="M81" s="67" t="n">
        <v>1</v>
      </c>
      <c r="N81" s="50" t="n">
        <v>0</v>
      </c>
      <c r="O81" s="68" t="n">
        <v>4</v>
      </c>
      <c r="P81" s="64">
        <f>L81*M81</f>
        <v/>
      </c>
      <c r="Q81" s="47" t="inlineStr">
        <is>
          <t>Chíp  R5 THREADEX- P3200</t>
        </is>
      </c>
      <c r="R81" s="50" t="n">
        <v>0</v>
      </c>
      <c r="S81" s="65" t="inlineStr">
        <is>
          <t>ĐÚNG</t>
        </is>
      </c>
      <c r="T81" s="47" t="inlineStr">
        <is>
          <t>Đã xong nguyên công</t>
        </is>
      </c>
      <c r="U81" t="inlineStr">
        <is>
          <t>ĐÃ DUYỆT</t>
        </is>
      </c>
      <c r="V81" t="inlineStr">
        <is>
          <t>ĐÃ PHÊ DUYỆT</t>
        </is>
      </c>
      <c r="W81" t="inlineStr">
        <is>
          <t>🔒 ĐÃ KHÓA</t>
        </is>
      </c>
    </row>
    <row r="82" ht="21" customHeight="1" s="75">
      <c r="A82" s="40" t="n">
        <v>79</v>
      </c>
      <c r="B82" s="60" t="n">
        <v>46258.11528108796</v>
      </c>
      <c r="C82" s="61" t="inlineStr">
        <is>
          <t>EMP-NV02</t>
        </is>
      </c>
      <c r="D82" s="41" t="inlineStr">
        <is>
          <t>Phùng Công Thắng</t>
        </is>
      </c>
      <c r="E82" s="61" t="inlineStr">
        <is>
          <t>M-FUJI-01</t>
        </is>
      </c>
      <c r="F82" s="41" t="inlineStr">
        <is>
          <t>Phùng Công Thắng</t>
        </is>
      </c>
      <c r="G82" s="61" t="inlineStr">
        <is>
          <t>OP-ISH355-NC3</t>
        </is>
      </c>
      <c r="H82" s="41" t="inlineStr">
        <is>
          <t>Win-Win</t>
        </is>
      </c>
      <c r="I82" s="41" t="inlineStr">
        <is>
          <t>ISHIZUE 355Dw900</t>
        </is>
      </c>
      <c r="J82" s="40" t="inlineStr">
        <is>
          <t>PO-6498</t>
        </is>
      </c>
      <c r="K82" s="41" t="inlineStr">
        <is>
          <t>G/c hoàn thiện</t>
        </is>
      </c>
      <c r="L82" s="44" t="n">
        <v>55800</v>
      </c>
      <c r="M82" s="62" t="n">
        <v>1</v>
      </c>
      <c r="N82" s="44" t="n">
        <v>0</v>
      </c>
      <c r="O82" s="63" t="n">
        <v>4</v>
      </c>
      <c r="P82" s="64">
        <f>L82*M82</f>
        <v/>
      </c>
      <c r="Q82" s="41" t="inlineStr">
        <is>
          <t>Chíp  R5 THREADEX- P3200</t>
        </is>
      </c>
      <c r="R82" s="44" t="n">
        <v>0</v>
      </c>
      <c r="S82" s="65" t="inlineStr">
        <is>
          <t>ĐÚNG</t>
        </is>
      </c>
      <c r="T82" s="41" t="inlineStr">
        <is>
          <t>Đã xong nguyên công</t>
        </is>
      </c>
      <c r="U82" t="inlineStr">
        <is>
          <t>ĐÃ DUYỆT</t>
        </is>
      </c>
      <c r="V82" t="inlineStr">
        <is>
          <t>ĐÃ PHÊ DUYỆT</t>
        </is>
      </c>
      <c r="W82" t="inlineStr">
        <is>
          <t>🔒 ĐÃ KHÓA</t>
        </is>
      </c>
    </row>
    <row r="83" ht="21" customHeight="1" s="75">
      <c r="A83" s="46" t="n">
        <v>80</v>
      </c>
      <c r="B83" s="66" t="n">
        <v>46258.11611981482</v>
      </c>
      <c r="C83" s="61" t="inlineStr">
        <is>
          <t>EMP-NV02</t>
        </is>
      </c>
      <c r="D83" s="47" t="inlineStr">
        <is>
          <t>Phùng Công Thắng</t>
        </is>
      </c>
      <c r="E83" s="61" t="inlineStr">
        <is>
          <t>M-DK7780-01</t>
        </is>
      </c>
      <c r="F83" s="47" t="inlineStr">
        <is>
          <t>Phùng Công Thắng</t>
        </is>
      </c>
      <c r="G83" s="61" t="inlineStr">
        <is>
          <t>OP-GEN-01</t>
        </is>
      </c>
      <c r="H83" s="47" t="inlineStr">
        <is>
          <t>Vico- QLTB</t>
        </is>
      </c>
      <c r="I83" s="47" t="inlineStr">
        <is>
          <t>Mẫu Thử CR &amp; hàng #</t>
        </is>
      </c>
      <c r="J83" s="46" t="inlineStr">
        <is>
          <t>PO-8233</t>
        </is>
      </c>
      <c r="K83" s="47" t="inlineStr">
        <is>
          <t>G/c hoàn thiện</t>
        </is>
      </c>
      <c r="L83" s="50" t="n">
        <v>83700</v>
      </c>
      <c r="M83" s="67" t="n">
        <v>5</v>
      </c>
      <c r="N83" s="50" t="n">
        <v>0</v>
      </c>
      <c r="O83" s="68" t="n">
        <v>8</v>
      </c>
      <c r="P83" s="64">
        <f>L83*M83</f>
        <v/>
      </c>
      <c r="Q83" s="47" t="inlineStr">
        <is>
          <t>Dây cắt CNC</t>
        </is>
      </c>
      <c r="R83" s="50" t="n">
        <v>0</v>
      </c>
      <c r="S83" s="65" t="inlineStr">
        <is>
          <t>ĐÚNG</t>
        </is>
      </c>
      <c r="T83" s="47" t="inlineStr">
        <is>
          <t>Đã xong nguyên công</t>
        </is>
      </c>
      <c r="U83" t="inlineStr">
        <is>
          <t>ĐÃ DUYỆT</t>
        </is>
      </c>
      <c r="V83" t="inlineStr">
        <is>
          <t>ĐÃ PHÊ DUYỆT</t>
        </is>
      </c>
      <c r="W83" t="inlineStr">
        <is>
          <t>🔒 ĐÃ KHÓA</t>
        </is>
      </c>
    </row>
    <row r="84" ht="21" customHeight="1" s="75">
      <c r="A84" s="40" t="n">
        <v>81</v>
      </c>
      <c r="B84" s="60" t="n">
        <v>46258.28798024305</v>
      </c>
      <c r="C84" s="61" t="inlineStr">
        <is>
          <t>EMP-NV12</t>
        </is>
      </c>
      <c r="D84" s="41" t="inlineStr">
        <is>
          <t>Phùng Công Thắng</t>
        </is>
      </c>
      <c r="E84" s="61" t="inlineStr">
        <is>
          <t>M-DK7745-01</t>
        </is>
      </c>
      <c r="F84" s="41" t="inlineStr">
        <is>
          <t>Phùng Công Thắng</t>
        </is>
      </c>
      <c r="G84" s="61" t="inlineStr">
        <is>
          <t>OP-GEN-01</t>
        </is>
      </c>
      <c r="H84" s="41" t="inlineStr">
        <is>
          <t>Vico- QLTB</t>
        </is>
      </c>
      <c r="I84" s="41" t="inlineStr">
        <is>
          <t>Mẫu Thử CR &amp; hàng #</t>
        </is>
      </c>
      <c r="J84" s="40" t="inlineStr">
        <is>
          <t>PO-7200</t>
        </is>
      </c>
      <c r="K84" s="41" t="inlineStr">
        <is>
          <t>G/c hoàn thiện</t>
        </is>
      </c>
      <c r="L84" s="44" t="n">
        <v>83700</v>
      </c>
      <c r="M84" s="62" t="n">
        <v>4</v>
      </c>
      <c r="N84" s="44" t="n">
        <v>0</v>
      </c>
      <c r="O84" s="63" t="n">
        <v>4</v>
      </c>
      <c r="P84" s="64">
        <f>L84*M84</f>
        <v/>
      </c>
      <c r="Q84" s="41" t="inlineStr">
        <is>
          <t>Dây cắt CNC</t>
        </is>
      </c>
      <c r="R84" s="44" t="n">
        <v>0</v>
      </c>
      <c r="S84" s="65" t="inlineStr">
        <is>
          <t>ĐÚNG</t>
        </is>
      </c>
      <c r="T84" s="41" t="inlineStr">
        <is>
          <t>Đã xong nguyên công</t>
        </is>
      </c>
      <c r="U84" t="inlineStr">
        <is>
          <t>ĐÃ DUYỆT</t>
        </is>
      </c>
      <c r="V84" t="inlineStr">
        <is>
          <t>ĐÃ PHÊ DUYỆT</t>
        </is>
      </c>
      <c r="W84" t="inlineStr">
        <is>
          <t>🔒 ĐÃ KHÓA</t>
        </is>
      </c>
    </row>
    <row r="85" ht="21" customHeight="1" s="75">
      <c r="A85" s="46" t="n">
        <v>82</v>
      </c>
      <c r="B85" s="66" t="n">
        <v>46258.28856467592</v>
      </c>
      <c r="C85" s="61" t="inlineStr">
        <is>
          <t>EMP-NV12</t>
        </is>
      </c>
      <c r="D85" s="47" t="inlineStr">
        <is>
          <t>Phùng Công Thắng</t>
        </is>
      </c>
      <c r="E85" s="61" t="inlineStr">
        <is>
          <t>M-DK7745-01</t>
        </is>
      </c>
      <c r="F85" s="47" t="inlineStr">
        <is>
          <t>Phùng Công Thắng</t>
        </is>
      </c>
      <c r="G85" s="61" t="inlineStr">
        <is>
          <t>OP-GEN-01</t>
        </is>
      </c>
      <c r="H85" s="47" t="inlineStr">
        <is>
          <t>Vico- QLTB</t>
        </is>
      </c>
      <c r="I85" s="47" t="inlineStr">
        <is>
          <t>Mẫu kéo nén</t>
        </is>
      </c>
      <c r="J85" s="46" t="inlineStr">
        <is>
          <t>PO-3044</t>
        </is>
      </c>
      <c r="K85" s="47" t="inlineStr">
        <is>
          <t>G/c ht theo bản vẽ</t>
        </is>
      </c>
      <c r="L85" s="50" t="n">
        <v>55800</v>
      </c>
      <c r="M85" s="67" t="n">
        <v>3</v>
      </c>
      <c r="N85" s="50" t="n">
        <v>0</v>
      </c>
      <c r="O85" s="68" t="n">
        <v>4</v>
      </c>
      <c r="P85" s="64">
        <f>L85*M85</f>
        <v/>
      </c>
      <c r="Q85" s="47" t="inlineStr">
        <is>
          <t>Dây cắt CNC</t>
        </is>
      </c>
      <c r="R85" s="50" t="n">
        <v>0</v>
      </c>
      <c r="S85" s="65" t="inlineStr">
        <is>
          <t>ĐÚNG</t>
        </is>
      </c>
      <c r="T85" s="47" t="inlineStr">
        <is>
          <t>Đã xong nguyên công</t>
        </is>
      </c>
      <c r="U85" t="inlineStr">
        <is>
          <t>ĐÃ DUYỆT</t>
        </is>
      </c>
      <c r="V85" t="inlineStr">
        <is>
          <t>ĐÃ PHÊ DUYỆT</t>
        </is>
      </c>
      <c r="W85" t="inlineStr">
        <is>
          <t>🔒 ĐÃ KHÓA</t>
        </is>
      </c>
    </row>
    <row r="86" ht="21" customHeight="1" s="75">
      <c r="A86" s="40" t="n">
        <v>83</v>
      </c>
      <c r="B86" s="60" t="n">
        <v>46258.28915412037</v>
      </c>
      <c r="C86" s="61" t="inlineStr">
        <is>
          <t>EMP-NV12</t>
        </is>
      </c>
      <c r="D86" s="41" t="inlineStr">
        <is>
          <t>Phùng Công Thắng</t>
        </is>
      </c>
      <c r="E86" s="61" t="inlineStr">
        <is>
          <t>M-OKUMA-01</t>
        </is>
      </c>
      <c r="F86" s="41" t="inlineStr">
        <is>
          <t>Phùng Công Thắng</t>
        </is>
      </c>
      <c r="G86" s="61" t="inlineStr">
        <is>
          <t>OP-GEN-01</t>
        </is>
      </c>
      <c r="H86" s="41" t="inlineStr">
        <is>
          <t>Vico- QLTB</t>
        </is>
      </c>
      <c r="I86" s="41" t="inlineStr">
        <is>
          <t>Mẫu kéo nén</t>
        </is>
      </c>
      <c r="J86" s="40" t="inlineStr">
        <is>
          <t>PO-3758</t>
        </is>
      </c>
      <c r="K86" s="41" t="inlineStr">
        <is>
          <t>G/c ht theo bản vẽ</t>
        </is>
      </c>
      <c r="L86" s="44" t="n">
        <v>55800</v>
      </c>
      <c r="M86" s="62" t="n">
        <v>1</v>
      </c>
      <c r="N86" s="44" t="n">
        <v>0</v>
      </c>
      <c r="O86" s="63" t="n">
        <v>4</v>
      </c>
      <c r="P86" s="64">
        <f>L86*M86</f>
        <v/>
      </c>
      <c r="Q86" s="41" t="inlineStr">
        <is>
          <t>Chíp  TNMG160408 WINSTAR RP- CX2555 ( 3 cạnh thẳng)</t>
        </is>
      </c>
      <c r="R86" s="44" t="n">
        <v>0</v>
      </c>
      <c r="S86" s="65" t="inlineStr">
        <is>
          <t>ĐÚNG</t>
        </is>
      </c>
      <c r="T86" s="41" t="inlineStr">
        <is>
          <t>Đã xong nguyên công</t>
        </is>
      </c>
      <c r="U86" t="inlineStr">
        <is>
          <t>ĐÃ DUYỆT</t>
        </is>
      </c>
      <c r="V86" t="inlineStr">
        <is>
          <t>ĐÃ PHÊ DUYỆT</t>
        </is>
      </c>
      <c r="W86" t="inlineStr">
        <is>
          <t>🔒 ĐÃ KHÓA</t>
        </is>
      </c>
    </row>
    <row r="87" ht="21" customHeight="1" s="75">
      <c r="A87" s="46" t="n">
        <v>84</v>
      </c>
      <c r="B87" s="66" t="n">
        <v>46258.28984096065</v>
      </c>
      <c r="C87" s="61" t="inlineStr">
        <is>
          <t>EMP-NV12</t>
        </is>
      </c>
      <c r="D87" s="47" t="inlineStr">
        <is>
          <t>Phùng Công Thắng</t>
        </is>
      </c>
      <c r="E87" s="61" t="inlineStr">
        <is>
          <t>M-OKK1-01</t>
        </is>
      </c>
      <c r="F87" s="47" t="inlineStr">
        <is>
          <t>Phùng Công Thắng</t>
        </is>
      </c>
      <c r="G87" s="61" t="inlineStr">
        <is>
          <t>OP-SEALB-NC4</t>
        </is>
      </c>
      <c r="H87" s="47" t="inlineStr">
        <is>
          <t>Thyssen</t>
        </is>
      </c>
      <c r="I87" s="47" t="inlineStr">
        <is>
          <t>Sealing strip, above</t>
        </is>
      </c>
      <c r="J87" s="46" t="inlineStr">
        <is>
          <t>PO-5248</t>
        </is>
      </c>
      <c r="K87" s="47" t="inlineStr">
        <is>
          <t>G/c doa lỗ phi 32</t>
        </is>
      </c>
      <c r="L87" s="50" t="n">
        <v>26148</v>
      </c>
      <c r="M87" s="67" t="n">
        <v>60</v>
      </c>
      <c r="N87" s="50" t="n">
        <v>0</v>
      </c>
      <c r="O87" s="68" t="n">
        <v>8</v>
      </c>
      <c r="P87" s="64">
        <f>L87*M87</f>
        <v/>
      </c>
      <c r="Q87" s="47" t="inlineStr">
        <is>
          <t>Mũi khoan</t>
        </is>
      </c>
      <c r="R87" s="50" t="n">
        <v>0</v>
      </c>
      <c r="S87" s="46" t="inlineStr">
        <is>
          <t>SAI</t>
        </is>
      </c>
      <c r="T87" s="47" t="inlineStr">
        <is>
          <t>Đang gia công dở dang, chuyển ca sau</t>
        </is>
      </c>
      <c r="U87" t="inlineStr">
        <is>
          <t>ĐÃ DUYỆT</t>
        </is>
      </c>
      <c r="V87" t="inlineStr">
        <is>
          <t>ĐÃ PHÊ DUYỆT</t>
        </is>
      </c>
      <c r="W87" t="inlineStr">
        <is>
          <t>🔒 ĐÃ KHÓA</t>
        </is>
      </c>
    </row>
    <row r="88" ht="21" customHeight="1" s="75">
      <c r="A88" s="40" t="n">
        <v>85</v>
      </c>
      <c r="B88" s="60" t="n">
        <v>46258.32637232639</v>
      </c>
      <c r="C88" s="61" t="inlineStr">
        <is>
          <t>EMP-NV06</t>
        </is>
      </c>
      <c r="D88" s="41" t="inlineStr">
        <is>
          <t>Phùng Công Thắng</t>
        </is>
      </c>
      <c r="E88" s="61" t="inlineStr">
        <is>
          <t>M-T630-01</t>
        </is>
      </c>
      <c r="F88" s="41" t="inlineStr">
        <is>
          <t>Phùng Công Thắng</t>
        </is>
      </c>
      <c r="G88" s="61" t="inlineStr">
        <is>
          <t>OP-GEN-01</t>
        </is>
      </c>
      <c r="H88" s="41" t="inlineStr">
        <is>
          <t>Win-Win</t>
        </is>
      </c>
      <c r="I88" s="41" t="inlineStr">
        <is>
          <t>ISHIZUE 216Dw550</t>
        </is>
      </c>
      <c r="J88" s="40" t="inlineStr">
        <is>
          <t>PO-7795</t>
        </is>
      </c>
      <c r="K88" s="41" t="inlineStr">
        <is>
          <t>G/c hoàn thiện</t>
        </is>
      </c>
      <c r="L88" s="44" t="n">
        <v>29884</v>
      </c>
      <c r="M88" s="62" t="n">
        <v>4</v>
      </c>
      <c r="N88" s="44" t="n">
        <v>0</v>
      </c>
      <c r="O88" s="63" t="n">
        <v>4</v>
      </c>
      <c r="P88" s="64">
        <f>L88*M88</f>
        <v/>
      </c>
      <c r="Q88" s="41" t="inlineStr">
        <is>
          <t>Chíp  R5 THREADEX- P3200</t>
        </is>
      </c>
      <c r="R88" s="44" t="n">
        <v>0</v>
      </c>
      <c r="S88" s="65" t="inlineStr">
        <is>
          <t>ĐÚNG</t>
        </is>
      </c>
      <c r="T88" s="41" t="inlineStr">
        <is>
          <t>Đã xong nguyên công</t>
        </is>
      </c>
      <c r="U88" t="inlineStr">
        <is>
          <t>ĐÃ DUYỆT</t>
        </is>
      </c>
      <c r="V88" t="inlineStr">
        <is>
          <t>ĐÃ PHÊ DUYỆT</t>
        </is>
      </c>
      <c r="W88" t="inlineStr">
        <is>
          <t>🔒 ĐÃ KHÓA</t>
        </is>
      </c>
    </row>
    <row r="89" ht="21" customHeight="1" s="75">
      <c r="A89" s="46" t="n">
        <v>86</v>
      </c>
      <c r="B89" s="66" t="n">
        <v>46258.32700230324</v>
      </c>
      <c r="C89" s="61" t="inlineStr">
        <is>
          <t>EMP-NV06</t>
        </is>
      </c>
      <c r="D89" s="47" t="inlineStr">
        <is>
          <t>Phùng Công Thắng</t>
        </is>
      </c>
      <c r="E89" s="61" t="inlineStr">
        <is>
          <t>M-OKUMA-01</t>
        </is>
      </c>
      <c r="F89" s="47" t="inlineStr">
        <is>
          <t>Phùng Công Thắng</t>
        </is>
      </c>
      <c r="G89" s="61" t="inlineStr">
        <is>
          <t>OP-ISH114-NC1</t>
        </is>
      </c>
      <c r="H89" s="47" t="inlineStr">
        <is>
          <t>Win-Win</t>
        </is>
      </c>
      <c r="I89" s="47" t="inlineStr">
        <is>
          <t>ISHIZUE 114Dw300</t>
        </is>
      </c>
      <c r="J89" s="46" t="inlineStr">
        <is>
          <t>PO-7830</t>
        </is>
      </c>
      <c r="K89" s="47" t="inlineStr">
        <is>
          <t>G/c hoàn thiện</t>
        </is>
      </c>
      <c r="L89" s="50" t="n">
        <v>83700</v>
      </c>
      <c r="M89" s="67" t="n">
        <v>54</v>
      </c>
      <c r="N89" s="50" t="n">
        <v>28</v>
      </c>
      <c r="O89" s="68" t="n">
        <v>8</v>
      </c>
      <c r="P89" s="64">
        <f>L89*M89</f>
        <v/>
      </c>
      <c r="Q89" s="47" t="inlineStr">
        <is>
          <t>Chíp  R5 THREADEX- P3200</t>
        </is>
      </c>
      <c r="R89" s="50" t="n">
        <v>0</v>
      </c>
      <c r="S89" s="65" t="inlineStr">
        <is>
          <t>ĐÚNG</t>
        </is>
      </c>
      <c r="T89" s="47" t="inlineStr">
        <is>
          <t>Đã xong nguyên công</t>
        </is>
      </c>
      <c r="U89" t="inlineStr">
        <is>
          <t>ĐÃ DUYỆT</t>
        </is>
      </c>
      <c r="V89" t="inlineStr">
        <is>
          <t>ĐÃ PHÊ DUYỆT</t>
        </is>
      </c>
      <c r="W89" t="inlineStr">
        <is>
          <t>🔒 ĐÃ KHÓA</t>
        </is>
      </c>
    </row>
    <row r="90" ht="21" customHeight="1" s="75">
      <c r="A90" s="40" t="n">
        <v>87</v>
      </c>
      <c r="B90" s="60" t="n">
        <v>46258.32748761574</v>
      </c>
      <c r="C90" s="61" t="inlineStr">
        <is>
          <t>EMP-NV06</t>
        </is>
      </c>
      <c r="D90" s="41" t="inlineStr">
        <is>
          <t>Phùng Công Thắng</t>
        </is>
      </c>
      <c r="E90" s="61" t="inlineStr">
        <is>
          <t>M-PODA-01</t>
        </is>
      </c>
      <c r="F90" s="41" t="inlineStr">
        <is>
          <t>Phùng Công Thắng</t>
        </is>
      </c>
      <c r="G90" s="61" t="inlineStr">
        <is>
          <t>OP-OPDAO-NC1</t>
        </is>
      </c>
      <c r="H90" s="41" t="inlineStr">
        <is>
          <t>Luợng- KS Tường Long</t>
        </is>
      </c>
      <c r="I90" s="41" t="inlineStr">
        <is>
          <t>Ốp dao nhào trên (Bộ bên trái)</t>
        </is>
      </c>
      <c r="J90" s="40" t="inlineStr">
        <is>
          <t>PO-1537</t>
        </is>
      </c>
      <c r="K90" s="41" t="inlineStr">
        <is>
          <t>G/c cắt dây</t>
        </is>
      </c>
      <c r="L90" s="44" t="n">
        <v>148800</v>
      </c>
      <c r="M90" s="62" t="n">
        <v>1</v>
      </c>
      <c r="N90" s="44" t="n">
        <v>0</v>
      </c>
      <c r="O90" s="63" t="n">
        <v>4</v>
      </c>
      <c r="P90" s="64">
        <f>L90*M90</f>
        <v/>
      </c>
      <c r="Q90" s="41" t="inlineStr">
        <is>
          <t>Dây cắt CNC</t>
        </is>
      </c>
      <c r="R90" s="44" t="n">
        <v>0</v>
      </c>
      <c r="S90" s="65" t="inlineStr">
        <is>
          <t>ĐÚNG</t>
        </is>
      </c>
      <c r="T90" s="41" t="inlineStr">
        <is>
          <t>Đã xong nguyên công</t>
        </is>
      </c>
      <c r="U90" t="inlineStr">
        <is>
          <t>ĐÃ DUYỆT</t>
        </is>
      </c>
      <c r="V90" t="inlineStr">
        <is>
          <t>ĐÃ PHÊ DUYỆT</t>
        </is>
      </c>
      <c r="W90" t="inlineStr">
        <is>
          <t>🔒 ĐÃ KHÓA</t>
        </is>
      </c>
    </row>
    <row r="91" ht="21" customHeight="1" s="75">
      <c r="A91" s="46" t="n">
        <v>88</v>
      </c>
      <c r="B91" s="66" t="n">
        <v>46258.32801774306</v>
      </c>
      <c r="C91" s="61" t="inlineStr">
        <is>
          <t>EMP-NV06</t>
        </is>
      </c>
      <c r="D91" s="47" t="inlineStr">
        <is>
          <t>Phùng Công Thắng</t>
        </is>
      </c>
      <c r="E91" s="61" t="inlineStr">
        <is>
          <t>M-PODA-01</t>
        </is>
      </c>
      <c r="F91" s="47" t="inlineStr">
        <is>
          <t>Phùng Công Thắng</t>
        </is>
      </c>
      <c r="G91" s="61" t="inlineStr">
        <is>
          <t>OP-GEN-01</t>
        </is>
      </c>
      <c r="H91" s="47" t="inlineStr">
        <is>
          <t>Molycop</t>
        </is>
      </c>
      <c r="I91" s="47" t="inlineStr">
        <is>
          <t>Bi 40</t>
        </is>
      </c>
      <c r="J91" s="46" t="inlineStr">
        <is>
          <t>PO-9933</t>
        </is>
      </c>
      <c r="K91" s="47" t="inlineStr">
        <is>
          <t>G/c cắt dây</t>
        </is>
      </c>
      <c r="L91" s="50" t="n">
        <v>6510</v>
      </c>
      <c r="M91" s="67" t="n">
        <v>5</v>
      </c>
      <c r="N91" s="50" t="n">
        <v>0</v>
      </c>
      <c r="O91" s="68" t="n">
        <v>8</v>
      </c>
      <c r="P91" s="64">
        <f>L91*M91</f>
        <v/>
      </c>
      <c r="Q91" s="47" t="inlineStr">
        <is>
          <t>Dây cắt CNC</t>
        </is>
      </c>
      <c r="R91" s="50" t="n">
        <v>0</v>
      </c>
      <c r="S91" s="65" t="inlineStr">
        <is>
          <t>ĐÚNG</t>
        </is>
      </c>
      <c r="T91" s="47" t="inlineStr">
        <is>
          <t>Đã xong nguyên công</t>
        </is>
      </c>
      <c r="U91" t="inlineStr">
        <is>
          <t>ĐÃ DUYỆT</t>
        </is>
      </c>
      <c r="V91" t="inlineStr">
        <is>
          <t>ĐÃ PHÊ DUYỆT</t>
        </is>
      </c>
      <c r="W91" t="inlineStr">
        <is>
          <t>🔒 ĐÃ KHÓA</t>
        </is>
      </c>
    </row>
    <row r="92" ht="21" customHeight="1" s="75">
      <c r="A92" s="40" t="n">
        <v>89</v>
      </c>
      <c r="B92" s="60" t="n">
        <v>46258.34565454861</v>
      </c>
      <c r="C92" s="61" t="inlineStr">
        <is>
          <t>EMP-NV11</t>
        </is>
      </c>
      <c r="D92" s="41" t="inlineStr">
        <is>
          <t>Phùng Công Thắng</t>
        </is>
      </c>
      <c r="E92" s="61" t="inlineStr">
        <is>
          <t>M-FUJI-01</t>
        </is>
      </c>
      <c r="F92" s="41" t="inlineStr">
        <is>
          <t>Phùng Công Thắng</t>
        </is>
      </c>
      <c r="G92" s="61" t="inlineStr">
        <is>
          <t>OP-GEN-01</t>
        </is>
      </c>
      <c r="H92" s="41" t="inlineStr">
        <is>
          <t>Win-Win</t>
        </is>
      </c>
      <c r="I92" s="41" t="inlineStr">
        <is>
          <t>ISHIZUE 318Dw650</t>
        </is>
      </c>
      <c r="J92" s="40" t="inlineStr">
        <is>
          <t>PO-5060</t>
        </is>
      </c>
      <c r="K92" s="41" t="inlineStr">
        <is>
          <t>G/c hoàn thiện</t>
        </is>
      </c>
      <c r="L92" s="44" t="n">
        <v>55800</v>
      </c>
      <c r="M92" s="62" t="n">
        <v>3</v>
      </c>
      <c r="N92" s="44" t="n">
        <v>3</v>
      </c>
      <c r="O92" s="63" t="n">
        <v>4</v>
      </c>
      <c r="P92" s="64">
        <f>L92*M92</f>
        <v/>
      </c>
      <c r="Q92" s="41" t="inlineStr">
        <is>
          <t>Chíp  R5 THREADEX- P3200</t>
        </is>
      </c>
      <c r="R92" s="44" t="n">
        <v>0</v>
      </c>
      <c r="S92" s="65" t="inlineStr">
        <is>
          <t>ĐÚNG</t>
        </is>
      </c>
      <c r="T92" s="41" t="inlineStr">
        <is>
          <t>Đã xong nguyên công</t>
        </is>
      </c>
      <c r="U92" t="inlineStr">
        <is>
          <t>ĐÃ DUYỆT</t>
        </is>
      </c>
      <c r="V92" t="inlineStr">
        <is>
          <t>ĐÃ PHÊ DUYỆT</t>
        </is>
      </c>
      <c r="W92" t="inlineStr">
        <is>
          <t>🔒 ĐÃ KHÓA</t>
        </is>
      </c>
    </row>
    <row r="93" ht="21" customHeight="1" s="75">
      <c r="A93" s="46" t="n">
        <v>90</v>
      </c>
      <c r="B93" s="66" t="n">
        <v>46258.3462546412</v>
      </c>
      <c r="C93" s="61" t="inlineStr">
        <is>
          <t>EMP-NV11</t>
        </is>
      </c>
      <c r="D93" s="47" t="inlineStr">
        <is>
          <t>Phùng Công Thắng</t>
        </is>
      </c>
      <c r="E93" s="61" t="inlineStr">
        <is>
          <t>M-FUJI-01</t>
        </is>
      </c>
      <c r="F93" s="47" t="inlineStr">
        <is>
          <t>Phùng Công Thắng</t>
        </is>
      </c>
      <c r="G93" s="61" t="inlineStr">
        <is>
          <t>OP-GEN-01</t>
        </is>
      </c>
      <c r="H93" s="47" t="inlineStr">
        <is>
          <t>Win-Win</t>
        </is>
      </c>
      <c r="I93" s="47" t="inlineStr">
        <is>
          <t>ISHIZUE 267Dw700</t>
        </is>
      </c>
      <c r="J93" s="46" t="inlineStr">
        <is>
          <t>PO-1525</t>
        </is>
      </c>
      <c r="K93" s="47" t="inlineStr">
        <is>
          <t>G/c hoàn thiện</t>
        </is>
      </c>
      <c r="L93" s="50" t="n">
        <v>55800</v>
      </c>
      <c r="M93" s="67" t="n">
        <v>6</v>
      </c>
      <c r="N93" s="50" t="n">
        <v>0</v>
      </c>
      <c r="O93" s="68" t="n">
        <v>8</v>
      </c>
      <c r="P93" s="64">
        <f>L93*M93</f>
        <v/>
      </c>
      <c r="Q93" s="47" t="inlineStr">
        <is>
          <t>Chíp  R5 THREADEX- P3200</t>
        </is>
      </c>
      <c r="R93" s="50" t="n">
        <v>0</v>
      </c>
      <c r="S93" s="65" t="inlineStr">
        <is>
          <t>ĐÚNG</t>
        </is>
      </c>
      <c r="T93" s="47" t="inlineStr">
        <is>
          <t>Đã xong nguyên công</t>
        </is>
      </c>
      <c r="U93" t="inlineStr">
        <is>
          <t>ĐÃ DUYỆT</t>
        </is>
      </c>
      <c r="V93" t="inlineStr">
        <is>
          <t>ĐÃ PHÊ DUYỆT</t>
        </is>
      </c>
      <c r="W93" t="inlineStr">
        <is>
          <t>🔒 ĐÃ KHÓA</t>
        </is>
      </c>
    </row>
    <row r="94" ht="21" customHeight="1" s="75">
      <c r="A94" s="40" t="n">
        <v>91</v>
      </c>
      <c r="B94" s="60" t="n">
        <v>46258.34676828704</v>
      </c>
      <c r="C94" s="61" t="inlineStr">
        <is>
          <t>EMP-NV11</t>
        </is>
      </c>
      <c r="D94" s="41" t="inlineStr">
        <is>
          <t>Phùng Công Thắng</t>
        </is>
      </c>
      <c r="E94" s="61" t="inlineStr">
        <is>
          <t>M-FUJI-01</t>
        </is>
      </c>
      <c r="F94" s="41" t="inlineStr">
        <is>
          <t>Phùng Công Thắng</t>
        </is>
      </c>
      <c r="G94" s="61" t="inlineStr">
        <is>
          <t>OP-GEN-01</t>
        </is>
      </c>
      <c r="H94" s="41" t="inlineStr">
        <is>
          <t>Win-Win</t>
        </is>
      </c>
      <c r="I94" s="41" t="inlineStr">
        <is>
          <t>ISHIZUE 267Dw800</t>
        </is>
      </c>
      <c r="J94" s="40" t="inlineStr">
        <is>
          <t>PO-4700</t>
        </is>
      </c>
      <c r="K94" s="41" t="inlineStr">
        <is>
          <t>G/c hoàn thiện</t>
        </is>
      </c>
      <c r="L94" s="44" t="n">
        <v>55800</v>
      </c>
      <c r="M94" s="62" t="n">
        <v>2</v>
      </c>
      <c r="N94" s="44" t="n">
        <v>0</v>
      </c>
      <c r="O94" s="63" t="n">
        <v>4</v>
      </c>
      <c r="P94" s="64">
        <f>L94*M94</f>
        <v/>
      </c>
      <c r="Q94" s="41" t="inlineStr">
        <is>
          <t>Chíp  R5 THREADEX- P3200</t>
        </is>
      </c>
      <c r="R94" s="44" t="n">
        <v>0</v>
      </c>
      <c r="S94" s="65" t="inlineStr">
        <is>
          <t>ĐÚNG</t>
        </is>
      </c>
      <c r="T94" s="41" t="inlineStr">
        <is>
          <t>Đã xong nguyên công</t>
        </is>
      </c>
      <c r="U94" t="inlineStr">
        <is>
          <t>ĐÃ DUYỆT</t>
        </is>
      </c>
      <c r="V94" t="inlineStr">
        <is>
          <t>ĐÃ PHÊ DUYỆT</t>
        </is>
      </c>
      <c r="W94" t="inlineStr">
        <is>
          <t>🔒 ĐÃ KHÓA</t>
        </is>
      </c>
    </row>
    <row r="95" ht="21" customHeight="1" s="75">
      <c r="A95" s="46" t="n">
        <v>92</v>
      </c>
      <c r="B95" s="66" t="n">
        <v>46258.35670607639</v>
      </c>
      <c r="C95" s="61" t="inlineStr">
        <is>
          <t>EMP-NV04</t>
        </is>
      </c>
      <c r="D95" s="47" t="inlineStr">
        <is>
          <t>Phùng Công Thắng</t>
        </is>
      </c>
      <c r="E95" s="61" t="inlineStr">
        <is>
          <t>M-T1517-01</t>
        </is>
      </c>
      <c r="F95" s="47" t="inlineStr">
        <is>
          <t>Phùng Công Thắng</t>
        </is>
      </c>
      <c r="G95" s="61" t="inlineStr">
        <is>
          <t>OP-GEN-01</t>
        </is>
      </c>
      <c r="H95" s="47" t="inlineStr">
        <is>
          <t>Win-Win</t>
        </is>
      </c>
      <c r="I95" s="47" t="inlineStr">
        <is>
          <t>ISHIZUE 318Dw650</t>
        </is>
      </c>
      <c r="J95" s="46" t="inlineStr">
        <is>
          <t>PO-7007</t>
        </is>
      </c>
      <c r="K95" s="47" t="inlineStr">
        <is>
          <t>G/c hoàn thiện</t>
        </is>
      </c>
      <c r="L95" s="50" t="n">
        <v>55800</v>
      </c>
      <c r="M95" s="67" t="n">
        <v>2</v>
      </c>
      <c r="N95" s="50" t="n">
        <v>0</v>
      </c>
      <c r="O95" s="68" t="n">
        <v>4</v>
      </c>
      <c r="P95" s="64">
        <f>L95*M95</f>
        <v/>
      </c>
      <c r="Q95" s="47" t="inlineStr">
        <is>
          <t>Chíp  R5 THREADEX- P3200</t>
        </is>
      </c>
      <c r="R95" s="50" t="n">
        <v>1</v>
      </c>
      <c r="S95" s="65" t="inlineStr">
        <is>
          <t>ĐÚNG</t>
        </is>
      </c>
      <c r="T95" s="47" t="inlineStr">
        <is>
          <t>Đã xong nguyên công</t>
        </is>
      </c>
      <c r="U95" t="inlineStr">
        <is>
          <t>ĐÃ DUYỆT</t>
        </is>
      </c>
      <c r="V95" t="inlineStr">
        <is>
          <t>ĐÃ PHÊ DUYỆT</t>
        </is>
      </c>
      <c r="W95" t="inlineStr">
        <is>
          <t>🔒 ĐÃ KHÓA</t>
        </is>
      </c>
    </row>
    <row r="96" ht="21" customHeight="1" s="75">
      <c r="A96" s="40" t="n">
        <v>93</v>
      </c>
      <c r="B96" s="60" t="n">
        <v>46258.35740829861</v>
      </c>
      <c r="C96" s="61" t="inlineStr">
        <is>
          <t>EMP-NV04</t>
        </is>
      </c>
      <c r="D96" s="41" t="inlineStr">
        <is>
          <t>Phùng Công Thắng</t>
        </is>
      </c>
      <c r="E96" s="61" t="inlineStr">
        <is>
          <t>M-T1517-01</t>
        </is>
      </c>
      <c r="F96" s="41" t="inlineStr">
        <is>
          <t>Phùng Công Thắng</t>
        </is>
      </c>
      <c r="G96" s="61" t="inlineStr">
        <is>
          <t>OP-GEN-01</t>
        </is>
      </c>
      <c r="H96" s="41" t="inlineStr">
        <is>
          <t>Win-Win</t>
        </is>
      </c>
      <c r="I96" s="41" t="inlineStr">
        <is>
          <t>ISHIZUE 406Dw850</t>
        </is>
      </c>
      <c r="J96" s="40" t="inlineStr">
        <is>
          <t>PO-6787</t>
        </is>
      </c>
      <c r="K96" s="41" t="inlineStr">
        <is>
          <t>G/c hoàn thiện</t>
        </is>
      </c>
      <c r="L96" s="44" t="n">
        <v>74400</v>
      </c>
      <c r="M96" s="62" t="n">
        <v>4</v>
      </c>
      <c r="N96" s="44" t="n">
        <v>0</v>
      </c>
      <c r="O96" s="63" t="n">
        <v>4</v>
      </c>
      <c r="P96" s="64">
        <f>L96*M96</f>
        <v/>
      </c>
      <c r="Q96" s="41" t="inlineStr">
        <is>
          <t>Không tiêu hao</t>
        </is>
      </c>
      <c r="R96" s="44" t="n">
        <v>4</v>
      </c>
      <c r="S96" s="65" t="inlineStr">
        <is>
          <t>ĐÚNG</t>
        </is>
      </c>
      <c r="T96" s="41" t="inlineStr">
        <is>
          <t>Đã xong nguyên công</t>
        </is>
      </c>
      <c r="U96" t="inlineStr">
        <is>
          <t>ĐÃ DUYỆT</t>
        </is>
      </c>
      <c r="V96" t="inlineStr">
        <is>
          <t>ĐÃ PHÊ DUYỆT</t>
        </is>
      </c>
      <c r="W96" t="inlineStr">
        <is>
          <t>🔒 ĐÃ KHÓA</t>
        </is>
      </c>
    </row>
    <row r="97" ht="21" customHeight="1" s="75">
      <c r="A97" s="46" t="n">
        <v>94</v>
      </c>
      <c r="B97" s="66" t="n">
        <v>46258.3604035301</v>
      </c>
      <c r="C97" s="61" t="inlineStr">
        <is>
          <t>EMP-NV04</t>
        </is>
      </c>
      <c r="D97" s="47" t="inlineStr">
        <is>
          <t>Phùng Công Thắng</t>
        </is>
      </c>
      <c r="E97" s="61" t="inlineStr">
        <is>
          <t>M-PODA-01</t>
        </is>
      </c>
      <c r="F97" s="47" t="inlineStr">
        <is>
          <t>Phùng Công Thắng</t>
        </is>
      </c>
      <c r="G97" s="61" t="inlineStr">
        <is>
          <t>OP-GEN-01</t>
        </is>
      </c>
      <c r="H97" s="47" t="inlineStr">
        <is>
          <t>Vico- QLTB</t>
        </is>
      </c>
      <c r="I97" s="47" t="inlineStr">
        <is>
          <t>Cưa Cánh xoắn</t>
        </is>
      </c>
      <c r="J97" s="46" t="inlineStr">
        <is>
          <t>PO-8616</t>
        </is>
      </c>
      <c r="K97" s="47" t="inlineStr">
        <is>
          <t>Cắt dây dao nhào</t>
        </is>
      </c>
      <c r="L97" s="50" t="n">
        <v>45000</v>
      </c>
      <c r="M97" s="67" t="n">
        <v>1</v>
      </c>
      <c r="N97" s="50" t="n">
        <v>0</v>
      </c>
      <c r="O97" s="68" t="n">
        <v>4</v>
      </c>
      <c r="P97" s="64">
        <f>L97*M97</f>
        <v/>
      </c>
      <c r="Q97" s="47" t="inlineStr">
        <is>
          <t>Dây cắt CNC</t>
        </is>
      </c>
      <c r="R97" s="50" t="n">
        <v>0</v>
      </c>
      <c r="S97" s="46" t="inlineStr">
        <is>
          <t>SAI</t>
        </is>
      </c>
      <c r="T97" s="47" t="inlineStr">
        <is>
          <t>Đang gia công dở dang, chuyển ca sau</t>
        </is>
      </c>
      <c r="U97" t="inlineStr">
        <is>
          <t>ĐÃ DUYỆT</t>
        </is>
      </c>
      <c r="V97" t="inlineStr">
        <is>
          <t>ĐÃ PHÊ DUYỆT</t>
        </is>
      </c>
      <c r="W97" t="inlineStr">
        <is>
          <t>🔒 ĐÃ KHÓA</t>
        </is>
      </c>
    </row>
    <row r="98" ht="21" customHeight="1" s="75">
      <c r="A98" s="40" t="n">
        <v>95</v>
      </c>
      <c r="B98" s="60" t="n">
        <v>46258.36164641204</v>
      </c>
      <c r="C98" s="61" t="inlineStr">
        <is>
          <t>EMP-NV04</t>
        </is>
      </c>
      <c r="D98" s="41" t="inlineStr">
        <is>
          <t>Phùng Công Thắng</t>
        </is>
      </c>
      <c r="E98" s="61" t="inlineStr">
        <is>
          <t>M-KHYOS-01</t>
        </is>
      </c>
      <c r="F98" s="41" t="inlineStr">
        <is>
          <t>Phùng Công Thắng</t>
        </is>
      </c>
      <c r="G98" s="61" t="inlineStr">
        <is>
          <t>OP-GEN-01</t>
        </is>
      </c>
      <c r="H98" s="41" t="inlineStr">
        <is>
          <t>Vico- QLTB</t>
        </is>
      </c>
      <c r="I98" s="41" t="inlineStr">
        <is>
          <t>Cưa Cánh xoắn</t>
        </is>
      </c>
      <c r="J98" s="40" t="inlineStr">
        <is>
          <t>PO-8170</t>
        </is>
      </c>
      <c r="K98" s="41" t="inlineStr">
        <is>
          <t>Khoan ta zô 4</t>
        </is>
      </c>
      <c r="L98" s="44" t="n">
        <v>45000</v>
      </c>
      <c r="M98" s="62" t="n">
        <v>3</v>
      </c>
      <c r="N98" s="44" t="n">
        <v>0</v>
      </c>
      <c r="O98" s="63" t="n">
        <v>4</v>
      </c>
      <c r="P98" s="64">
        <f>L98*M98</f>
        <v/>
      </c>
      <c r="Q98" s="41" t="inlineStr">
        <is>
          <t>Mũi khoan</t>
        </is>
      </c>
      <c r="R98" s="44" t="n">
        <v>1</v>
      </c>
      <c r="S98" s="40" t="inlineStr">
        <is>
          <t>SAI</t>
        </is>
      </c>
      <c r="T98" s="41" t="inlineStr">
        <is>
          <t>Đang gia công dở dang, chuyển ca sau</t>
        </is>
      </c>
      <c r="U98" t="inlineStr">
        <is>
          <t>ĐÃ DUYỆT</t>
        </is>
      </c>
      <c r="V98" t="inlineStr">
        <is>
          <t>ĐÃ PHÊ DUYỆT</t>
        </is>
      </c>
      <c r="W98" t="inlineStr">
        <is>
          <t>🔒 ĐÃ KHÓA</t>
        </is>
      </c>
    </row>
    <row r="99" ht="21" customHeight="1" s="75">
      <c r="A99" s="46" t="n">
        <v>96</v>
      </c>
      <c r="B99" s="66" t="n">
        <v>46258.41469098379</v>
      </c>
      <c r="C99" s="61" t="inlineStr">
        <is>
          <t>EMP-NV08</t>
        </is>
      </c>
      <c r="D99" s="47" t="inlineStr">
        <is>
          <t>Phùng Công Thắng</t>
        </is>
      </c>
      <c r="E99" s="61" t="inlineStr">
        <is>
          <t>M-PCNC1-01</t>
        </is>
      </c>
      <c r="F99" s="47" t="inlineStr">
        <is>
          <t>Phùng Công Thắng</t>
        </is>
      </c>
      <c r="G99" s="61" t="inlineStr">
        <is>
          <t>OP-SEALB-NC4</t>
        </is>
      </c>
      <c r="H99" s="47" t="inlineStr">
        <is>
          <t>Thyssen</t>
        </is>
      </c>
      <c r="I99" s="47" t="inlineStr">
        <is>
          <t>Sealing strip, above</t>
        </is>
      </c>
      <c r="J99" s="46" t="inlineStr">
        <is>
          <t>PO-3580</t>
        </is>
      </c>
      <c r="K99" s="47" t="inlineStr">
        <is>
          <t>Phay rãnh 412</t>
        </is>
      </c>
      <c r="L99" s="50" t="n">
        <v>45000</v>
      </c>
      <c r="M99" s="67" t="n">
        <v>7</v>
      </c>
      <c r="N99" s="50" t="n">
        <v>0</v>
      </c>
      <c r="O99" s="68" t="n">
        <v>8</v>
      </c>
      <c r="P99" s="64">
        <f>L99*M99</f>
        <v/>
      </c>
      <c r="Q99" s="47" t="inlineStr">
        <is>
          <t>Không tiêu hao</t>
        </is>
      </c>
      <c r="R99" s="50" t="n">
        <v>0</v>
      </c>
      <c r="S99" s="46" t="inlineStr">
        <is>
          <t>SAI</t>
        </is>
      </c>
      <c r="T99" s="47" t="inlineStr">
        <is>
          <t>Đang gia công dở dang, chuyển ca sau</t>
        </is>
      </c>
      <c r="U99" t="inlineStr">
        <is>
          <t>ĐÃ DUYỆT</t>
        </is>
      </c>
      <c r="V99" t="inlineStr">
        <is>
          <t>ĐÃ PHÊ DUYỆT</t>
        </is>
      </c>
      <c r="W99" t="inlineStr">
        <is>
          <t>🔒 ĐÃ KHÓA</t>
        </is>
      </c>
    </row>
    <row r="100" ht="21" customHeight="1" s="75">
      <c r="A100" s="40" t="n">
        <v>97</v>
      </c>
      <c r="B100" s="60" t="n">
        <v>46258.41576983796</v>
      </c>
      <c r="C100" s="61" t="inlineStr">
        <is>
          <t>EMP-NV08</t>
        </is>
      </c>
      <c r="D100" s="41" t="inlineStr">
        <is>
          <t>Phùng Công Thắng</t>
        </is>
      </c>
      <c r="E100" s="61" t="inlineStr">
        <is>
          <t>M-PCNC2-01</t>
        </is>
      </c>
      <c r="F100" s="41" t="inlineStr">
        <is>
          <t>Phùng Công Thắng</t>
        </is>
      </c>
      <c r="G100" s="61" t="inlineStr">
        <is>
          <t>OP-SEALB-NC4</t>
        </is>
      </c>
      <c r="H100" s="41" t="inlineStr">
        <is>
          <t>Thyssen</t>
        </is>
      </c>
      <c r="I100" s="41" t="inlineStr">
        <is>
          <t>Sealing strip, below</t>
        </is>
      </c>
      <c r="J100" s="40" t="inlineStr">
        <is>
          <t>PO-9106</t>
        </is>
      </c>
      <c r="K100" s="41" t="inlineStr">
        <is>
          <t>G/c phay Mp NC4 Kt 412mm</t>
        </is>
      </c>
      <c r="L100" s="44" t="n">
        <v>45000</v>
      </c>
      <c r="M100" s="62" t="n">
        <v>12</v>
      </c>
      <c r="N100" s="44" t="n">
        <v>0</v>
      </c>
      <c r="O100" s="63" t="n">
        <v>8</v>
      </c>
      <c r="P100" s="64">
        <f>L100*M100</f>
        <v/>
      </c>
      <c r="Q100" s="41" t="inlineStr">
        <is>
          <t>Chíp APMT 1604 PDTR - LT30-PVD - LAMINA</t>
        </is>
      </c>
      <c r="R100" s="44" t="n">
        <v>2</v>
      </c>
      <c r="S100" s="65" t="inlineStr">
        <is>
          <t>ĐÚNG</t>
        </is>
      </c>
      <c r="T100" s="41" t="inlineStr">
        <is>
          <t>Đã xong nguyên công</t>
        </is>
      </c>
      <c r="U100" t="inlineStr">
        <is>
          <t>ĐÃ DUYỆT</t>
        </is>
      </c>
      <c r="V100" t="inlineStr">
        <is>
          <t>ĐÃ PHÊ DUYỆT</t>
        </is>
      </c>
      <c r="W100" t="inlineStr">
        <is>
          <t>🔒 ĐÃ KHÓA</t>
        </is>
      </c>
    </row>
    <row r="101" ht="21" customHeight="1" s="75">
      <c r="A101" s="46" t="n">
        <v>98</v>
      </c>
      <c r="B101" s="66" t="n">
        <v>46258.41740619213</v>
      </c>
      <c r="C101" s="61" t="inlineStr">
        <is>
          <t>EMP-NV08</t>
        </is>
      </c>
      <c r="D101" s="47" t="inlineStr">
        <is>
          <t>Phùng Công Thắng</t>
        </is>
      </c>
      <c r="E101" s="61" t="inlineStr">
        <is>
          <t>M-T1522-01</t>
        </is>
      </c>
      <c r="F101" s="47" t="inlineStr">
        <is>
          <t>Phùng Công Thắng</t>
        </is>
      </c>
      <c r="G101" s="61" t="inlineStr">
        <is>
          <t>OP-ROTO-NC2</t>
        </is>
      </c>
      <c r="H101" s="47" t="inlineStr">
        <is>
          <t>Hải- Vinh Quảng Ninh</t>
        </is>
      </c>
      <c r="I101" s="47" t="inlineStr">
        <is>
          <t>Bộ rulo máy nghiền sơ cấp: Thân rồ to (φ820x890)</t>
        </is>
      </c>
      <c r="J101" s="46" t="inlineStr">
        <is>
          <t>PO-4603</t>
        </is>
      </c>
      <c r="K101" s="47" t="inlineStr">
        <is>
          <t>G/c Nc7 phay mp Ht 8 mặt x (690 x 80 mm)</t>
        </is>
      </c>
      <c r="L101" s="50" t="n">
        <v>45000</v>
      </c>
      <c r="M101" s="67" t="n">
        <v>1</v>
      </c>
      <c r="N101" s="50" t="n">
        <v>0</v>
      </c>
      <c r="O101" s="68" t="n">
        <v>4</v>
      </c>
      <c r="P101" s="64">
        <f>L101*M101</f>
        <v/>
      </c>
      <c r="Q101" s="47" t="inlineStr">
        <is>
          <t>Không tiêu hao</t>
        </is>
      </c>
      <c r="R101" s="50" t="n">
        <v>0</v>
      </c>
      <c r="S101" s="65" t="inlineStr">
        <is>
          <t>ĐÚNG</t>
        </is>
      </c>
      <c r="T101" s="47" t="inlineStr">
        <is>
          <t>Đã xong nguyên công</t>
        </is>
      </c>
      <c r="U101" t="inlineStr">
        <is>
          <t>ĐÃ DUYỆT</t>
        </is>
      </c>
      <c r="V101" t="inlineStr">
        <is>
          <t>ĐÃ PHÊ DUYỆT</t>
        </is>
      </c>
      <c r="W101" t="inlineStr">
        <is>
          <t>🔒 ĐÃ KHÓA</t>
        </is>
      </c>
    </row>
    <row r="102" ht="21" customHeight="1" s="75">
      <c r="A102" s="40" t="n">
        <v>99</v>
      </c>
      <c r="B102" s="60" t="n">
        <v>46258.65212517361</v>
      </c>
      <c r="C102" s="61" t="inlineStr">
        <is>
          <t>EMP-NV01</t>
        </is>
      </c>
      <c r="D102" s="41" t="inlineStr">
        <is>
          <t>Phùng Công Thắng</t>
        </is>
      </c>
      <c r="E102" s="61" t="inlineStr">
        <is>
          <t>M-FUJI-01</t>
        </is>
      </c>
      <c r="F102" s="41" t="inlineStr">
        <is>
          <t>Phùng Công Thắng</t>
        </is>
      </c>
      <c r="G102" s="61" t="inlineStr">
        <is>
          <t>OP-GEN-01</t>
        </is>
      </c>
      <c r="H102" s="41" t="inlineStr">
        <is>
          <t>Win-Win</t>
        </is>
      </c>
      <c r="I102" s="41" t="inlineStr">
        <is>
          <t>ISHIZUE 216Dw650</t>
        </is>
      </c>
      <c r="J102" s="40" t="inlineStr">
        <is>
          <t>PO-6467</t>
        </is>
      </c>
      <c r="K102" s="41" t="inlineStr">
        <is>
          <t>G/c hoàn thiện</t>
        </is>
      </c>
      <c r="L102" s="44" t="n">
        <v>24614</v>
      </c>
      <c r="M102" s="62" t="n">
        <v>16</v>
      </c>
      <c r="N102" s="44" t="n">
        <v>11</v>
      </c>
      <c r="O102" s="63" t="n">
        <v>8</v>
      </c>
      <c r="P102" s="64">
        <f>L102*M102</f>
        <v/>
      </c>
      <c r="Q102" s="41" t="inlineStr">
        <is>
          <t>Chíp  R5 THREADEX- P3200</t>
        </is>
      </c>
      <c r="R102" s="44" t="n">
        <v>1</v>
      </c>
      <c r="S102" s="65" t="inlineStr">
        <is>
          <t>ĐÚNG</t>
        </is>
      </c>
      <c r="T102" s="41" t="inlineStr">
        <is>
          <t>Đã xong nguyên công</t>
        </is>
      </c>
      <c r="U102" t="inlineStr">
        <is>
          <t>ĐÃ DUYỆT</t>
        </is>
      </c>
      <c r="V102" t="inlineStr">
        <is>
          <t>ĐÃ PHÊ DUYỆT</t>
        </is>
      </c>
      <c r="W102" t="inlineStr">
        <is>
          <t>🔒 ĐÃ KHÓA</t>
        </is>
      </c>
    </row>
    <row r="103" ht="21" customHeight="1" s="75">
      <c r="A103" s="46" t="n">
        <v>100</v>
      </c>
      <c r="B103" s="66" t="n">
        <v>46258.65288737269</v>
      </c>
      <c r="C103" s="61" t="inlineStr">
        <is>
          <t>EMP-NV01</t>
        </is>
      </c>
      <c r="D103" s="47" t="inlineStr">
        <is>
          <t>Phùng Công Thắng</t>
        </is>
      </c>
      <c r="E103" s="61" t="inlineStr">
        <is>
          <t>M-DK7745-01</t>
        </is>
      </c>
      <c r="F103" s="47" t="inlineStr">
        <is>
          <t>Phùng Công Thắng</t>
        </is>
      </c>
      <c r="G103" s="61" t="inlineStr">
        <is>
          <t>OP-GEN-01</t>
        </is>
      </c>
      <c r="H103" s="47" t="inlineStr">
        <is>
          <t>Vico- QLTB</t>
        </is>
      </c>
      <c r="I103" s="47" t="inlineStr">
        <is>
          <t>Mẫu Thử CR &amp; hàng #</t>
        </is>
      </c>
      <c r="J103" s="46" t="inlineStr">
        <is>
          <t>PO-5405</t>
        </is>
      </c>
      <c r="K103" s="47" t="inlineStr">
        <is>
          <t>G/c hoàn thiện</t>
        </is>
      </c>
      <c r="L103" s="50" t="n">
        <v>83700</v>
      </c>
      <c r="M103" s="67" t="n">
        <v>4</v>
      </c>
      <c r="N103" s="50" t="n">
        <v>0</v>
      </c>
      <c r="O103" s="68" t="n">
        <v>4</v>
      </c>
      <c r="P103" s="64">
        <f>L103*M103</f>
        <v/>
      </c>
      <c r="Q103" s="47" t="inlineStr">
        <is>
          <t>Dây cắt CNC</t>
        </is>
      </c>
      <c r="R103" s="50" t="n">
        <v>0</v>
      </c>
      <c r="S103" s="65" t="inlineStr">
        <is>
          <t>ĐÚNG</t>
        </is>
      </c>
      <c r="T103" s="47" t="inlineStr">
        <is>
          <t>Đã xong nguyên công</t>
        </is>
      </c>
      <c r="U103" t="inlineStr">
        <is>
          <t>ĐÃ DUYỆT</t>
        </is>
      </c>
      <c r="V103" t="inlineStr">
        <is>
          <t>ĐÃ PHÊ DUYỆT</t>
        </is>
      </c>
      <c r="W103" t="inlineStr">
        <is>
          <t>🔒 ĐÃ KHÓA</t>
        </is>
      </c>
    </row>
    <row r="104" ht="21" customHeight="1" s="75">
      <c r="A104" s="40" t="n">
        <v>101</v>
      </c>
      <c r="B104" s="60" t="n">
        <v>46258.66106620371</v>
      </c>
      <c r="C104" s="61" t="inlineStr">
        <is>
          <t>EMP-NV01</t>
        </is>
      </c>
      <c r="D104" s="41" t="inlineStr">
        <is>
          <t>Phùng Công Thắng</t>
        </is>
      </c>
      <c r="E104" s="61" t="inlineStr">
        <is>
          <t>M-OKUMA-01</t>
        </is>
      </c>
      <c r="F104" s="41" t="inlineStr">
        <is>
          <t>Phùng Công Thắng</t>
        </is>
      </c>
      <c r="G104" s="61" t="inlineStr">
        <is>
          <t>OP-GEN-01</t>
        </is>
      </c>
      <c r="H104" s="41" t="inlineStr">
        <is>
          <t>Vico- QLTB</t>
        </is>
      </c>
      <c r="I104" s="41" t="inlineStr">
        <is>
          <t>Mẫu kéo nén</t>
        </is>
      </c>
      <c r="J104" s="40" t="inlineStr">
        <is>
          <t>PO-7271</t>
        </is>
      </c>
      <c r="K104" s="41" t="inlineStr">
        <is>
          <t>G/c ht theo bản vẽ</t>
        </is>
      </c>
      <c r="L104" s="44" t="n">
        <v>55800</v>
      </c>
      <c r="M104" s="62" t="n">
        <v>5</v>
      </c>
      <c r="N104" s="44" t="n">
        <v>0</v>
      </c>
      <c r="O104" s="63" t="n">
        <v>8</v>
      </c>
      <c r="P104" s="64">
        <f>L104*M104</f>
        <v/>
      </c>
      <c r="Q104" s="41" t="inlineStr">
        <is>
          <t>Chíp  TNMG160408 WINSTAR RP- CX2555 ( 3 cạnh thẳng)</t>
        </is>
      </c>
      <c r="R104" s="44" t="n">
        <v>1</v>
      </c>
      <c r="S104" s="65" t="inlineStr">
        <is>
          <t>ĐÚNG</t>
        </is>
      </c>
      <c r="T104" s="41" t="inlineStr">
        <is>
          <t>Đã xong nguyên công</t>
        </is>
      </c>
      <c r="U104" t="inlineStr">
        <is>
          <t>ĐÃ DUYỆT</t>
        </is>
      </c>
      <c r="V104" t="inlineStr">
        <is>
          <t>ĐÃ PHÊ DUYỆT</t>
        </is>
      </c>
      <c r="W104" t="inlineStr">
        <is>
          <t>🔒 ĐÃ KHÓA</t>
        </is>
      </c>
    </row>
    <row r="105" ht="21" customHeight="1" s="75">
      <c r="A105" s="46" t="n">
        <v>102</v>
      </c>
      <c r="B105" s="66" t="n">
        <v>46258.66326950231</v>
      </c>
      <c r="C105" s="61" t="inlineStr">
        <is>
          <t>EMP-NV01</t>
        </is>
      </c>
      <c r="D105" s="47" t="inlineStr">
        <is>
          <t>Phùng Công Thắng</t>
        </is>
      </c>
      <c r="E105" s="61" t="inlineStr">
        <is>
          <t>M-DK7745-01</t>
        </is>
      </c>
      <c r="F105" s="47" t="inlineStr">
        <is>
          <t>Phùng Công Thắng</t>
        </is>
      </c>
      <c r="G105" s="61" t="inlineStr">
        <is>
          <t>OP-GEN-01</t>
        </is>
      </c>
      <c r="H105" s="47" t="inlineStr">
        <is>
          <t>Vico- QLTB</t>
        </is>
      </c>
      <c r="I105" s="47" t="inlineStr">
        <is>
          <t>Mẫu Thử CR &amp; hàng #</t>
        </is>
      </c>
      <c r="J105" s="46" t="inlineStr">
        <is>
          <t>PO-9670</t>
        </is>
      </c>
      <c r="K105" s="47" t="inlineStr">
        <is>
          <t>G/c hoàn thiện</t>
        </is>
      </c>
      <c r="L105" s="50" t="n">
        <v>83700</v>
      </c>
      <c r="M105" s="67" t="n">
        <v>4</v>
      </c>
      <c r="N105" s="50" t="n">
        <v>0</v>
      </c>
      <c r="O105" s="68" t="n">
        <v>4</v>
      </c>
      <c r="P105" s="64">
        <f>L105*M105</f>
        <v/>
      </c>
      <c r="Q105" s="47" t="inlineStr">
        <is>
          <t>Dây cắt CNC</t>
        </is>
      </c>
      <c r="R105" s="50" t="n">
        <v>0</v>
      </c>
      <c r="S105" s="65" t="inlineStr">
        <is>
          <t>ĐÚNG</t>
        </is>
      </c>
      <c r="T105" s="47" t="inlineStr">
        <is>
          <t>Đã xong nguyên công</t>
        </is>
      </c>
      <c r="U105" t="inlineStr">
        <is>
          <t>ĐÃ DUYỆT</t>
        </is>
      </c>
      <c r="V105" t="inlineStr">
        <is>
          <t>ĐÃ PHÊ DUYỆT</t>
        </is>
      </c>
      <c r="W105" t="inlineStr">
        <is>
          <t>🔒 ĐÃ KHÓA</t>
        </is>
      </c>
    </row>
    <row r="106" ht="21" customHeight="1" s="75">
      <c r="A106" s="40" t="n">
        <v>103</v>
      </c>
      <c r="B106" s="60" t="n">
        <v>46258.66328953703</v>
      </c>
      <c r="C106" s="61" t="inlineStr">
        <is>
          <t>EMP-NV01</t>
        </is>
      </c>
      <c r="D106" s="41" t="inlineStr">
        <is>
          <t>Phùng Công Thắng</t>
        </is>
      </c>
      <c r="E106" s="61" t="inlineStr">
        <is>
          <t>M-FUJI-01</t>
        </is>
      </c>
      <c r="F106" s="41" t="inlineStr">
        <is>
          <t>Phùng Công Thắng</t>
        </is>
      </c>
      <c r="G106" s="61" t="inlineStr">
        <is>
          <t>OP-ROTO-NC2</t>
        </is>
      </c>
      <c r="H106" s="41" t="inlineStr">
        <is>
          <t>Hải- Vinh Quảng Ninh</t>
        </is>
      </c>
      <c r="I106" s="41" t="inlineStr">
        <is>
          <t>Bộ rulo máy nghiền sơ cấp: Bích rulo (φ500x110) 1T</t>
        </is>
      </c>
      <c r="J106" s="40" t="inlineStr">
        <is>
          <t>PO-5612</t>
        </is>
      </c>
      <c r="K106" s="41" t="inlineStr">
        <is>
          <t>phay cạnh</t>
        </is>
      </c>
      <c r="L106" s="44" t="n">
        <v>45000</v>
      </c>
      <c r="M106" s="62" t="n">
        <v>1</v>
      </c>
      <c r="N106" s="44" t="n">
        <v>0</v>
      </c>
      <c r="O106" s="63" t="n">
        <v>4</v>
      </c>
      <c r="P106" s="64">
        <f>L106*M106</f>
        <v/>
      </c>
      <c r="Q106" s="41" t="inlineStr">
        <is>
          <t>Chíp APMT 1604 PDER - Grade 8230S-PRAMET - cũ</t>
        </is>
      </c>
      <c r="R106" s="44" t="n">
        <v>0</v>
      </c>
      <c r="S106" s="40" t="inlineStr">
        <is>
          <t>SAI</t>
        </is>
      </c>
      <c r="T106" s="41" t="inlineStr">
        <is>
          <t>Đang gia công dở dang, chuyển ca sau</t>
        </is>
      </c>
      <c r="U106" t="inlineStr">
        <is>
          <t>ĐÃ DUYỆT</t>
        </is>
      </c>
      <c r="V106" t="inlineStr">
        <is>
          <t>ĐÃ PHÊ DUYỆT</t>
        </is>
      </c>
      <c r="W106" t="inlineStr">
        <is>
          <t>🔒 ĐÃ KHÓA</t>
        </is>
      </c>
    </row>
    <row r="107" ht="21" customHeight="1" s="75">
      <c r="A107" s="46" t="n">
        <v>104</v>
      </c>
      <c r="B107" s="66" t="n">
        <v>46258.6718453588</v>
      </c>
      <c r="C107" s="61" t="inlineStr">
        <is>
          <t>EMP-NV07</t>
        </is>
      </c>
      <c r="D107" s="47" t="inlineStr">
        <is>
          <t>Phùng Công Thắng</t>
        </is>
      </c>
      <c r="E107" s="61" t="inlineStr">
        <is>
          <t>M-OKK3-01</t>
        </is>
      </c>
      <c r="F107" s="47" t="inlineStr">
        <is>
          <t>Phùng Công Thắng</t>
        </is>
      </c>
      <c r="G107" s="61" t="inlineStr">
        <is>
          <t>OP-SEALB-NC1</t>
        </is>
      </c>
      <c r="H107" s="47" t="inlineStr">
        <is>
          <t>Thyssen</t>
        </is>
      </c>
      <c r="I107" s="47" t="inlineStr">
        <is>
          <t>Sealing trip, below</t>
        </is>
      </c>
      <c r="J107" s="46" t="inlineStr">
        <is>
          <t>PO-3156</t>
        </is>
      </c>
      <c r="K107" s="47" t="inlineStr">
        <is>
          <t>G/c phay Mp NC1 Kt 47mm</t>
        </is>
      </c>
      <c r="L107" s="50" t="n">
        <v>37200</v>
      </c>
      <c r="M107" s="67" t="n">
        <v>13</v>
      </c>
      <c r="N107" s="50" t="n">
        <v>0</v>
      </c>
      <c r="O107" s="68" t="n">
        <v>8</v>
      </c>
      <c r="P107" s="64">
        <f>L107*M107</f>
        <v/>
      </c>
      <c r="Q107" s="47" t="inlineStr">
        <is>
          <t>Không tiêu hao</t>
        </is>
      </c>
      <c r="R107" s="50" t="n">
        <v>0</v>
      </c>
      <c r="S107" s="46" t="inlineStr">
        <is>
          <t>SAI</t>
        </is>
      </c>
      <c r="T107" s="47" t="inlineStr">
        <is>
          <t>Đang gia công dở dang, chuyển ca sau</t>
        </is>
      </c>
      <c r="U107" t="inlineStr">
        <is>
          <t>ĐÃ DUYỆT</t>
        </is>
      </c>
      <c r="V107" t="inlineStr">
        <is>
          <t>ĐÃ PHÊ DUYỆT</t>
        </is>
      </c>
      <c r="W107" t="inlineStr">
        <is>
          <t>🔒 ĐÃ KHÓA</t>
        </is>
      </c>
    </row>
    <row r="108" ht="21" customHeight="1" s="75">
      <c r="A108" s="40" t="n">
        <v>105</v>
      </c>
      <c r="B108" s="60" t="n">
        <v>46258.67232158565</v>
      </c>
      <c r="C108" s="61" t="inlineStr">
        <is>
          <t>EMP-NV07</t>
        </is>
      </c>
      <c r="D108" s="41" t="inlineStr">
        <is>
          <t>Phùng Công Thắng</t>
        </is>
      </c>
      <c r="E108" s="61" t="inlineStr">
        <is>
          <t>M-OKK2-01</t>
        </is>
      </c>
      <c r="F108" s="41" t="inlineStr">
        <is>
          <t>Phùng Công Thắng</t>
        </is>
      </c>
      <c r="G108" s="61" t="inlineStr">
        <is>
          <t>OP-SEALB-NC2</t>
        </is>
      </c>
      <c r="H108" s="41" t="inlineStr">
        <is>
          <t>Thyssen</t>
        </is>
      </c>
      <c r="I108" s="41" t="inlineStr">
        <is>
          <t>Sealing trip, below</t>
        </is>
      </c>
      <c r="J108" s="40" t="inlineStr">
        <is>
          <t>PO-4707</t>
        </is>
      </c>
      <c r="K108" s="41" t="inlineStr">
        <is>
          <t>G/c phay Mp NC2 Kt 95mm</t>
        </is>
      </c>
      <c r="L108" s="44" t="n">
        <v>37200</v>
      </c>
      <c r="M108" s="62" t="n">
        <v>7</v>
      </c>
      <c r="N108" s="44" t="n">
        <v>0</v>
      </c>
      <c r="O108" s="63" t="n">
        <v>8</v>
      </c>
      <c r="P108" s="64">
        <f>L108*M108</f>
        <v/>
      </c>
      <c r="Q108" s="41" t="inlineStr">
        <is>
          <t>Không tiêu hao</t>
        </is>
      </c>
      <c r="R108" s="44" t="n">
        <v>0</v>
      </c>
      <c r="S108" s="40" t="inlineStr">
        <is>
          <t>SAI</t>
        </is>
      </c>
      <c r="T108" s="41" t="inlineStr">
        <is>
          <t>Đang gia công dở dang, chuyển ca sau</t>
        </is>
      </c>
      <c r="U108" t="inlineStr">
        <is>
          <t>ĐÃ DUYỆT</t>
        </is>
      </c>
      <c r="V108" t="inlineStr">
        <is>
          <t>ĐÃ PHÊ DUYỆT</t>
        </is>
      </c>
      <c r="W108" t="inlineStr">
        <is>
          <t>🔒 ĐÃ KHÓA</t>
        </is>
      </c>
    </row>
    <row r="109" ht="21" customHeight="1" s="75">
      <c r="A109" s="46" t="n">
        <v>106</v>
      </c>
      <c r="B109" s="66" t="n">
        <v>46259.20453263889</v>
      </c>
      <c r="C109" s="61" t="inlineStr">
        <is>
          <t>EMP-NV10</t>
        </is>
      </c>
      <c r="D109" s="47" t="inlineStr">
        <is>
          <t>Phùng Công Thắng</t>
        </is>
      </c>
      <c r="E109" s="61" t="inlineStr">
        <is>
          <t>M-OKK3-01</t>
        </is>
      </c>
      <c r="F109" s="47" t="inlineStr">
        <is>
          <t>Phùng Công Thắng</t>
        </is>
      </c>
      <c r="G109" s="61" t="inlineStr">
        <is>
          <t>OP-SEALB-NC1</t>
        </is>
      </c>
      <c r="H109" s="47" t="inlineStr">
        <is>
          <t>Thyssen</t>
        </is>
      </c>
      <c r="I109" s="47" t="inlineStr">
        <is>
          <t>Sealing strip, below</t>
        </is>
      </c>
      <c r="J109" s="46" t="inlineStr">
        <is>
          <t>PO-1112</t>
        </is>
      </c>
      <c r="K109" s="47" t="inlineStr">
        <is>
          <t>G/c phay Mp NC1 Kt 47mm</t>
        </is>
      </c>
      <c r="L109" s="50" t="n">
        <v>45000</v>
      </c>
      <c r="M109" s="67" t="n">
        <v>14</v>
      </c>
      <c r="N109" s="50" t="n">
        <v>0</v>
      </c>
      <c r="O109" s="68" t="n">
        <v>8</v>
      </c>
      <c r="P109" s="64">
        <f>L109*M109</f>
        <v/>
      </c>
      <c r="Q109" s="47" t="inlineStr">
        <is>
          <t>Chíp  Pramet (6 cạnh)</t>
        </is>
      </c>
      <c r="R109" s="50" t="n">
        <v>3</v>
      </c>
      <c r="S109" s="46" t="inlineStr">
        <is>
          <t>SAI</t>
        </is>
      </c>
      <c r="T109" s="47" t="inlineStr">
        <is>
          <t>Đang gia công dở dang, chuyển ca sau</t>
        </is>
      </c>
      <c r="U109" t="inlineStr">
        <is>
          <t>ĐÃ DUYỆT</t>
        </is>
      </c>
      <c r="V109" t="inlineStr">
        <is>
          <t>ĐÃ PHÊ DUYỆT</t>
        </is>
      </c>
      <c r="W109" t="inlineStr">
        <is>
          <t>🔒 ĐÃ KHÓA</t>
        </is>
      </c>
    </row>
    <row r="110" ht="21" customHeight="1" s="75">
      <c r="A110" s="40" t="n">
        <v>107</v>
      </c>
      <c r="B110" s="60" t="n">
        <v>46259.20502163195</v>
      </c>
      <c r="C110" s="61" t="inlineStr">
        <is>
          <t>EMP-NV10</t>
        </is>
      </c>
      <c r="D110" s="41" t="inlineStr">
        <is>
          <t>Phùng Công Thắng</t>
        </is>
      </c>
      <c r="E110" s="61" t="inlineStr">
        <is>
          <t>M-OKK3-01</t>
        </is>
      </c>
      <c r="F110" s="41" t="inlineStr">
        <is>
          <t>Phùng Công Thắng</t>
        </is>
      </c>
      <c r="G110" s="61" t="inlineStr">
        <is>
          <t>OP-SEALB-NC2</t>
        </is>
      </c>
      <c r="H110" s="41" t="inlineStr">
        <is>
          <t>Thyssen</t>
        </is>
      </c>
      <c r="I110" s="41" t="inlineStr">
        <is>
          <t>Sealing strip, below</t>
        </is>
      </c>
      <c r="J110" s="40" t="inlineStr">
        <is>
          <t>PO-9945</t>
        </is>
      </c>
      <c r="K110" s="41" t="inlineStr">
        <is>
          <t>G/c phay Mp NC2 Kt 95mm</t>
        </is>
      </c>
      <c r="L110" s="44" t="n">
        <v>45000</v>
      </c>
      <c r="M110" s="62" t="n">
        <v>2</v>
      </c>
      <c r="N110" s="44" t="n">
        <v>0</v>
      </c>
      <c r="O110" s="63" t="n">
        <v>4</v>
      </c>
      <c r="P110" s="64">
        <f>L110*M110</f>
        <v/>
      </c>
      <c r="Q110" s="41" t="inlineStr">
        <is>
          <t>Chíp  Pramet (6 cạnh)</t>
        </is>
      </c>
      <c r="R110" s="44" t="n">
        <v>0</v>
      </c>
      <c r="S110" s="40" t="inlineStr">
        <is>
          <t>SAI</t>
        </is>
      </c>
      <c r="T110" s="41" t="inlineStr">
        <is>
          <t>Đang gia công dở dang, chuyển ca sau</t>
        </is>
      </c>
      <c r="U110" t="inlineStr">
        <is>
          <t>ĐÃ DUYỆT</t>
        </is>
      </c>
      <c r="V110" t="inlineStr">
        <is>
          <t>ĐÃ PHÊ DUYỆT</t>
        </is>
      </c>
      <c r="W110" t="inlineStr">
        <is>
          <t>🔒 ĐÃ KHÓA</t>
        </is>
      </c>
    </row>
    <row r="111" ht="21" customHeight="1" s="75">
      <c r="A111" s="46" t="n">
        <v>108</v>
      </c>
      <c r="B111" s="66" t="n">
        <v>46259.20549268519</v>
      </c>
      <c r="C111" s="61" t="inlineStr">
        <is>
          <t>EMP-NV10</t>
        </is>
      </c>
      <c r="D111" s="47" t="inlineStr">
        <is>
          <t>Phùng Công Thắng</t>
        </is>
      </c>
      <c r="E111" s="61" t="inlineStr">
        <is>
          <t>M-OKK2-01</t>
        </is>
      </c>
      <c r="F111" s="47" t="inlineStr">
        <is>
          <t>Phùng Công Thắng</t>
        </is>
      </c>
      <c r="G111" s="61" t="inlineStr">
        <is>
          <t>OP-SEALB-NC4</t>
        </is>
      </c>
      <c r="H111" s="47" t="inlineStr">
        <is>
          <t>Thyssen</t>
        </is>
      </c>
      <c r="I111" s="47" t="inlineStr">
        <is>
          <t>Sealing strip, below</t>
        </is>
      </c>
      <c r="J111" s="46" t="inlineStr">
        <is>
          <t>PO-6070</t>
        </is>
      </c>
      <c r="K111" s="47" t="inlineStr">
        <is>
          <t>G/c phay cạnh NC3 kt 12mm</t>
        </is>
      </c>
      <c r="L111" s="50" t="n">
        <v>45000</v>
      </c>
      <c r="M111" s="67" t="n">
        <v>34</v>
      </c>
      <c r="N111" s="50" t="n">
        <v>0</v>
      </c>
      <c r="O111" s="68" t="n">
        <v>8</v>
      </c>
      <c r="P111" s="64">
        <f>L111*M111</f>
        <v/>
      </c>
      <c r="Q111" s="47" t="inlineStr">
        <is>
          <t>Dao phay D50 ( hợp kim )</t>
        </is>
      </c>
      <c r="R111" s="50" t="n">
        <v>0</v>
      </c>
      <c r="S111" s="46" t="inlineStr">
        <is>
          <t>SAI</t>
        </is>
      </c>
      <c r="T111" s="47" t="inlineStr">
        <is>
          <t>Đang gia công dở dang, chuyển ca sau</t>
        </is>
      </c>
      <c r="U111" t="inlineStr">
        <is>
          <t>ĐÃ DUYỆT</t>
        </is>
      </c>
      <c r="V111" t="inlineStr">
        <is>
          <t>ĐÃ PHÊ DUYỆT</t>
        </is>
      </c>
      <c r="W111" t="inlineStr">
        <is>
          <t>🔒 ĐÃ KHÓA</t>
        </is>
      </c>
    </row>
    <row r="112" ht="21" customHeight="1" s="75">
      <c r="A112" s="40" t="n">
        <v>109</v>
      </c>
      <c r="B112" s="60" t="n">
        <v>46259.24497084491</v>
      </c>
      <c r="C112" s="61" t="inlineStr">
        <is>
          <t>EMP-NV12</t>
        </is>
      </c>
      <c r="D112" s="41" t="inlineStr">
        <is>
          <t>Phùng Công Thắng</t>
        </is>
      </c>
      <c r="E112" s="61" t="inlineStr">
        <is>
          <t>M-DK7745-01</t>
        </is>
      </c>
      <c r="F112" s="41" t="inlineStr">
        <is>
          <t>Phùng Công Thắng</t>
        </is>
      </c>
      <c r="G112" s="61" t="inlineStr">
        <is>
          <t>OP-GEN-01</t>
        </is>
      </c>
      <c r="H112" s="41" t="inlineStr">
        <is>
          <t>Vico- QLTB</t>
        </is>
      </c>
      <c r="I112" s="41" t="inlineStr">
        <is>
          <t>Mẫu Thử CR &amp; hàng #</t>
        </is>
      </c>
      <c r="J112" s="40" t="inlineStr">
        <is>
          <t>PO-2333</t>
        </is>
      </c>
      <c r="K112" s="41" t="inlineStr">
        <is>
          <t>G/c hoàn thiện</t>
        </is>
      </c>
      <c r="L112" s="44" t="n">
        <v>83700</v>
      </c>
      <c r="M112" s="62" t="n">
        <v>4</v>
      </c>
      <c r="N112" s="44" t="n">
        <v>0</v>
      </c>
      <c r="O112" s="63" t="n">
        <v>4</v>
      </c>
      <c r="P112" s="64">
        <f>L112*M112</f>
        <v/>
      </c>
      <c r="Q112" s="41" t="inlineStr">
        <is>
          <t>Dây cắt CNC</t>
        </is>
      </c>
      <c r="R112" s="44" t="n">
        <v>0</v>
      </c>
      <c r="S112" s="65" t="inlineStr">
        <is>
          <t>ĐÚNG</t>
        </is>
      </c>
      <c r="T112" s="41" t="inlineStr">
        <is>
          <t>Đã xong nguyên công</t>
        </is>
      </c>
      <c r="U112" t="inlineStr">
        <is>
          <t>ĐÃ DUYỆT</t>
        </is>
      </c>
      <c r="V112" t="inlineStr">
        <is>
          <t>ĐÃ PHÊ DUYỆT</t>
        </is>
      </c>
      <c r="W112" t="inlineStr">
        <is>
          <t>🔒 ĐÃ KHÓA</t>
        </is>
      </c>
    </row>
    <row r="113" ht="21" customHeight="1" s="75">
      <c r="A113" s="46" t="n">
        <v>110</v>
      </c>
      <c r="B113" s="66" t="n">
        <v>46259.24547834491</v>
      </c>
      <c r="C113" s="61" t="inlineStr">
        <is>
          <t>EMP-NV12</t>
        </is>
      </c>
      <c r="D113" s="47" t="inlineStr">
        <is>
          <t>Phùng Công Thắng</t>
        </is>
      </c>
      <c r="E113" s="61" t="inlineStr">
        <is>
          <t>M-DK7745-01</t>
        </is>
      </c>
      <c r="F113" s="47" t="inlineStr">
        <is>
          <t>Phùng Công Thắng</t>
        </is>
      </c>
      <c r="G113" s="61" t="inlineStr">
        <is>
          <t>OP-GEN-01</t>
        </is>
      </c>
      <c r="H113" s="47" t="inlineStr">
        <is>
          <t>Vico- QLTB</t>
        </is>
      </c>
      <c r="I113" s="47" t="inlineStr">
        <is>
          <t>Mẫu kéo nén</t>
        </is>
      </c>
      <c r="J113" s="46" t="inlineStr">
        <is>
          <t>PO-2858</t>
        </is>
      </c>
      <c r="K113" s="47" t="inlineStr">
        <is>
          <t>G/c ht theo bản vẽ</t>
        </is>
      </c>
      <c r="L113" s="50" t="n">
        <v>55800</v>
      </c>
      <c r="M113" s="67" t="n">
        <v>1</v>
      </c>
      <c r="N113" s="50" t="n">
        <v>0</v>
      </c>
      <c r="O113" s="68" t="n">
        <v>4</v>
      </c>
      <c r="P113" s="64">
        <f>L113*M113</f>
        <v/>
      </c>
      <c r="Q113" s="47" t="inlineStr">
        <is>
          <t>Dây cắt CNC</t>
        </is>
      </c>
      <c r="R113" s="50" t="n">
        <v>0</v>
      </c>
      <c r="S113" s="65" t="inlineStr">
        <is>
          <t>ĐÚNG</t>
        </is>
      </c>
      <c r="T113" s="47" t="inlineStr">
        <is>
          <t>Đã xong nguyên công</t>
        </is>
      </c>
      <c r="U113" t="inlineStr">
        <is>
          <t>ĐÃ DUYỆT</t>
        </is>
      </c>
      <c r="V113" t="inlineStr">
        <is>
          <t>ĐÃ PHÊ DUYỆT</t>
        </is>
      </c>
      <c r="W113" t="inlineStr">
        <is>
          <t>🔒 ĐÃ KHÓA</t>
        </is>
      </c>
    </row>
    <row r="114" ht="21" customHeight="1" s="75">
      <c r="A114" s="40" t="n">
        <v>111</v>
      </c>
      <c r="B114" s="60" t="n">
        <v>46259.24605524306</v>
      </c>
      <c r="C114" s="61" t="inlineStr">
        <is>
          <t>EMP-NV12</t>
        </is>
      </c>
      <c r="D114" s="41" t="inlineStr">
        <is>
          <t>Phùng Công Thắng</t>
        </is>
      </c>
      <c r="E114" s="61" t="inlineStr">
        <is>
          <t>M-OKK1-01</t>
        </is>
      </c>
      <c r="F114" s="41" t="inlineStr">
        <is>
          <t>Phùng Công Thắng</t>
        </is>
      </c>
      <c r="G114" s="61" t="inlineStr">
        <is>
          <t>OP-SEALB-NC4</t>
        </is>
      </c>
      <c r="H114" s="41" t="inlineStr">
        <is>
          <t>Thyssen</t>
        </is>
      </c>
      <c r="I114" s="41" t="inlineStr">
        <is>
          <t>Sealing strip, above</t>
        </is>
      </c>
      <c r="J114" s="40" t="inlineStr">
        <is>
          <t>PO-9587</t>
        </is>
      </c>
      <c r="K114" s="41" t="inlineStr">
        <is>
          <t>G/c doa lỗ phi 32</t>
        </is>
      </c>
      <c r="L114" s="44" t="n">
        <v>26148</v>
      </c>
      <c r="M114" s="62" t="n">
        <v>15</v>
      </c>
      <c r="N114" s="44" t="n">
        <v>0</v>
      </c>
      <c r="O114" s="63" t="n">
        <v>8</v>
      </c>
      <c r="P114" s="64">
        <f>L114*M114</f>
        <v/>
      </c>
      <c r="Q114" s="41" t="inlineStr">
        <is>
          <t>Mũi khoan</t>
        </is>
      </c>
      <c r="R114" s="44" t="n">
        <v>0</v>
      </c>
      <c r="S114" s="40" t="inlineStr">
        <is>
          <t>SAI</t>
        </is>
      </c>
      <c r="T114" s="41" t="inlineStr">
        <is>
          <t>Đang gia công dở dang, chuyển ca sau</t>
        </is>
      </c>
      <c r="U114" t="inlineStr">
        <is>
          <t>ĐÃ DUYỆT</t>
        </is>
      </c>
      <c r="V114" t="inlineStr">
        <is>
          <t>ĐÃ PHÊ DUYỆT</t>
        </is>
      </c>
      <c r="W114" t="inlineStr">
        <is>
          <t>🔒 ĐÃ KHÓA</t>
        </is>
      </c>
    </row>
    <row r="115" ht="21" customHeight="1" s="75">
      <c r="A115" s="46" t="n">
        <v>112</v>
      </c>
      <c r="B115" s="66" t="n">
        <v>46259.24689375</v>
      </c>
      <c r="C115" s="61" t="inlineStr">
        <is>
          <t>EMP-NV12</t>
        </is>
      </c>
      <c r="D115" s="47" t="inlineStr">
        <is>
          <t>Phùng Công Thắng</t>
        </is>
      </c>
      <c r="E115" s="61" t="inlineStr">
        <is>
          <t>M-OKK1-01</t>
        </is>
      </c>
      <c r="F115" s="47" t="inlineStr">
        <is>
          <t>Phùng Công Thắng</t>
        </is>
      </c>
      <c r="G115" s="61" t="inlineStr">
        <is>
          <t>OP-SEALB-NC4</t>
        </is>
      </c>
      <c r="H115" s="47" t="inlineStr">
        <is>
          <t>Thyssen</t>
        </is>
      </c>
      <c r="I115" s="47" t="inlineStr">
        <is>
          <t>Sealing trip, below</t>
        </is>
      </c>
      <c r="J115" s="46" t="inlineStr">
        <is>
          <t>PO-2725</t>
        </is>
      </c>
      <c r="K115" s="47" t="inlineStr">
        <is>
          <t>G/c Roa lỗ phi 32/2 lỗ</t>
        </is>
      </c>
      <c r="L115" s="50" t="n">
        <v>26148</v>
      </c>
      <c r="M115" s="67" t="n">
        <v>57</v>
      </c>
      <c r="N115" s="50" t="n">
        <v>0</v>
      </c>
      <c r="O115" s="68" t="n">
        <v>8</v>
      </c>
      <c r="P115" s="64">
        <f>L115*M115</f>
        <v/>
      </c>
      <c r="Q115" s="47" t="inlineStr">
        <is>
          <t>Mũi khoan</t>
        </is>
      </c>
      <c r="R115" s="50" t="n">
        <v>0</v>
      </c>
      <c r="S115" s="46" t="inlineStr">
        <is>
          <t>SAI</t>
        </is>
      </c>
      <c r="T115" s="47" t="inlineStr">
        <is>
          <t>Đang gia công dở dang, chuyển ca sau</t>
        </is>
      </c>
      <c r="U115" t="inlineStr">
        <is>
          <t>ĐÃ DUYỆT</t>
        </is>
      </c>
      <c r="V115" t="inlineStr">
        <is>
          <t>ĐÃ PHÊ DUYỆT</t>
        </is>
      </c>
      <c r="W115" t="inlineStr">
        <is>
          <t>🔒 ĐÃ KHÓA</t>
        </is>
      </c>
    </row>
    <row r="116" ht="21" customHeight="1" s="75">
      <c r="A116" s="40" t="n">
        <v>113</v>
      </c>
      <c r="B116" s="60" t="n">
        <v>46259.33298972222</v>
      </c>
      <c r="C116" s="61" t="inlineStr">
        <is>
          <t>EMP-NV11</t>
        </is>
      </c>
      <c r="D116" s="41" t="inlineStr">
        <is>
          <t>Phùng Công Thắng</t>
        </is>
      </c>
      <c r="E116" s="61" t="inlineStr">
        <is>
          <t>M-FUJI-01</t>
        </is>
      </c>
      <c r="F116" s="41" t="inlineStr">
        <is>
          <t>Phùng Công Thắng</t>
        </is>
      </c>
      <c r="G116" s="61" t="inlineStr">
        <is>
          <t>OP-GEN-01</t>
        </is>
      </c>
      <c r="H116" s="41" t="inlineStr">
        <is>
          <t>Win-Win</t>
        </is>
      </c>
      <c r="I116" s="41" t="inlineStr">
        <is>
          <t>ISHIZUE 267Dw700</t>
        </is>
      </c>
      <c r="J116" s="40" t="inlineStr">
        <is>
          <t>PO-1358</t>
        </is>
      </c>
      <c r="K116" s="41" t="inlineStr">
        <is>
          <t>G/c hoàn thiện</t>
        </is>
      </c>
      <c r="L116" s="44" t="n">
        <v>55800</v>
      </c>
      <c r="M116" s="62" t="n">
        <v>6</v>
      </c>
      <c r="N116" s="44" t="n">
        <v>3</v>
      </c>
      <c r="O116" s="63" t="n">
        <v>8</v>
      </c>
      <c r="P116" s="64">
        <f>L116*M116</f>
        <v/>
      </c>
      <c r="Q116" s="41" t="inlineStr">
        <is>
          <t>Chíp  R5 THREADEX- P3200</t>
        </is>
      </c>
      <c r="R116" s="44" t="n">
        <v>1</v>
      </c>
      <c r="S116" s="65" t="inlineStr">
        <is>
          <t>ĐÚNG</t>
        </is>
      </c>
      <c r="T116" s="41" t="inlineStr">
        <is>
          <t>Đã xong nguyên công</t>
        </is>
      </c>
      <c r="U116" t="inlineStr">
        <is>
          <t>ĐÃ DUYỆT</t>
        </is>
      </c>
      <c r="V116" t="inlineStr">
        <is>
          <t>ĐÃ PHÊ DUYỆT</t>
        </is>
      </c>
      <c r="W116" t="inlineStr">
        <is>
          <t>🔒 ĐÃ KHÓA</t>
        </is>
      </c>
    </row>
    <row r="117" ht="21" customHeight="1" s="75">
      <c r="A117" s="46" t="n">
        <v>114</v>
      </c>
      <c r="B117" s="66" t="n">
        <v>46259.33344421296</v>
      </c>
      <c r="C117" s="61" t="inlineStr">
        <is>
          <t>EMP-NV11</t>
        </is>
      </c>
      <c r="D117" s="47" t="inlineStr">
        <is>
          <t>Phùng Công Thắng</t>
        </is>
      </c>
      <c r="E117" s="61" t="inlineStr">
        <is>
          <t>M-FUJI-01</t>
        </is>
      </c>
      <c r="F117" s="47" t="inlineStr">
        <is>
          <t>Phùng Công Thắng</t>
        </is>
      </c>
      <c r="G117" s="61" t="inlineStr">
        <is>
          <t>OP-GEN-01</t>
        </is>
      </c>
      <c r="H117" s="47" t="inlineStr">
        <is>
          <t>Win-Win</t>
        </is>
      </c>
      <c r="I117" s="47" t="inlineStr">
        <is>
          <t>ISHIZUE 267Dw800</t>
        </is>
      </c>
      <c r="J117" s="46" t="inlineStr">
        <is>
          <t>PO-8136</t>
        </is>
      </c>
      <c r="K117" s="47" t="inlineStr">
        <is>
          <t>G/c hoàn thiện</t>
        </is>
      </c>
      <c r="L117" s="50" t="n">
        <v>55800</v>
      </c>
      <c r="M117" s="67" t="n">
        <v>5</v>
      </c>
      <c r="N117" s="50" t="n">
        <v>0</v>
      </c>
      <c r="O117" s="68" t="n">
        <v>8</v>
      </c>
      <c r="P117" s="64">
        <f>L117*M117</f>
        <v/>
      </c>
      <c r="Q117" s="47" t="inlineStr">
        <is>
          <t>Không tiêu hao</t>
        </is>
      </c>
      <c r="R117" s="50" t="n">
        <v>0</v>
      </c>
      <c r="S117" s="65" t="inlineStr">
        <is>
          <t>ĐÚNG</t>
        </is>
      </c>
      <c r="T117" s="47" t="inlineStr">
        <is>
          <t>Đã xong nguyên công</t>
        </is>
      </c>
      <c r="U117" t="inlineStr">
        <is>
          <t>ĐÃ DUYỆT</t>
        </is>
      </c>
      <c r="V117" t="inlineStr">
        <is>
          <t>ĐÃ PHÊ DUYỆT</t>
        </is>
      </c>
      <c r="W117" t="inlineStr">
        <is>
          <t>🔒 ĐÃ KHÓA</t>
        </is>
      </c>
    </row>
    <row r="118" ht="21" customHeight="1" s="75">
      <c r="A118" s="40" t="n">
        <v>115</v>
      </c>
      <c r="B118" s="60" t="n">
        <v>46259.33430012732</v>
      </c>
      <c r="C118" s="61" t="inlineStr">
        <is>
          <t>EMP-NV06</t>
        </is>
      </c>
      <c r="D118" s="41" t="inlineStr">
        <is>
          <t>Phùng Công Thắng</t>
        </is>
      </c>
      <c r="E118" s="61" t="inlineStr">
        <is>
          <t>M-OKUMA-01</t>
        </is>
      </c>
      <c r="F118" s="41" t="inlineStr">
        <is>
          <t>Phùng Công Thắng</t>
        </is>
      </c>
      <c r="G118" s="61" t="inlineStr">
        <is>
          <t>OP-ISH114-NC1</t>
        </is>
      </c>
      <c r="H118" s="41" t="inlineStr">
        <is>
          <t>Win-Win</t>
        </is>
      </c>
      <c r="I118" s="41" t="inlineStr">
        <is>
          <t>ISHIZUE 114Dw300</t>
        </is>
      </c>
      <c r="J118" s="40" t="inlineStr">
        <is>
          <t>PO-5180</t>
        </is>
      </c>
      <c r="K118" s="41" t="inlineStr">
        <is>
          <t>G/c hoàn thiện</t>
        </is>
      </c>
      <c r="L118" s="44" t="n">
        <v>83700</v>
      </c>
      <c r="M118" s="62" t="n">
        <v>52</v>
      </c>
      <c r="N118" s="44" t="n">
        <v>16</v>
      </c>
      <c r="O118" s="63" t="n">
        <v>8</v>
      </c>
      <c r="P118" s="64">
        <f>L118*M118</f>
        <v/>
      </c>
      <c r="Q118" s="41" t="inlineStr">
        <is>
          <t>Chíp  R5 THREADEX- P3200</t>
        </is>
      </c>
      <c r="R118" s="44" t="n">
        <v>0</v>
      </c>
      <c r="S118" s="65" t="inlineStr">
        <is>
          <t>ĐÚNG</t>
        </is>
      </c>
      <c r="T118" s="41" t="inlineStr">
        <is>
          <t>Đã xong nguyên công</t>
        </is>
      </c>
      <c r="U118" t="inlineStr">
        <is>
          <t>ĐÃ DUYỆT</t>
        </is>
      </c>
      <c r="V118" t="inlineStr">
        <is>
          <t>ĐÃ PHÊ DUYỆT</t>
        </is>
      </c>
      <c r="W118" t="inlineStr">
        <is>
          <t>🔒 ĐÃ KHÓA</t>
        </is>
      </c>
    </row>
    <row r="119" ht="21" customHeight="1" s="75">
      <c r="A119" s="46" t="n">
        <v>116</v>
      </c>
      <c r="B119" s="66" t="n">
        <v>46259.33435072916</v>
      </c>
      <c r="C119" s="61" t="inlineStr">
        <is>
          <t>EMP-NV11</t>
        </is>
      </c>
      <c r="D119" s="47" t="inlineStr">
        <is>
          <t>Phùng Công Thắng</t>
        </is>
      </c>
      <c r="E119" s="61" t="inlineStr">
        <is>
          <t>M-PODA-01</t>
        </is>
      </c>
      <c r="F119" s="47" t="inlineStr">
        <is>
          <t>Phùng Công Thắng</t>
        </is>
      </c>
      <c r="G119" s="61" t="inlineStr">
        <is>
          <t>OP-GEN-01</t>
        </is>
      </c>
      <c r="H119" s="47" t="inlineStr">
        <is>
          <t>Vico- QLTB</t>
        </is>
      </c>
      <c r="I119" s="47" t="inlineStr">
        <is>
          <t>Mẫu Thử CR &amp; hàng #</t>
        </is>
      </c>
      <c r="J119" s="46" t="inlineStr">
        <is>
          <t>PO-9187</t>
        </is>
      </c>
      <c r="K119" s="47" t="inlineStr">
        <is>
          <t>G/c hoàn thiện</t>
        </is>
      </c>
      <c r="L119" s="50" t="n">
        <v>83700</v>
      </c>
      <c r="M119" s="67" t="n">
        <v>2</v>
      </c>
      <c r="N119" s="50" t="n">
        <v>0</v>
      </c>
      <c r="O119" s="68" t="n">
        <v>4</v>
      </c>
      <c r="P119" s="64">
        <f>L119*M119</f>
        <v/>
      </c>
      <c r="Q119" s="47" t="inlineStr">
        <is>
          <t>Dây cắt CNC</t>
        </is>
      </c>
      <c r="R119" s="50" t="n">
        <v>0</v>
      </c>
      <c r="S119" s="65" t="inlineStr">
        <is>
          <t>ĐÚNG</t>
        </is>
      </c>
      <c r="T119" s="47" t="inlineStr">
        <is>
          <t>Đã xong nguyên công</t>
        </is>
      </c>
      <c r="U119" t="inlineStr">
        <is>
          <t>ĐÃ DUYỆT</t>
        </is>
      </c>
      <c r="V119" t="inlineStr">
        <is>
          <t>ĐÃ PHÊ DUYỆT</t>
        </is>
      </c>
      <c r="W119" t="inlineStr">
        <is>
          <t>🔒 ĐÃ KHÓA</t>
        </is>
      </c>
    </row>
    <row r="120" ht="21" customHeight="1" s="75">
      <c r="A120" s="40" t="n">
        <v>117</v>
      </c>
      <c r="B120" s="60" t="n">
        <v>46259.3437462963</v>
      </c>
      <c r="C120" s="61" t="inlineStr">
        <is>
          <t>EMP-NV06</t>
        </is>
      </c>
      <c r="D120" s="41" t="inlineStr">
        <is>
          <t>Phùng Công Thắng</t>
        </is>
      </c>
      <c r="E120" s="61" t="inlineStr">
        <is>
          <t>M-OKUMA-01</t>
        </is>
      </c>
      <c r="F120" s="41" t="inlineStr">
        <is>
          <t>Phùng Công Thắng</t>
        </is>
      </c>
      <c r="G120" s="61" t="inlineStr">
        <is>
          <t>OP-ISH114-NC1</t>
        </is>
      </c>
      <c r="H120" s="41" t="inlineStr">
        <is>
          <t>Win-Win</t>
        </is>
      </c>
      <c r="I120" s="41" t="inlineStr">
        <is>
          <t>ISHIZUE 114Dw300</t>
        </is>
      </c>
      <c r="J120" s="40" t="inlineStr">
        <is>
          <t>PO-3240</t>
        </is>
      </c>
      <c r="K120" s="41" t="inlineStr">
        <is>
          <t>G/c hoàn thiện</t>
        </is>
      </c>
      <c r="L120" s="44" t="n">
        <v>83700</v>
      </c>
      <c r="M120" s="62" t="n">
        <v>52</v>
      </c>
      <c r="N120" s="44" t="n">
        <v>16</v>
      </c>
      <c r="O120" s="63" t="n">
        <v>8</v>
      </c>
      <c r="P120" s="64">
        <f>L120*M120</f>
        <v/>
      </c>
      <c r="Q120" s="41" t="inlineStr">
        <is>
          <t>Dây cắt CNC</t>
        </is>
      </c>
      <c r="R120" s="44" t="n">
        <v>0</v>
      </c>
      <c r="S120" s="65" t="inlineStr">
        <is>
          <t>ĐÚNG</t>
        </is>
      </c>
      <c r="T120" s="41" t="inlineStr">
        <is>
          <t>Đã xong nguyên công</t>
        </is>
      </c>
      <c r="U120" t="inlineStr">
        <is>
          <t>ĐÃ DUYỆT</t>
        </is>
      </c>
      <c r="V120" t="inlineStr">
        <is>
          <t>ĐÃ PHÊ DUYỆT</t>
        </is>
      </c>
      <c r="W120" t="inlineStr">
        <is>
          <t>🔒 ĐÃ KHÓA</t>
        </is>
      </c>
    </row>
    <row r="121" ht="21" customHeight="1" s="75">
      <c r="A121" s="46" t="n">
        <v>118</v>
      </c>
      <c r="B121" s="66" t="n">
        <v>46259.34455204861</v>
      </c>
      <c r="C121" s="61" t="inlineStr">
        <is>
          <t>EMP-NV06</t>
        </is>
      </c>
      <c r="D121" s="47" t="inlineStr">
        <is>
          <t>Phùng Công Thắng</t>
        </is>
      </c>
      <c r="E121" s="61" t="inlineStr">
        <is>
          <t>M-OKUMA-01</t>
        </is>
      </c>
      <c r="F121" s="47" t="inlineStr">
        <is>
          <t>Phùng Công Thắng</t>
        </is>
      </c>
      <c r="G121" s="61" t="inlineStr">
        <is>
          <t>OP-GEN-01</t>
        </is>
      </c>
      <c r="H121" s="47" t="inlineStr">
        <is>
          <t>Vico- QLTB</t>
        </is>
      </c>
      <c r="I121" s="47" t="inlineStr">
        <is>
          <t>Mẫu kéo nén</t>
        </is>
      </c>
      <c r="J121" s="46" t="inlineStr">
        <is>
          <t>PO-2792</t>
        </is>
      </c>
      <c r="K121" s="47" t="inlineStr">
        <is>
          <t>G/c ht theo bản vẽ</t>
        </is>
      </c>
      <c r="L121" s="50" t="n">
        <v>55800</v>
      </c>
      <c r="M121" s="67" t="n">
        <v>2</v>
      </c>
      <c r="N121" s="50" t="n">
        <v>0</v>
      </c>
      <c r="O121" s="68" t="n">
        <v>4</v>
      </c>
      <c r="P121" s="64">
        <f>L121*M121</f>
        <v/>
      </c>
      <c r="Q121" s="47" t="inlineStr">
        <is>
          <t>Chíp  TNMG160408L -ST TNMG332L-ST 
( 3 cạnh bẻ phoi )</t>
        </is>
      </c>
      <c r="R121" s="50" t="n">
        <v>1</v>
      </c>
      <c r="S121" s="65" t="inlineStr">
        <is>
          <t>ĐÚNG</t>
        </is>
      </c>
      <c r="T121" s="47" t="inlineStr">
        <is>
          <t>Đã xong nguyên công</t>
        </is>
      </c>
      <c r="U121" t="inlineStr">
        <is>
          <t>ĐÃ DUYỆT</t>
        </is>
      </c>
      <c r="V121" t="inlineStr">
        <is>
          <t>ĐÃ PHÊ DUYỆT</t>
        </is>
      </c>
      <c r="W121" t="inlineStr">
        <is>
          <t>🔒 ĐÃ KHÓA</t>
        </is>
      </c>
    </row>
    <row r="122" ht="21" customHeight="1" s="75">
      <c r="A122" s="40" t="n">
        <v>119</v>
      </c>
      <c r="B122" s="60" t="n">
        <v>46259.344986875</v>
      </c>
      <c r="C122" s="61" t="inlineStr">
        <is>
          <t>EMP-NV06</t>
        </is>
      </c>
      <c r="D122" s="41" t="inlineStr">
        <is>
          <t>Phùng Công Thắng</t>
        </is>
      </c>
      <c r="E122" s="61" t="inlineStr">
        <is>
          <t>M-DK7745-01</t>
        </is>
      </c>
      <c r="F122" s="41" t="inlineStr">
        <is>
          <t>Phùng Công Thắng</t>
        </is>
      </c>
      <c r="G122" s="61" t="inlineStr">
        <is>
          <t>OP-GEN-01</t>
        </is>
      </c>
      <c r="H122" s="41" t="inlineStr">
        <is>
          <t>Vico- QLTB</t>
        </is>
      </c>
      <c r="I122" s="41" t="inlineStr">
        <is>
          <t>Mẫu Thử CR &amp; hàng #</t>
        </is>
      </c>
      <c r="J122" s="40" t="inlineStr">
        <is>
          <t>PO-8324</t>
        </is>
      </c>
      <c r="K122" s="41" t="inlineStr">
        <is>
          <t>G/c hoàn thiện</t>
        </is>
      </c>
      <c r="L122" s="44" t="n">
        <v>83700</v>
      </c>
      <c r="M122" s="62" t="n">
        <v>4</v>
      </c>
      <c r="N122" s="44" t="n">
        <v>0</v>
      </c>
      <c r="O122" s="63" t="n">
        <v>4</v>
      </c>
      <c r="P122" s="64">
        <f>L122*M122</f>
        <v/>
      </c>
      <c r="Q122" s="41" t="inlineStr">
        <is>
          <t>Dây cắt CNC</t>
        </is>
      </c>
      <c r="R122" s="44" t="n">
        <v>0</v>
      </c>
      <c r="S122" s="65" t="inlineStr">
        <is>
          <t>ĐÚNG</t>
        </is>
      </c>
      <c r="T122" s="41" t="inlineStr">
        <is>
          <t>Đã xong nguyên công</t>
        </is>
      </c>
      <c r="U122" t="inlineStr">
        <is>
          <t>ĐÃ DUYỆT</t>
        </is>
      </c>
      <c r="V122" t="inlineStr">
        <is>
          <t>ĐÃ PHÊ DUYỆT</t>
        </is>
      </c>
      <c r="W122" t="inlineStr">
        <is>
          <t>🔒 ĐÃ KHÓA</t>
        </is>
      </c>
    </row>
    <row r="123" ht="21" customHeight="1" s="75">
      <c r="A123" s="46" t="n">
        <v>120</v>
      </c>
      <c r="B123" s="66" t="n">
        <v>46259.38805967593</v>
      </c>
      <c r="C123" s="61" t="inlineStr">
        <is>
          <t>EMP-NV08</t>
        </is>
      </c>
      <c r="D123" s="47" t="inlineStr">
        <is>
          <t>Phùng Công Thắng</t>
        </is>
      </c>
      <c r="E123" s="61" t="inlineStr">
        <is>
          <t>M-T1516-01</t>
        </is>
      </c>
      <c r="F123" s="47" t="inlineStr">
        <is>
          <t>Phùng Công Thắng</t>
        </is>
      </c>
      <c r="G123" s="61" t="inlineStr">
        <is>
          <t>OP-GEN-01</t>
        </is>
      </c>
      <c r="H123" s="47" t="inlineStr">
        <is>
          <t>TFG</t>
        </is>
      </c>
      <c r="I123" s="47" t="inlineStr">
        <is>
          <t>Nut cover số hiệu F3P00064-2 theo bản vẽ 2CG01074</t>
        </is>
      </c>
      <c r="J123" s="46" t="inlineStr">
        <is>
          <t>PO-3223</t>
        </is>
      </c>
      <c r="K123" s="47" t="inlineStr">
        <is>
          <t>Gc sửa côn</t>
        </is>
      </c>
      <c r="L123" s="50" t="n">
        <v>45000</v>
      </c>
      <c r="M123" s="67" t="n">
        <v>1</v>
      </c>
      <c r="N123" s="50" t="n">
        <v>0</v>
      </c>
      <c r="O123" s="68" t="n">
        <v>4</v>
      </c>
      <c r="P123" s="64">
        <f>L123*M123</f>
        <v/>
      </c>
      <c r="Q123" s="47" t="inlineStr">
        <is>
          <t>Không tiêu hao</t>
        </is>
      </c>
      <c r="R123" s="50" t="n">
        <v>0</v>
      </c>
      <c r="S123" s="46" t="inlineStr">
        <is>
          <t>SAI</t>
        </is>
      </c>
      <c r="T123" s="47" t="inlineStr">
        <is>
          <t>Đang gia công dở dang, chuyển ca sau</t>
        </is>
      </c>
      <c r="U123" t="inlineStr">
        <is>
          <t>ĐÃ DUYỆT</t>
        </is>
      </c>
      <c r="V123" t="inlineStr">
        <is>
          <t>ĐÃ PHÊ DUYỆT</t>
        </is>
      </c>
      <c r="W123" t="inlineStr">
        <is>
          <t>🔒 ĐÃ KHÓA</t>
        </is>
      </c>
    </row>
    <row r="124" ht="21" customHeight="1" s="75">
      <c r="A124" s="40" t="n">
        <v>121</v>
      </c>
      <c r="B124" s="60" t="n">
        <v>46259.38872753472</v>
      </c>
      <c r="C124" s="61" t="inlineStr">
        <is>
          <t>EMP-NV08</t>
        </is>
      </c>
      <c r="D124" s="41" t="inlineStr">
        <is>
          <t>Phùng Công Thắng</t>
        </is>
      </c>
      <c r="E124" s="61" t="inlineStr">
        <is>
          <t>M-KHYOS-01</t>
        </is>
      </c>
      <c r="F124" s="41" t="inlineStr">
        <is>
          <t>Phùng Công Thắng</t>
        </is>
      </c>
      <c r="G124" s="61" t="inlineStr">
        <is>
          <t>OP-OPDAO-NC1</t>
        </is>
      </c>
      <c r="H124" s="41" t="inlineStr">
        <is>
          <t>Luợng- KS Tường Long</t>
        </is>
      </c>
      <c r="I124" s="41" t="inlineStr">
        <is>
          <t>Ốp dao nhào trên (Bộ bên trái)</t>
        </is>
      </c>
      <c r="J124" s="40" t="inlineStr">
        <is>
          <t>PO-3081</t>
        </is>
      </c>
      <c r="K124" s="41" t="inlineStr">
        <is>
          <t>G/c khan taro M14</t>
        </is>
      </c>
      <c r="L124" s="44" t="n">
        <v>63767</v>
      </c>
      <c r="M124" s="62" t="n">
        <v>1</v>
      </c>
      <c r="N124" s="44" t="n">
        <v>0</v>
      </c>
      <c r="O124" s="63" t="n">
        <v>4</v>
      </c>
      <c r="P124" s="64">
        <f>L124*M124</f>
        <v/>
      </c>
      <c r="Q124" s="41" t="inlineStr">
        <is>
          <t>Không tiêu hao</t>
        </is>
      </c>
      <c r="R124" s="44" t="n">
        <v>0</v>
      </c>
      <c r="S124" s="40" t="inlineStr">
        <is>
          <t>SAI</t>
        </is>
      </c>
      <c r="T124" s="41" t="inlineStr">
        <is>
          <t>Đang gia công dở dang, chuyển ca sau</t>
        </is>
      </c>
      <c r="U124" t="inlineStr">
        <is>
          <t>ĐÃ DUYỆT</t>
        </is>
      </c>
      <c r="V124" t="inlineStr">
        <is>
          <t>ĐÃ PHÊ DUYỆT</t>
        </is>
      </c>
      <c r="W124" t="inlineStr">
        <is>
          <t>🔒 ĐÃ KHÓA</t>
        </is>
      </c>
    </row>
    <row r="125" ht="21" customHeight="1" s="75">
      <c r="A125" s="46" t="n">
        <v>122</v>
      </c>
      <c r="B125" s="66" t="n">
        <v>46259.38931162037</v>
      </c>
      <c r="C125" s="61" t="inlineStr">
        <is>
          <t>EMP-NV08</t>
        </is>
      </c>
      <c r="D125" s="47" t="inlineStr">
        <is>
          <t>Phùng Công Thắng</t>
        </is>
      </c>
      <c r="E125" s="61" t="inlineStr">
        <is>
          <t>M-PCNC2-01</t>
        </is>
      </c>
      <c r="F125" s="47" t="inlineStr">
        <is>
          <t>Phùng Công Thắng</t>
        </is>
      </c>
      <c r="G125" s="61" t="inlineStr">
        <is>
          <t>OP-SEALB-NC4</t>
        </is>
      </c>
      <c r="H125" s="47" t="inlineStr">
        <is>
          <t>Thyssen</t>
        </is>
      </c>
      <c r="I125" s="47" t="inlineStr">
        <is>
          <t>Sealing trip, below</t>
        </is>
      </c>
      <c r="J125" s="46" t="inlineStr">
        <is>
          <t>PO-6293</t>
        </is>
      </c>
      <c r="K125" s="47" t="inlineStr">
        <is>
          <t>G/c phay Mp NC4 Kt 412mm</t>
        </is>
      </c>
      <c r="L125" s="50" t="n">
        <v>14942</v>
      </c>
      <c r="M125" s="67" t="n">
        <v>5</v>
      </c>
      <c r="N125" s="50" t="n">
        <v>0</v>
      </c>
      <c r="O125" s="68" t="n">
        <v>8</v>
      </c>
      <c r="P125" s="64">
        <f>L125*M125</f>
        <v/>
      </c>
      <c r="Q125" s="47" t="inlineStr">
        <is>
          <t>Không tiêu hao</t>
        </is>
      </c>
      <c r="R125" s="50" t="n">
        <v>0</v>
      </c>
      <c r="S125" s="65" t="inlineStr">
        <is>
          <t>ĐÚNG</t>
        </is>
      </c>
      <c r="T125" s="47" t="inlineStr">
        <is>
          <t>Đã xong nguyên công</t>
        </is>
      </c>
      <c r="U125" t="inlineStr">
        <is>
          <t>ĐÃ DUYỆT</t>
        </is>
      </c>
      <c r="V125" t="inlineStr">
        <is>
          <t>ĐÃ PHÊ DUYỆT</t>
        </is>
      </c>
      <c r="W125" t="inlineStr">
        <is>
          <t>🔒 ĐÃ KHÓA</t>
        </is>
      </c>
    </row>
    <row r="126" ht="21" customHeight="1" s="75">
      <c r="A126" s="40" t="n">
        <v>123</v>
      </c>
      <c r="B126" s="60" t="n">
        <v>46259.38967700231</v>
      </c>
      <c r="C126" s="61" t="inlineStr">
        <is>
          <t>EMP-NV08</t>
        </is>
      </c>
      <c r="D126" s="41" t="inlineStr">
        <is>
          <t>Phùng Công Thắng</t>
        </is>
      </c>
      <c r="E126" s="61" t="inlineStr">
        <is>
          <t>M-PCNC2-01</t>
        </is>
      </c>
      <c r="F126" s="41" t="inlineStr">
        <is>
          <t>Phùng Công Thắng</t>
        </is>
      </c>
      <c r="G126" s="61" t="inlineStr">
        <is>
          <t>OP-SEALB-NC4</t>
        </is>
      </c>
      <c r="H126" s="41" t="inlineStr">
        <is>
          <t>Thyssen</t>
        </is>
      </c>
      <c r="I126" s="41" t="inlineStr">
        <is>
          <t>Sealing trip, below</t>
        </is>
      </c>
      <c r="J126" s="40" t="inlineStr">
        <is>
          <t>PO-3887</t>
        </is>
      </c>
      <c r="K126" s="41" t="inlineStr">
        <is>
          <t>G/c phay Mp NC4 Kt 412mm còn lại</t>
        </is>
      </c>
      <c r="L126" s="44" t="n">
        <v>14942</v>
      </c>
      <c r="M126" s="62" t="n">
        <v>5</v>
      </c>
      <c r="N126" s="44" t="n">
        <v>0</v>
      </c>
      <c r="O126" s="63" t="n">
        <v>8</v>
      </c>
      <c r="P126" s="64">
        <f>L126*M126</f>
        <v/>
      </c>
      <c r="Q126" s="41" t="inlineStr">
        <is>
          <t>Không tiêu hao</t>
        </is>
      </c>
      <c r="R126" s="44" t="n">
        <v>0</v>
      </c>
      <c r="S126" s="65" t="inlineStr">
        <is>
          <t>ĐÚNG</t>
        </is>
      </c>
      <c r="T126" s="41" t="inlineStr">
        <is>
          <t>Đã xong nguyên công</t>
        </is>
      </c>
      <c r="U126" t="inlineStr">
        <is>
          <t>ĐÃ DUYỆT</t>
        </is>
      </c>
      <c r="V126" t="inlineStr">
        <is>
          <t>ĐÃ PHÊ DUYỆT</t>
        </is>
      </c>
      <c r="W126" t="inlineStr">
        <is>
          <t>🔒 ĐÃ KHÓA</t>
        </is>
      </c>
    </row>
    <row r="127" ht="21" customHeight="1" s="75">
      <c r="A127" s="46" t="n">
        <v>124</v>
      </c>
      <c r="B127" s="66" t="n">
        <v>46259.39014216435</v>
      </c>
      <c r="C127" s="61" t="inlineStr">
        <is>
          <t>EMP-NV08</t>
        </is>
      </c>
      <c r="D127" s="47" t="inlineStr">
        <is>
          <t>Phùng Công Thắng</t>
        </is>
      </c>
      <c r="E127" s="61" t="inlineStr">
        <is>
          <t>M-PCNC1-01</t>
        </is>
      </c>
      <c r="F127" s="47" t="inlineStr">
        <is>
          <t>Phùng Công Thắng</t>
        </is>
      </c>
      <c r="G127" s="61" t="inlineStr">
        <is>
          <t>OP-SEALB-NC4</t>
        </is>
      </c>
      <c r="H127" s="47" t="inlineStr">
        <is>
          <t>Thyssen</t>
        </is>
      </c>
      <c r="I127" s="47" t="inlineStr">
        <is>
          <t>Sealing trip, below</t>
        </is>
      </c>
      <c r="J127" s="46" t="inlineStr">
        <is>
          <t>PO-7708</t>
        </is>
      </c>
      <c r="K127" s="47" t="inlineStr">
        <is>
          <t>GC phay rãnh</t>
        </is>
      </c>
      <c r="L127" s="50" t="n">
        <v>45000</v>
      </c>
      <c r="M127" s="67" t="n">
        <v>4</v>
      </c>
      <c r="N127" s="50" t="n">
        <v>0</v>
      </c>
      <c r="O127" s="68" t="n">
        <v>4</v>
      </c>
      <c r="P127" s="64">
        <f>L127*M127</f>
        <v/>
      </c>
      <c r="Q127" s="47" t="inlineStr">
        <is>
          <t>Không tiêu hao</t>
        </is>
      </c>
      <c r="R127" s="50" t="n">
        <v>0</v>
      </c>
      <c r="S127" s="46" t="inlineStr">
        <is>
          <t>SAI</t>
        </is>
      </c>
      <c r="T127" s="47" t="inlineStr">
        <is>
          <t>Đang gia công dở dang, chuyển ca sau</t>
        </is>
      </c>
      <c r="U127" t="inlineStr">
        <is>
          <t>ĐÃ DUYỆT</t>
        </is>
      </c>
      <c r="V127" t="inlineStr">
        <is>
          <t>ĐÃ PHÊ DUYỆT</t>
        </is>
      </c>
      <c r="W127" t="inlineStr">
        <is>
          <t>🔒 ĐÃ KHÓA</t>
        </is>
      </c>
    </row>
    <row r="128" ht="21" customHeight="1" s="75">
      <c r="A128" s="40" t="n">
        <v>125</v>
      </c>
      <c r="B128" s="60" t="n">
        <v>46259.65426364583</v>
      </c>
      <c r="C128" s="61" t="inlineStr">
        <is>
          <t>EMP-NV07</t>
        </is>
      </c>
      <c r="D128" s="41" t="inlineStr">
        <is>
          <t>Phùng Công Thắng</t>
        </is>
      </c>
      <c r="E128" s="61" t="inlineStr">
        <is>
          <t>M-OKK1-01</t>
        </is>
      </c>
      <c r="F128" s="41" t="inlineStr">
        <is>
          <t>Phùng Công Thắng</t>
        </is>
      </c>
      <c r="G128" s="61" t="inlineStr">
        <is>
          <t>OP-SEALB-NC4</t>
        </is>
      </c>
      <c r="H128" s="41" t="inlineStr">
        <is>
          <t>Thyssen</t>
        </is>
      </c>
      <c r="I128" s="41" t="inlineStr">
        <is>
          <t>Sealing trip, below</t>
        </is>
      </c>
      <c r="J128" s="40" t="inlineStr">
        <is>
          <t>PO-7417</t>
        </is>
      </c>
      <c r="K128" s="41" t="inlineStr">
        <is>
          <t>G/c phay cạnh NC3 kt 12mm</t>
        </is>
      </c>
      <c r="L128" s="44" t="n">
        <v>19918</v>
      </c>
      <c r="M128" s="62" t="n">
        <v>50</v>
      </c>
      <c r="N128" s="44" t="n">
        <v>0</v>
      </c>
      <c r="O128" s="63" t="n">
        <v>8</v>
      </c>
      <c r="P128" s="64">
        <f>L128*M128</f>
        <v/>
      </c>
      <c r="Q128" s="41" t="inlineStr">
        <is>
          <t>Không tiêu hao</t>
        </is>
      </c>
      <c r="R128" s="44" t="n">
        <v>0</v>
      </c>
      <c r="S128" s="40" t="inlineStr">
        <is>
          <t>SAI</t>
        </is>
      </c>
      <c r="T128" s="41" t="inlineStr">
        <is>
          <t>Đang gia công dở dang, chuyển ca sau</t>
        </is>
      </c>
      <c r="U128" t="inlineStr">
        <is>
          <t>ĐÃ DUYỆT</t>
        </is>
      </c>
      <c r="V128" t="inlineStr">
        <is>
          <t>ĐÃ PHÊ DUYỆT</t>
        </is>
      </c>
      <c r="W128" t="inlineStr">
        <is>
          <t>🔒 ĐÃ KHÓA</t>
        </is>
      </c>
    </row>
    <row r="129" ht="21" customHeight="1" s="75">
      <c r="A129" s="46" t="n">
        <v>126</v>
      </c>
      <c r="B129" s="66" t="n">
        <v>46259.65488221065</v>
      </c>
      <c r="C129" s="61" t="inlineStr">
        <is>
          <t>EMP-NV07</t>
        </is>
      </c>
      <c r="D129" s="47" t="inlineStr">
        <is>
          <t>Phùng Công Thắng</t>
        </is>
      </c>
      <c r="E129" s="61" t="inlineStr">
        <is>
          <t>M-OKK1-01</t>
        </is>
      </c>
      <c r="F129" s="47" t="inlineStr">
        <is>
          <t>Phùng Công Thắng</t>
        </is>
      </c>
      <c r="G129" s="61" t="inlineStr">
        <is>
          <t>OP-SEALB-NC1</t>
        </is>
      </c>
      <c r="H129" s="47" t="inlineStr">
        <is>
          <t>Thyssen</t>
        </is>
      </c>
      <c r="I129" s="47" t="inlineStr">
        <is>
          <t>Sealing trip, below</t>
        </is>
      </c>
      <c r="J129" s="46" t="inlineStr">
        <is>
          <t>PO-7426</t>
        </is>
      </c>
      <c r="K129" s="47" t="inlineStr">
        <is>
          <t>G/c phay Mp NC1 Kt 47mm</t>
        </is>
      </c>
      <c r="L129" s="50" t="n">
        <v>37200</v>
      </c>
      <c r="M129" s="67" t="n">
        <v>6</v>
      </c>
      <c r="N129" s="50" t="n">
        <v>0</v>
      </c>
      <c r="O129" s="68" t="n">
        <v>8</v>
      </c>
      <c r="P129" s="64">
        <f>L129*M129</f>
        <v/>
      </c>
      <c r="Q129" s="47" t="inlineStr">
        <is>
          <t>Không tiêu hao</t>
        </is>
      </c>
      <c r="R129" s="50" t="n">
        <v>0</v>
      </c>
      <c r="S129" s="46" t="inlineStr">
        <is>
          <t>SAI</t>
        </is>
      </c>
      <c r="T129" s="47" t="inlineStr">
        <is>
          <t>Đang gia công dở dang, chuyển ca sau</t>
        </is>
      </c>
      <c r="U129" t="inlineStr">
        <is>
          <t>ĐÃ DUYỆT</t>
        </is>
      </c>
      <c r="V129" t="inlineStr">
        <is>
          <t>ĐÃ PHÊ DUYỆT</t>
        </is>
      </c>
      <c r="W129" t="inlineStr">
        <is>
          <t>🔒 ĐÃ KHÓA</t>
        </is>
      </c>
    </row>
    <row r="130" ht="21" customHeight="1" s="75">
      <c r="A130" s="40" t="n">
        <v>127</v>
      </c>
      <c r="B130" s="60" t="n">
        <v>46259.65524775463</v>
      </c>
      <c r="C130" s="61" t="inlineStr">
        <is>
          <t>EMP-NV07</t>
        </is>
      </c>
      <c r="D130" s="41" t="inlineStr">
        <is>
          <t>Phùng Công Thắng</t>
        </is>
      </c>
      <c r="E130" s="61" t="inlineStr">
        <is>
          <t>M-OKK3-01</t>
        </is>
      </c>
      <c r="F130" s="41" t="inlineStr">
        <is>
          <t>Phùng Công Thắng</t>
        </is>
      </c>
      <c r="G130" s="61" t="inlineStr">
        <is>
          <t>OP-SEALB-NC2</t>
        </is>
      </c>
      <c r="H130" s="41" t="inlineStr">
        <is>
          <t>Thyssen</t>
        </is>
      </c>
      <c r="I130" s="41" t="inlineStr">
        <is>
          <t>Sealing trip, below</t>
        </is>
      </c>
      <c r="J130" s="40" t="inlineStr">
        <is>
          <t>PO-7517</t>
        </is>
      </c>
      <c r="K130" s="41" t="inlineStr">
        <is>
          <t>G/c phay Mp NC2 Kt 95mm</t>
        </is>
      </c>
      <c r="L130" s="44" t="n">
        <v>37200</v>
      </c>
      <c r="M130" s="62" t="n">
        <v>15</v>
      </c>
      <c r="N130" s="44" t="n">
        <v>0</v>
      </c>
      <c r="O130" s="63" t="n">
        <v>8</v>
      </c>
      <c r="P130" s="64">
        <f>L130*M130</f>
        <v/>
      </c>
      <c r="Q130" s="41" t="inlineStr">
        <is>
          <t>Không tiêu hao</t>
        </is>
      </c>
      <c r="R130" s="44" t="n">
        <v>0</v>
      </c>
      <c r="S130" s="40" t="inlineStr">
        <is>
          <t>SAI</t>
        </is>
      </c>
      <c r="T130" s="41" t="inlineStr">
        <is>
          <t>Đang gia công dở dang, chuyển ca sau</t>
        </is>
      </c>
      <c r="U130" t="inlineStr">
        <is>
          <t>ĐÃ DUYỆT</t>
        </is>
      </c>
      <c r="V130" t="inlineStr">
        <is>
          <t>ĐÃ PHÊ DUYỆT</t>
        </is>
      </c>
      <c r="W130" t="inlineStr">
        <is>
          <t>🔒 ĐÃ KHÓA</t>
        </is>
      </c>
    </row>
    <row r="131" ht="21" customHeight="1" s="75">
      <c r="A131" s="46" t="n">
        <v>128</v>
      </c>
      <c r="B131" s="66" t="n">
        <v>46259.66050905093</v>
      </c>
      <c r="C131" s="61" t="inlineStr">
        <is>
          <t>EMP-NV01</t>
        </is>
      </c>
      <c r="D131" s="47" t="inlineStr">
        <is>
          <t>Phùng Công Thắng</t>
        </is>
      </c>
      <c r="E131" s="61" t="inlineStr">
        <is>
          <t>M-T1516-01</t>
        </is>
      </c>
      <c r="F131" s="47" t="inlineStr">
        <is>
          <t>Phùng Công Thắng</t>
        </is>
      </c>
      <c r="G131" s="61" t="inlineStr">
        <is>
          <t>OP-GEN-01</t>
        </is>
      </c>
      <c r="H131" s="47" t="inlineStr">
        <is>
          <t>Win-Win</t>
        </is>
      </c>
      <c r="I131" s="47" t="inlineStr">
        <is>
          <t>ISHIZUE 457Dw1150</t>
        </is>
      </c>
      <c r="J131" s="46" t="inlineStr">
        <is>
          <t>PO-4363</t>
        </is>
      </c>
      <c r="K131" s="47" t="inlineStr">
        <is>
          <t>G/c hoàn thiện</t>
        </is>
      </c>
      <c r="L131" s="50" t="n">
        <v>111600</v>
      </c>
      <c r="M131" s="67" t="n">
        <v>3</v>
      </c>
      <c r="N131" s="50" t="n">
        <v>2</v>
      </c>
      <c r="O131" s="68" t="n">
        <v>4</v>
      </c>
      <c r="P131" s="64">
        <f>L131*M131</f>
        <v/>
      </c>
      <c r="Q131" s="47" t="inlineStr">
        <is>
          <t>Chíp  R5 THREADEX- P3200</t>
        </is>
      </c>
      <c r="R131" s="50" t="n">
        <v>0</v>
      </c>
      <c r="S131" s="65" t="inlineStr">
        <is>
          <t>ĐÚNG</t>
        </is>
      </c>
      <c r="T131" s="47" t="inlineStr">
        <is>
          <t>Đã xong nguyên công</t>
        </is>
      </c>
      <c r="U131" t="inlineStr">
        <is>
          <t>ĐÃ DUYỆT</t>
        </is>
      </c>
      <c r="V131" t="inlineStr">
        <is>
          <t>ĐÃ PHÊ DUYỆT</t>
        </is>
      </c>
      <c r="W131" t="inlineStr">
        <is>
          <t>🔒 ĐÃ KHÓA</t>
        </is>
      </c>
    </row>
    <row r="132" ht="21" customHeight="1" s="75">
      <c r="A132" s="40" t="n">
        <v>129</v>
      </c>
      <c r="B132" s="60" t="n">
        <v>46259.66110043981</v>
      </c>
      <c r="C132" s="61" t="inlineStr">
        <is>
          <t>EMP-NV01</t>
        </is>
      </c>
      <c r="D132" s="41" t="inlineStr">
        <is>
          <t>Phùng Công Thắng</t>
        </is>
      </c>
      <c r="E132" s="61" t="inlineStr">
        <is>
          <t>M-FUJI-01</t>
        </is>
      </c>
      <c r="F132" s="41" t="inlineStr">
        <is>
          <t>Phùng Công Thắng</t>
        </is>
      </c>
      <c r="G132" s="61" t="inlineStr">
        <is>
          <t>OP-ISH355-NC3</t>
        </is>
      </c>
      <c r="H132" s="41" t="inlineStr">
        <is>
          <t>Win-Win</t>
        </is>
      </c>
      <c r="I132" s="41" t="inlineStr">
        <is>
          <t>ISHIZUE OMEGA355.6-1060</t>
        </is>
      </c>
      <c r="J132" s="40" t="inlineStr">
        <is>
          <t>PO-6656</t>
        </is>
      </c>
      <c r="K132" s="41" t="inlineStr">
        <is>
          <t>G/c tiện hoàn thiện</t>
        </is>
      </c>
      <c r="L132" s="44" t="n">
        <v>83700</v>
      </c>
      <c r="M132" s="62" t="n">
        <v>4</v>
      </c>
      <c r="N132" s="44" t="n">
        <v>3</v>
      </c>
      <c r="O132" s="63" t="n">
        <v>4</v>
      </c>
      <c r="P132" s="64">
        <f>L132*M132</f>
        <v/>
      </c>
      <c r="Q132" s="41" t="inlineStr">
        <is>
          <t>Chíp  R5 THREADEX- P3200</t>
        </is>
      </c>
      <c r="R132" s="44" t="n">
        <v>0</v>
      </c>
      <c r="S132" s="65" t="inlineStr">
        <is>
          <t>ĐÚNG</t>
        </is>
      </c>
      <c r="T132" s="41" t="inlineStr">
        <is>
          <t>Đã xong nguyên công</t>
        </is>
      </c>
      <c r="U132" t="inlineStr">
        <is>
          <t>ĐÃ DUYỆT</t>
        </is>
      </c>
      <c r="V132" t="inlineStr">
        <is>
          <t>ĐÃ PHÊ DUYỆT</t>
        </is>
      </c>
      <c r="W132" t="inlineStr">
        <is>
          <t>🔒 ĐÃ KHÓA</t>
        </is>
      </c>
    </row>
    <row r="133" ht="21" customHeight="1" s="75">
      <c r="A133" s="46" t="n">
        <v>130</v>
      </c>
      <c r="B133" s="66" t="n">
        <v>46259.66115662037</v>
      </c>
      <c r="C133" s="61" t="inlineStr">
        <is>
          <t>EMP-NV01</t>
        </is>
      </c>
      <c r="D133" s="47" t="inlineStr">
        <is>
          <t>Phùng Công Thắng</t>
        </is>
      </c>
      <c r="E133" s="61" t="inlineStr">
        <is>
          <t>M-OKUMA-01</t>
        </is>
      </c>
      <c r="F133" s="47" t="inlineStr">
        <is>
          <t>Phùng Công Thắng</t>
        </is>
      </c>
      <c r="G133" s="61" t="inlineStr">
        <is>
          <t>OP-ISH114-NC1</t>
        </is>
      </c>
      <c r="H133" s="47" t="inlineStr">
        <is>
          <t>Win-Win</t>
        </is>
      </c>
      <c r="I133" s="47" t="inlineStr">
        <is>
          <t>ISHIZUE 114Dw300</t>
        </is>
      </c>
      <c r="J133" s="46" t="inlineStr">
        <is>
          <t>PO-2773</t>
        </is>
      </c>
      <c r="K133" s="47" t="inlineStr">
        <is>
          <t>G/c hoàn thiện</t>
        </is>
      </c>
      <c r="L133" s="50" t="n">
        <v>83700</v>
      </c>
      <c r="M133" s="67" t="n">
        <v>40</v>
      </c>
      <c r="N133" s="50" t="n">
        <v>16</v>
      </c>
      <c r="O133" s="68" t="n">
        <v>8</v>
      </c>
      <c r="P133" s="64">
        <f>L133*M133</f>
        <v/>
      </c>
      <c r="Q133" s="47" t="inlineStr">
        <is>
          <t>Chíp  TNMG160408 WINSTAR RP- CX2555 ( 3 cạnh thẳng)</t>
        </is>
      </c>
      <c r="R133" s="50" t="n">
        <v>1</v>
      </c>
      <c r="S133" s="65" t="inlineStr">
        <is>
          <t>ĐÚNG</t>
        </is>
      </c>
      <c r="T133" s="47" t="inlineStr">
        <is>
          <t>Đã xong nguyên công</t>
        </is>
      </c>
      <c r="U133" t="inlineStr">
        <is>
          <t>ĐÃ DUYỆT</t>
        </is>
      </c>
      <c r="V133" t="inlineStr">
        <is>
          <t>ĐÃ PHÊ DUYỆT</t>
        </is>
      </c>
      <c r="W133" t="inlineStr">
        <is>
          <t>🔒 ĐÃ KHÓA</t>
        </is>
      </c>
    </row>
    <row r="134" ht="21" customHeight="1" s="75">
      <c r="A134" s="40" t="n">
        <v>131</v>
      </c>
      <c r="B134" s="60" t="n">
        <v>46259.66153658565</v>
      </c>
      <c r="C134" s="61" t="inlineStr">
        <is>
          <t>EMP-NV01</t>
        </is>
      </c>
      <c r="D134" s="41" t="inlineStr">
        <is>
          <t>Phùng Công Thắng</t>
        </is>
      </c>
      <c r="E134" s="61" t="inlineStr">
        <is>
          <t>M-DK7745-01</t>
        </is>
      </c>
      <c r="F134" s="41" t="inlineStr">
        <is>
          <t>Phùng Công Thắng</t>
        </is>
      </c>
      <c r="G134" s="61" t="inlineStr">
        <is>
          <t>OP-GEN-01</t>
        </is>
      </c>
      <c r="H134" s="41" t="inlineStr">
        <is>
          <t>Vico- QLTB</t>
        </is>
      </c>
      <c r="I134" s="41" t="inlineStr">
        <is>
          <t>Mẫu Thử CR &amp; hàng #</t>
        </is>
      </c>
      <c r="J134" s="40" t="inlineStr">
        <is>
          <t>PO-4483</t>
        </is>
      </c>
      <c r="K134" s="41" t="inlineStr">
        <is>
          <t>G/c hoàn thiện</t>
        </is>
      </c>
      <c r="L134" s="44" t="n">
        <v>83700</v>
      </c>
      <c r="M134" s="62" t="n">
        <v>1</v>
      </c>
      <c r="N134" s="44" t="n">
        <v>0</v>
      </c>
      <c r="O134" s="63" t="n">
        <v>4</v>
      </c>
      <c r="P134" s="64">
        <f>L134*M134</f>
        <v/>
      </c>
      <c r="Q134" s="41" t="inlineStr">
        <is>
          <t>Dây cắt CNC</t>
        </is>
      </c>
      <c r="R134" s="44" t="n">
        <v>0</v>
      </c>
      <c r="S134" s="65" t="inlineStr">
        <is>
          <t>ĐÚNG</t>
        </is>
      </c>
      <c r="T134" s="41" t="inlineStr">
        <is>
          <t>Đã xong nguyên công</t>
        </is>
      </c>
      <c r="U134" t="inlineStr">
        <is>
          <t>ĐÃ DUYỆT</t>
        </is>
      </c>
      <c r="V134" t="inlineStr">
        <is>
          <t>ĐÃ PHÊ DUYỆT</t>
        </is>
      </c>
      <c r="W134" t="inlineStr">
        <is>
          <t>🔒 ĐÃ KHÓA</t>
        </is>
      </c>
    </row>
    <row r="135" ht="21" customHeight="1" s="75">
      <c r="A135" s="46" t="n">
        <v>132</v>
      </c>
      <c r="B135" s="66" t="n">
        <v>46259.66207835648</v>
      </c>
      <c r="C135" s="61" t="inlineStr">
        <is>
          <t>EMP-NV01</t>
        </is>
      </c>
      <c r="D135" s="47" t="inlineStr">
        <is>
          <t>Phùng Công Thắng</t>
        </is>
      </c>
      <c r="E135" s="61" t="inlineStr">
        <is>
          <t>M-DK7745-01</t>
        </is>
      </c>
      <c r="F135" s="47" t="inlineStr">
        <is>
          <t>Phùng Công Thắng</t>
        </is>
      </c>
      <c r="G135" s="61" t="inlineStr">
        <is>
          <t>OP-GEN-01</t>
        </is>
      </c>
      <c r="H135" s="47" t="inlineStr">
        <is>
          <t>Vico- QLTB</t>
        </is>
      </c>
      <c r="I135" s="47" t="inlineStr">
        <is>
          <t>Mẫu Thử CR &amp; hàng #</t>
        </is>
      </c>
      <c r="J135" s="46" t="inlineStr">
        <is>
          <t>PO-9773</t>
        </is>
      </c>
      <c r="K135" s="47" t="inlineStr">
        <is>
          <t>G/c hoàn thiện</t>
        </is>
      </c>
      <c r="L135" s="50" t="n">
        <v>83700</v>
      </c>
      <c r="M135" s="67" t="n">
        <v>5</v>
      </c>
      <c r="N135" s="50" t="n">
        <v>0</v>
      </c>
      <c r="O135" s="68" t="n">
        <v>8</v>
      </c>
      <c r="P135" s="64">
        <f>L135*M135</f>
        <v/>
      </c>
      <c r="Q135" s="47" t="inlineStr">
        <is>
          <t>Dây cắt CNC</t>
        </is>
      </c>
      <c r="R135" s="50" t="n">
        <v>0</v>
      </c>
      <c r="S135" s="65" t="inlineStr">
        <is>
          <t>ĐÚNG</t>
        </is>
      </c>
      <c r="T135" s="47" t="inlineStr">
        <is>
          <t>Đã xong nguyên công</t>
        </is>
      </c>
      <c r="U135" t="inlineStr">
        <is>
          <t>ĐÃ DUYỆT</t>
        </is>
      </c>
      <c r="V135" t="inlineStr">
        <is>
          <t>ĐÃ PHÊ DUYỆT</t>
        </is>
      </c>
      <c r="W135" t="inlineStr">
        <is>
          <t>🔒 ĐÃ KHÓA</t>
        </is>
      </c>
    </row>
    <row r="136" ht="21" customHeight="1" s="75">
      <c r="A136" s="40" t="n">
        <v>133</v>
      </c>
      <c r="B136" s="60" t="n">
        <v>46259.6630883912</v>
      </c>
      <c r="C136" s="61" t="inlineStr">
        <is>
          <t>EMP-NV01</t>
        </is>
      </c>
      <c r="D136" s="41" t="inlineStr">
        <is>
          <t>Phùng Công Thắng</t>
        </is>
      </c>
      <c r="E136" s="61" t="inlineStr">
        <is>
          <t>M-DK7745-01</t>
        </is>
      </c>
      <c r="F136" s="41" t="inlineStr">
        <is>
          <t>Phùng Công Thắng</t>
        </is>
      </c>
      <c r="G136" s="61" t="inlineStr">
        <is>
          <t>OP-GEN-01</t>
        </is>
      </c>
      <c r="H136" s="41" t="inlineStr">
        <is>
          <t>Vico- QLTB</t>
        </is>
      </c>
      <c r="I136" s="41" t="inlineStr">
        <is>
          <t>Mẫu Thử CR &amp; hàng #</t>
        </is>
      </c>
      <c r="J136" s="40" t="inlineStr">
        <is>
          <t>PO-7492</t>
        </is>
      </c>
      <c r="K136" s="41" t="inlineStr">
        <is>
          <t>G/c hoàn thiện</t>
        </is>
      </c>
      <c r="L136" s="44" t="n">
        <v>83700</v>
      </c>
      <c r="M136" s="62" t="n">
        <v>5</v>
      </c>
      <c r="N136" s="44" t="n">
        <v>0</v>
      </c>
      <c r="O136" s="63" t="n">
        <v>8</v>
      </c>
      <c r="P136" s="64">
        <f>L136*M136</f>
        <v/>
      </c>
      <c r="Q136" s="41" t="inlineStr">
        <is>
          <t>Dây cắt CNC</t>
        </is>
      </c>
      <c r="R136" s="44" t="n">
        <v>0</v>
      </c>
      <c r="S136" s="65" t="inlineStr">
        <is>
          <t>ĐÚNG</t>
        </is>
      </c>
      <c r="T136" s="41" t="inlineStr">
        <is>
          <t>Đã xong nguyên công</t>
        </is>
      </c>
      <c r="U136" t="inlineStr">
        <is>
          <t>ĐÃ DUYỆT</t>
        </is>
      </c>
      <c r="V136" t="inlineStr">
        <is>
          <t>ĐÃ PHÊ DUYỆT</t>
        </is>
      </c>
      <c r="W136" t="inlineStr">
        <is>
          <t>🔒 ĐÃ KHÓA</t>
        </is>
      </c>
    </row>
    <row r="137" ht="21" customHeight="1" s="75">
      <c r="A137" s="46" t="n">
        <v>134</v>
      </c>
      <c r="B137" s="66" t="n">
        <v>46259.66788957176</v>
      </c>
      <c r="C137" s="61" t="inlineStr">
        <is>
          <t>EMP-NV01</t>
        </is>
      </c>
      <c r="D137" s="47" t="inlineStr">
        <is>
          <t>Phùng Công Thắng</t>
        </is>
      </c>
      <c r="E137" s="61" t="inlineStr">
        <is>
          <t>M-PCNC2-01</t>
        </is>
      </c>
      <c r="F137" s="47" t="inlineStr">
        <is>
          <t>Phùng Công Thắng</t>
        </is>
      </c>
      <c r="G137" s="61" t="inlineStr">
        <is>
          <t>OP-SEALB-NC4</t>
        </is>
      </c>
      <c r="H137" s="47" t="inlineStr">
        <is>
          <t>Thyssen</t>
        </is>
      </c>
      <c r="I137" s="47" t="inlineStr">
        <is>
          <t>Sealing strip, below</t>
        </is>
      </c>
      <c r="J137" s="46" t="inlineStr">
        <is>
          <t>PO-9985</t>
        </is>
      </c>
      <c r="K137" s="47" t="inlineStr">
        <is>
          <t>G/c phay Mp NC4 Kt 412mm</t>
        </is>
      </c>
      <c r="L137" s="50" t="n">
        <v>45000</v>
      </c>
      <c r="M137" s="67" t="n">
        <v>22</v>
      </c>
      <c r="N137" s="50" t="n">
        <v>0</v>
      </c>
      <c r="O137" s="68" t="n">
        <v>8</v>
      </c>
      <c r="P137" s="64">
        <f>L137*M137</f>
        <v/>
      </c>
      <c r="Q137" s="47" t="inlineStr">
        <is>
          <t>Chíp APMT 1604 PDTR - LT30-PVD - LAMINA</t>
        </is>
      </c>
      <c r="R137" s="50" t="n">
        <v>4</v>
      </c>
      <c r="S137" s="65" t="inlineStr">
        <is>
          <t>ĐÚNG</t>
        </is>
      </c>
      <c r="T137" s="47" t="inlineStr">
        <is>
          <t>Đã xong nguyên công</t>
        </is>
      </c>
      <c r="U137" t="inlineStr">
        <is>
          <t>ĐÃ DUYỆT</t>
        </is>
      </c>
      <c r="V137" t="inlineStr">
        <is>
          <t>ĐÃ PHÊ DUYỆT</t>
        </is>
      </c>
      <c r="W137" t="inlineStr">
        <is>
          <t>🔒 ĐÃ KHÓA</t>
        </is>
      </c>
    </row>
    <row r="138" ht="21" customHeight="1" s="75">
      <c r="A138" s="40" t="n">
        <v>135</v>
      </c>
      <c r="B138" s="60" t="n">
        <v>46259.66854201389</v>
      </c>
      <c r="C138" s="61" t="inlineStr">
        <is>
          <t>EMP-NV01</t>
        </is>
      </c>
      <c r="D138" s="41" t="inlineStr">
        <is>
          <t>Phùng Công Thắng</t>
        </is>
      </c>
      <c r="E138" s="61" t="inlineStr">
        <is>
          <t>M-PCNC2-01</t>
        </is>
      </c>
      <c r="F138" s="41" t="inlineStr">
        <is>
          <t>Phùng Công Thắng</t>
        </is>
      </c>
      <c r="G138" s="61" t="inlineStr">
        <is>
          <t>OP-SEALB-NC4</t>
        </is>
      </c>
      <c r="H138" s="41" t="inlineStr">
        <is>
          <t>Thyssen</t>
        </is>
      </c>
      <c r="I138" s="41" t="inlineStr">
        <is>
          <t>Sealing strip, above</t>
        </is>
      </c>
      <c r="J138" s="40" t="inlineStr">
        <is>
          <t>PO-9955</t>
        </is>
      </c>
      <c r="K138" s="41" t="inlineStr">
        <is>
          <t>Phay rãnh</t>
        </is>
      </c>
      <c r="L138" s="44" t="n">
        <v>45000</v>
      </c>
      <c r="M138" s="62" t="n">
        <v>9</v>
      </c>
      <c r="N138" s="44" t="n">
        <v>0</v>
      </c>
      <c r="O138" s="63" t="n">
        <v>8</v>
      </c>
      <c r="P138" s="64">
        <f>L138*M138</f>
        <v/>
      </c>
      <c r="Q138" s="41" t="inlineStr">
        <is>
          <t>Chíp APMT 1604 PDTR - LT30-PVD - LAMINA</t>
        </is>
      </c>
      <c r="R138" s="44" t="n">
        <v>0</v>
      </c>
      <c r="S138" s="40" t="inlineStr">
        <is>
          <t>SAI</t>
        </is>
      </c>
      <c r="T138" s="41" t="inlineStr">
        <is>
          <t>Đang gia công dở dang, chuyển ca sau</t>
        </is>
      </c>
      <c r="U138" t="inlineStr">
        <is>
          <t>ĐÃ DUYỆT</t>
        </is>
      </c>
      <c r="V138" t="inlineStr">
        <is>
          <t>ĐÃ PHÊ DUYỆT</t>
        </is>
      </c>
      <c r="W138" t="inlineStr">
        <is>
          <t>🔒 ĐÃ KHÓA</t>
        </is>
      </c>
    </row>
    <row r="139" ht="21" customHeight="1" s="75">
      <c r="A139" s="46" t="n">
        <v>136</v>
      </c>
      <c r="B139" s="66" t="n">
        <v>46259.67024989583</v>
      </c>
      <c r="C139" s="61" t="inlineStr">
        <is>
          <t>EMP-NV02</t>
        </is>
      </c>
      <c r="D139" s="47" t="inlineStr">
        <is>
          <t>Phùng Công Thắng</t>
        </is>
      </c>
      <c r="E139" s="61" t="inlineStr">
        <is>
          <t>M-FUJI-01</t>
        </is>
      </c>
      <c r="F139" s="47" t="inlineStr">
        <is>
          <t>Phùng Công Thắng</t>
        </is>
      </c>
      <c r="G139" s="61" t="inlineStr">
        <is>
          <t>OP-ISH355-NC3</t>
        </is>
      </c>
      <c r="H139" s="47" t="inlineStr">
        <is>
          <t>Win-Win</t>
        </is>
      </c>
      <c r="I139" s="47" t="inlineStr">
        <is>
          <t>Mold of Ishizue omega 355,6-1060</t>
        </is>
      </c>
      <c r="J139" s="46" t="inlineStr">
        <is>
          <t>PO-6749</t>
        </is>
      </c>
      <c r="K139" s="47" t="inlineStr">
        <is>
          <t>G/c tiện hoàn thiện góc 45 độ</t>
        </is>
      </c>
      <c r="L139" s="50" t="n">
        <v>37200</v>
      </c>
      <c r="M139" s="67" t="n">
        <v>7</v>
      </c>
      <c r="N139" s="50" t="n">
        <v>0</v>
      </c>
      <c r="O139" s="68" t="n">
        <v>8</v>
      </c>
      <c r="P139" s="64">
        <f>L139*M139</f>
        <v/>
      </c>
      <c r="Q139" s="47" t="inlineStr">
        <is>
          <t>Chíp  R4 THREADEX- P3200 ( chíp cầu ) cán D12</t>
        </is>
      </c>
      <c r="R139" s="50" t="n">
        <v>0</v>
      </c>
      <c r="S139" s="65" t="inlineStr">
        <is>
          <t>ĐÚNG</t>
        </is>
      </c>
      <c r="T139" s="47" t="inlineStr">
        <is>
          <t>Đã xong nguyên công</t>
        </is>
      </c>
      <c r="U139" t="inlineStr">
        <is>
          <t>ĐÃ DUYỆT</t>
        </is>
      </c>
      <c r="V139" t="inlineStr">
        <is>
          <t>ĐÃ PHÊ DUYỆT</t>
        </is>
      </c>
      <c r="W139" t="inlineStr">
        <is>
          <t>🔒 ĐÃ KHÓA</t>
        </is>
      </c>
    </row>
    <row r="140" ht="21" customHeight="1" s="75">
      <c r="A140" s="40" t="n">
        <v>137</v>
      </c>
      <c r="B140" s="60" t="n">
        <v>46259.67143884259</v>
      </c>
      <c r="C140" s="61" t="inlineStr">
        <is>
          <t>EMP-NV02</t>
        </is>
      </c>
      <c r="D140" s="41" t="inlineStr">
        <is>
          <t>Phùng Công Thắng</t>
        </is>
      </c>
      <c r="E140" s="61" t="inlineStr">
        <is>
          <t>M-DK7780-01</t>
        </is>
      </c>
      <c r="F140" s="41" t="inlineStr">
        <is>
          <t>Phùng Công Thắng</t>
        </is>
      </c>
      <c r="G140" s="61" t="inlineStr">
        <is>
          <t>OP-GEN-01</t>
        </is>
      </c>
      <c r="H140" s="41" t="inlineStr">
        <is>
          <t>Vico- QLTB</t>
        </is>
      </c>
      <c r="I140" s="41" t="inlineStr">
        <is>
          <t>Mẫu Thử CR &amp; hàng #</t>
        </is>
      </c>
      <c r="J140" s="40" t="inlineStr">
        <is>
          <t>PO-1669</t>
        </is>
      </c>
      <c r="K140" s="41" t="inlineStr">
        <is>
          <t>G/c hoàn thiện</t>
        </is>
      </c>
      <c r="L140" s="44" t="n">
        <v>83700</v>
      </c>
      <c r="M140" s="62" t="n">
        <v>1</v>
      </c>
      <c r="N140" s="44" t="n">
        <v>0</v>
      </c>
      <c r="O140" s="63" t="n">
        <v>4</v>
      </c>
      <c r="P140" s="64">
        <f>L140*M140</f>
        <v/>
      </c>
      <c r="Q140" s="41" t="inlineStr">
        <is>
          <t>Dây cắt CNC</t>
        </is>
      </c>
      <c r="R140" s="44" t="n">
        <v>0</v>
      </c>
      <c r="S140" s="65" t="inlineStr">
        <is>
          <t>ĐÚNG</t>
        </is>
      </c>
      <c r="T140" s="41" t="inlineStr">
        <is>
          <t>Đã xong nguyên công</t>
        </is>
      </c>
      <c r="U140" t="inlineStr">
        <is>
          <t>ĐÃ DUYỆT</t>
        </is>
      </c>
      <c r="V140" t="inlineStr">
        <is>
          <t>ĐÃ PHÊ DUYỆT</t>
        </is>
      </c>
      <c r="W140" t="inlineStr">
        <is>
          <t>🔒 ĐÃ KHÓA</t>
        </is>
      </c>
    </row>
    <row r="141" ht="21" customHeight="1" s="75">
      <c r="A141" s="46" t="n">
        <v>138</v>
      </c>
      <c r="B141" s="66" t="n">
        <v>46260.01730806713</v>
      </c>
      <c r="C141" s="61" t="inlineStr">
        <is>
          <t>EMP-NV03</t>
        </is>
      </c>
      <c r="D141" s="47" t="inlineStr">
        <is>
          <t>Phùng Công Thắng</t>
        </is>
      </c>
      <c r="E141" s="61" t="inlineStr">
        <is>
          <t>M-T1516-01</t>
        </is>
      </c>
      <c r="F141" s="47" t="inlineStr">
        <is>
          <t>Phùng Công Thắng</t>
        </is>
      </c>
      <c r="G141" s="61" t="inlineStr">
        <is>
          <t>OP-GEN-01</t>
        </is>
      </c>
      <c r="H141" s="47" t="inlineStr">
        <is>
          <t>Win-Win</t>
        </is>
      </c>
      <c r="I141" s="47" t="inlineStr">
        <is>
          <t>ALKTOP 1130 H</t>
        </is>
      </c>
      <c r="J141" s="46" t="inlineStr">
        <is>
          <t>PO-8160</t>
        </is>
      </c>
      <c r="K141" s="47" t="inlineStr">
        <is>
          <t>G/c hoàn thiện</t>
        </is>
      </c>
      <c r="L141" s="50" t="n">
        <v>7440</v>
      </c>
      <c r="M141" s="67" t="n">
        <v>2</v>
      </c>
      <c r="N141" s="50" t="n">
        <v>0</v>
      </c>
      <c r="O141" s="68" t="n">
        <v>4</v>
      </c>
      <c r="P141" s="64">
        <f>L141*M141</f>
        <v/>
      </c>
      <c r="Q141" s="47" t="inlineStr">
        <is>
          <t>Chíp  R5 THREADEX- P3200</t>
        </is>
      </c>
      <c r="R141" s="50" t="n">
        <v>1</v>
      </c>
      <c r="S141" s="65" t="inlineStr">
        <is>
          <t>ĐÚNG</t>
        </is>
      </c>
      <c r="T141" s="47" t="inlineStr">
        <is>
          <t>Đã xong nguyên công</t>
        </is>
      </c>
      <c r="U141" t="inlineStr">
        <is>
          <t>ĐÃ DUYỆT</t>
        </is>
      </c>
      <c r="V141" t="inlineStr">
        <is>
          <t>ĐÃ PHÊ DUYỆT</t>
        </is>
      </c>
      <c r="W141" t="inlineStr">
        <is>
          <t>🔒 ĐÃ KHÓA</t>
        </is>
      </c>
    </row>
    <row r="142" ht="21" customHeight="1" s="75">
      <c r="A142" s="40" t="n">
        <v>139</v>
      </c>
      <c r="B142" s="60" t="n">
        <v>46260.02123583333</v>
      </c>
      <c r="C142" s="61" t="inlineStr">
        <is>
          <t>EMP-NV03</t>
        </is>
      </c>
      <c r="D142" s="41" t="inlineStr">
        <is>
          <t>Phùng Công Thắng</t>
        </is>
      </c>
      <c r="E142" s="61" t="inlineStr">
        <is>
          <t>M-T1516-01</t>
        </is>
      </c>
      <c r="F142" s="41" t="inlineStr">
        <is>
          <t>Phùng Công Thắng</t>
        </is>
      </c>
      <c r="G142" s="61" t="inlineStr">
        <is>
          <t>OP-GEN-01</t>
        </is>
      </c>
      <c r="H142" s="41" t="inlineStr">
        <is>
          <t>Win-Win</t>
        </is>
      </c>
      <c r="I142" s="41" t="inlineStr">
        <is>
          <t>ISHIZUE 267Dw800</t>
        </is>
      </c>
      <c r="J142" s="40" t="inlineStr">
        <is>
          <t>PO-1700</t>
        </is>
      </c>
      <c r="K142" s="41" t="inlineStr">
        <is>
          <t>G/c hoàn thiện</t>
        </is>
      </c>
      <c r="L142" s="44" t="n">
        <v>55800</v>
      </c>
      <c r="M142" s="62" t="n">
        <v>2</v>
      </c>
      <c r="N142" s="44" t="n">
        <v>2</v>
      </c>
      <c r="O142" s="63" t="n">
        <v>4</v>
      </c>
      <c r="P142" s="64">
        <f>L142*M142</f>
        <v/>
      </c>
      <c r="Q142" s="41" t="inlineStr">
        <is>
          <t>Chíp  R5 THREADEX- P3200</t>
        </is>
      </c>
      <c r="R142" s="44" t="n">
        <v>0</v>
      </c>
      <c r="S142" s="65" t="inlineStr">
        <is>
          <t>ĐÚNG</t>
        </is>
      </c>
      <c r="T142" s="41" t="inlineStr">
        <is>
          <t>Đã xong nguyên công</t>
        </is>
      </c>
      <c r="U142" t="inlineStr">
        <is>
          <t>ĐÃ DUYỆT</t>
        </is>
      </c>
      <c r="V142" t="inlineStr">
        <is>
          <t>ĐÃ PHÊ DUYỆT</t>
        </is>
      </c>
      <c r="W142" t="inlineStr">
        <is>
          <t>🔒 ĐÃ KHÓA</t>
        </is>
      </c>
    </row>
    <row r="143" ht="21" customHeight="1" s="75">
      <c r="A143" s="46" t="n">
        <v>140</v>
      </c>
      <c r="B143" s="66" t="n">
        <v>46260.02598310185</v>
      </c>
      <c r="C143" s="61" t="inlineStr">
        <is>
          <t>EMP-NV03</t>
        </is>
      </c>
      <c r="D143" s="47" t="inlineStr">
        <is>
          <t>Phùng Công Thắng</t>
        </is>
      </c>
      <c r="E143" s="61" t="inlineStr">
        <is>
          <t>M-T1516-01</t>
        </is>
      </c>
      <c r="F143" s="47" t="inlineStr">
        <is>
          <t>Phùng Công Thắng</t>
        </is>
      </c>
      <c r="G143" s="61" t="inlineStr">
        <is>
          <t>OP-GEN-01</t>
        </is>
      </c>
      <c r="H143" s="47" t="inlineStr">
        <is>
          <t>Win-Win</t>
        </is>
      </c>
      <c r="I143" s="47" t="inlineStr">
        <is>
          <t>ISHIZUE 216Dw650</t>
        </is>
      </c>
      <c r="J143" s="46" t="inlineStr">
        <is>
          <t>PO-4778</t>
        </is>
      </c>
      <c r="K143" s="47" t="inlineStr">
        <is>
          <t>G/c hoàn thiện</t>
        </is>
      </c>
      <c r="L143" s="50" t="n">
        <v>24614</v>
      </c>
      <c r="M143" s="67" t="n">
        <v>1</v>
      </c>
      <c r="N143" s="50" t="n">
        <v>0</v>
      </c>
      <c r="O143" s="68" t="n">
        <v>4</v>
      </c>
      <c r="P143" s="64">
        <f>L143*M143</f>
        <v/>
      </c>
      <c r="Q143" s="47" t="inlineStr">
        <is>
          <t>Chíp  R5 THREADEX- P3200</t>
        </is>
      </c>
      <c r="R143" s="50" t="n">
        <v>0</v>
      </c>
      <c r="S143" s="65" t="inlineStr">
        <is>
          <t>ĐÚNG</t>
        </is>
      </c>
      <c r="T143" s="47" t="inlineStr">
        <is>
          <t>Đã xong nguyên công</t>
        </is>
      </c>
      <c r="U143" t="inlineStr">
        <is>
          <t>ĐÃ DUYỆT</t>
        </is>
      </c>
      <c r="V143" t="inlineStr">
        <is>
          <t>ĐÃ PHÊ DUYỆT</t>
        </is>
      </c>
      <c r="W143" t="inlineStr">
        <is>
          <t>🔒 ĐÃ KHÓA</t>
        </is>
      </c>
    </row>
    <row r="144" ht="21" customHeight="1" s="75">
      <c r="A144" s="40" t="n">
        <v>141</v>
      </c>
      <c r="B144" s="60" t="n">
        <v>46260.02719422454</v>
      </c>
      <c r="C144" s="61" t="inlineStr">
        <is>
          <t>EMP-NV03</t>
        </is>
      </c>
      <c r="D144" s="41" t="inlineStr">
        <is>
          <t>Phùng Công Thắng</t>
        </is>
      </c>
      <c r="E144" s="61" t="inlineStr">
        <is>
          <t>M-T1516-01</t>
        </is>
      </c>
      <c r="F144" s="41" t="inlineStr">
        <is>
          <t>Phùng Công Thắng</t>
        </is>
      </c>
      <c r="G144" s="61" t="inlineStr">
        <is>
          <t>OP-ISH355-NC3</t>
        </is>
      </c>
      <c r="H144" s="41" t="inlineStr">
        <is>
          <t>Win-Win</t>
        </is>
      </c>
      <c r="I144" s="41" t="inlineStr">
        <is>
          <t>ISHIZUE 355Dw900</t>
        </is>
      </c>
      <c r="J144" s="40" t="inlineStr">
        <is>
          <t>PO-7321</t>
        </is>
      </c>
      <c r="K144" s="41" t="inlineStr">
        <is>
          <t>G/c hoàn thiện</t>
        </is>
      </c>
      <c r="L144" s="44" t="n">
        <v>55800</v>
      </c>
      <c r="M144" s="62" t="n">
        <v>1</v>
      </c>
      <c r="N144" s="44" t="n">
        <v>0</v>
      </c>
      <c r="O144" s="63" t="n">
        <v>4</v>
      </c>
      <c r="P144" s="64">
        <f>L144*M144</f>
        <v/>
      </c>
      <c r="Q144" s="41" t="inlineStr">
        <is>
          <t>Chíp  R5 THREADEX- P3200</t>
        </is>
      </c>
      <c r="R144" s="44" t="n">
        <v>0</v>
      </c>
      <c r="S144" s="65" t="inlineStr">
        <is>
          <t>ĐÚNG</t>
        </is>
      </c>
      <c r="T144" s="41" t="inlineStr">
        <is>
          <t>Đã xong nguyên công</t>
        </is>
      </c>
      <c r="U144" t="inlineStr">
        <is>
          <t>ĐÃ DUYỆT</t>
        </is>
      </c>
      <c r="V144" t="inlineStr">
        <is>
          <t>ĐÃ PHÊ DUYỆT</t>
        </is>
      </c>
      <c r="W144" t="inlineStr">
        <is>
          <t>🔒 ĐÃ KHÓA</t>
        </is>
      </c>
    </row>
    <row r="145" ht="21" customHeight="1" s="75">
      <c r="A145" s="46" t="n">
        <v>142</v>
      </c>
      <c r="B145" s="66" t="n">
        <v>46260.02852951389</v>
      </c>
      <c r="C145" s="61" t="inlineStr">
        <is>
          <t>EMP-NV03</t>
        </is>
      </c>
      <c r="D145" s="47" t="inlineStr">
        <is>
          <t>Phùng Công Thắng</t>
        </is>
      </c>
      <c r="E145" s="61" t="inlineStr">
        <is>
          <t>M-T1516-01</t>
        </is>
      </c>
      <c r="F145" s="47" t="inlineStr">
        <is>
          <t>Phùng Công Thắng</t>
        </is>
      </c>
      <c r="G145" s="61" t="inlineStr">
        <is>
          <t>OP-GEN-01</t>
        </is>
      </c>
      <c r="H145" s="47" t="inlineStr">
        <is>
          <t>Win-Win</t>
        </is>
      </c>
      <c r="I145" s="47" t="inlineStr">
        <is>
          <t>ISHIZUE 406Dw850</t>
        </is>
      </c>
      <c r="J145" s="46" t="inlineStr">
        <is>
          <t>PO-1479</t>
        </is>
      </c>
      <c r="K145" s="47" t="inlineStr">
        <is>
          <t>G/c hoàn thiện</t>
        </is>
      </c>
      <c r="L145" s="50" t="n">
        <v>74400</v>
      </c>
      <c r="M145" s="67" t="n">
        <v>1</v>
      </c>
      <c r="N145" s="50" t="n">
        <v>0</v>
      </c>
      <c r="O145" s="68" t="n">
        <v>4</v>
      </c>
      <c r="P145" s="64">
        <f>L145*M145</f>
        <v/>
      </c>
      <c r="Q145" s="47" t="inlineStr">
        <is>
          <t>Chíp  R5 THREADEX- P3200</t>
        </is>
      </c>
      <c r="R145" s="50" t="n">
        <v>0</v>
      </c>
      <c r="S145" s="65" t="inlineStr">
        <is>
          <t>ĐÚNG</t>
        </is>
      </c>
      <c r="T145" s="47" t="inlineStr">
        <is>
          <t>Đã xong nguyên công</t>
        </is>
      </c>
      <c r="U145" t="inlineStr">
        <is>
          <t>ĐÃ DUYỆT</t>
        </is>
      </c>
      <c r="V145" t="inlineStr">
        <is>
          <t>ĐÃ PHÊ DUYỆT</t>
        </is>
      </c>
      <c r="W145" t="inlineStr">
        <is>
          <t>🔒 ĐÃ KHÓA</t>
        </is>
      </c>
    </row>
    <row r="146" ht="21" customHeight="1" s="75">
      <c r="A146" s="40" t="n">
        <v>143</v>
      </c>
      <c r="B146" s="60" t="n">
        <v>46260.02977179398</v>
      </c>
      <c r="C146" s="61" t="inlineStr">
        <is>
          <t>EMP-NV03</t>
        </is>
      </c>
      <c r="D146" s="41" t="inlineStr">
        <is>
          <t>Phùng Công Thắng</t>
        </is>
      </c>
      <c r="E146" s="61" t="inlineStr">
        <is>
          <t>M-T1516-01</t>
        </is>
      </c>
      <c r="F146" s="41" t="inlineStr">
        <is>
          <t>Phùng Công Thắng</t>
        </is>
      </c>
      <c r="G146" s="61" t="inlineStr">
        <is>
          <t>OP-GEN-01</t>
        </is>
      </c>
      <c r="H146" s="41" t="inlineStr">
        <is>
          <t>Win-Win</t>
        </is>
      </c>
      <c r="I146" s="41" t="inlineStr">
        <is>
          <t>ISHIZUE 406Dw850</t>
        </is>
      </c>
      <c r="J146" s="40" t="inlineStr">
        <is>
          <t>PO-2259</t>
        </is>
      </c>
      <c r="K146" s="41" t="inlineStr">
        <is>
          <t>G/c hoàn thiện</t>
        </is>
      </c>
      <c r="L146" s="44" t="n">
        <v>74400</v>
      </c>
      <c r="M146" s="62" t="n">
        <v>4</v>
      </c>
      <c r="N146" s="44" t="n">
        <v>0</v>
      </c>
      <c r="O146" s="63" t="n">
        <v>4</v>
      </c>
      <c r="P146" s="64">
        <f>L146*M146</f>
        <v/>
      </c>
      <c r="Q146" s="41" t="inlineStr">
        <is>
          <t>Chíp  R5 THREADEX- P3200</t>
        </is>
      </c>
      <c r="R146" s="44" t="n">
        <v>0</v>
      </c>
      <c r="S146" s="65" t="inlineStr">
        <is>
          <t>ĐÚNG</t>
        </is>
      </c>
      <c r="T146" s="41" t="inlineStr">
        <is>
          <t>Đã xong nguyên công</t>
        </is>
      </c>
      <c r="U146" t="inlineStr">
        <is>
          <t>ĐÃ DUYỆT</t>
        </is>
      </c>
      <c r="V146" t="inlineStr">
        <is>
          <t>ĐÃ PHÊ DUYỆT</t>
        </is>
      </c>
      <c r="W146" t="inlineStr">
        <is>
          <t>🔒 ĐÃ KHÓA</t>
        </is>
      </c>
    </row>
    <row r="147" ht="21" customHeight="1" s="75">
      <c r="A147" s="46" t="n">
        <v>144</v>
      </c>
      <c r="B147" s="66" t="n">
        <v>46260.07082439815</v>
      </c>
      <c r="C147" s="61" t="inlineStr">
        <is>
          <t>EMP-NV01</t>
        </is>
      </c>
      <c r="D147" s="47" t="inlineStr">
        <is>
          <t>Phùng Công Thắng</t>
        </is>
      </c>
      <c r="E147" s="61" t="inlineStr">
        <is>
          <t>M-PCNC1-01</t>
        </is>
      </c>
      <c r="F147" s="47" t="inlineStr">
        <is>
          <t>Phùng Công Thắng</t>
        </is>
      </c>
      <c r="G147" s="61" t="inlineStr">
        <is>
          <t>OP-SEALB-NC4</t>
        </is>
      </c>
      <c r="H147" s="47" t="inlineStr">
        <is>
          <t>Thyssen</t>
        </is>
      </c>
      <c r="I147" s="47" t="inlineStr">
        <is>
          <t>Sealing strip, above</t>
        </is>
      </c>
      <c r="J147" s="46" t="inlineStr">
        <is>
          <t>PO-8845</t>
        </is>
      </c>
      <c r="K147" s="47" t="inlineStr">
        <is>
          <t>G/c phay Mp NC2 Kt 412mm</t>
        </is>
      </c>
      <c r="L147" s="50" t="n">
        <v>14942</v>
      </c>
      <c r="M147" s="67" t="n">
        <v>14</v>
      </c>
      <c r="N147" s="50" t="n">
        <v>0</v>
      </c>
      <c r="O147" s="68" t="n">
        <v>8</v>
      </c>
      <c r="P147" s="64">
        <f>L147*M147</f>
        <v/>
      </c>
      <c r="Q147" s="47" t="inlineStr">
        <is>
          <t>Chíp APMT 1604 PDTR - LT30-PVD - LAMINA</t>
        </is>
      </c>
      <c r="R147" s="50" t="n">
        <v>3</v>
      </c>
      <c r="S147" s="46" t="inlineStr">
        <is>
          <t>SAI</t>
        </is>
      </c>
      <c r="T147" s="47" t="inlineStr">
        <is>
          <t>Đang gia công dở dang, chuyển ca sau</t>
        </is>
      </c>
      <c r="U147" t="inlineStr">
        <is>
          <t>ĐÃ DUYỆT</t>
        </is>
      </c>
      <c r="V147" t="inlineStr">
        <is>
          <t>ĐÃ PHÊ DUYỆT</t>
        </is>
      </c>
      <c r="W147" t="inlineStr">
        <is>
          <t>🔒 ĐÃ KHÓA</t>
        </is>
      </c>
    </row>
    <row r="148" ht="21" customHeight="1" s="75">
      <c r="A148" s="40" t="n">
        <v>145</v>
      </c>
      <c r="B148" s="60" t="n">
        <v>46260.07129320602</v>
      </c>
      <c r="C148" s="61" t="inlineStr">
        <is>
          <t>EMP-NV01</t>
        </is>
      </c>
      <c r="D148" s="41" t="inlineStr">
        <is>
          <t>Phùng Công Thắng</t>
        </is>
      </c>
      <c r="E148" s="61" t="inlineStr">
        <is>
          <t>M-TCNC1-01</t>
        </is>
      </c>
      <c r="F148" s="41" t="inlineStr">
        <is>
          <t>Phùng Công Thắng</t>
        </is>
      </c>
      <c r="G148" s="61" t="inlineStr">
        <is>
          <t>OP-SEALB-NC4</t>
        </is>
      </c>
      <c r="H148" s="41" t="inlineStr">
        <is>
          <t>Thyssen</t>
        </is>
      </c>
      <c r="I148" s="41" t="inlineStr">
        <is>
          <t>Sealing strip, above</t>
        </is>
      </c>
      <c r="J148" s="40" t="inlineStr">
        <is>
          <t>PO-9168</t>
        </is>
      </c>
      <c r="K148" s="41" t="inlineStr">
        <is>
          <t>G/c phay Mp NC3 Kt 412mm còn lại</t>
        </is>
      </c>
      <c r="L148" s="44" t="n">
        <v>14942</v>
      </c>
      <c r="M148" s="62" t="n">
        <v>14</v>
      </c>
      <c r="N148" s="44" t="n">
        <v>0</v>
      </c>
      <c r="O148" s="63" t="n">
        <v>8</v>
      </c>
      <c r="P148" s="64">
        <f>L148*M148</f>
        <v/>
      </c>
      <c r="Q148" s="41" t="inlineStr">
        <is>
          <t>Chíp APMT 1604 PDTR - LT30-PVD - LAMINA</t>
        </is>
      </c>
      <c r="R148" s="44" t="n">
        <v>3</v>
      </c>
      <c r="S148" s="40" t="inlineStr">
        <is>
          <t>SAI</t>
        </is>
      </c>
      <c r="T148" s="41" t="inlineStr">
        <is>
          <t>Đang gia công dở dang, chuyển ca sau</t>
        </is>
      </c>
      <c r="U148" t="inlineStr">
        <is>
          <t>ĐÃ DUYỆT</t>
        </is>
      </c>
      <c r="V148" t="inlineStr">
        <is>
          <t>ĐÃ PHÊ DUYỆT</t>
        </is>
      </c>
      <c r="W148" t="inlineStr">
        <is>
          <t>🔒 ĐÃ KHÓA</t>
        </is>
      </c>
    </row>
    <row r="149" ht="21" customHeight="1" s="75">
      <c r="A149" s="46" t="n">
        <v>146</v>
      </c>
      <c r="B149" s="66" t="n">
        <v>46260.07184802083</v>
      </c>
      <c r="C149" s="61" t="inlineStr">
        <is>
          <t>EMP-NV01</t>
        </is>
      </c>
      <c r="D149" s="47" t="inlineStr">
        <is>
          <t>Phùng Công Thắng</t>
        </is>
      </c>
      <c r="E149" s="61" t="inlineStr">
        <is>
          <t>M-PCNC1-01</t>
        </is>
      </c>
      <c r="F149" s="47" t="inlineStr">
        <is>
          <t>Phùng Công Thắng</t>
        </is>
      </c>
      <c r="G149" s="61" t="inlineStr">
        <is>
          <t>OP-SEALB-NC4</t>
        </is>
      </c>
      <c r="H149" s="47" t="inlineStr">
        <is>
          <t>Thyssen</t>
        </is>
      </c>
      <c r="I149" s="47" t="inlineStr">
        <is>
          <t>Sealing strip, above</t>
        </is>
      </c>
      <c r="J149" s="46" t="inlineStr">
        <is>
          <t>PO-4977</t>
        </is>
      </c>
      <c r="K149" s="47" t="inlineStr">
        <is>
          <t>Phay rãnh</t>
        </is>
      </c>
      <c r="L149" s="50" t="n">
        <v>45000</v>
      </c>
      <c r="M149" s="67" t="n">
        <v>11</v>
      </c>
      <c r="N149" s="50" t="n">
        <v>0</v>
      </c>
      <c r="O149" s="68" t="n">
        <v>8</v>
      </c>
      <c r="P149" s="64">
        <f>L149*M149</f>
        <v/>
      </c>
      <c r="Q149" s="47" t="inlineStr">
        <is>
          <t>Chíp APMT 1604 PDTR - LT30-PVD - LAMINA</t>
        </is>
      </c>
      <c r="R149" s="50" t="n">
        <v>0</v>
      </c>
      <c r="S149" s="46" t="inlineStr">
        <is>
          <t>SAI</t>
        </is>
      </c>
      <c r="T149" s="47" t="inlineStr">
        <is>
          <t>Đang gia công dở dang, chuyển ca sau</t>
        </is>
      </c>
      <c r="U149" t="inlineStr">
        <is>
          <t>ĐÃ DUYỆT</t>
        </is>
      </c>
      <c r="V149" t="inlineStr">
        <is>
          <t>ĐÃ PHÊ DUYỆT</t>
        </is>
      </c>
      <c r="W149" t="inlineStr">
        <is>
          <t>🔒 ĐÃ KHÓA</t>
        </is>
      </c>
    </row>
    <row r="150" ht="21" customHeight="1" s="75">
      <c r="A150" s="40" t="n">
        <v>147</v>
      </c>
      <c r="B150" s="60" t="n">
        <v>46260.09985771991</v>
      </c>
      <c r="C150" s="61" t="inlineStr">
        <is>
          <t>EMP-NV02</t>
        </is>
      </c>
      <c r="D150" s="41" t="inlineStr">
        <is>
          <t>Phùng Công Thắng</t>
        </is>
      </c>
      <c r="E150" s="61" t="inlineStr">
        <is>
          <t>M-DK7780-01</t>
        </is>
      </c>
      <c r="F150" s="41" t="inlineStr">
        <is>
          <t>Phùng Công Thắng</t>
        </is>
      </c>
      <c r="G150" s="61" t="inlineStr">
        <is>
          <t>OP-GEN-01</t>
        </is>
      </c>
      <c r="H150" s="41" t="inlineStr">
        <is>
          <t>Vico- QLTB</t>
        </is>
      </c>
      <c r="I150" s="41" t="inlineStr">
        <is>
          <t>Mẫu Thử CR &amp; hàng #</t>
        </is>
      </c>
      <c r="J150" s="40" t="inlineStr">
        <is>
          <t>PO-5121</t>
        </is>
      </c>
      <c r="K150" s="41" t="inlineStr">
        <is>
          <t>G/c hoàn thiện</t>
        </is>
      </c>
      <c r="L150" s="44" t="n">
        <v>83700</v>
      </c>
      <c r="M150" s="62" t="n">
        <v>4</v>
      </c>
      <c r="N150" s="44" t="n">
        <v>0</v>
      </c>
      <c r="O150" s="63" t="n">
        <v>4</v>
      </c>
      <c r="P150" s="64">
        <f>L150*M150</f>
        <v/>
      </c>
      <c r="Q150" s="41" t="inlineStr">
        <is>
          <t>Dây cắt CNC</t>
        </is>
      </c>
      <c r="R150" s="44" t="n">
        <v>0</v>
      </c>
      <c r="S150" s="65" t="inlineStr">
        <is>
          <t>ĐÚNG</t>
        </is>
      </c>
      <c r="T150" s="41" t="inlineStr">
        <is>
          <t>Đã xong nguyên công</t>
        </is>
      </c>
      <c r="U150" t="inlineStr">
        <is>
          <t>ĐÃ DUYỆT</t>
        </is>
      </c>
      <c r="V150" t="inlineStr">
        <is>
          <t>ĐÃ PHÊ DUYỆT</t>
        </is>
      </c>
      <c r="W150" t="inlineStr">
        <is>
          <t>🔒 ĐÃ KHÓA</t>
        </is>
      </c>
    </row>
    <row r="151" ht="21" customHeight="1" s="75">
      <c r="A151" s="46" t="n">
        <v>148</v>
      </c>
      <c r="B151" s="66" t="n">
        <v>46260.10063766204</v>
      </c>
      <c r="C151" s="61" t="inlineStr">
        <is>
          <t>EMP-NV02</t>
        </is>
      </c>
      <c r="D151" s="47" t="inlineStr">
        <is>
          <t>Phùng Công Thắng</t>
        </is>
      </c>
      <c r="E151" s="61" t="inlineStr">
        <is>
          <t>M-DK7780-01</t>
        </is>
      </c>
      <c r="F151" s="47" t="inlineStr">
        <is>
          <t>Phùng Công Thắng</t>
        </is>
      </c>
      <c r="G151" s="61" t="inlineStr">
        <is>
          <t>OP-OPDAO-NC1</t>
        </is>
      </c>
      <c r="H151" s="47" t="inlineStr">
        <is>
          <t>Luợng- KS Tường Long</t>
        </is>
      </c>
      <c r="I151" s="47" t="inlineStr">
        <is>
          <t>Ốp dao nhào trên (Bộ bên trái)</t>
        </is>
      </c>
      <c r="J151" s="46" t="inlineStr">
        <is>
          <t>PO-6183</t>
        </is>
      </c>
      <c r="K151" s="47" t="inlineStr">
        <is>
          <t>G/c cắt dây</t>
        </is>
      </c>
      <c r="L151" s="50" t="n">
        <v>148800</v>
      </c>
      <c r="M151" s="67" t="n">
        <v>1</v>
      </c>
      <c r="N151" s="50" t="n">
        <v>0</v>
      </c>
      <c r="O151" s="68" t="n">
        <v>4</v>
      </c>
      <c r="P151" s="64">
        <f>L151*M151</f>
        <v/>
      </c>
      <c r="Q151" s="47" t="inlineStr">
        <is>
          <t>Dây cắt CNC</t>
        </is>
      </c>
      <c r="R151" s="50" t="n">
        <v>0</v>
      </c>
      <c r="S151" s="65" t="inlineStr">
        <is>
          <t>ĐÚNG</t>
        </is>
      </c>
      <c r="T151" s="47" t="inlineStr">
        <is>
          <t>Đã xong nguyên công</t>
        </is>
      </c>
      <c r="U151" t="inlineStr">
        <is>
          <t>ĐÃ DUYỆT</t>
        </is>
      </c>
      <c r="V151" t="inlineStr">
        <is>
          <t>ĐÃ PHÊ DUYỆT</t>
        </is>
      </c>
      <c r="W151" t="inlineStr">
        <is>
          <t>🔒 ĐÃ KHÓA</t>
        </is>
      </c>
    </row>
    <row r="152" ht="21" customHeight="1" s="75">
      <c r="A152" s="40" t="n">
        <v>149</v>
      </c>
      <c r="B152" s="60" t="n">
        <v>46260.10144384259</v>
      </c>
      <c r="C152" s="61" t="inlineStr">
        <is>
          <t>EMP-NV02</t>
        </is>
      </c>
      <c r="D152" s="41" t="inlineStr">
        <is>
          <t>Phùng Công Thắng</t>
        </is>
      </c>
      <c r="E152" s="61" t="inlineStr">
        <is>
          <t>M-FUJI-01</t>
        </is>
      </c>
      <c r="F152" s="41" t="inlineStr">
        <is>
          <t>Phùng Công Thắng</t>
        </is>
      </c>
      <c r="G152" s="61" t="inlineStr">
        <is>
          <t>OP-GEN-01</t>
        </is>
      </c>
      <c r="H152" s="41" t="inlineStr">
        <is>
          <t>Win-Win</t>
        </is>
      </c>
      <c r="I152" s="41" t="inlineStr">
        <is>
          <t>ISHIZUE 267Dw800</t>
        </is>
      </c>
      <c r="J152" s="40" t="inlineStr">
        <is>
          <t>PO-6694</t>
        </is>
      </c>
      <c r="K152" s="41" t="inlineStr">
        <is>
          <t>G/c hoàn thiện</t>
        </is>
      </c>
      <c r="L152" s="44" t="n">
        <v>55800</v>
      </c>
      <c r="M152" s="62" t="n">
        <v>2</v>
      </c>
      <c r="N152" s="44" t="n">
        <v>0</v>
      </c>
      <c r="O152" s="63" t="n">
        <v>4</v>
      </c>
      <c r="P152" s="64">
        <f>L152*M152</f>
        <v/>
      </c>
      <c r="Q152" s="41" t="inlineStr">
        <is>
          <t>Chíp  R4 THREADEX- P3200 ( chíp cầu ) cán D12</t>
        </is>
      </c>
      <c r="R152" s="44" t="n">
        <v>0</v>
      </c>
      <c r="S152" s="65" t="inlineStr">
        <is>
          <t>ĐÚNG</t>
        </is>
      </c>
      <c r="T152" s="41" t="inlineStr">
        <is>
          <t>Đã xong nguyên công</t>
        </is>
      </c>
      <c r="U152" t="inlineStr">
        <is>
          <t>ĐÃ DUYỆT</t>
        </is>
      </c>
      <c r="V152" t="inlineStr">
        <is>
          <t>ĐÃ PHÊ DUYỆT</t>
        </is>
      </c>
      <c r="W152" t="inlineStr">
        <is>
          <t>🔒 ĐÃ KHÓA</t>
        </is>
      </c>
    </row>
    <row r="153" ht="21" customHeight="1" s="75">
      <c r="A153" s="46" t="n">
        <v>150</v>
      </c>
      <c r="B153" s="66" t="n">
        <v>46260.10224636574</v>
      </c>
      <c r="C153" s="61" t="inlineStr">
        <is>
          <t>EMP-NV02</t>
        </is>
      </c>
      <c r="D153" s="47" t="inlineStr">
        <is>
          <t>Phùng Công Thắng</t>
        </is>
      </c>
      <c r="E153" s="61" t="inlineStr">
        <is>
          <t>M-FUJI-01</t>
        </is>
      </c>
      <c r="F153" s="47" t="inlineStr">
        <is>
          <t>Phùng Công Thắng</t>
        </is>
      </c>
      <c r="G153" s="61" t="inlineStr">
        <is>
          <t>OP-ISH355-NC3</t>
        </is>
      </c>
      <c r="H153" s="47" t="inlineStr">
        <is>
          <t>Win-Win</t>
        </is>
      </c>
      <c r="I153" s="47" t="inlineStr">
        <is>
          <t>ISHIZUE 355Dw900</t>
        </is>
      </c>
      <c r="J153" s="46" t="inlineStr">
        <is>
          <t>PO-1265</t>
        </is>
      </c>
      <c r="K153" s="47" t="inlineStr">
        <is>
          <t>G/c hoàn thiện</t>
        </is>
      </c>
      <c r="L153" s="50" t="n">
        <v>55800</v>
      </c>
      <c r="M153" s="67" t="n">
        <v>1</v>
      </c>
      <c r="N153" s="50" t="n">
        <v>0</v>
      </c>
      <c r="O153" s="68" t="n">
        <v>4</v>
      </c>
      <c r="P153" s="64">
        <f>L153*M153</f>
        <v/>
      </c>
      <c r="Q153" s="47" t="inlineStr">
        <is>
          <t>Chíp  R4 THREADEX- P3200 ( chíp cầu ) cán D12</t>
        </is>
      </c>
      <c r="R153" s="50" t="n">
        <v>0</v>
      </c>
      <c r="S153" s="65" t="inlineStr">
        <is>
          <t>ĐÚNG</t>
        </is>
      </c>
      <c r="T153" s="47" t="inlineStr">
        <is>
          <t>Đã xong nguyên công</t>
        </is>
      </c>
      <c r="U153" t="inlineStr">
        <is>
          <t>ĐÃ DUYỆT</t>
        </is>
      </c>
      <c r="V153" t="inlineStr">
        <is>
          <t>ĐÃ PHÊ DUYỆT</t>
        </is>
      </c>
      <c r="W153" t="inlineStr">
        <is>
          <t>🔒 ĐÃ KHÓA</t>
        </is>
      </c>
    </row>
    <row r="154" ht="21" customHeight="1" s="75">
      <c r="A154" s="40" t="n">
        <v>151</v>
      </c>
      <c r="B154" s="60" t="n">
        <v>46260.10319878472</v>
      </c>
      <c r="C154" s="61" t="inlineStr">
        <is>
          <t>EMP-NV02</t>
        </is>
      </c>
      <c r="D154" s="41" t="inlineStr">
        <is>
          <t>Phùng Công Thắng</t>
        </is>
      </c>
      <c r="E154" s="61" t="inlineStr">
        <is>
          <t>M-FUJI-01</t>
        </is>
      </c>
      <c r="F154" s="41" t="inlineStr">
        <is>
          <t>Phùng Công Thắng</t>
        </is>
      </c>
      <c r="G154" s="61" t="inlineStr">
        <is>
          <t>OP-GEN-01</t>
        </is>
      </c>
      <c r="H154" s="41" t="inlineStr">
        <is>
          <t>Win-Win</t>
        </is>
      </c>
      <c r="I154" s="41" t="inlineStr">
        <is>
          <t>ISHIZUE 406Dw850</t>
        </is>
      </c>
      <c r="J154" s="40" t="inlineStr">
        <is>
          <t>PO-6109</t>
        </is>
      </c>
      <c r="K154" s="41" t="inlineStr">
        <is>
          <t>G/c hoàn thiện</t>
        </is>
      </c>
      <c r="L154" s="44" t="n">
        <v>74400</v>
      </c>
      <c r="M154" s="62" t="n">
        <v>2</v>
      </c>
      <c r="N154" s="44" t="n">
        <v>0</v>
      </c>
      <c r="O154" s="63" t="n">
        <v>4</v>
      </c>
      <c r="P154" s="64">
        <f>L154*M154</f>
        <v/>
      </c>
      <c r="Q154" s="41" t="inlineStr">
        <is>
          <t>Chíp  R5 THREADEX- P3200</t>
        </is>
      </c>
      <c r="R154" s="44" t="n">
        <v>0</v>
      </c>
      <c r="S154" s="65" t="inlineStr">
        <is>
          <t>ĐÚNG</t>
        </is>
      </c>
      <c r="T154" s="41" t="inlineStr">
        <is>
          <t>Đã xong nguyên công</t>
        </is>
      </c>
      <c r="U154" t="inlineStr">
        <is>
          <t>ĐÃ DUYỆT</t>
        </is>
      </c>
      <c r="V154" t="inlineStr">
        <is>
          <t>ĐÃ PHÊ DUYỆT</t>
        </is>
      </c>
      <c r="W154" t="inlineStr">
        <is>
          <t>🔒 ĐÃ KHÓA</t>
        </is>
      </c>
    </row>
    <row r="155" ht="21" customHeight="1" s="75">
      <c r="A155" s="46" t="n">
        <v>152</v>
      </c>
      <c r="B155" s="66" t="n">
        <v>46260.10430532407</v>
      </c>
      <c r="C155" s="61" t="inlineStr">
        <is>
          <t>EMP-NV02</t>
        </is>
      </c>
      <c r="D155" s="47" t="inlineStr">
        <is>
          <t>Phùng Công Thắng</t>
        </is>
      </c>
      <c r="E155" s="61" t="inlineStr">
        <is>
          <t>M-FUJI-01</t>
        </is>
      </c>
      <c r="F155" s="47" t="inlineStr">
        <is>
          <t>Phùng Công Thắng</t>
        </is>
      </c>
      <c r="G155" s="61" t="inlineStr">
        <is>
          <t>OP-ISH355-NC3</t>
        </is>
      </c>
      <c r="H155" s="47" t="inlineStr">
        <is>
          <t>Win-Win</t>
        </is>
      </c>
      <c r="I155" s="47" t="inlineStr">
        <is>
          <t>Mold of Ishizue omega 355,6-1060</t>
        </is>
      </c>
      <c r="J155" s="46" t="inlineStr">
        <is>
          <t>PO-6769</t>
        </is>
      </c>
      <c r="K155" s="47" t="inlineStr">
        <is>
          <t>G/c tiện hoàn thiện góc 45 độ</t>
        </is>
      </c>
      <c r="L155" s="50" t="n">
        <v>37200</v>
      </c>
      <c r="M155" s="67" t="n">
        <v>3</v>
      </c>
      <c r="N155" s="50" t="n">
        <v>0</v>
      </c>
      <c r="O155" s="68" t="n">
        <v>4</v>
      </c>
      <c r="P155" s="64">
        <f>L155*M155</f>
        <v/>
      </c>
      <c r="Q155" s="47" t="inlineStr">
        <is>
          <t>Chíp  R5 THREADEX- P3200</t>
        </is>
      </c>
      <c r="R155" s="50" t="n">
        <v>0</v>
      </c>
      <c r="S155" s="65" t="inlineStr">
        <is>
          <t>ĐÚNG</t>
        </is>
      </c>
      <c r="T155" s="47" t="inlineStr">
        <is>
          <t>Đã xong nguyên công</t>
        </is>
      </c>
      <c r="U155" t="inlineStr">
        <is>
          <t>ĐÃ DUYỆT</t>
        </is>
      </c>
      <c r="V155" t="inlineStr">
        <is>
          <t>ĐÃ PHÊ DUYỆT</t>
        </is>
      </c>
      <c r="W155" t="inlineStr">
        <is>
          <t>🔒 ĐÃ KHÓA</t>
        </is>
      </c>
    </row>
    <row r="156" ht="21" customHeight="1" s="75">
      <c r="A156" s="40" t="n">
        <v>153</v>
      </c>
      <c r="B156" s="60" t="n">
        <v>46260.12316822917</v>
      </c>
      <c r="C156" s="61" t="inlineStr">
        <is>
          <t>EMP-NV10</t>
        </is>
      </c>
      <c r="D156" s="41" t="inlineStr">
        <is>
          <t>Phùng Công Thắng</t>
        </is>
      </c>
      <c r="E156" s="61" t="inlineStr">
        <is>
          <t>M-OKK2-01</t>
        </is>
      </c>
      <c r="F156" s="41" t="inlineStr">
        <is>
          <t>Phùng Công Thắng</t>
        </is>
      </c>
      <c r="G156" s="61" t="inlineStr">
        <is>
          <t>OP-SEALB-NC4</t>
        </is>
      </c>
      <c r="H156" s="41" t="inlineStr">
        <is>
          <t>Thyssen</t>
        </is>
      </c>
      <c r="I156" s="41" t="inlineStr">
        <is>
          <t>Sealing strip, below</t>
        </is>
      </c>
      <c r="J156" s="40" t="inlineStr">
        <is>
          <t>PO-1545</t>
        </is>
      </c>
      <c r="K156" s="41" t="inlineStr">
        <is>
          <t>G/c phay cạnh NC3 kt 12mm</t>
        </is>
      </c>
      <c r="L156" s="44" t="n">
        <v>45000</v>
      </c>
      <c r="M156" s="62" t="n">
        <v>26</v>
      </c>
      <c r="N156" s="44" t="n">
        <v>0</v>
      </c>
      <c r="O156" s="63" t="n">
        <v>8</v>
      </c>
      <c r="P156" s="64">
        <f>L156*M156</f>
        <v/>
      </c>
      <c r="Q156" s="41" t="inlineStr">
        <is>
          <t>Dao phay D50 ( hợp kim )</t>
        </is>
      </c>
      <c r="R156" s="44" t="n">
        <v>0</v>
      </c>
      <c r="S156" s="40" t="inlineStr">
        <is>
          <t>SAI</t>
        </is>
      </c>
      <c r="T156" s="41" t="inlineStr">
        <is>
          <t>Đang gia công dở dang, chuyển ca sau</t>
        </is>
      </c>
      <c r="U156" t="inlineStr">
        <is>
          <t>ĐÃ DUYỆT</t>
        </is>
      </c>
      <c r="V156" t="inlineStr">
        <is>
          <t>ĐÃ PHÊ DUYỆT</t>
        </is>
      </c>
      <c r="W156" t="inlineStr">
        <is>
          <t>🔒 ĐÃ KHÓA</t>
        </is>
      </c>
    </row>
    <row r="157" ht="21" customHeight="1" s="75">
      <c r="A157" s="46" t="n">
        <v>154</v>
      </c>
      <c r="B157" s="66" t="n">
        <v>46260.12366483796</v>
      </c>
      <c r="C157" s="61" t="inlineStr">
        <is>
          <t>EMP-NV10</t>
        </is>
      </c>
      <c r="D157" s="47" t="inlineStr">
        <is>
          <t>Phùng Công Thắng</t>
        </is>
      </c>
      <c r="E157" s="61" t="inlineStr">
        <is>
          <t>M-OKK2-01</t>
        </is>
      </c>
      <c r="F157" s="47" t="inlineStr">
        <is>
          <t>Phùng Công Thắng</t>
        </is>
      </c>
      <c r="G157" s="61" t="inlineStr">
        <is>
          <t>OP-SEALB-NC2</t>
        </is>
      </c>
      <c r="H157" s="47" t="inlineStr">
        <is>
          <t>Thyssen</t>
        </is>
      </c>
      <c r="I157" s="47" t="inlineStr">
        <is>
          <t>Sealing strip, above</t>
        </is>
      </c>
      <c r="J157" s="46" t="inlineStr">
        <is>
          <t>PO-6886</t>
        </is>
      </c>
      <c r="K157" s="47" t="inlineStr">
        <is>
          <t>G/c phay Mp NC1 Kt 95mm</t>
        </is>
      </c>
      <c r="L157" s="50" t="n">
        <v>37200</v>
      </c>
      <c r="M157" s="67" t="n">
        <v>2</v>
      </c>
      <c r="N157" s="50" t="n">
        <v>0</v>
      </c>
      <c r="O157" s="68" t="n">
        <v>4</v>
      </c>
      <c r="P157" s="64">
        <f>L157*M157</f>
        <v/>
      </c>
      <c r="Q157" s="47" t="inlineStr">
        <is>
          <t>Chíp APMT 1604 PDER - Grade 8230S-PRAMET</t>
        </is>
      </c>
      <c r="R157" s="50" t="n">
        <v>0</v>
      </c>
      <c r="S157" s="46" t="inlineStr">
        <is>
          <t>SAI</t>
        </is>
      </c>
      <c r="T157" s="47" t="inlineStr">
        <is>
          <t>Đang gia công dở dang, chuyển ca sau</t>
        </is>
      </c>
      <c r="U157" t="inlineStr">
        <is>
          <t>ĐÃ DUYỆT</t>
        </is>
      </c>
      <c r="V157" t="inlineStr">
        <is>
          <t>ĐÃ PHÊ DUYỆT</t>
        </is>
      </c>
      <c r="W157" t="inlineStr">
        <is>
          <t>🔒 ĐÃ KHÓA</t>
        </is>
      </c>
    </row>
    <row r="158" ht="21" customHeight="1" s="75">
      <c r="A158" s="40" t="n">
        <v>155</v>
      </c>
      <c r="B158" s="60" t="n">
        <v>46260.12411418981</v>
      </c>
      <c r="C158" s="61" t="inlineStr">
        <is>
          <t>EMP-NV10</t>
        </is>
      </c>
      <c r="D158" s="41" t="inlineStr">
        <is>
          <t>Phùng Công Thắng</t>
        </is>
      </c>
      <c r="E158" s="61" t="inlineStr">
        <is>
          <t>M-OKK3-01</t>
        </is>
      </c>
      <c r="F158" s="41" t="inlineStr">
        <is>
          <t>Phùng Công Thắng</t>
        </is>
      </c>
      <c r="G158" s="61" t="inlineStr">
        <is>
          <t>OP-SEALB-NC2</t>
        </is>
      </c>
      <c r="H158" s="41" t="inlineStr">
        <is>
          <t>Thyssen</t>
        </is>
      </c>
      <c r="I158" s="41" t="inlineStr">
        <is>
          <t>Sealing trip, below</t>
        </is>
      </c>
      <c r="J158" s="40" t="inlineStr">
        <is>
          <t>PO-1502</t>
        </is>
      </c>
      <c r="K158" s="41" t="inlineStr">
        <is>
          <t>G/c phay Mp NC2 Kt 95mm</t>
        </is>
      </c>
      <c r="L158" s="44" t="n">
        <v>37200</v>
      </c>
      <c r="M158" s="62" t="n">
        <v>5</v>
      </c>
      <c r="N158" s="44" t="n">
        <v>0</v>
      </c>
      <c r="O158" s="63" t="n">
        <v>8</v>
      </c>
      <c r="P158" s="64">
        <f>L158*M158</f>
        <v/>
      </c>
      <c r="Q158" s="41" t="inlineStr">
        <is>
          <t>Chíp  Pramet (6 cạnh)</t>
        </is>
      </c>
      <c r="R158" s="44" t="n">
        <v>3</v>
      </c>
      <c r="S158" s="40" t="inlineStr">
        <is>
          <t>SAI</t>
        </is>
      </c>
      <c r="T158" s="41" t="inlineStr">
        <is>
          <t>Đang gia công dở dang, chuyển ca sau</t>
        </is>
      </c>
      <c r="U158" t="inlineStr">
        <is>
          <t>ĐÃ DUYỆT</t>
        </is>
      </c>
      <c r="V158" t="inlineStr">
        <is>
          <t>ĐÃ PHÊ DUYỆT</t>
        </is>
      </c>
      <c r="W158" t="inlineStr">
        <is>
          <t>🔒 ĐÃ KHÓA</t>
        </is>
      </c>
    </row>
    <row r="159" ht="21" customHeight="1" s="75">
      <c r="A159" s="46" t="n">
        <v>156</v>
      </c>
      <c r="B159" s="66" t="n">
        <v>46260.12452121528</v>
      </c>
      <c r="C159" s="61" t="inlineStr">
        <is>
          <t>EMP-NV10</t>
        </is>
      </c>
      <c r="D159" s="47" t="inlineStr">
        <is>
          <t>Phùng Công Thắng</t>
        </is>
      </c>
      <c r="E159" s="61" t="inlineStr">
        <is>
          <t>M-OKK3-01</t>
        </is>
      </c>
      <c r="F159" s="47" t="inlineStr">
        <is>
          <t>Phùng Công Thắng</t>
        </is>
      </c>
      <c r="G159" s="61" t="inlineStr">
        <is>
          <t>OP-SEALB-NC2</t>
        </is>
      </c>
      <c r="H159" s="47" t="inlineStr">
        <is>
          <t>Thyssen</t>
        </is>
      </c>
      <c r="I159" s="47" t="inlineStr">
        <is>
          <t>Sealing strip, above</t>
        </is>
      </c>
      <c r="J159" s="46" t="inlineStr">
        <is>
          <t>PO-3397</t>
        </is>
      </c>
      <c r="K159" s="47" t="inlineStr">
        <is>
          <t>G/c phay Mp NC1 Kt 95mm</t>
        </is>
      </c>
      <c r="L159" s="50" t="n">
        <v>37200</v>
      </c>
      <c r="M159" s="67" t="n">
        <v>7</v>
      </c>
      <c r="N159" s="50" t="n">
        <v>0</v>
      </c>
      <c r="O159" s="68" t="n">
        <v>8</v>
      </c>
      <c r="P159" s="64">
        <f>L159*M159</f>
        <v/>
      </c>
      <c r="Q159" s="47" t="inlineStr">
        <is>
          <t>Chíp  Pramet (6 cạnh)</t>
        </is>
      </c>
      <c r="R159" s="50" t="n">
        <v>3</v>
      </c>
      <c r="S159" s="46" t="inlineStr">
        <is>
          <t>SAI</t>
        </is>
      </c>
      <c r="T159" s="47" t="inlineStr">
        <is>
          <t>Đang gia công dở dang, chuyển ca sau</t>
        </is>
      </c>
      <c r="U159" t="inlineStr">
        <is>
          <t>ĐÃ DUYỆT</t>
        </is>
      </c>
      <c r="V159" t="inlineStr">
        <is>
          <t>ĐÃ PHÊ DUYỆT</t>
        </is>
      </c>
      <c r="W159" t="inlineStr">
        <is>
          <t>🔒 ĐÃ KHÓA</t>
        </is>
      </c>
    </row>
    <row r="160" ht="21" customHeight="1" s="75">
      <c r="A160" s="40" t="n">
        <v>157</v>
      </c>
      <c r="B160" s="60" t="n">
        <v>46260.33038057871</v>
      </c>
      <c r="C160" s="61" t="inlineStr">
        <is>
          <t>EMP-NV06</t>
        </is>
      </c>
      <c r="D160" s="41" t="inlineStr">
        <is>
          <t>Phùng Công Thắng</t>
        </is>
      </c>
      <c r="E160" s="61" t="inlineStr">
        <is>
          <t>M-OKUMA-01</t>
        </is>
      </c>
      <c r="F160" s="41" t="inlineStr">
        <is>
          <t>Phùng Công Thắng</t>
        </is>
      </c>
      <c r="G160" s="61" t="inlineStr">
        <is>
          <t>OP-ISH114-NC1</t>
        </is>
      </c>
      <c r="H160" s="41" t="inlineStr">
        <is>
          <t>Win-Win</t>
        </is>
      </c>
      <c r="I160" s="41" t="inlineStr">
        <is>
          <t>ISHIZUE 114Dw300</t>
        </is>
      </c>
      <c r="J160" s="40" t="inlineStr">
        <is>
          <t>PO-1594</t>
        </is>
      </c>
      <c r="K160" s="41" t="inlineStr">
        <is>
          <t>G/c hoàn thiện</t>
        </is>
      </c>
      <c r="L160" s="44" t="n">
        <v>83700</v>
      </c>
      <c r="M160" s="62" t="n">
        <v>66</v>
      </c>
      <c r="N160" s="44" t="n">
        <v>23</v>
      </c>
      <c r="O160" s="63" t="n">
        <v>8</v>
      </c>
      <c r="P160" s="64">
        <f>L160*M160</f>
        <v/>
      </c>
      <c r="Q160" s="41" t="inlineStr">
        <is>
          <t>Chíp  TNMG160408L -ST TNMG332L-ST 
( 3 cạnh bẻ phoi )</t>
        </is>
      </c>
      <c r="R160" s="44" t="n">
        <v>2</v>
      </c>
      <c r="S160" s="65" t="inlineStr">
        <is>
          <t>ĐÚNG</t>
        </is>
      </c>
      <c r="T160" s="41" t="inlineStr">
        <is>
          <t>Đã xong nguyên công</t>
        </is>
      </c>
      <c r="U160" t="inlineStr">
        <is>
          <t>ĐÃ DUYỆT</t>
        </is>
      </c>
      <c r="V160" t="inlineStr">
        <is>
          <t>ĐÃ PHÊ DUYỆT</t>
        </is>
      </c>
      <c r="W160" t="inlineStr">
        <is>
          <t>🔒 ĐÃ KHÓA</t>
        </is>
      </c>
    </row>
    <row r="161" ht="21" customHeight="1" s="75">
      <c r="A161" s="46" t="n">
        <v>158</v>
      </c>
      <c r="B161" s="66" t="n">
        <v>46260.33117768518</v>
      </c>
      <c r="C161" s="61" t="inlineStr">
        <is>
          <t>EMP-NV04</t>
        </is>
      </c>
      <c r="D161" s="47" t="inlineStr">
        <is>
          <t>Phùng Công Thắng</t>
        </is>
      </c>
      <c r="E161" s="61" t="inlineStr">
        <is>
          <t>M-DK7780-01</t>
        </is>
      </c>
      <c r="F161" s="47" t="inlineStr">
        <is>
          <t>Phùng Công Thắng</t>
        </is>
      </c>
      <c r="G161" s="61" t="inlineStr">
        <is>
          <t>OP-OPDAO-NC1</t>
        </is>
      </c>
      <c r="H161" s="47" t="inlineStr">
        <is>
          <t>Luợng- KS Tường Long</t>
        </is>
      </c>
      <c r="I161" s="47" t="inlineStr">
        <is>
          <t>Ốp dao nhào trên (Bộ bên trái)</t>
        </is>
      </c>
      <c r="J161" s="46" t="inlineStr">
        <is>
          <t>PO-9119</t>
        </is>
      </c>
      <c r="K161" s="47" t="inlineStr">
        <is>
          <t>G/c cắt dây</t>
        </is>
      </c>
      <c r="L161" s="50" t="n">
        <v>148800</v>
      </c>
      <c r="M161" s="67" t="n">
        <v>1</v>
      </c>
      <c r="N161" s="50" t="n">
        <v>0</v>
      </c>
      <c r="O161" s="68" t="n">
        <v>4</v>
      </c>
      <c r="P161" s="64">
        <f>L161*M161</f>
        <v/>
      </c>
      <c r="Q161" s="47" t="inlineStr">
        <is>
          <t>Không tiêu hao</t>
        </is>
      </c>
      <c r="R161" s="50" t="n">
        <v>0</v>
      </c>
      <c r="S161" s="65" t="inlineStr">
        <is>
          <t>ĐÚNG</t>
        </is>
      </c>
      <c r="T161" s="47" t="inlineStr">
        <is>
          <t>Đã xong nguyên công</t>
        </is>
      </c>
      <c r="U161" t="inlineStr">
        <is>
          <t>ĐÃ DUYỆT</t>
        </is>
      </c>
      <c r="V161" t="inlineStr">
        <is>
          <t>ĐÃ PHÊ DUYỆT</t>
        </is>
      </c>
      <c r="W161" t="inlineStr">
        <is>
          <t>🔒 ĐÃ KHÓA</t>
        </is>
      </c>
    </row>
    <row r="162" ht="21" customHeight="1" s="75">
      <c r="A162" s="40" t="n">
        <v>159</v>
      </c>
      <c r="B162" s="60" t="n">
        <v>46260.33258833333</v>
      </c>
      <c r="C162" s="61" t="inlineStr">
        <is>
          <t>EMP-NV04</t>
        </is>
      </c>
      <c r="D162" s="41" t="inlineStr">
        <is>
          <t>Phùng Công Thắng</t>
        </is>
      </c>
      <c r="E162" s="61" t="inlineStr">
        <is>
          <t>M-T1516-01</t>
        </is>
      </c>
      <c r="F162" s="41" t="inlineStr">
        <is>
          <t>Phùng Công Thắng</t>
        </is>
      </c>
      <c r="G162" s="61" t="inlineStr">
        <is>
          <t>OP-GEN-01</t>
        </is>
      </c>
      <c r="H162" s="41" t="inlineStr">
        <is>
          <t>Win-Win</t>
        </is>
      </c>
      <c r="I162" s="41" t="inlineStr">
        <is>
          <t>ISHIZUE OMEGA406.4-1130</t>
        </is>
      </c>
      <c r="J162" s="40" t="inlineStr">
        <is>
          <t>PO-6894</t>
        </is>
      </c>
      <c r="K162" s="41" t="inlineStr">
        <is>
          <t>G/c tiện hoàn thiện</t>
        </is>
      </c>
      <c r="L162" s="44" t="n">
        <v>83700</v>
      </c>
      <c r="M162" s="62" t="n">
        <v>5</v>
      </c>
      <c r="N162" s="44" t="n">
        <v>0</v>
      </c>
      <c r="O162" s="63" t="n">
        <v>8</v>
      </c>
      <c r="P162" s="64">
        <f>L162*M162</f>
        <v/>
      </c>
      <c r="Q162" s="41" t="inlineStr">
        <is>
          <t>Chíp  R5 THREADEX- P3200</t>
        </is>
      </c>
      <c r="R162" s="44" t="n">
        <v>1</v>
      </c>
      <c r="S162" s="65" t="inlineStr">
        <is>
          <t>ĐÚNG</t>
        </is>
      </c>
      <c r="T162" s="41" t="inlineStr">
        <is>
          <t>Đã xong nguyên công</t>
        </is>
      </c>
      <c r="U162" t="inlineStr">
        <is>
          <t>ĐÃ DUYỆT</t>
        </is>
      </c>
      <c r="V162" t="inlineStr">
        <is>
          <t>ĐÃ PHÊ DUYỆT</t>
        </is>
      </c>
      <c r="W162" t="inlineStr">
        <is>
          <t>🔒 ĐÃ KHÓA</t>
        </is>
      </c>
    </row>
    <row r="163" ht="21" customHeight="1" s="75">
      <c r="A163" s="46" t="n">
        <v>160</v>
      </c>
      <c r="B163" s="66" t="n">
        <v>46260.35416207176</v>
      </c>
      <c r="C163" s="61" t="inlineStr">
        <is>
          <t>EMP-NV11</t>
        </is>
      </c>
      <c r="D163" s="47" t="inlineStr">
        <is>
          <t>Phùng Công Thắng</t>
        </is>
      </c>
      <c r="E163" s="61" t="inlineStr">
        <is>
          <t>M-FUJI-01</t>
        </is>
      </c>
      <c r="F163" s="47" t="inlineStr">
        <is>
          <t>Phùng Công Thắng</t>
        </is>
      </c>
      <c r="G163" s="61" t="inlineStr">
        <is>
          <t>OP-GEN-01</t>
        </is>
      </c>
      <c r="H163" s="47" t="inlineStr">
        <is>
          <t>Win-Win</t>
        </is>
      </c>
      <c r="I163" s="47" t="inlineStr">
        <is>
          <t>ISHIZUE 216Dw650</t>
        </is>
      </c>
      <c r="J163" s="46" t="inlineStr">
        <is>
          <t>PO-3775</t>
        </is>
      </c>
      <c r="K163" s="47" t="inlineStr">
        <is>
          <t>G/c hoàn thiện</t>
        </is>
      </c>
      <c r="L163" s="50" t="n">
        <v>24614</v>
      </c>
      <c r="M163" s="67" t="n">
        <v>2</v>
      </c>
      <c r="N163" s="50" t="n">
        <v>0</v>
      </c>
      <c r="O163" s="68" t="n">
        <v>4</v>
      </c>
      <c r="P163" s="64">
        <f>L163*M163</f>
        <v/>
      </c>
      <c r="Q163" s="47" t="inlineStr">
        <is>
          <t>Chíp  R5 THREADEX- P3200</t>
        </is>
      </c>
      <c r="R163" s="50" t="n">
        <v>0</v>
      </c>
      <c r="S163" s="65" t="inlineStr">
        <is>
          <t>ĐÚNG</t>
        </is>
      </c>
      <c r="T163" s="47" t="inlineStr">
        <is>
          <t>Đã xong nguyên công</t>
        </is>
      </c>
      <c r="U163" t="inlineStr">
        <is>
          <t>ĐÃ DUYỆT</t>
        </is>
      </c>
      <c r="V163" t="inlineStr">
        <is>
          <t>ĐÃ PHÊ DUYỆT</t>
        </is>
      </c>
      <c r="W163" t="inlineStr">
        <is>
          <t>🔒 ĐÃ KHÓA</t>
        </is>
      </c>
    </row>
    <row r="164" ht="21" customHeight="1" s="75">
      <c r="A164" s="40" t="n">
        <v>161</v>
      </c>
      <c r="B164" s="60" t="n">
        <v>46260.35477493056</v>
      </c>
      <c r="C164" s="61" t="inlineStr">
        <is>
          <t>EMP-NV11</t>
        </is>
      </c>
      <c r="D164" s="41" t="inlineStr">
        <is>
          <t>Phùng Công Thắng</t>
        </is>
      </c>
      <c r="E164" s="61" t="inlineStr">
        <is>
          <t>M-FUJI-01</t>
        </is>
      </c>
      <c r="F164" s="41" t="inlineStr">
        <is>
          <t>Phùng Công Thắng</t>
        </is>
      </c>
      <c r="G164" s="61" t="inlineStr">
        <is>
          <t>OP-GEN-01</t>
        </is>
      </c>
      <c r="H164" s="41" t="inlineStr">
        <is>
          <t>Win-Win</t>
        </is>
      </c>
      <c r="I164" s="41" t="inlineStr">
        <is>
          <t>ISHIZUE 216Dw550</t>
        </is>
      </c>
      <c r="J164" s="40" t="inlineStr">
        <is>
          <t>PO-7622</t>
        </is>
      </c>
      <c r="K164" s="41" t="inlineStr">
        <is>
          <t>G/c hoàn thiện</t>
        </is>
      </c>
      <c r="L164" s="44" t="n">
        <v>29884</v>
      </c>
      <c r="M164" s="62" t="n">
        <v>12</v>
      </c>
      <c r="N164" s="44" t="n">
        <v>4</v>
      </c>
      <c r="O164" s="63" t="n">
        <v>8</v>
      </c>
      <c r="P164" s="64">
        <f>L164*M164</f>
        <v/>
      </c>
      <c r="Q164" s="41" t="inlineStr">
        <is>
          <t>Chíp  R5 THREADEX- P3200</t>
        </is>
      </c>
      <c r="R164" s="44" t="n">
        <v>0</v>
      </c>
      <c r="S164" s="65" t="inlineStr">
        <is>
          <t>ĐÚNG</t>
        </is>
      </c>
      <c r="T164" s="41" t="inlineStr">
        <is>
          <t>Đã xong nguyên công</t>
        </is>
      </c>
      <c r="U164" t="inlineStr">
        <is>
          <t>ĐÃ DUYỆT</t>
        </is>
      </c>
      <c r="V164" t="inlineStr">
        <is>
          <t>ĐÃ PHÊ DUYỆT</t>
        </is>
      </c>
      <c r="W164" t="inlineStr">
        <is>
          <t>🔒 ĐÃ KHÓA</t>
        </is>
      </c>
    </row>
    <row r="165" ht="21" customHeight="1" s="75">
      <c r="A165" s="46" t="n">
        <v>162</v>
      </c>
      <c r="B165" s="66" t="n">
        <v>46260.35531087963</v>
      </c>
      <c r="C165" s="61" t="inlineStr">
        <is>
          <t>EMP-NV11</t>
        </is>
      </c>
      <c r="D165" s="47" t="inlineStr">
        <is>
          <t>Phùng Công Thắng</t>
        </is>
      </c>
      <c r="E165" s="61" t="inlineStr">
        <is>
          <t>M-PODA-01</t>
        </is>
      </c>
      <c r="F165" s="47" t="inlineStr">
        <is>
          <t>Phùng Công Thắng</t>
        </is>
      </c>
      <c r="G165" s="61" t="inlineStr">
        <is>
          <t>OP-GEN-01</t>
        </is>
      </c>
      <c r="H165" s="47" t="inlineStr">
        <is>
          <t>Vico- QLTB</t>
        </is>
      </c>
      <c r="I165" s="47" t="inlineStr">
        <is>
          <t>Mẫu Thử CR &amp; hàng #</t>
        </is>
      </c>
      <c r="J165" s="46" t="inlineStr">
        <is>
          <t>PO-5583</t>
        </is>
      </c>
      <c r="K165" s="47" t="inlineStr">
        <is>
          <t>G/c hoàn thiện</t>
        </is>
      </c>
      <c r="L165" s="50" t="n">
        <v>83700</v>
      </c>
      <c r="M165" s="67" t="n">
        <v>6</v>
      </c>
      <c r="N165" s="50" t="n">
        <v>0</v>
      </c>
      <c r="O165" s="68" t="n">
        <v>8</v>
      </c>
      <c r="P165" s="64">
        <f>L165*M165</f>
        <v/>
      </c>
      <c r="Q165" s="47" t="inlineStr">
        <is>
          <t>Dây cắt CNC</t>
        </is>
      </c>
      <c r="R165" s="50" t="n">
        <v>0</v>
      </c>
      <c r="S165" s="65" t="inlineStr">
        <is>
          <t>ĐÚNG</t>
        </is>
      </c>
      <c r="T165" s="47" t="inlineStr">
        <is>
          <t>Đã xong nguyên công</t>
        </is>
      </c>
      <c r="U165" t="inlineStr">
        <is>
          <t>ĐÃ DUYỆT</t>
        </is>
      </c>
      <c r="V165" t="inlineStr">
        <is>
          <t>ĐÃ PHÊ DUYỆT</t>
        </is>
      </c>
      <c r="W165" t="inlineStr">
        <is>
          <t>🔒 ĐÃ KHÓA</t>
        </is>
      </c>
    </row>
    <row r="166" ht="21" customHeight="1" s="75">
      <c r="A166" s="40" t="n">
        <v>163</v>
      </c>
      <c r="B166" s="60" t="n">
        <v>46260.37077087963</v>
      </c>
      <c r="C166" s="61" t="inlineStr">
        <is>
          <t>EMP-NV12</t>
        </is>
      </c>
      <c r="D166" s="41" t="inlineStr">
        <is>
          <t>Phùng Công Thắng</t>
        </is>
      </c>
      <c r="E166" s="61" t="inlineStr">
        <is>
          <t>M-DK7745-01</t>
        </is>
      </c>
      <c r="F166" s="41" t="inlineStr">
        <is>
          <t>Phùng Công Thắng</t>
        </is>
      </c>
      <c r="G166" s="61" t="inlineStr">
        <is>
          <t>OP-OPDAO-NC1</t>
        </is>
      </c>
      <c r="H166" s="41" t="inlineStr">
        <is>
          <t>Luợng- KS Tường Long</t>
        </is>
      </c>
      <c r="I166" s="41" t="inlineStr">
        <is>
          <t>Ốp dao nhào trên (Bộ bên trái)</t>
        </is>
      </c>
      <c r="J166" s="40" t="inlineStr">
        <is>
          <t>PO-2227</t>
        </is>
      </c>
      <c r="K166" s="41" t="inlineStr">
        <is>
          <t>G/c cắt dây</t>
        </is>
      </c>
      <c r="L166" s="44" t="n">
        <v>148800</v>
      </c>
      <c r="M166" s="62" t="n">
        <v>1</v>
      </c>
      <c r="N166" s="44" t="n">
        <v>0</v>
      </c>
      <c r="O166" s="63" t="n">
        <v>4</v>
      </c>
      <c r="P166" s="64">
        <f>L166*M166</f>
        <v/>
      </c>
      <c r="Q166" s="41" t="inlineStr">
        <is>
          <t>Dây cắt CNC</t>
        </is>
      </c>
      <c r="R166" s="44" t="n">
        <v>0</v>
      </c>
      <c r="S166" s="65" t="inlineStr">
        <is>
          <t>ĐÚNG</t>
        </is>
      </c>
      <c r="T166" s="41" t="inlineStr">
        <is>
          <t>Đã xong nguyên công</t>
        </is>
      </c>
      <c r="U166" t="inlineStr">
        <is>
          <t>ĐÃ DUYỆT</t>
        </is>
      </c>
      <c r="V166" t="inlineStr">
        <is>
          <t>ĐÃ PHÊ DUYỆT</t>
        </is>
      </c>
      <c r="W166" t="inlineStr">
        <is>
          <t>🔒 ĐÃ KHÓA</t>
        </is>
      </c>
    </row>
    <row r="167" ht="21" customHeight="1" s="75">
      <c r="A167" s="46" t="n">
        <v>164</v>
      </c>
      <c r="B167" s="66" t="n">
        <v>46260.37128361111</v>
      </c>
      <c r="C167" s="61" t="inlineStr">
        <is>
          <t>EMP-NV12</t>
        </is>
      </c>
      <c r="D167" s="47" t="inlineStr">
        <is>
          <t>Phùng Công Thắng</t>
        </is>
      </c>
      <c r="E167" s="61" t="inlineStr">
        <is>
          <t>M-OKK1-01</t>
        </is>
      </c>
      <c r="F167" s="47" t="inlineStr">
        <is>
          <t>Phùng Công Thắng</t>
        </is>
      </c>
      <c r="G167" s="61" t="inlineStr">
        <is>
          <t>OP-SEALB-NC4</t>
        </is>
      </c>
      <c r="H167" s="47" t="inlineStr">
        <is>
          <t>Thyssen</t>
        </is>
      </c>
      <c r="I167" s="47" t="inlineStr">
        <is>
          <t>Sealing strip, above</t>
        </is>
      </c>
      <c r="J167" s="46" t="inlineStr">
        <is>
          <t>PO-8533</t>
        </is>
      </c>
      <c r="K167" s="47" t="inlineStr">
        <is>
          <t>G/c doa lỗ phi 32</t>
        </is>
      </c>
      <c r="L167" s="50" t="n">
        <v>26148</v>
      </c>
      <c r="M167" s="67" t="n">
        <v>30</v>
      </c>
      <c r="N167" s="50" t="n">
        <v>0</v>
      </c>
      <c r="O167" s="68" t="n">
        <v>8</v>
      </c>
      <c r="P167" s="64">
        <f>L167*M167</f>
        <v/>
      </c>
      <c r="Q167" s="47" t="inlineStr">
        <is>
          <t>Mũi khoan</t>
        </is>
      </c>
      <c r="R167" s="50" t="n">
        <v>0</v>
      </c>
      <c r="S167" s="46" t="inlineStr">
        <is>
          <t>SAI</t>
        </is>
      </c>
      <c r="T167" s="47" t="inlineStr">
        <is>
          <t>Đang gia công dở dang, chuyển ca sau</t>
        </is>
      </c>
      <c r="U167" t="inlineStr">
        <is>
          <t>ĐÃ DUYỆT</t>
        </is>
      </c>
      <c r="V167" t="inlineStr">
        <is>
          <t>ĐÃ PHÊ DUYỆT</t>
        </is>
      </c>
      <c r="W167" t="inlineStr">
        <is>
          <t>🔒 ĐÃ KHÓA</t>
        </is>
      </c>
    </row>
    <row r="168" ht="21" customHeight="1" s="75">
      <c r="A168" s="40" t="n">
        <v>165</v>
      </c>
      <c r="B168" s="60" t="n">
        <v>46260.37188674769</v>
      </c>
      <c r="C168" s="61" t="inlineStr">
        <is>
          <t>EMP-NV12</t>
        </is>
      </c>
      <c r="D168" s="41" t="inlineStr">
        <is>
          <t>Phùng Công Thắng</t>
        </is>
      </c>
      <c r="E168" s="61" t="inlineStr">
        <is>
          <t>M-T630-01</t>
        </is>
      </c>
      <c r="F168" s="41" t="inlineStr">
        <is>
          <t>Phùng Công Thắng</t>
        </is>
      </c>
      <c r="G168" s="61" t="inlineStr">
        <is>
          <t>OP-GEN-01</t>
        </is>
      </c>
      <c r="H168" s="41" t="inlineStr">
        <is>
          <t>Win-Win</t>
        </is>
      </c>
      <c r="I168" s="41" t="inlineStr">
        <is>
          <t>ISHIZUE 216Dw550</t>
        </is>
      </c>
      <c r="J168" s="40" t="inlineStr">
        <is>
          <t>PO-8080</t>
        </is>
      </c>
      <c r="K168" s="41" t="inlineStr">
        <is>
          <t>G/c hoàn thiện</t>
        </is>
      </c>
      <c r="L168" s="44" t="n">
        <v>29884</v>
      </c>
      <c r="M168" s="62" t="n">
        <v>12</v>
      </c>
      <c r="N168" s="44" t="n">
        <v>1</v>
      </c>
      <c r="O168" s="63" t="n">
        <v>8</v>
      </c>
      <c r="P168" s="64">
        <f>L168*M168</f>
        <v/>
      </c>
      <c r="Q168" s="41" t="inlineStr">
        <is>
          <t>Chíp  Pramet (6 cạnh)</t>
        </is>
      </c>
      <c r="R168" s="44" t="n">
        <v>0</v>
      </c>
      <c r="S168" s="65" t="inlineStr">
        <is>
          <t>ĐÚNG</t>
        </is>
      </c>
      <c r="T168" s="41" t="inlineStr">
        <is>
          <t>Đã xong nguyên công</t>
        </is>
      </c>
      <c r="U168" t="inlineStr">
        <is>
          <t>ĐÃ DUYỆT</t>
        </is>
      </c>
      <c r="V168" t="inlineStr">
        <is>
          <t>ĐÃ PHÊ DUYỆT</t>
        </is>
      </c>
      <c r="W168" t="inlineStr">
        <is>
          <t>🔒 ĐÃ KHÓA</t>
        </is>
      </c>
    </row>
    <row r="169" ht="21" customHeight="1" s="75">
      <c r="A169" s="46" t="n">
        <v>166</v>
      </c>
      <c r="B169" s="66" t="n">
        <v>46260.65066023148</v>
      </c>
      <c r="C169" s="61" t="inlineStr">
        <is>
          <t>EMP-NV01</t>
        </is>
      </c>
      <c r="D169" s="47" t="inlineStr">
        <is>
          <t>Phùng Công Thắng</t>
        </is>
      </c>
      <c r="E169" s="61" t="inlineStr">
        <is>
          <t>M-FUJI-01</t>
        </is>
      </c>
      <c r="F169" s="47" t="inlineStr">
        <is>
          <t>Phùng Công Thắng</t>
        </is>
      </c>
      <c r="G169" s="61" t="inlineStr">
        <is>
          <t>OP-GEN-01</t>
        </is>
      </c>
      <c r="H169" s="47" t="inlineStr">
        <is>
          <t>Win-Win</t>
        </is>
      </c>
      <c r="I169" s="47" t="inlineStr">
        <is>
          <t>ISHIZUE 216Dw650</t>
        </is>
      </c>
      <c r="J169" s="46" t="inlineStr">
        <is>
          <t>PO-6543</t>
        </is>
      </c>
      <c r="K169" s="47" t="inlineStr">
        <is>
          <t>G/c hoàn thiện</t>
        </is>
      </c>
      <c r="L169" s="50" t="n">
        <v>24614</v>
      </c>
      <c r="M169" s="67" t="n">
        <v>5</v>
      </c>
      <c r="N169" s="50" t="n">
        <v>3</v>
      </c>
      <c r="O169" s="68" t="n">
        <v>8</v>
      </c>
      <c r="P169" s="64">
        <f>L169*M169</f>
        <v/>
      </c>
      <c r="Q169" s="47" t="inlineStr">
        <is>
          <t>Chíp  R5 THREADEX- P3200</t>
        </is>
      </c>
      <c r="R169" s="50" t="n">
        <v>1</v>
      </c>
      <c r="S169" s="65" t="inlineStr">
        <is>
          <t>ĐÚNG</t>
        </is>
      </c>
      <c r="T169" s="47" t="inlineStr">
        <is>
          <t>Đã xong nguyên công</t>
        </is>
      </c>
      <c r="U169" t="inlineStr">
        <is>
          <t>ĐÃ DUYỆT</t>
        </is>
      </c>
      <c r="V169" t="inlineStr">
        <is>
          <t>ĐÃ PHÊ DUYỆT</t>
        </is>
      </c>
      <c r="W169" t="inlineStr">
        <is>
          <t>🔒 ĐÃ KHÓA</t>
        </is>
      </c>
    </row>
    <row r="170" ht="21" customHeight="1" s="75">
      <c r="A170" s="40" t="n">
        <v>167</v>
      </c>
      <c r="B170" s="60" t="n">
        <v>46260.65131420139</v>
      </c>
      <c r="C170" s="61" t="inlineStr">
        <is>
          <t>EMP-NV01</t>
        </is>
      </c>
      <c r="D170" s="41" t="inlineStr">
        <is>
          <t>Phùng Công Thắng</t>
        </is>
      </c>
      <c r="E170" s="61" t="inlineStr">
        <is>
          <t>M-FUJI-01</t>
        </is>
      </c>
      <c r="F170" s="41" t="inlineStr">
        <is>
          <t>Phùng Công Thắng</t>
        </is>
      </c>
      <c r="G170" s="61" t="inlineStr">
        <is>
          <t>OP-GEN-01</t>
        </is>
      </c>
      <c r="H170" s="41" t="inlineStr">
        <is>
          <t>Win-Win</t>
        </is>
      </c>
      <c r="I170" s="41" t="inlineStr">
        <is>
          <t>ISHIZUE 216Dw550</t>
        </is>
      </c>
      <c r="J170" s="40" t="inlineStr">
        <is>
          <t>PO-1985</t>
        </is>
      </c>
      <c r="K170" s="41" t="inlineStr">
        <is>
          <t>G/c hoàn thiện</t>
        </is>
      </c>
      <c r="L170" s="44" t="n">
        <v>29884</v>
      </c>
      <c r="M170" s="62" t="n">
        <v>15</v>
      </c>
      <c r="N170" s="44" t="n">
        <v>9</v>
      </c>
      <c r="O170" s="63" t="n">
        <v>8</v>
      </c>
      <c r="P170" s="64">
        <f>L170*M170</f>
        <v/>
      </c>
      <c r="Q170" s="41" t="inlineStr">
        <is>
          <t>Chíp  R5 THREADEX- P3200</t>
        </is>
      </c>
      <c r="R170" s="44" t="n">
        <v>0</v>
      </c>
      <c r="S170" s="65" t="inlineStr">
        <is>
          <t>ĐÚNG</t>
        </is>
      </c>
      <c r="T170" s="41" t="inlineStr">
        <is>
          <t>Đã xong nguyên công</t>
        </is>
      </c>
      <c r="U170" t="inlineStr">
        <is>
          <t>ĐÃ DUYỆT</t>
        </is>
      </c>
      <c r="V170" t="inlineStr">
        <is>
          <t>ĐÃ PHÊ DUYỆT</t>
        </is>
      </c>
      <c r="W170" t="inlineStr">
        <is>
          <t>🔒 ĐÃ KHÓA</t>
        </is>
      </c>
    </row>
    <row r="171" ht="21" customHeight="1" s="75">
      <c r="A171" s="46" t="n">
        <v>168</v>
      </c>
      <c r="B171" s="66" t="n">
        <v>46260.65175208334</v>
      </c>
      <c r="C171" s="61" t="inlineStr">
        <is>
          <t>EMP-NV01</t>
        </is>
      </c>
      <c r="D171" s="47" t="inlineStr">
        <is>
          <t>Phùng Công Thắng</t>
        </is>
      </c>
      <c r="E171" s="61" t="inlineStr">
        <is>
          <t>M-DK7745-01</t>
        </is>
      </c>
      <c r="F171" s="47" t="inlineStr">
        <is>
          <t>Phùng Công Thắng</t>
        </is>
      </c>
      <c r="G171" s="61" t="inlineStr">
        <is>
          <t>OP-GEN-01</t>
        </is>
      </c>
      <c r="H171" s="47" t="inlineStr">
        <is>
          <t>Vico- QLTB</t>
        </is>
      </c>
      <c r="I171" s="47" t="inlineStr">
        <is>
          <t>Mẫu Thử CR &amp; hàng #</t>
        </is>
      </c>
      <c r="J171" s="46" t="inlineStr">
        <is>
          <t>PO-7348</t>
        </is>
      </c>
      <c r="K171" s="47" t="inlineStr">
        <is>
          <t>G/c hoàn thiện</t>
        </is>
      </c>
      <c r="L171" s="50" t="n">
        <v>83700</v>
      </c>
      <c r="M171" s="67" t="n">
        <v>1</v>
      </c>
      <c r="N171" s="50" t="n">
        <v>0</v>
      </c>
      <c r="O171" s="68" t="n">
        <v>4</v>
      </c>
      <c r="P171" s="64">
        <f>L171*M171</f>
        <v/>
      </c>
      <c r="Q171" s="47" t="inlineStr">
        <is>
          <t>Dây cắt CNC</t>
        </is>
      </c>
      <c r="R171" s="50" t="n">
        <v>0</v>
      </c>
      <c r="S171" s="65" t="inlineStr">
        <is>
          <t>ĐÚNG</t>
        </is>
      </c>
      <c r="T171" s="47" t="inlineStr">
        <is>
          <t>Đã xong nguyên công</t>
        </is>
      </c>
      <c r="U171" t="inlineStr">
        <is>
          <t>ĐÃ DUYỆT</t>
        </is>
      </c>
      <c r="V171" t="inlineStr">
        <is>
          <t>ĐÃ PHÊ DUYỆT</t>
        </is>
      </c>
      <c r="W171" t="inlineStr">
        <is>
          <t>🔒 ĐÃ KHÓA</t>
        </is>
      </c>
    </row>
    <row r="172" ht="21" customHeight="1" s="75">
      <c r="A172" s="40" t="n">
        <v>169</v>
      </c>
      <c r="B172" s="60" t="n">
        <v>46260.65346820602</v>
      </c>
      <c r="C172" s="61" t="inlineStr">
        <is>
          <t>EMP-NV01</t>
        </is>
      </c>
      <c r="D172" s="41" t="inlineStr">
        <is>
          <t>Phùng Công Thắng</t>
        </is>
      </c>
      <c r="E172" s="61" t="inlineStr">
        <is>
          <t>M-OKUMA-01</t>
        </is>
      </c>
      <c r="F172" s="41" t="inlineStr">
        <is>
          <t>Phùng Công Thắng</t>
        </is>
      </c>
      <c r="G172" s="61" t="inlineStr">
        <is>
          <t>OP-ISH114-NC1</t>
        </is>
      </c>
      <c r="H172" s="41" t="inlineStr">
        <is>
          <t>Win-Win</t>
        </is>
      </c>
      <c r="I172" s="41" t="inlineStr">
        <is>
          <t>ISHIZUE 114Dw300</t>
        </is>
      </c>
      <c r="J172" s="40" t="inlineStr">
        <is>
          <t>PO-5960</t>
        </is>
      </c>
      <c r="K172" s="41" t="inlineStr">
        <is>
          <t>G/c hoàn thiện</t>
        </is>
      </c>
      <c r="L172" s="44" t="n">
        <v>83700</v>
      </c>
      <c r="M172" s="62" t="n">
        <v>23</v>
      </c>
      <c r="N172" s="44" t="n">
        <v>7</v>
      </c>
      <c r="O172" s="63" t="n">
        <v>8</v>
      </c>
      <c r="P172" s="64">
        <f>L172*M172</f>
        <v/>
      </c>
      <c r="Q172" s="41" t="inlineStr">
        <is>
          <t>Chíp  TNMG160408 WINSTAR RP- CX2555 ( 3 cạnh thẳng)</t>
        </is>
      </c>
      <c r="R172" s="44" t="n">
        <v>1</v>
      </c>
      <c r="S172" s="65" t="inlineStr">
        <is>
          <t>ĐÚNG</t>
        </is>
      </c>
      <c r="T172" s="41" t="inlineStr">
        <is>
          <t>Đã xong nguyên công</t>
        </is>
      </c>
      <c r="U172" t="inlineStr">
        <is>
          <t>ĐÃ DUYỆT</t>
        </is>
      </c>
      <c r="V172" t="inlineStr">
        <is>
          <t>ĐÃ PHÊ DUYỆT</t>
        </is>
      </c>
      <c r="W172" t="inlineStr">
        <is>
          <t>🔒 ĐÃ KHÓA</t>
        </is>
      </c>
    </row>
    <row r="173" ht="21" customHeight="1" s="75">
      <c r="A173" s="46" t="n">
        <v>170</v>
      </c>
      <c r="B173" s="66" t="n">
        <v>46260.6541365625</v>
      </c>
      <c r="C173" s="61" t="inlineStr">
        <is>
          <t>EMP-NV01</t>
        </is>
      </c>
      <c r="D173" s="47" t="inlineStr">
        <is>
          <t>Phùng Công Thắng</t>
        </is>
      </c>
      <c r="E173" s="61" t="inlineStr">
        <is>
          <t>M-OKUMA-01</t>
        </is>
      </c>
      <c r="F173" s="47" t="inlineStr">
        <is>
          <t>Phùng Công Thắng</t>
        </is>
      </c>
      <c r="G173" s="61" t="inlineStr">
        <is>
          <t>OP-GEN-01</t>
        </is>
      </c>
      <c r="H173" s="47" t="inlineStr">
        <is>
          <t>Vico- QLTB</t>
        </is>
      </c>
      <c r="I173" s="47" t="inlineStr">
        <is>
          <t>Mẫu kéo nén</t>
        </is>
      </c>
      <c r="J173" s="46" t="inlineStr">
        <is>
          <t>PO-6415</t>
        </is>
      </c>
      <c r="K173" s="47" t="inlineStr">
        <is>
          <t>G/c ht theo bản vẽ</t>
        </is>
      </c>
      <c r="L173" s="50" t="n">
        <v>55800</v>
      </c>
      <c r="M173" s="67" t="n">
        <v>3</v>
      </c>
      <c r="N173" s="50" t="n">
        <v>0</v>
      </c>
      <c r="O173" s="68" t="n">
        <v>4</v>
      </c>
      <c r="P173" s="64">
        <f>L173*M173</f>
        <v/>
      </c>
      <c r="Q173" s="47" t="inlineStr">
        <is>
          <t>Chíp  TNMG160408 WINSTAR RP- CX2555 ( 3 cạnh thẳng)</t>
        </is>
      </c>
      <c r="R173" s="50" t="n">
        <v>1</v>
      </c>
      <c r="S173" s="65" t="inlineStr">
        <is>
          <t>ĐÚNG</t>
        </is>
      </c>
      <c r="T173" s="47" t="inlineStr">
        <is>
          <t>Đã xong nguyên công</t>
        </is>
      </c>
      <c r="U173" t="inlineStr">
        <is>
          <t>ĐÃ DUYỆT</t>
        </is>
      </c>
      <c r="V173" t="inlineStr">
        <is>
          <t>ĐÃ PHÊ DUYỆT</t>
        </is>
      </c>
      <c r="W173" t="inlineStr">
        <is>
          <t>🔒 ĐÃ KHÓA</t>
        </is>
      </c>
    </row>
    <row r="174" ht="21" customHeight="1" s="75">
      <c r="A174" s="40" t="n">
        <v>171</v>
      </c>
      <c r="B174" s="60" t="n">
        <v>46260.65469372685</v>
      </c>
      <c r="C174" s="61" t="inlineStr">
        <is>
          <t>EMP-NV01</t>
        </is>
      </c>
      <c r="D174" s="41" t="inlineStr">
        <is>
          <t>Phùng Công Thắng</t>
        </is>
      </c>
      <c r="E174" s="61" t="inlineStr">
        <is>
          <t>M-DK7745-01</t>
        </is>
      </c>
      <c r="F174" s="41" t="inlineStr">
        <is>
          <t>Phùng Công Thắng</t>
        </is>
      </c>
      <c r="G174" s="61" t="inlineStr">
        <is>
          <t>OP-GEN-01</t>
        </is>
      </c>
      <c r="H174" s="41" t="inlineStr">
        <is>
          <t>Vico- QLTB</t>
        </is>
      </c>
      <c r="I174" s="41" t="inlineStr">
        <is>
          <t>Mẫu Thử CR &amp; hàng #</t>
        </is>
      </c>
      <c r="J174" s="40" t="inlineStr">
        <is>
          <t>PO-7644</t>
        </is>
      </c>
      <c r="K174" s="41" t="inlineStr">
        <is>
          <t>G/c hoàn thiện</t>
        </is>
      </c>
      <c r="L174" s="44" t="n">
        <v>83700</v>
      </c>
      <c r="M174" s="62" t="n">
        <v>2</v>
      </c>
      <c r="N174" s="44" t="n">
        <v>0</v>
      </c>
      <c r="O174" s="63" t="n">
        <v>4</v>
      </c>
      <c r="P174" s="64">
        <f>L174*M174</f>
        <v/>
      </c>
      <c r="Q174" s="41" t="inlineStr">
        <is>
          <t>Dây cắt CNC</t>
        </is>
      </c>
      <c r="R174" s="44" t="n">
        <v>0</v>
      </c>
      <c r="S174" s="65" t="inlineStr">
        <is>
          <t>ĐÚNG</t>
        </is>
      </c>
      <c r="T174" s="41" t="inlineStr">
        <is>
          <t>Đã xong nguyên công</t>
        </is>
      </c>
      <c r="U174" t="inlineStr">
        <is>
          <t>ĐÃ DUYỆT</t>
        </is>
      </c>
      <c r="V174" t="inlineStr">
        <is>
          <t>ĐÃ PHÊ DUYỆT</t>
        </is>
      </c>
      <c r="W174" t="inlineStr">
        <is>
          <t>🔒 ĐÃ KHÓA</t>
        </is>
      </c>
    </row>
    <row r="175" ht="21" customHeight="1" s="75">
      <c r="A175" s="46" t="n">
        <v>172</v>
      </c>
      <c r="B175" s="66" t="n">
        <v>46261.20194399306</v>
      </c>
      <c r="C175" s="61" t="inlineStr">
        <is>
          <t>EMP-NV03</t>
        </is>
      </c>
      <c r="D175" s="47" t="inlineStr">
        <is>
          <t>Phùng Công Thắng</t>
        </is>
      </c>
      <c r="E175" s="61" t="inlineStr">
        <is>
          <t>M-T1516-01</t>
        </is>
      </c>
      <c r="F175" s="47" t="inlineStr">
        <is>
          <t>Phùng Công Thắng</t>
        </is>
      </c>
      <c r="G175" s="61" t="inlineStr">
        <is>
          <t>OP-GEN-01</t>
        </is>
      </c>
      <c r="H175" s="47" t="inlineStr">
        <is>
          <t>Win-Win</t>
        </is>
      </c>
      <c r="I175" s="47" t="inlineStr">
        <is>
          <t>ISHIZUE OMEGA406.4-1130</t>
        </is>
      </c>
      <c r="J175" s="46" t="inlineStr">
        <is>
          <t>PO-8677</t>
        </is>
      </c>
      <c r="K175" s="47" t="inlineStr">
        <is>
          <t>G/c tiện hoàn thiện</t>
        </is>
      </c>
      <c r="L175" s="50" t="n">
        <v>83700</v>
      </c>
      <c r="M175" s="67" t="n">
        <v>2</v>
      </c>
      <c r="N175" s="50" t="n">
        <v>1</v>
      </c>
      <c r="O175" s="68" t="n">
        <v>4</v>
      </c>
      <c r="P175" s="64">
        <f>L175*M175</f>
        <v/>
      </c>
      <c r="Q175" s="47" t="inlineStr">
        <is>
          <t>Chíp  R5 THREADEX- P3200</t>
        </is>
      </c>
      <c r="R175" s="50" t="n">
        <v>1</v>
      </c>
      <c r="S175" s="65" t="inlineStr">
        <is>
          <t>ĐÚNG</t>
        </is>
      </c>
      <c r="T175" s="47" t="inlineStr">
        <is>
          <t>Đã xong nguyên công</t>
        </is>
      </c>
      <c r="U175" t="inlineStr">
        <is>
          <t>ĐÃ DUYỆT</t>
        </is>
      </c>
      <c r="V175" t="inlineStr">
        <is>
          <t>ĐÃ PHÊ DUYỆT</t>
        </is>
      </c>
      <c r="W175" t="inlineStr">
        <is>
          <t>🔒 ĐÃ KHÓA</t>
        </is>
      </c>
    </row>
    <row r="176" ht="21" customHeight="1" s="75">
      <c r="A176" s="40" t="n">
        <v>173</v>
      </c>
      <c r="B176" s="60" t="n">
        <v>46261.3144837037</v>
      </c>
      <c r="C176" s="61" t="inlineStr">
        <is>
          <t>EMP-NV08</t>
        </is>
      </c>
      <c r="D176" s="41" t="inlineStr">
        <is>
          <t>Phùng Công Thắng</t>
        </is>
      </c>
      <c r="E176" s="61" t="inlineStr">
        <is>
          <t>M-PCNC2-01</t>
        </is>
      </c>
      <c r="F176" s="41" t="inlineStr">
        <is>
          <t>Phùng Công Thắng</t>
        </is>
      </c>
      <c r="G176" s="61" t="inlineStr">
        <is>
          <t>OP-SEALB-NC4</t>
        </is>
      </c>
      <c r="H176" s="41" t="inlineStr">
        <is>
          <t>Thyssen</t>
        </is>
      </c>
      <c r="I176" s="41" t="inlineStr">
        <is>
          <t>Sealing strip, below</t>
        </is>
      </c>
      <c r="J176" s="40" t="inlineStr">
        <is>
          <t>PO-8134</t>
        </is>
      </c>
      <c r="K176" s="41" t="inlineStr">
        <is>
          <t>G/c phay cạnh NC3 kt 12mm</t>
        </is>
      </c>
      <c r="L176" s="44" t="n">
        <v>45000</v>
      </c>
      <c r="M176" s="62" t="n">
        <v>16</v>
      </c>
      <c r="N176" s="44" t="n">
        <v>0</v>
      </c>
      <c r="O176" s="63" t="n">
        <v>8</v>
      </c>
      <c r="P176" s="64">
        <f>L176*M176</f>
        <v/>
      </c>
      <c r="Q176" s="41" t="inlineStr">
        <is>
          <t>Không tiêu hao</t>
        </is>
      </c>
      <c r="R176" s="44" t="n">
        <v>0</v>
      </c>
      <c r="S176" s="40" t="inlineStr">
        <is>
          <t>SAI</t>
        </is>
      </c>
      <c r="T176" s="41" t="inlineStr">
        <is>
          <t>Đang gia công dở dang, chuyển ca sau</t>
        </is>
      </c>
      <c r="U176" t="inlineStr">
        <is>
          <t>ĐÃ DUYỆT</t>
        </is>
      </c>
      <c r="V176" t="inlineStr">
        <is>
          <t>ĐÃ PHÊ DUYỆT</t>
        </is>
      </c>
      <c r="W176" t="inlineStr">
        <is>
          <t>🔒 ĐÃ KHÓA</t>
        </is>
      </c>
    </row>
    <row r="177" ht="21" customHeight="1" s="75">
      <c r="A177" s="46" t="n">
        <v>174</v>
      </c>
      <c r="B177" s="66" t="n">
        <v>46261.31496004629</v>
      </c>
      <c r="C177" s="61" t="inlineStr">
        <is>
          <t>EMP-NV08</t>
        </is>
      </c>
      <c r="D177" s="47" t="inlineStr">
        <is>
          <t>Phùng Công Thắng</t>
        </is>
      </c>
      <c r="E177" s="61" t="inlineStr">
        <is>
          <t>M-PCNC1-01</t>
        </is>
      </c>
      <c r="F177" s="47" t="inlineStr">
        <is>
          <t>Phùng Công Thắng</t>
        </is>
      </c>
      <c r="G177" s="61" t="inlineStr">
        <is>
          <t>OP-SEALB-NC4</t>
        </is>
      </c>
      <c r="H177" s="47" t="inlineStr">
        <is>
          <t>Thyssen</t>
        </is>
      </c>
      <c r="I177" s="47" t="inlineStr">
        <is>
          <t>Sealing strip, below</t>
        </is>
      </c>
      <c r="J177" s="46" t="inlineStr">
        <is>
          <t>PO-8372</t>
        </is>
      </c>
      <c r="K177" s="47" t="inlineStr">
        <is>
          <t>Gc phay rãnh</t>
        </is>
      </c>
      <c r="L177" s="50" t="n">
        <v>45000</v>
      </c>
      <c r="M177" s="67" t="n">
        <v>7</v>
      </c>
      <c r="N177" s="50" t="n">
        <v>0</v>
      </c>
      <c r="O177" s="68" t="n">
        <v>8</v>
      </c>
      <c r="P177" s="64">
        <f>L177*M177</f>
        <v/>
      </c>
      <c r="Q177" s="47" t="inlineStr">
        <is>
          <t>Không tiêu hao</t>
        </is>
      </c>
      <c r="R177" s="50" t="n">
        <v>0</v>
      </c>
      <c r="S177" s="46" t="inlineStr">
        <is>
          <t>SAI</t>
        </is>
      </c>
      <c r="T177" s="47" t="inlineStr">
        <is>
          <t>Đang gia công dở dang, chuyển ca sau</t>
        </is>
      </c>
      <c r="U177" t="inlineStr">
        <is>
          <t>ĐÃ DUYỆT</t>
        </is>
      </c>
      <c r="V177" t="inlineStr">
        <is>
          <t>ĐÃ PHÊ DUYỆT</t>
        </is>
      </c>
      <c r="W177" t="inlineStr">
        <is>
          <t>🔒 ĐÃ KHÓA</t>
        </is>
      </c>
    </row>
    <row r="178" ht="21" customHeight="1" s="75">
      <c r="A178" s="40" t="n">
        <v>175</v>
      </c>
      <c r="B178" s="60" t="n">
        <v>46261.31561115741</v>
      </c>
      <c r="C178" s="61" t="inlineStr">
        <is>
          <t>EMP-NV08</t>
        </is>
      </c>
      <c r="D178" s="41" t="inlineStr">
        <is>
          <t>Phùng Công Thắng</t>
        </is>
      </c>
      <c r="E178" s="61" t="inlineStr">
        <is>
          <t>M-KHYOS-01</t>
        </is>
      </c>
      <c r="F178" s="41" t="inlineStr">
        <is>
          <t>Phùng Công Thắng</t>
        </is>
      </c>
      <c r="G178" s="61" t="inlineStr">
        <is>
          <t>OP-OPDAO-NC1</t>
        </is>
      </c>
      <c r="H178" s="41" t="inlineStr">
        <is>
          <t>Luợng- KS Tường Long</t>
        </is>
      </c>
      <c r="I178" s="41" t="inlineStr">
        <is>
          <t>Ốp dao nhào trên (Bộ bên trái)</t>
        </is>
      </c>
      <c r="J178" s="40" t="inlineStr">
        <is>
          <t>PO-4525</t>
        </is>
      </c>
      <c r="K178" s="41" t="inlineStr">
        <is>
          <t>Gc mở lỗ phi 16</t>
        </is>
      </c>
      <c r="L178" s="44" t="n">
        <v>45000</v>
      </c>
      <c r="M178" s="62" t="n">
        <v>15</v>
      </c>
      <c r="N178" s="44" t="n">
        <v>0</v>
      </c>
      <c r="O178" s="63" t="n">
        <v>8</v>
      </c>
      <c r="P178" s="64">
        <f>L178*M178</f>
        <v/>
      </c>
      <c r="Q178" s="41" t="inlineStr">
        <is>
          <t>Không tiêu hao</t>
        </is>
      </c>
      <c r="R178" s="44" t="n">
        <v>0</v>
      </c>
      <c r="S178" s="65" t="inlineStr">
        <is>
          <t>ĐÚNG</t>
        </is>
      </c>
      <c r="T178" s="41" t="inlineStr">
        <is>
          <t>Đã xong nguyên công</t>
        </is>
      </c>
      <c r="U178" t="inlineStr">
        <is>
          <t>ĐÃ DUYỆT</t>
        </is>
      </c>
      <c r="V178" t="inlineStr">
        <is>
          <t>ĐÃ PHÊ DUYỆT</t>
        </is>
      </c>
      <c r="W178" t="inlineStr">
        <is>
          <t>🔒 ĐÃ KHÓA</t>
        </is>
      </c>
    </row>
    <row r="179" ht="21" customHeight="1" s="75">
      <c r="A179" s="46" t="n">
        <v>176</v>
      </c>
      <c r="B179" s="66" t="n">
        <v>46261.32528084491</v>
      </c>
      <c r="C179" s="61" t="inlineStr">
        <is>
          <t>EMP-NV12</t>
        </is>
      </c>
      <c r="D179" s="47" t="inlineStr">
        <is>
          <t>Phùng Công Thắng</t>
        </is>
      </c>
      <c r="E179" s="61" t="inlineStr">
        <is>
          <t>M-DK7745-01</t>
        </is>
      </c>
      <c r="F179" s="47" t="inlineStr">
        <is>
          <t>Phùng Công Thắng</t>
        </is>
      </c>
      <c r="G179" s="61" t="inlineStr">
        <is>
          <t>OP-OPDAO-NC1</t>
        </is>
      </c>
      <c r="H179" s="47" t="inlineStr">
        <is>
          <t>Luợng- KS Tường Long</t>
        </is>
      </c>
      <c r="I179" s="47" t="inlineStr">
        <is>
          <t>Ốp dao nhào trên (Bộ bên trái)</t>
        </is>
      </c>
      <c r="J179" s="46" t="inlineStr">
        <is>
          <t>PO-5710</t>
        </is>
      </c>
      <c r="K179" s="47" t="inlineStr">
        <is>
          <t>G/c cắt dây</t>
        </is>
      </c>
      <c r="L179" s="50" t="n">
        <v>148800</v>
      </c>
      <c r="M179" s="67" t="n">
        <v>1</v>
      </c>
      <c r="N179" s="50" t="n">
        <v>0</v>
      </c>
      <c r="O179" s="68" t="n">
        <v>4</v>
      </c>
      <c r="P179" s="64">
        <f>L179*M179</f>
        <v/>
      </c>
      <c r="Q179" s="47" t="inlineStr">
        <is>
          <t>Dây cắt CNC</t>
        </is>
      </c>
      <c r="R179" s="50" t="n">
        <v>0</v>
      </c>
      <c r="S179" s="65" t="inlineStr">
        <is>
          <t>ĐÚNG</t>
        </is>
      </c>
      <c r="T179" s="47" t="inlineStr">
        <is>
          <t>Đã xong nguyên công</t>
        </is>
      </c>
      <c r="U179" t="inlineStr">
        <is>
          <t>ĐÃ DUYỆT</t>
        </is>
      </c>
      <c r="V179" t="inlineStr">
        <is>
          <t>ĐÃ PHÊ DUYỆT</t>
        </is>
      </c>
      <c r="W179" t="inlineStr">
        <is>
          <t>🔒 ĐÃ KHÓA</t>
        </is>
      </c>
    </row>
    <row r="180" ht="21" customHeight="1" s="75">
      <c r="A180" s="40" t="n">
        <v>177</v>
      </c>
      <c r="B180" s="60" t="n">
        <v>46261.32617196759</v>
      </c>
      <c r="C180" s="61" t="inlineStr">
        <is>
          <t>EMP-NV12</t>
        </is>
      </c>
      <c r="D180" s="41" t="inlineStr">
        <is>
          <t>Phùng Công Thắng</t>
        </is>
      </c>
      <c r="E180" s="61" t="inlineStr">
        <is>
          <t>M-KHYOS-01</t>
        </is>
      </c>
      <c r="F180" s="41" t="inlineStr">
        <is>
          <t>Phùng Công Thắng</t>
        </is>
      </c>
      <c r="G180" s="61" t="inlineStr">
        <is>
          <t>OP-OPDAO-NC1</t>
        </is>
      </c>
      <c r="H180" s="41" t="inlineStr">
        <is>
          <t>Luợng- KS Tường Long</t>
        </is>
      </c>
      <c r="I180" s="41" t="inlineStr">
        <is>
          <t>Ốp dao nhào trên (Bộ bên trái)</t>
        </is>
      </c>
      <c r="J180" s="40" t="inlineStr">
        <is>
          <t>PO-7253</t>
        </is>
      </c>
      <c r="K180" s="41" t="inlineStr">
        <is>
          <t>G/c khan taro M14</t>
        </is>
      </c>
      <c r="L180" s="44" t="n">
        <v>63767</v>
      </c>
      <c r="M180" s="62" t="n">
        <v>17</v>
      </c>
      <c r="N180" s="44" t="n">
        <v>0</v>
      </c>
      <c r="O180" s="63" t="n">
        <v>8</v>
      </c>
      <c r="P180" s="64">
        <f>L180*M180</f>
        <v/>
      </c>
      <c r="Q180" s="41" t="inlineStr">
        <is>
          <t>Mũi khoan</t>
        </is>
      </c>
      <c r="R180" s="44" t="n">
        <v>0</v>
      </c>
      <c r="S180" s="40" t="inlineStr">
        <is>
          <t>SAI</t>
        </is>
      </c>
      <c r="T180" s="41" t="inlineStr">
        <is>
          <t>Đang gia công dở dang, chuyển ca sau</t>
        </is>
      </c>
      <c r="U180" t="inlineStr">
        <is>
          <t>ĐÃ DUYỆT</t>
        </is>
      </c>
      <c r="V180" t="inlineStr">
        <is>
          <t>ĐÃ PHÊ DUYỆT</t>
        </is>
      </c>
      <c r="W180" t="inlineStr">
        <is>
          <t>🔒 ĐÃ KHÓA</t>
        </is>
      </c>
    </row>
    <row r="181" ht="21" customHeight="1" s="75">
      <c r="A181" s="46" t="n">
        <v>178</v>
      </c>
      <c r="B181" s="66" t="n">
        <v>46261.63730855324</v>
      </c>
      <c r="C181" s="61" t="inlineStr">
        <is>
          <t>EMP-NV07</t>
        </is>
      </c>
      <c r="D181" s="47" t="inlineStr">
        <is>
          <t>Phùng Công Thắng</t>
        </is>
      </c>
      <c r="E181" s="61" t="inlineStr">
        <is>
          <t>M-OKK3-01</t>
        </is>
      </c>
      <c r="F181" s="47" t="inlineStr">
        <is>
          <t>Phùng Công Thắng</t>
        </is>
      </c>
      <c r="G181" s="61" t="inlineStr">
        <is>
          <t>OP-SEALB-NC2</t>
        </is>
      </c>
      <c r="H181" s="47" t="inlineStr">
        <is>
          <t>Thyssen</t>
        </is>
      </c>
      <c r="I181" s="47" t="inlineStr">
        <is>
          <t>Sealing strip, above</t>
        </is>
      </c>
      <c r="J181" s="46" t="inlineStr">
        <is>
          <t>PO-8979</t>
        </is>
      </c>
      <c r="K181" s="47" t="inlineStr">
        <is>
          <t>G/c phay Mp NC1 Kt 95mm</t>
        </is>
      </c>
      <c r="L181" s="50" t="n">
        <v>37200</v>
      </c>
      <c r="M181" s="67" t="n">
        <v>13</v>
      </c>
      <c r="N181" s="50" t="n">
        <v>0</v>
      </c>
      <c r="O181" s="68" t="n">
        <v>8</v>
      </c>
      <c r="P181" s="64">
        <f>L181*M181</f>
        <v/>
      </c>
      <c r="Q181" s="47" t="inlineStr">
        <is>
          <t>Không tiêu hao</t>
        </is>
      </c>
      <c r="R181" s="50" t="n">
        <v>0</v>
      </c>
      <c r="S181" s="46" t="inlineStr">
        <is>
          <t>SAI</t>
        </is>
      </c>
      <c r="T181" s="47" t="inlineStr">
        <is>
          <t>Đang gia công dở dang, chuyển ca sau</t>
        </is>
      </c>
      <c r="U181" t="inlineStr">
        <is>
          <t>ĐÃ DUYỆT</t>
        </is>
      </c>
      <c r="V181" t="inlineStr">
        <is>
          <t>ĐÃ PHÊ DUYỆT</t>
        </is>
      </c>
      <c r="W181" t="inlineStr">
        <is>
          <t>🔒 ĐÃ KHÓA</t>
        </is>
      </c>
    </row>
    <row r="182" ht="21" customHeight="1" s="75">
      <c r="A182" s="40" t="n">
        <v>179</v>
      </c>
      <c r="B182" s="60" t="n">
        <v>46261.63876853009</v>
      </c>
      <c r="C182" s="61" t="inlineStr">
        <is>
          <t>EMP-NV07</t>
        </is>
      </c>
      <c r="D182" s="41" t="inlineStr">
        <is>
          <t>Phùng Công Thắng</t>
        </is>
      </c>
      <c r="E182" s="61" t="inlineStr">
        <is>
          <t>M-T1522-01</t>
        </is>
      </c>
      <c r="F182" s="41" t="inlineStr">
        <is>
          <t>Phùng Công Thắng</t>
        </is>
      </c>
      <c r="G182" s="61" t="inlineStr">
        <is>
          <t>OP-ROTO-NC2</t>
        </is>
      </c>
      <c r="H182" s="41" t="inlineStr">
        <is>
          <t>Hải- Vinh Quảng Ninh</t>
        </is>
      </c>
      <c r="I182" s="41" t="inlineStr">
        <is>
          <t>Bộ rulo máy nghiền sơ cấp: Thân rồ to (φ820x890)</t>
        </is>
      </c>
      <c r="J182" s="40" t="inlineStr">
        <is>
          <t>PO-7487</t>
        </is>
      </c>
      <c r="K182" s="41" t="inlineStr">
        <is>
          <t>G/c Nc7 phay mp Ht 8 mặt x (690 x 80 mm)</t>
        </is>
      </c>
      <c r="L182" s="44" t="n">
        <v>45000</v>
      </c>
      <c r="M182" s="62" t="n">
        <v>3</v>
      </c>
      <c r="N182" s="44" t="n">
        <v>0</v>
      </c>
      <c r="O182" s="63" t="n">
        <v>4</v>
      </c>
      <c r="P182" s="64">
        <f>L182*M182</f>
        <v/>
      </c>
      <c r="Q182" s="41" t="inlineStr">
        <is>
          <t>Không tiêu hao</t>
        </is>
      </c>
      <c r="R182" s="44" t="n">
        <v>0</v>
      </c>
      <c r="S182" s="65" t="inlineStr">
        <is>
          <t>ĐÚNG</t>
        </is>
      </c>
      <c r="T182" s="41" t="inlineStr">
        <is>
          <t>Đã xong nguyên công</t>
        </is>
      </c>
      <c r="U182" t="inlineStr">
        <is>
          <t>ĐÃ DUYỆT</t>
        </is>
      </c>
      <c r="V182" t="inlineStr">
        <is>
          <t>ĐÃ PHÊ DUYỆT</t>
        </is>
      </c>
      <c r="W182" t="inlineStr">
        <is>
          <t>🔒 ĐÃ KHÓA</t>
        </is>
      </c>
    </row>
    <row r="183" ht="21" customHeight="1" s="75">
      <c r="A183" s="46" t="n">
        <v>180</v>
      </c>
      <c r="B183" s="66" t="n">
        <v>46261.63931012731</v>
      </c>
      <c r="C183" s="61" t="inlineStr">
        <is>
          <t>EMP-NV07</t>
        </is>
      </c>
      <c r="D183" s="47" t="inlineStr">
        <is>
          <t>Phùng Công Thắng</t>
        </is>
      </c>
      <c r="E183" s="61" t="inlineStr">
        <is>
          <t>M-OKK3-01</t>
        </is>
      </c>
      <c r="F183" s="47" t="inlineStr">
        <is>
          <t>Phùng Công Thắng</t>
        </is>
      </c>
      <c r="G183" s="61" t="inlineStr">
        <is>
          <t>OP-SEALB-NC1</t>
        </is>
      </c>
      <c r="H183" s="47" t="inlineStr">
        <is>
          <t>Thyssen</t>
        </is>
      </c>
      <c r="I183" s="47" t="inlineStr">
        <is>
          <t>Sealing trip, below</t>
        </is>
      </c>
      <c r="J183" s="46" t="inlineStr">
        <is>
          <t>PO-3657</t>
        </is>
      </c>
      <c r="K183" s="47" t="inlineStr">
        <is>
          <t>G/c phay Mp NC1 Kt 47mm</t>
        </is>
      </c>
      <c r="L183" s="50" t="n">
        <v>37200</v>
      </c>
      <c r="M183" s="67" t="n">
        <v>10</v>
      </c>
      <c r="N183" s="50" t="n">
        <v>0</v>
      </c>
      <c r="O183" s="68" t="n">
        <v>8</v>
      </c>
      <c r="P183" s="64">
        <f>L183*M183</f>
        <v/>
      </c>
      <c r="Q183" s="47" t="inlineStr">
        <is>
          <t>Không tiêu hao</t>
        </is>
      </c>
      <c r="R183" s="50" t="n">
        <v>0</v>
      </c>
      <c r="S183" s="46" t="inlineStr">
        <is>
          <t>SAI</t>
        </is>
      </c>
      <c r="T183" s="47" t="inlineStr">
        <is>
          <t>Đang gia công dở dang, chuyển ca sau</t>
        </is>
      </c>
      <c r="U183" t="inlineStr">
        <is>
          <t>ĐÃ DUYỆT</t>
        </is>
      </c>
      <c r="V183" t="inlineStr">
        <is>
          <t>ĐÃ PHÊ DUYỆT</t>
        </is>
      </c>
      <c r="W183" t="inlineStr">
        <is>
          <t>🔒 ĐÃ KHÓA</t>
        </is>
      </c>
    </row>
    <row r="184" ht="21" customHeight="1" s="75">
      <c r="A184" s="40" t="n">
        <v>181</v>
      </c>
      <c r="B184" s="60" t="n">
        <v>46261.63964783565</v>
      </c>
      <c r="C184" s="61" t="inlineStr">
        <is>
          <t>EMP-NV07</t>
        </is>
      </c>
      <c r="D184" s="41" t="inlineStr">
        <is>
          <t>Phùng Công Thắng</t>
        </is>
      </c>
      <c r="E184" s="61" t="inlineStr">
        <is>
          <t>M-OKK3-01</t>
        </is>
      </c>
      <c r="F184" s="41" t="inlineStr">
        <is>
          <t>Phùng Công Thắng</t>
        </is>
      </c>
      <c r="G184" s="61" t="inlineStr">
        <is>
          <t>OP-SEALB-NC2</t>
        </is>
      </c>
      <c r="H184" s="41" t="inlineStr">
        <is>
          <t>Thyssen</t>
        </is>
      </c>
      <c r="I184" s="41" t="inlineStr">
        <is>
          <t>Sealing trip, below</t>
        </is>
      </c>
      <c r="J184" s="40" t="inlineStr">
        <is>
          <t>PO-8435</t>
        </is>
      </c>
      <c r="K184" s="41" t="inlineStr">
        <is>
          <t>G/c phay Mp NC2 Kt 95mm</t>
        </is>
      </c>
      <c r="L184" s="44" t="n">
        <v>37200</v>
      </c>
      <c r="M184" s="62" t="n">
        <v>5</v>
      </c>
      <c r="N184" s="44" t="n">
        <v>0</v>
      </c>
      <c r="O184" s="63" t="n">
        <v>8</v>
      </c>
      <c r="P184" s="64">
        <f>L184*M184</f>
        <v/>
      </c>
      <c r="Q184" s="41" t="inlineStr">
        <is>
          <t>Không tiêu hao</t>
        </is>
      </c>
      <c r="R184" s="44" t="n">
        <v>0</v>
      </c>
      <c r="S184" s="40" t="inlineStr">
        <is>
          <t>SAI</t>
        </is>
      </c>
      <c r="T184" s="41" t="inlineStr">
        <is>
          <t>Đang gia công dở dang, chuyển ca sau</t>
        </is>
      </c>
      <c r="U184" t="inlineStr">
        <is>
          <t>ĐÃ DUYỆT</t>
        </is>
      </c>
      <c r="V184" t="inlineStr">
        <is>
          <t>ĐÃ PHÊ DUYỆT</t>
        </is>
      </c>
      <c r="W184" t="inlineStr">
        <is>
          <t>🔒 ĐÃ KHÓA</t>
        </is>
      </c>
    </row>
    <row r="185" ht="21" customHeight="1" s="75">
      <c r="A185" s="46" t="n">
        <v>182</v>
      </c>
      <c r="B185" s="66" t="n">
        <v>46261.64009563658</v>
      </c>
      <c r="C185" s="61" t="inlineStr">
        <is>
          <t>EMP-NV07</t>
        </is>
      </c>
      <c r="D185" s="47" t="inlineStr">
        <is>
          <t>Phùng Công Thắng</t>
        </is>
      </c>
      <c r="E185" s="61" t="inlineStr">
        <is>
          <t>M-OKK1-01</t>
        </is>
      </c>
      <c r="F185" s="47" t="inlineStr">
        <is>
          <t>Phùng Công Thắng</t>
        </is>
      </c>
      <c r="G185" s="61" t="inlineStr">
        <is>
          <t>OP-SEALB-NC2</t>
        </is>
      </c>
      <c r="H185" s="47" t="inlineStr">
        <is>
          <t>Thyssen</t>
        </is>
      </c>
      <c r="I185" s="47" t="inlineStr">
        <is>
          <t>Sealing strip, above</t>
        </is>
      </c>
      <c r="J185" s="46" t="inlineStr">
        <is>
          <t>PO-4105</t>
        </is>
      </c>
      <c r="K185" s="47" t="inlineStr">
        <is>
          <t>G/c phay Mp NC1 Kt 95mm</t>
        </is>
      </c>
      <c r="L185" s="50" t="n">
        <v>37200</v>
      </c>
      <c r="M185" s="67" t="n">
        <v>3</v>
      </c>
      <c r="N185" s="50" t="n">
        <v>0</v>
      </c>
      <c r="O185" s="68" t="n">
        <v>4</v>
      </c>
      <c r="P185" s="64">
        <f>L185*M185</f>
        <v/>
      </c>
      <c r="Q185" s="47" t="inlineStr">
        <is>
          <t>Không tiêu hao</t>
        </is>
      </c>
      <c r="R185" s="50" t="n">
        <v>0</v>
      </c>
      <c r="S185" s="46" t="inlineStr">
        <is>
          <t>SAI</t>
        </is>
      </c>
      <c r="T185" s="47" t="inlineStr">
        <is>
          <t>Đang gia công dở dang, chuyển ca sau</t>
        </is>
      </c>
      <c r="U185" t="inlineStr">
        <is>
          <t>ĐÃ DUYỆT</t>
        </is>
      </c>
      <c r="V185" t="inlineStr">
        <is>
          <t>ĐÃ PHÊ DUYỆT</t>
        </is>
      </c>
      <c r="W185" t="inlineStr">
        <is>
          <t>🔒 ĐÃ KHÓA</t>
        </is>
      </c>
    </row>
    <row r="186" ht="21" customHeight="1" s="75">
      <c r="A186" s="40" t="n">
        <v>183</v>
      </c>
      <c r="B186" s="60" t="n">
        <v>46261.64165365741</v>
      </c>
      <c r="C186" s="61" t="inlineStr">
        <is>
          <t>EMP-NV07</t>
        </is>
      </c>
      <c r="D186" s="41" t="inlineStr">
        <is>
          <t>Phùng Công Thắng</t>
        </is>
      </c>
      <c r="E186" s="61" t="inlineStr">
        <is>
          <t>M-PODA-01</t>
        </is>
      </c>
      <c r="F186" s="41" t="inlineStr">
        <is>
          <t>Phùng Công Thắng</t>
        </is>
      </c>
      <c r="G186" s="61" t="inlineStr">
        <is>
          <t>OP-GEN-01</t>
        </is>
      </c>
      <c r="H186" s="41" t="inlineStr">
        <is>
          <t>Molycop</t>
        </is>
      </c>
      <c r="I186" s="41" t="inlineStr">
        <is>
          <t>Bi 40</t>
        </is>
      </c>
      <c r="J186" s="40" t="inlineStr">
        <is>
          <t>PO-8823</t>
        </is>
      </c>
      <c r="K186" s="41" t="inlineStr">
        <is>
          <t>G/c cắt dây</t>
        </is>
      </c>
      <c r="L186" s="44" t="n">
        <v>6510</v>
      </c>
      <c r="M186" s="62" t="n">
        <v>21</v>
      </c>
      <c r="N186" s="44" t="n">
        <v>0</v>
      </c>
      <c r="O186" s="63" t="n">
        <v>8</v>
      </c>
      <c r="P186" s="64">
        <f>L186*M186</f>
        <v/>
      </c>
      <c r="Q186" s="41" t="inlineStr">
        <is>
          <t>Không tiêu hao</t>
        </is>
      </c>
      <c r="R186" s="44" t="n">
        <v>0</v>
      </c>
      <c r="S186" s="65" t="inlineStr">
        <is>
          <t>ĐÚNG</t>
        </is>
      </c>
      <c r="T186" s="41" t="inlineStr">
        <is>
          <t>Đã xong nguyên công</t>
        </is>
      </c>
      <c r="U186" t="inlineStr">
        <is>
          <t>ĐÃ DUYỆT</t>
        </is>
      </c>
      <c r="V186" t="inlineStr">
        <is>
          <t>ĐÃ PHÊ DUYỆT</t>
        </is>
      </c>
      <c r="W186" t="inlineStr">
        <is>
          <t>🔒 ĐÃ KHÓA</t>
        </is>
      </c>
    </row>
    <row r="187" ht="21" customHeight="1" s="75">
      <c r="A187" s="46" t="n">
        <v>184</v>
      </c>
      <c r="B187" s="66" t="n">
        <v>46261.64202912037</v>
      </c>
      <c r="C187" s="61" t="inlineStr">
        <is>
          <t>EMP-NV07</t>
        </is>
      </c>
      <c r="D187" s="47" t="inlineStr">
        <is>
          <t>Phùng Công Thắng</t>
        </is>
      </c>
      <c r="E187" s="61" t="inlineStr">
        <is>
          <t>M-PODA-01</t>
        </is>
      </c>
      <c r="F187" s="47" t="inlineStr">
        <is>
          <t>Phùng Công Thắng</t>
        </is>
      </c>
      <c r="G187" s="61" t="inlineStr">
        <is>
          <t>OP-GEN-01</t>
        </is>
      </c>
      <c r="H187" s="47" t="inlineStr">
        <is>
          <t>Molycop</t>
        </is>
      </c>
      <c r="I187" s="47" t="inlineStr">
        <is>
          <t>Bi 25</t>
        </is>
      </c>
      <c r="J187" s="46" t="inlineStr">
        <is>
          <t>PO-4474</t>
        </is>
      </c>
      <c r="K187" s="47" t="inlineStr">
        <is>
          <t>G/c cắt dây</t>
        </is>
      </c>
      <c r="L187" s="50" t="n">
        <v>6510</v>
      </c>
      <c r="M187" s="67" t="n">
        <v>3</v>
      </c>
      <c r="N187" s="50" t="n">
        <v>0</v>
      </c>
      <c r="O187" s="68" t="n">
        <v>4</v>
      </c>
      <c r="P187" s="64">
        <f>L187*M187</f>
        <v/>
      </c>
      <c r="Q187" s="47" t="inlineStr">
        <is>
          <t>Không tiêu hao</t>
        </is>
      </c>
      <c r="R187" s="50" t="n">
        <v>0</v>
      </c>
      <c r="S187" s="65" t="inlineStr">
        <is>
          <t>ĐÚNG</t>
        </is>
      </c>
      <c r="T187" s="47" t="inlineStr">
        <is>
          <t>Đã xong nguyên công</t>
        </is>
      </c>
      <c r="U187" t="inlineStr">
        <is>
          <t>ĐÃ DUYỆT</t>
        </is>
      </c>
      <c r="V187" t="inlineStr">
        <is>
          <t>ĐÃ PHÊ DUYỆT</t>
        </is>
      </c>
      <c r="W187" t="inlineStr">
        <is>
          <t>🔒 ĐÃ KHÓA</t>
        </is>
      </c>
    </row>
    <row r="188" ht="21" customHeight="1" s="75">
      <c r="A188" s="40" t="n">
        <v>185</v>
      </c>
      <c r="B188" s="60" t="n">
        <v>46261.65406278935</v>
      </c>
      <c r="C188" s="61" t="inlineStr">
        <is>
          <t>EMP-NV01</t>
        </is>
      </c>
      <c r="D188" s="41" t="inlineStr">
        <is>
          <t>Phùng Công Thắng</t>
        </is>
      </c>
      <c r="E188" s="61" t="inlineStr">
        <is>
          <t>M-T1516-01</t>
        </is>
      </c>
      <c r="F188" s="41" t="inlineStr">
        <is>
          <t>Phùng Công Thắng</t>
        </is>
      </c>
      <c r="G188" s="61" t="inlineStr">
        <is>
          <t>OP-GEN-01</t>
        </is>
      </c>
      <c r="H188" s="41" t="inlineStr">
        <is>
          <t>Win-Win</t>
        </is>
      </c>
      <c r="I188" s="41" t="inlineStr">
        <is>
          <t>ISHIZUE OMEGA406.4-1130</t>
        </is>
      </c>
      <c r="J188" s="40" t="inlineStr">
        <is>
          <t>PO-9735</t>
        </is>
      </c>
      <c r="K188" s="41" t="inlineStr">
        <is>
          <t>G/c tiện hoàn thiện</t>
        </is>
      </c>
      <c r="L188" s="44" t="n">
        <v>83700</v>
      </c>
      <c r="M188" s="62" t="n">
        <v>6</v>
      </c>
      <c r="N188" s="44" t="n">
        <v>4</v>
      </c>
      <c r="O188" s="63" t="n">
        <v>8</v>
      </c>
      <c r="P188" s="64">
        <f>L188*M188</f>
        <v/>
      </c>
      <c r="Q188" s="41" t="inlineStr">
        <is>
          <t>Chíp  R5 THREADEX- P3200</t>
        </is>
      </c>
      <c r="R188" s="44" t="n">
        <v>1</v>
      </c>
      <c r="S188" s="65" t="inlineStr">
        <is>
          <t>ĐÚNG</t>
        </is>
      </c>
      <c r="T188" s="41" t="inlineStr">
        <is>
          <t>Đã xong nguyên công</t>
        </is>
      </c>
      <c r="U188" t="inlineStr">
        <is>
          <t>ĐÃ DUYỆT</t>
        </is>
      </c>
      <c r="V188" t="inlineStr">
        <is>
          <t>ĐÃ PHÊ DUYỆT</t>
        </is>
      </c>
      <c r="W188" t="inlineStr">
        <is>
          <t>🔒 ĐÃ KHÓA</t>
        </is>
      </c>
    </row>
    <row r="189" ht="21" customHeight="1" s="75">
      <c r="A189" s="46" t="n">
        <v>186</v>
      </c>
      <c r="B189" s="66" t="n">
        <v>46261.66558174769</v>
      </c>
      <c r="C189" s="61" t="inlineStr">
        <is>
          <t>EMP-NV06</t>
        </is>
      </c>
      <c r="D189" s="47" t="inlineStr">
        <is>
          <t>Phùng Công Thắng</t>
        </is>
      </c>
      <c r="E189" s="61" t="inlineStr">
        <is>
          <t>M-FUJI-01</t>
        </is>
      </c>
      <c r="F189" s="47" t="inlineStr">
        <is>
          <t>Phùng Công Thắng</t>
        </is>
      </c>
      <c r="G189" s="61" t="inlineStr">
        <is>
          <t>OP-GEN-01</t>
        </is>
      </c>
      <c r="H189" s="47" t="inlineStr">
        <is>
          <t>Win-Win</t>
        </is>
      </c>
      <c r="I189" s="47" t="inlineStr">
        <is>
          <t>ISHIZUE 267Dw800</t>
        </is>
      </c>
      <c r="J189" s="46" t="inlineStr">
        <is>
          <t>PO-1135</t>
        </is>
      </c>
      <c r="K189" s="47" t="inlineStr">
        <is>
          <t>G/c hoàn thiện</t>
        </is>
      </c>
      <c r="L189" s="50" t="n">
        <v>55800</v>
      </c>
      <c r="M189" s="67" t="n">
        <v>10</v>
      </c>
      <c r="N189" s="50" t="n">
        <v>0</v>
      </c>
      <c r="O189" s="68" t="n">
        <v>8</v>
      </c>
      <c r="P189" s="64">
        <f>L189*M189</f>
        <v/>
      </c>
      <c r="Q189" s="47" t="inlineStr">
        <is>
          <t>Chíp  R5 THREADEX- P3200</t>
        </is>
      </c>
      <c r="R189" s="50" t="n">
        <v>1</v>
      </c>
      <c r="S189" s="65" t="inlineStr">
        <is>
          <t>ĐÚNG</t>
        </is>
      </c>
      <c r="T189" s="47" t="inlineStr">
        <is>
          <t>Đã xong nguyên công</t>
        </is>
      </c>
      <c r="U189" t="inlineStr">
        <is>
          <t>ĐÃ DUYỆT</t>
        </is>
      </c>
      <c r="V189" t="inlineStr">
        <is>
          <t>ĐÃ PHÊ DUYỆT</t>
        </is>
      </c>
      <c r="W189" t="inlineStr">
        <is>
          <t>🔒 ĐÃ KHÓA</t>
        </is>
      </c>
    </row>
    <row r="190" ht="21" customHeight="1" s="75">
      <c r="A190" s="40" t="n">
        <v>187</v>
      </c>
      <c r="B190" s="60" t="n">
        <v>46261.70608271991</v>
      </c>
      <c r="C190" s="61" t="inlineStr">
        <is>
          <t>EMP-NV01</t>
        </is>
      </c>
      <c r="D190" s="41" t="inlineStr">
        <is>
          <t>Phùng Công Thắng</t>
        </is>
      </c>
      <c r="E190" s="61" t="inlineStr">
        <is>
          <t>M-OKUMA-01</t>
        </is>
      </c>
      <c r="F190" s="41" t="inlineStr">
        <is>
          <t>Phùng Công Thắng</t>
        </is>
      </c>
      <c r="G190" s="61" t="inlineStr">
        <is>
          <t>OP-ISH114-NC1</t>
        </is>
      </c>
      <c r="H190" s="41" t="inlineStr">
        <is>
          <t>Win-Win</t>
        </is>
      </c>
      <c r="I190" s="41" t="inlineStr">
        <is>
          <t>ISHIZUE 114Dw300</t>
        </is>
      </c>
      <c r="J190" s="40" t="inlineStr">
        <is>
          <t>PO-2471</t>
        </is>
      </c>
      <c r="K190" s="41" t="inlineStr">
        <is>
          <t>G/c hoàn thiện</t>
        </is>
      </c>
      <c r="L190" s="44" t="n">
        <v>83700</v>
      </c>
      <c r="M190" s="62" t="n">
        <v>40</v>
      </c>
      <c r="N190" s="44" t="n">
        <v>8</v>
      </c>
      <c r="O190" s="63" t="n">
        <v>8</v>
      </c>
      <c r="P190" s="64">
        <f>L190*M190</f>
        <v/>
      </c>
      <c r="Q190" s="41" t="inlineStr">
        <is>
          <t>Chíp  TNMG160408 WINSTAR RP- CX2555 ( 3 cạnh thẳng)</t>
        </is>
      </c>
      <c r="R190" s="44" t="n">
        <v>1</v>
      </c>
      <c r="S190" s="65" t="inlineStr">
        <is>
          <t>ĐÚNG</t>
        </is>
      </c>
      <c r="T190" s="41" t="inlineStr">
        <is>
          <t>Đã xong nguyên công</t>
        </is>
      </c>
      <c r="U190" t="inlineStr">
        <is>
          <t>ĐÃ DUYỆT</t>
        </is>
      </c>
      <c r="V190" t="inlineStr">
        <is>
          <t>ĐÃ PHÊ DUYỆT</t>
        </is>
      </c>
      <c r="W190" t="inlineStr">
        <is>
          <t>🔒 ĐÃ KHÓA</t>
        </is>
      </c>
    </row>
    <row r="191" ht="21" customHeight="1" s="75">
      <c r="A191" s="46" t="n">
        <v>188</v>
      </c>
      <c r="B191" s="66" t="n">
        <v>46261.70651637731</v>
      </c>
      <c r="C191" s="61" t="inlineStr">
        <is>
          <t>EMP-NV01</t>
        </is>
      </c>
      <c r="D191" s="47" t="inlineStr">
        <is>
          <t>Phùng Công Thắng</t>
        </is>
      </c>
      <c r="E191" s="61" t="inlineStr">
        <is>
          <t>M-OKUMA-01</t>
        </is>
      </c>
      <c r="F191" s="47" t="inlineStr">
        <is>
          <t>Phùng Công Thắng</t>
        </is>
      </c>
      <c r="G191" s="61" t="inlineStr">
        <is>
          <t>OP-GEN-01</t>
        </is>
      </c>
      <c r="H191" s="47" t="inlineStr">
        <is>
          <t>Vico- QLTB</t>
        </is>
      </c>
      <c r="I191" s="47" t="inlineStr">
        <is>
          <t>Mẫu kéo nén</t>
        </is>
      </c>
      <c r="J191" s="46" t="inlineStr">
        <is>
          <t>PO-3652</t>
        </is>
      </c>
      <c r="K191" s="47" t="inlineStr">
        <is>
          <t>G/c ht theo bản vẽ</t>
        </is>
      </c>
      <c r="L191" s="50" t="n">
        <v>55800</v>
      </c>
      <c r="M191" s="67" t="n">
        <v>1</v>
      </c>
      <c r="N191" s="50" t="n">
        <v>0</v>
      </c>
      <c r="O191" s="68" t="n">
        <v>4</v>
      </c>
      <c r="P191" s="64">
        <f>L191*M191</f>
        <v/>
      </c>
      <c r="Q191" s="47" t="inlineStr">
        <is>
          <t>Không tiêu hao</t>
        </is>
      </c>
      <c r="R191" s="50" t="n">
        <v>0</v>
      </c>
      <c r="S191" s="65" t="inlineStr">
        <is>
          <t>ĐÚNG</t>
        </is>
      </c>
      <c r="T191" s="47" t="inlineStr">
        <is>
          <t>Đã xong nguyên công</t>
        </is>
      </c>
      <c r="U191" t="inlineStr">
        <is>
          <t>ĐÃ DUYỆT</t>
        </is>
      </c>
      <c r="V191" t="inlineStr">
        <is>
          <t>ĐÃ PHÊ DUYỆT</t>
        </is>
      </c>
      <c r="W191" t="inlineStr">
        <is>
          <t>🔒 ĐÃ KHÓA</t>
        </is>
      </c>
    </row>
    <row r="192" ht="21" customHeight="1" s="75">
      <c r="A192" s="40" t="n">
        <v>189</v>
      </c>
      <c r="B192" s="60" t="n">
        <v>46261.70702618056</v>
      </c>
      <c r="C192" s="61" t="inlineStr">
        <is>
          <t>EMP-NV01</t>
        </is>
      </c>
      <c r="D192" s="41" t="inlineStr">
        <is>
          <t>Phùng Công Thắng</t>
        </is>
      </c>
      <c r="E192" s="61" t="inlineStr">
        <is>
          <t>M-DK7745-01</t>
        </is>
      </c>
      <c r="F192" s="41" t="inlineStr">
        <is>
          <t>Phùng Công Thắng</t>
        </is>
      </c>
      <c r="G192" s="61" t="inlineStr">
        <is>
          <t>OP-GEN-01</t>
        </is>
      </c>
      <c r="H192" s="41" t="inlineStr">
        <is>
          <t>Vico- QLTB</t>
        </is>
      </c>
      <c r="I192" s="41" t="inlineStr">
        <is>
          <t>Mẫu Thử CR &amp; hàng #</t>
        </is>
      </c>
      <c r="J192" s="40" t="inlineStr">
        <is>
          <t>PO-6626</t>
        </is>
      </c>
      <c r="K192" s="41" t="inlineStr">
        <is>
          <t>G/c hoàn thiện</t>
        </is>
      </c>
      <c r="L192" s="44" t="n">
        <v>83700</v>
      </c>
      <c r="M192" s="62" t="n">
        <v>1</v>
      </c>
      <c r="N192" s="44" t="n">
        <v>0</v>
      </c>
      <c r="O192" s="63" t="n">
        <v>4</v>
      </c>
      <c r="P192" s="64">
        <f>L192*M192</f>
        <v/>
      </c>
      <c r="Q192" s="41" t="inlineStr">
        <is>
          <t>Dây cắt CNC</t>
        </is>
      </c>
      <c r="R192" s="44" t="n">
        <v>0</v>
      </c>
      <c r="S192" s="65" t="inlineStr">
        <is>
          <t>ĐÚNG</t>
        </is>
      </c>
      <c r="T192" s="41" t="inlineStr">
        <is>
          <t>Đã xong nguyên công</t>
        </is>
      </c>
      <c r="U192" t="inlineStr">
        <is>
          <t>ĐÃ DUYỆT</t>
        </is>
      </c>
      <c r="V192" t="inlineStr">
        <is>
          <t>ĐÃ PHÊ DUYỆT</t>
        </is>
      </c>
      <c r="W192" t="inlineStr">
        <is>
          <t>🔒 ĐÃ KHÓA</t>
        </is>
      </c>
    </row>
    <row r="193" ht="21" customHeight="1" s="75">
      <c r="A193" s="46" t="n">
        <v>190</v>
      </c>
      <c r="B193" s="66" t="n">
        <v>46261.83018064815</v>
      </c>
      <c r="C193" s="61" t="inlineStr">
        <is>
          <t>EMP-NV10</t>
        </is>
      </c>
      <c r="D193" s="47" t="inlineStr">
        <is>
          <t>Phùng Công Thắng</t>
        </is>
      </c>
      <c r="E193" s="61" t="inlineStr">
        <is>
          <t>M-OKK3-01</t>
        </is>
      </c>
      <c r="F193" s="47" t="inlineStr">
        <is>
          <t>Phùng Công Thắng</t>
        </is>
      </c>
      <c r="G193" s="61" t="inlineStr">
        <is>
          <t>OP-SEALB-NC1</t>
        </is>
      </c>
      <c r="H193" s="47" t="inlineStr">
        <is>
          <t>Thyssen</t>
        </is>
      </c>
      <c r="I193" s="47" t="inlineStr">
        <is>
          <t>Sealing trip, below</t>
        </is>
      </c>
      <c r="J193" s="46" t="inlineStr">
        <is>
          <t>PO-4537</t>
        </is>
      </c>
      <c r="K193" s="47" t="inlineStr">
        <is>
          <t>G/c phay Mp NC1 Kt 47mm</t>
        </is>
      </c>
      <c r="L193" s="50" t="n">
        <v>37200</v>
      </c>
      <c r="M193" s="67" t="n">
        <v>2</v>
      </c>
      <c r="N193" s="50" t="n">
        <v>0</v>
      </c>
      <c r="O193" s="68" t="n">
        <v>4</v>
      </c>
      <c r="P193" s="64">
        <f>L193*M193</f>
        <v/>
      </c>
      <c r="Q193" s="47" t="inlineStr">
        <is>
          <t>Chíp  Pramet (6 cạnh)</t>
        </is>
      </c>
      <c r="R193" s="50" t="n">
        <v>0</v>
      </c>
      <c r="S193" s="46" t="inlineStr">
        <is>
          <t>SAI</t>
        </is>
      </c>
      <c r="T193" s="47" t="inlineStr">
        <is>
          <t>Đang gia công dở dang, chuyển ca sau</t>
        </is>
      </c>
      <c r="U193" t="inlineStr">
        <is>
          <t>ĐÃ DUYỆT</t>
        </is>
      </c>
      <c r="V193" t="inlineStr">
        <is>
          <t>ĐÃ PHÊ DUYỆT</t>
        </is>
      </c>
      <c r="W193" t="inlineStr">
        <is>
          <t>🔒 ĐÃ KHÓA</t>
        </is>
      </c>
    </row>
    <row r="194" ht="21" customHeight="1" s="75">
      <c r="A194" s="40" t="n">
        <v>191</v>
      </c>
      <c r="B194" s="60" t="n">
        <v>46261.83054969907</v>
      </c>
      <c r="C194" s="61" t="inlineStr">
        <is>
          <t>EMP-NV10</t>
        </is>
      </c>
      <c r="D194" s="41" t="inlineStr">
        <is>
          <t>Phùng Công Thắng</t>
        </is>
      </c>
      <c r="E194" s="61" t="inlineStr">
        <is>
          <t>M-OKK3-01</t>
        </is>
      </c>
      <c r="F194" s="41" t="inlineStr">
        <is>
          <t>Phùng Công Thắng</t>
        </is>
      </c>
      <c r="G194" s="61" t="inlineStr">
        <is>
          <t>OP-SEALB-NC2</t>
        </is>
      </c>
      <c r="H194" s="41" t="inlineStr">
        <is>
          <t>Thyssen</t>
        </is>
      </c>
      <c r="I194" s="41" t="inlineStr">
        <is>
          <t>Sealing strip, above</t>
        </is>
      </c>
      <c r="J194" s="40" t="inlineStr">
        <is>
          <t>PO-7048</t>
        </is>
      </c>
      <c r="K194" s="41" t="inlineStr">
        <is>
          <t>G/c phay Mp NC1 Kt 95mm</t>
        </is>
      </c>
      <c r="L194" s="44" t="n">
        <v>37200</v>
      </c>
      <c r="M194" s="62" t="n">
        <v>3</v>
      </c>
      <c r="N194" s="44" t="n">
        <v>0</v>
      </c>
      <c r="O194" s="63" t="n">
        <v>4</v>
      </c>
      <c r="P194" s="64">
        <f>L194*M194</f>
        <v/>
      </c>
      <c r="Q194" s="41" t="inlineStr">
        <is>
          <t>Chíp  Pramet (6 cạnh)</t>
        </is>
      </c>
      <c r="R194" s="44" t="n">
        <v>3</v>
      </c>
      <c r="S194" s="40" t="inlineStr">
        <is>
          <t>SAI</t>
        </is>
      </c>
      <c r="T194" s="41" t="inlineStr">
        <is>
          <t>Đang gia công dở dang, chuyển ca sau</t>
        </is>
      </c>
      <c r="U194" t="inlineStr">
        <is>
          <t>ĐÃ DUYỆT</t>
        </is>
      </c>
      <c r="V194" t="inlineStr">
        <is>
          <t>ĐÃ PHÊ DUYỆT</t>
        </is>
      </c>
      <c r="W194" t="inlineStr">
        <is>
          <t>🔒 ĐÃ KHÓA</t>
        </is>
      </c>
    </row>
    <row r="195" ht="21" customHeight="1" s="75">
      <c r="A195" s="46" t="n">
        <v>192</v>
      </c>
      <c r="B195" s="66" t="n">
        <v>46261.83101913195</v>
      </c>
      <c r="C195" s="61" t="inlineStr">
        <is>
          <t>EMP-NV10</t>
        </is>
      </c>
      <c r="D195" s="47" t="inlineStr">
        <is>
          <t>Phùng Công Thắng</t>
        </is>
      </c>
      <c r="E195" s="61" t="inlineStr">
        <is>
          <t>M-OKK1-01</t>
        </is>
      </c>
      <c r="F195" s="47" t="inlineStr">
        <is>
          <t>Phùng Công Thắng</t>
        </is>
      </c>
      <c r="G195" s="61" t="inlineStr">
        <is>
          <t>OP-SEALB-NC2</t>
        </is>
      </c>
      <c r="H195" s="47" t="inlineStr">
        <is>
          <t>Thyssen</t>
        </is>
      </c>
      <c r="I195" s="47" t="inlineStr">
        <is>
          <t>Sealing strip, above</t>
        </is>
      </c>
      <c r="J195" s="46" t="inlineStr">
        <is>
          <t>PO-8817</t>
        </is>
      </c>
      <c r="K195" s="47" t="inlineStr">
        <is>
          <t>G/c phay Mp NC1 Kt 95mm</t>
        </is>
      </c>
      <c r="L195" s="50" t="n">
        <v>37200</v>
      </c>
      <c r="M195" s="67" t="n">
        <v>4</v>
      </c>
      <c r="N195" s="50" t="n">
        <v>0</v>
      </c>
      <c r="O195" s="68" t="n">
        <v>4</v>
      </c>
      <c r="P195" s="64">
        <f>L195*M195</f>
        <v/>
      </c>
      <c r="Q195" s="47" t="inlineStr">
        <is>
          <t>Chíp APMT 1604 PDER - Grade 8230S-PRAMET</t>
        </is>
      </c>
      <c r="R195" s="50" t="n">
        <v>4</v>
      </c>
      <c r="S195" s="46" t="inlineStr">
        <is>
          <t>SAI</t>
        </is>
      </c>
      <c r="T195" s="47" t="inlineStr">
        <is>
          <t>Đang gia công dở dang, chuyển ca sau</t>
        </is>
      </c>
      <c r="U195" t="inlineStr">
        <is>
          <t>ĐÃ DUYỆT</t>
        </is>
      </c>
      <c r="V195" t="inlineStr">
        <is>
          <t>ĐÃ PHÊ DUYỆT</t>
        </is>
      </c>
      <c r="W195" t="inlineStr">
        <is>
          <t>🔒 ĐÃ KHÓA</t>
        </is>
      </c>
    </row>
    <row r="196" ht="21" customHeight="1" s="75">
      <c r="A196" s="40" t="n">
        <v>193</v>
      </c>
      <c r="B196" s="60" t="n">
        <v>46262.01189372685</v>
      </c>
      <c r="C196" s="61" t="inlineStr">
        <is>
          <t>EMP-NV03</t>
        </is>
      </c>
      <c r="D196" s="41" t="inlineStr">
        <is>
          <t>Phùng Công Thắng</t>
        </is>
      </c>
      <c r="E196" s="61" t="inlineStr">
        <is>
          <t>M-FUJI-01</t>
        </is>
      </c>
      <c r="F196" s="41" t="inlineStr">
        <is>
          <t>Phùng Công Thắng</t>
        </is>
      </c>
      <c r="G196" s="61" t="inlineStr">
        <is>
          <t>OP-GEN-01</t>
        </is>
      </c>
      <c r="H196" s="41" t="inlineStr">
        <is>
          <t>Win-Win</t>
        </is>
      </c>
      <c r="I196" s="41" t="inlineStr">
        <is>
          <t>ISHIZUE 267Dw800</t>
        </is>
      </c>
      <c r="J196" s="40" t="inlineStr">
        <is>
          <t>PO-2209</t>
        </is>
      </c>
      <c r="K196" s="41" t="inlineStr">
        <is>
          <t>G/c Cưa hoàn thiện</t>
        </is>
      </c>
      <c r="L196" s="44" t="n">
        <v>446400</v>
      </c>
      <c r="M196" s="62" t="n">
        <v>1</v>
      </c>
      <c r="N196" s="44" t="n">
        <v>0</v>
      </c>
      <c r="O196" s="63" t="n">
        <v>4</v>
      </c>
      <c r="P196" s="64">
        <f>L196*M196</f>
        <v/>
      </c>
      <c r="Q196" s="41" t="inlineStr">
        <is>
          <t>Chíp  R5 THREADEX- P3200</t>
        </is>
      </c>
      <c r="R196" s="44" t="n">
        <v>0</v>
      </c>
      <c r="S196" s="65" t="inlineStr">
        <is>
          <t>ĐÚNG</t>
        </is>
      </c>
      <c r="T196" s="41" t="inlineStr">
        <is>
          <t>Đã xong nguyên công</t>
        </is>
      </c>
      <c r="U196" t="inlineStr">
        <is>
          <t>ĐÃ DUYỆT</t>
        </is>
      </c>
      <c r="V196" t="inlineStr">
        <is>
          <t>ĐÃ PHÊ DUYỆT</t>
        </is>
      </c>
      <c r="W196" t="inlineStr">
        <is>
          <t>🔒 ĐÃ KHÓA</t>
        </is>
      </c>
    </row>
    <row r="197" ht="21" customHeight="1" s="75">
      <c r="A197" s="46" t="n">
        <v>194</v>
      </c>
      <c r="B197" s="66" t="n">
        <v>46262.07591864583</v>
      </c>
      <c r="C197" s="61" t="inlineStr">
        <is>
          <t>EMP-NV01</t>
        </is>
      </c>
      <c r="D197" s="47" t="inlineStr">
        <is>
          <t>Phùng Công Thắng</t>
        </is>
      </c>
      <c r="E197" s="61" t="inlineStr">
        <is>
          <t>M-OKK2-01</t>
        </is>
      </c>
      <c r="F197" s="47" t="inlineStr">
        <is>
          <t>Phùng Công Thắng</t>
        </is>
      </c>
      <c r="G197" s="61" t="inlineStr">
        <is>
          <t>OP-SEALB-NC4</t>
        </is>
      </c>
      <c r="H197" s="47" t="inlineStr">
        <is>
          <t>Thyssen</t>
        </is>
      </c>
      <c r="I197" s="47" t="inlineStr">
        <is>
          <t>Sealing strip, above</t>
        </is>
      </c>
      <c r="J197" s="46" t="inlineStr">
        <is>
          <t>PO-9298</t>
        </is>
      </c>
      <c r="K197" s="47" t="inlineStr">
        <is>
          <t>G/c phay Mp NC2 Kt 412mm</t>
        </is>
      </c>
      <c r="L197" s="50" t="n">
        <v>14942</v>
      </c>
      <c r="M197" s="67" t="n">
        <v>14</v>
      </c>
      <c r="N197" s="50" t="n">
        <v>0</v>
      </c>
      <c r="O197" s="68" t="n">
        <v>8</v>
      </c>
      <c r="P197" s="64">
        <f>L197*M197</f>
        <v/>
      </c>
      <c r="Q197" s="47" t="inlineStr">
        <is>
          <t>Chíp APMT 1604 PDTR - LT30-PVD - LAMINA</t>
        </is>
      </c>
      <c r="R197" s="50" t="n">
        <v>3</v>
      </c>
      <c r="S197" s="46" t="inlineStr">
        <is>
          <t>SAI</t>
        </is>
      </c>
      <c r="T197" s="47" t="inlineStr">
        <is>
          <t>Đang gia công dở dang, chuyển ca sau</t>
        </is>
      </c>
      <c r="U197" t="inlineStr">
        <is>
          <t>ĐÃ DUYỆT</t>
        </is>
      </c>
      <c r="V197" t="inlineStr">
        <is>
          <t>ĐÃ PHÊ DUYỆT</t>
        </is>
      </c>
      <c r="W197" t="inlineStr">
        <is>
          <t>🔒 ĐÃ KHÓA</t>
        </is>
      </c>
    </row>
    <row r="198" ht="21" customHeight="1" s="75">
      <c r="A198" s="40" t="n">
        <v>195</v>
      </c>
      <c r="B198" s="60" t="n">
        <v>46262.07627950232</v>
      </c>
      <c r="C198" s="61" t="inlineStr">
        <is>
          <t>EMP-NV01</t>
        </is>
      </c>
      <c r="D198" s="41" t="inlineStr">
        <is>
          <t>Phùng Công Thắng</t>
        </is>
      </c>
      <c r="E198" s="61" t="inlineStr">
        <is>
          <t>M-PCNC2-01</t>
        </is>
      </c>
      <c r="F198" s="41" t="inlineStr">
        <is>
          <t>Phùng Công Thắng</t>
        </is>
      </c>
      <c r="G198" s="61" t="inlineStr">
        <is>
          <t>OP-SEALB-NC4</t>
        </is>
      </c>
      <c r="H198" s="41" t="inlineStr">
        <is>
          <t>Thyssen</t>
        </is>
      </c>
      <c r="I198" s="41" t="inlineStr">
        <is>
          <t>Sealing strip, above</t>
        </is>
      </c>
      <c r="J198" s="40" t="inlineStr">
        <is>
          <t>PO-6627</t>
        </is>
      </c>
      <c r="K198" s="41" t="inlineStr">
        <is>
          <t>G/c phay Mp NC3 Kt 412mm còn lại</t>
        </is>
      </c>
      <c r="L198" s="44" t="n">
        <v>14942</v>
      </c>
      <c r="M198" s="62" t="n">
        <v>14</v>
      </c>
      <c r="N198" s="44" t="n">
        <v>0</v>
      </c>
      <c r="O198" s="63" t="n">
        <v>8</v>
      </c>
      <c r="P198" s="64">
        <f>L198*M198</f>
        <v/>
      </c>
      <c r="Q198" s="41" t="inlineStr">
        <is>
          <t>Chíp APMT 1604 PDTR - LT30-PVD - LAMINA</t>
        </is>
      </c>
      <c r="R198" s="44" t="n">
        <v>3</v>
      </c>
      <c r="S198" s="40" t="inlineStr">
        <is>
          <t>SAI</t>
        </is>
      </c>
      <c r="T198" s="41" t="inlineStr">
        <is>
          <t>Đang gia công dở dang, chuyển ca sau</t>
        </is>
      </c>
      <c r="U198" t="inlineStr">
        <is>
          <t>ĐÃ DUYỆT</t>
        </is>
      </c>
      <c r="V198" t="inlineStr">
        <is>
          <t>ĐÃ PHÊ DUYỆT</t>
        </is>
      </c>
      <c r="W198" t="inlineStr">
        <is>
          <t>🔒 ĐÃ KHÓA</t>
        </is>
      </c>
    </row>
    <row r="199" ht="21" customHeight="1" s="75">
      <c r="A199" s="46" t="n">
        <v>196</v>
      </c>
      <c r="B199" s="66" t="n">
        <v>46262.07667024306</v>
      </c>
      <c r="C199" s="61" t="inlineStr">
        <is>
          <t>EMP-NV01</t>
        </is>
      </c>
      <c r="D199" s="47" t="inlineStr">
        <is>
          <t>Phùng Công Thắng</t>
        </is>
      </c>
      <c r="E199" s="61" t="inlineStr">
        <is>
          <t>M-PCNC1-01</t>
        </is>
      </c>
      <c r="F199" s="47" t="inlineStr">
        <is>
          <t>Phùng Công Thắng</t>
        </is>
      </c>
      <c r="G199" s="61" t="inlineStr">
        <is>
          <t>OP-SEALB-NC4</t>
        </is>
      </c>
      <c r="H199" s="47" t="inlineStr">
        <is>
          <t>Thyssen</t>
        </is>
      </c>
      <c r="I199" s="47" t="inlineStr">
        <is>
          <t>Sealing strip, above</t>
        </is>
      </c>
      <c r="J199" s="46" t="inlineStr">
        <is>
          <t>PO-2051</t>
        </is>
      </c>
      <c r="K199" s="47" t="inlineStr">
        <is>
          <t>Phay rãnh</t>
        </is>
      </c>
      <c r="L199" s="50" t="n">
        <v>45000</v>
      </c>
      <c r="M199" s="67" t="n">
        <v>12</v>
      </c>
      <c r="N199" s="50" t="n">
        <v>0</v>
      </c>
      <c r="O199" s="68" t="n">
        <v>8</v>
      </c>
      <c r="P199" s="64">
        <f>L199*M199</f>
        <v/>
      </c>
      <c r="Q199" s="47" t="inlineStr">
        <is>
          <t>Chíp APMT 1604 PDTR - LT30-PVD - LAMINA</t>
        </is>
      </c>
      <c r="R199" s="50" t="n">
        <v>0</v>
      </c>
      <c r="S199" s="46" t="inlineStr">
        <is>
          <t>SAI</t>
        </is>
      </c>
      <c r="T199" s="47" t="inlineStr">
        <is>
          <t>Đang gia công dở dang, chuyển ca sau</t>
        </is>
      </c>
      <c r="U199" t="inlineStr">
        <is>
          <t>ĐÃ DUYỆT</t>
        </is>
      </c>
      <c r="V199" t="inlineStr">
        <is>
          <t>ĐÃ PHÊ DUYỆT</t>
        </is>
      </c>
      <c r="W199" t="inlineStr">
        <is>
          <t>🔒 ĐÃ KHÓA</t>
        </is>
      </c>
    </row>
    <row r="200" ht="21" customHeight="1" s="75">
      <c r="A200" s="40" t="n">
        <v>197</v>
      </c>
      <c r="B200" s="60" t="n">
        <v>46262.07746769676</v>
      </c>
      <c r="C200" s="61" t="inlineStr">
        <is>
          <t>EMP-NV10</t>
        </is>
      </c>
      <c r="D200" s="41" t="inlineStr">
        <is>
          <t>Phùng Công Thắng</t>
        </is>
      </c>
      <c r="E200" s="61" t="inlineStr">
        <is>
          <t>M-DK7780-01</t>
        </is>
      </c>
      <c r="F200" s="41" t="inlineStr">
        <is>
          <t>Phùng Công Thắng</t>
        </is>
      </c>
      <c r="G200" s="61" t="inlineStr">
        <is>
          <t>OP-GEN-01</t>
        </is>
      </c>
      <c r="H200" s="41" t="inlineStr">
        <is>
          <t>Vico- QLTB</t>
        </is>
      </c>
      <c r="I200" s="41" t="inlineStr">
        <is>
          <t>Mẫu Thử CR &amp; hàng #</t>
        </is>
      </c>
      <c r="J200" s="40" t="inlineStr">
        <is>
          <t>PO-8089</t>
        </is>
      </c>
      <c r="K200" s="41" t="inlineStr">
        <is>
          <t>G/c hoàn thiện</t>
        </is>
      </c>
      <c r="L200" s="44" t="n">
        <v>83700</v>
      </c>
      <c r="M200" s="62" t="n">
        <v>1</v>
      </c>
      <c r="N200" s="44" t="n">
        <v>0</v>
      </c>
      <c r="O200" s="63" t="n">
        <v>4</v>
      </c>
      <c r="P200" s="64">
        <f>L200*M200</f>
        <v/>
      </c>
      <c r="Q200" s="41" t="inlineStr">
        <is>
          <t>Dây cắt CNC</t>
        </is>
      </c>
      <c r="R200" s="44" t="n">
        <v>0</v>
      </c>
      <c r="S200" s="65" t="inlineStr">
        <is>
          <t>ĐÚNG</t>
        </is>
      </c>
      <c r="T200" s="41" t="inlineStr">
        <is>
          <t>Đã xong nguyên công</t>
        </is>
      </c>
      <c r="U200" t="inlineStr">
        <is>
          <t>ĐÃ DUYỆT</t>
        </is>
      </c>
      <c r="V200" t="inlineStr">
        <is>
          <t>ĐÃ PHÊ DUYỆT</t>
        </is>
      </c>
      <c r="W200" t="inlineStr">
        <is>
          <t>🔒 ĐÃ KHÓA</t>
        </is>
      </c>
    </row>
    <row r="201" ht="21" customHeight="1" s="75">
      <c r="A201" s="46" t="n">
        <v>198</v>
      </c>
      <c r="B201" s="66" t="n">
        <v>46262.07786090278</v>
      </c>
      <c r="C201" s="61" t="inlineStr">
        <is>
          <t>EMP-NV10</t>
        </is>
      </c>
      <c r="D201" s="47" t="inlineStr">
        <is>
          <t>Phùng Công Thắng</t>
        </is>
      </c>
      <c r="E201" s="61" t="inlineStr">
        <is>
          <t>M-OKK3-01</t>
        </is>
      </c>
      <c r="F201" s="47" t="inlineStr">
        <is>
          <t>Phùng Công Thắng</t>
        </is>
      </c>
      <c r="G201" s="61" t="inlineStr">
        <is>
          <t>OP-SEALB-NC2</t>
        </is>
      </c>
      <c r="H201" s="47" t="inlineStr">
        <is>
          <t>Thyssen</t>
        </is>
      </c>
      <c r="I201" s="47" t="inlineStr">
        <is>
          <t>Sealing trip, below</t>
        </is>
      </c>
      <c r="J201" s="46" t="inlineStr">
        <is>
          <t>PO-9970</t>
        </is>
      </c>
      <c r="K201" s="47" t="inlineStr">
        <is>
          <t>G/c phay Mp NC2 Kt 95mm</t>
        </is>
      </c>
      <c r="L201" s="50" t="n">
        <v>37200</v>
      </c>
      <c r="M201" s="67" t="n">
        <v>8</v>
      </c>
      <c r="N201" s="50" t="n">
        <v>0</v>
      </c>
      <c r="O201" s="68" t="n">
        <v>8</v>
      </c>
      <c r="P201" s="64">
        <f>L201*M201</f>
        <v/>
      </c>
      <c r="Q201" s="47" t="inlineStr">
        <is>
          <t>Chíp  Pramet (6 cạnh)</t>
        </is>
      </c>
      <c r="R201" s="50" t="n">
        <v>3</v>
      </c>
      <c r="S201" s="46" t="inlineStr">
        <is>
          <t>SAI</t>
        </is>
      </c>
      <c r="T201" s="47" t="inlineStr">
        <is>
          <t>Đang gia công dở dang, chuyển ca sau</t>
        </is>
      </c>
      <c r="U201" t="inlineStr">
        <is>
          <t>ĐÃ DUYỆT</t>
        </is>
      </c>
      <c r="V201" t="inlineStr">
        <is>
          <t>ĐÃ PHÊ DUYỆT</t>
        </is>
      </c>
      <c r="W201" t="inlineStr">
        <is>
          <t>🔒 ĐÃ KHÓA</t>
        </is>
      </c>
    </row>
    <row r="202" ht="21" customHeight="1" s="75">
      <c r="A202" s="40" t="n">
        <v>199</v>
      </c>
      <c r="B202" s="60" t="n">
        <v>46262.07822228009</v>
      </c>
      <c r="C202" s="61" t="inlineStr">
        <is>
          <t>EMP-NV10</t>
        </is>
      </c>
      <c r="D202" s="41" t="inlineStr">
        <is>
          <t>Phùng Công Thắng</t>
        </is>
      </c>
      <c r="E202" s="61" t="inlineStr">
        <is>
          <t>M-OKK3-01</t>
        </is>
      </c>
      <c r="F202" s="41" t="inlineStr">
        <is>
          <t>Phùng Công Thắng</t>
        </is>
      </c>
      <c r="G202" s="61" t="inlineStr">
        <is>
          <t>OP-SEALB-NC2</t>
        </is>
      </c>
      <c r="H202" s="41" t="inlineStr">
        <is>
          <t>Thyssen</t>
        </is>
      </c>
      <c r="I202" s="41" t="inlineStr">
        <is>
          <t>Sealing strip, above</t>
        </is>
      </c>
      <c r="J202" s="40" t="inlineStr">
        <is>
          <t>PO-2248</t>
        </is>
      </c>
      <c r="K202" s="41" t="inlineStr">
        <is>
          <t>G/c phay Mp NC1 Kt 95mm</t>
        </is>
      </c>
      <c r="L202" s="44" t="n">
        <v>37200</v>
      </c>
      <c r="M202" s="62" t="n">
        <v>6</v>
      </c>
      <c r="N202" s="44" t="n">
        <v>0</v>
      </c>
      <c r="O202" s="63" t="n">
        <v>8</v>
      </c>
      <c r="P202" s="64">
        <f>L202*M202</f>
        <v/>
      </c>
      <c r="Q202" s="41" t="inlineStr">
        <is>
          <t>Chíp  Pramet (6 cạnh)</t>
        </is>
      </c>
      <c r="R202" s="44" t="n">
        <v>3</v>
      </c>
      <c r="S202" s="40" t="inlineStr">
        <is>
          <t>SAI</t>
        </is>
      </c>
      <c r="T202" s="41" t="inlineStr">
        <is>
          <t>Đang gia công dở dang, chuyển ca sau</t>
        </is>
      </c>
      <c r="U202" t="inlineStr">
        <is>
          <t>ĐÃ DUYỆT</t>
        </is>
      </c>
      <c r="V202" t="inlineStr">
        <is>
          <t>ĐÃ PHÊ DUYỆT</t>
        </is>
      </c>
      <c r="W202" t="inlineStr">
        <is>
          <t>🔒 ĐÃ KHÓA</t>
        </is>
      </c>
    </row>
    <row r="203" ht="21" customHeight="1" s="75">
      <c r="A203" s="46" t="n">
        <v>200</v>
      </c>
      <c r="B203" s="66" t="n">
        <v>46262.17011533565</v>
      </c>
      <c r="C203" s="61" t="inlineStr">
        <is>
          <t>EMP-NV12</t>
        </is>
      </c>
      <c r="D203" s="47" t="inlineStr">
        <is>
          <t>Phùng Công Thắng</t>
        </is>
      </c>
      <c r="E203" s="61" t="inlineStr">
        <is>
          <t>M-KHYOS-01</t>
        </is>
      </c>
      <c r="F203" s="47" t="inlineStr">
        <is>
          <t>Phùng Công Thắng</t>
        </is>
      </c>
      <c r="G203" s="61" t="inlineStr">
        <is>
          <t>OP-OPDAO-NC1</t>
        </is>
      </c>
      <c r="H203" s="47" t="inlineStr">
        <is>
          <t>Luợng- KS Tường Long</t>
        </is>
      </c>
      <c r="I203" s="47" t="inlineStr">
        <is>
          <t>Ốp dao nhào trên (Bộ bên trái)</t>
        </is>
      </c>
      <c r="J203" s="46" t="inlineStr">
        <is>
          <t>PO-3079</t>
        </is>
      </c>
      <c r="K203" s="47" t="inlineStr">
        <is>
          <t>G/c khan taro M14</t>
        </is>
      </c>
      <c r="L203" s="50" t="n">
        <v>63767</v>
      </c>
      <c r="M203" s="67" t="n">
        <v>40</v>
      </c>
      <c r="N203" s="50" t="n">
        <v>0</v>
      </c>
      <c r="O203" s="68" t="n">
        <v>8</v>
      </c>
      <c r="P203" s="64">
        <f>L203*M203</f>
        <v/>
      </c>
      <c r="Q203" s="47" t="inlineStr">
        <is>
          <t>Mũi khoan</t>
        </is>
      </c>
      <c r="R203" s="50" t="n">
        <v>0</v>
      </c>
      <c r="S203" s="46" t="inlineStr">
        <is>
          <t>SAI</t>
        </is>
      </c>
      <c r="T203" s="47" t="inlineStr">
        <is>
          <t>Đang gia công dở dang, chuyển ca sau</t>
        </is>
      </c>
      <c r="U203" t="inlineStr">
        <is>
          <t>ĐÃ DUYỆT</t>
        </is>
      </c>
      <c r="V203" t="inlineStr">
        <is>
          <t>ĐÃ PHÊ DUYỆT</t>
        </is>
      </c>
      <c r="W203" t="inlineStr">
        <is>
          <t>🔒 ĐÃ KHÓA</t>
        </is>
      </c>
    </row>
    <row r="204" ht="21" customHeight="1" s="75">
      <c r="A204" s="40" t="n">
        <v>201</v>
      </c>
      <c r="B204" s="60" t="n">
        <v>46262.17049216435</v>
      </c>
      <c r="C204" s="61" t="inlineStr">
        <is>
          <t>EMP-NV12</t>
        </is>
      </c>
      <c r="D204" s="41" t="inlineStr">
        <is>
          <t>Phùng Công Thắng</t>
        </is>
      </c>
      <c r="E204" s="61" t="inlineStr">
        <is>
          <t>M-TCNC1-01</t>
        </is>
      </c>
      <c r="F204" s="41" t="inlineStr">
        <is>
          <t>Phùng Công Thắng</t>
        </is>
      </c>
      <c r="G204" s="61" t="inlineStr">
        <is>
          <t>OP-GEN-01</t>
        </is>
      </c>
      <c r="H204" s="41" t="inlineStr">
        <is>
          <t>Vico- QLTB</t>
        </is>
      </c>
      <c r="I204" s="41" t="inlineStr">
        <is>
          <t>Mẫu Thử CR &amp; hàng #</t>
        </is>
      </c>
      <c r="J204" s="40" t="inlineStr">
        <is>
          <t>PO-8075</t>
        </is>
      </c>
      <c r="K204" s="41" t="inlineStr">
        <is>
          <t>G/c hoàn thiện</t>
        </is>
      </c>
      <c r="L204" s="44" t="n">
        <v>83700</v>
      </c>
      <c r="M204" s="62" t="n">
        <v>2</v>
      </c>
      <c r="N204" s="44" t="n">
        <v>0</v>
      </c>
      <c r="O204" s="63" t="n">
        <v>4</v>
      </c>
      <c r="P204" s="64">
        <f>L204*M204</f>
        <v/>
      </c>
      <c r="Q204" s="41" t="inlineStr">
        <is>
          <t>Dây cắt CNC</t>
        </is>
      </c>
      <c r="R204" s="44" t="n">
        <v>0</v>
      </c>
      <c r="S204" s="65" t="inlineStr">
        <is>
          <t>ĐÚNG</t>
        </is>
      </c>
      <c r="T204" s="41" t="inlineStr">
        <is>
          <t>Đã xong nguyên công</t>
        </is>
      </c>
      <c r="U204" t="inlineStr">
        <is>
          <t>ĐÃ DUYỆT</t>
        </is>
      </c>
      <c r="V204" t="inlineStr">
        <is>
          <t>ĐÃ PHÊ DUYỆT</t>
        </is>
      </c>
      <c r="W204" t="inlineStr">
        <is>
          <t>🔒 ĐÃ KHÓA</t>
        </is>
      </c>
    </row>
    <row r="205" ht="21" customHeight="1" s="75">
      <c r="A205" s="46" t="n">
        <v>202</v>
      </c>
      <c r="B205" s="66" t="n">
        <v>46262.32849122685</v>
      </c>
      <c r="C205" s="61" t="inlineStr">
        <is>
          <t>EMP-NV11</t>
        </is>
      </c>
      <c r="D205" s="47" t="inlineStr">
        <is>
          <t>Phùng Công Thắng</t>
        </is>
      </c>
      <c r="E205" s="61" t="inlineStr">
        <is>
          <t>M-DK7780-01</t>
        </is>
      </c>
      <c r="F205" s="47" t="inlineStr">
        <is>
          <t>Phùng Công Thắng</t>
        </is>
      </c>
      <c r="G205" s="61" t="inlineStr">
        <is>
          <t>OP-GEN-01</t>
        </is>
      </c>
      <c r="H205" s="47" t="inlineStr">
        <is>
          <t>Vico- QLTB</t>
        </is>
      </c>
      <c r="I205" s="47" t="inlineStr">
        <is>
          <t>Mẫu Thử CR &amp; hàng #</t>
        </is>
      </c>
      <c r="J205" s="46" t="inlineStr">
        <is>
          <t>PO-8394</t>
        </is>
      </c>
      <c r="K205" s="47" t="inlineStr">
        <is>
          <t>G/c hoàn thiện</t>
        </is>
      </c>
      <c r="L205" s="50" t="n">
        <v>83700</v>
      </c>
      <c r="M205" s="67" t="n">
        <v>4</v>
      </c>
      <c r="N205" s="50" t="n">
        <v>0</v>
      </c>
      <c r="O205" s="68" t="n">
        <v>4</v>
      </c>
      <c r="P205" s="64">
        <f>L205*M205</f>
        <v/>
      </c>
      <c r="Q205" s="47" t="inlineStr">
        <is>
          <t>Dây cắt CNC</t>
        </is>
      </c>
      <c r="R205" s="50" t="n">
        <v>0</v>
      </c>
      <c r="S205" s="65" t="inlineStr">
        <is>
          <t>ĐÚNG</t>
        </is>
      </c>
      <c r="T205" s="47" t="inlineStr">
        <is>
          <t>Đã xong nguyên công</t>
        </is>
      </c>
      <c r="U205" t="inlineStr">
        <is>
          <t>ĐÃ DUYỆT</t>
        </is>
      </c>
      <c r="V205" t="inlineStr">
        <is>
          <t>ĐÃ PHÊ DUYỆT</t>
        </is>
      </c>
      <c r="W205" t="inlineStr">
        <is>
          <t>🔒 ĐÃ KHÓA</t>
        </is>
      </c>
    </row>
    <row r="206" ht="21" customHeight="1" s="75">
      <c r="A206" s="40" t="n">
        <v>203</v>
      </c>
      <c r="B206" s="60" t="n">
        <v>46262.32912126157</v>
      </c>
      <c r="C206" s="61" t="inlineStr">
        <is>
          <t>EMP-NV11</t>
        </is>
      </c>
      <c r="D206" s="41" t="inlineStr">
        <is>
          <t>Phùng Công Thắng</t>
        </is>
      </c>
      <c r="E206" s="61" t="inlineStr">
        <is>
          <t>M-FUJI-01</t>
        </is>
      </c>
      <c r="F206" s="41" t="inlineStr">
        <is>
          <t>Phùng Công Thắng</t>
        </is>
      </c>
      <c r="G206" s="61" t="inlineStr">
        <is>
          <t>OP-GEN-01</t>
        </is>
      </c>
      <c r="H206" s="41" t="inlineStr">
        <is>
          <t>Win-Win</t>
        </is>
      </c>
      <c r="I206" s="41" t="inlineStr">
        <is>
          <t>ISHIZUE 267Dw800</t>
        </is>
      </c>
      <c r="J206" s="40" t="inlineStr">
        <is>
          <t>PO-8871</t>
        </is>
      </c>
      <c r="K206" s="41" t="inlineStr">
        <is>
          <t>G/c hoàn thiện</t>
        </is>
      </c>
      <c r="L206" s="44" t="n">
        <v>55800</v>
      </c>
      <c r="M206" s="62" t="n">
        <v>9</v>
      </c>
      <c r="N206" s="44" t="n">
        <v>4</v>
      </c>
      <c r="O206" s="63" t="n">
        <v>8</v>
      </c>
      <c r="P206" s="64">
        <f>L206*M206</f>
        <v/>
      </c>
      <c r="Q206" s="41" t="inlineStr">
        <is>
          <t>Chíp  R5 THREADEX- P3200</t>
        </is>
      </c>
      <c r="R206" s="44" t="n">
        <v>1</v>
      </c>
      <c r="S206" s="65" t="inlineStr">
        <is>
          <t>ĐÚNG</t>
        </is>
      </c>
      <c r="T206" s="41" t="inlineStr">
        <is>
          <t>Đã xong nguyên công</t>
        </is>
      </c>
      <c r="U206" t="inlineStr">
        <is>
          <t>ĐÃ DUYỆT</t>
        </is>
      </c>
      <c r="V206" t="inlineStr">
        <is>
          <t>ĐÃ PHÊ DUYỆT</t>
        </is>
      </c>
      <c r="W206" t="inlineStr">
        <is>
          <t>🔒 ĐÃ KHÓA</t>
        </is>
      </c>
    </row>
    <row r="207" ht="21" customHeight="1" s="75">
      <c r="A207" s="46" t="n">
        <v>204</v>
      </c>
      <c r="B207" s="66" t="n">
        <v>46262.32959424768</v>
      </c>
      <c r="C207" s="61" t="inlineStr">
        <is>
          <t>EMP-NV11</t>
        </is>
      </c>
      <c r="D207" s="47" t="inlineStr">
        <is>
          <t>Phùng Công Thắng</t>
        </is>
      </c>
      <c r="E207" s="61" t="inlineStr">
        <is>
          <t>M-FUJI-01</t>
        </is>
      </c>
      <c r="F207" s="47" t="inlineStr">
        <is>
          <t>Phùng Công Thắng</t>
        </is>
      </c>
      <c r="G207" s="61" t="inlineStr">
        <is>
          <t>OP-GEN-01</t>
        </is>
      </c>
      <c r="H207" s="47" t="inlineStr">
        <is>
          <t>Win-Win</t>
        </is>
      </c>
      <c r="I207" s="47" t="inlineStr">
        <is>
          <t>ISHIZUE 267Dw800</t>
        </is>
      </c>
      <c r="J207" s="46" t="inlineStr">
        <is>
          <t>PO-5872</t>
        </is>
      </c>
      <c r="K207" s="47" t="inlineStr">
        <is>
          <t>G/c hoàn thiện</t>
        </is>
      </c>
      <c r="L207" s="50" t="n">
        <v>50000</v>
      </c>
      <c r="M207" s="67" t="n">
        <v>0</v>
      </c>
      <c r="N207" s="50" t="n">
        <v>2</v>
      </c>
      <c r="O207" s="68" t="n">
        <v>4</v>
      </c>
      <c r="P207" s="64">
        <f>L207*M207</f>
        <v/>
      </c>
      <c r="Q207" s="47" t="inlineStr">
        <is>
          <t>Chíp  R5 THREADEX- P3200</t>
        </is>
      </c>
      <c r="R207" s="50" t="n">
        <v>0</v>
      </c>
      <c r="S207" s="65" t="inlineStr">
        <is>
          <t>ĐÚNG</t>
        </is>
      </c>
      <c r="T207" s="47" t="inlineStr">
        <is>
          <t>Đã xong nguyên công</t>
        </is>
      </c>
      <c r="U207" t="inlineStr">
        <is>
          <t>ĐÃ DUYỆT</t>
        </is>
      </c>
      <c r="V207" t="inlineStr">
        <is>
          <t>ĐÃ PHÊ DUYỆT</t>
        </is>
      </c>
      <c r="W207" t="inlineStr">
        <is>
          <t>🔒 ĐÃ KHÓA</t>
        </is>
      </c>
    </row>
    <row r="208" ht="21" customHeight="1" s="75">
      <c r="A208" s="40" t="n">
        <v>205</v>
      </c>
      <c r="B208" s="60" t="n">
        <v>46262.33010445602</v>
      </c>
      <c r="C208" s="61" t="inlineStr">
        <is>
          <t>EMP-NV11</t>
        </is>
      </c>
      <c r="D208" s="41" t="inlineStr">
        <is>
          <t>Phùng Công Thắng</t>
        </is>
      </c>
      <c r="E208" s="61" t="inlineStr">
        <is>
          <t>M-TCNC1-01</t>
        </is>
      </c>
      <c r="F208" s="41" t="inlineStr">
        <is>
          <t>Phùng Công Thắng</t>
        </is>
      </c>
      <c r="G208" s="61" t="inlineStr">
        <is>
          <t>OP-GEN-01</t>
        </is>
      </c>
      <c r="H208" s="41" t="inlineStr">
        <is>
          <t>Win-Win</t>
        </is>
      </c>
      <c r="I208" s="41" t="inlineStr">
        <is>
          <t>ISHIZUE 267Dw700</t>
        </is>
      </c>
      <c r="J208" s="40" t="inlineStr">
        <is>
          <t>PO-6139</t>
        </is>
      </c>
      <c r="K208" s="41" t="inlineStr">
        <is>
          <t>G/c hoàn thiện</t>
        </is>
      </c>
      <c r="L208" s="44" t="n">
        <v>55800</v>
      </c>
      <c r="M208" s="62" t="n">
        <v>2</v>
      </c>
      <c r="N208" s="44" t="n">
        <v>2</v>
      </c>
      <c r="O208" s="63" t="n">
        <v>4</v>
      </c>
      <c r="P208" s="64">
        <f>L208*M208</f>
        <v/>
      </c>
      <c r="Q208" s="41" t="inlineStr">
        <is>
          <t>Chíp  R5 THREADEX- P3200</t>
        </is>
      </c>
      <c r="R208" s="44" t="n">
        <v>0</v>
      </c>
      <c r="S208" s="65" t="inlineStr">
        <is>
          <t>ĐÚNG</t>
        </is>
      </c>
      <c r="T208" s="41" t="inlineStr">
        <is>
          <t>Đã xong nguyên công</t>
        </is>
      </c>
      <c r="U208" t="inlineStr">
        <is>
          <t>ĐÃ DUYỆT</t>
        </is>
      </c>
      <c r="V208" t="inlineStr">
        <is>
          <t>ĐÃ PHÊ DUYỆT</t>
        </is>
      </c>
      <c r="W208" t="inlineStr">
        <is>
          <t>🔒 ĐÃ KHÓA</t>
        </is>
      </c>
    </row>
    <row r="209" ht="21" customHeight="1" s="75">
      <c r="A209" s="46" t="n">
        <v>206</v>
      </c>
      <c r="B209" s="66" t="n">
        <v>46262.33076056713</v>
      </c>
      <c r="C209" s="61" t="inlineStr">
        <is>
          <t>EMP-NV11</t>
        </is>
      </c>
      <c r="D209" s="47" t="inlineStr">
        <is>
          <t>Phùng Công Thắng</t>
        </is>
      </c>
      <c r="E209" s="61" t="inlineStr">
        <is>
          <t>M-PODA-01</t>
        </is>
      </c>
      <c r="F209" s="47" t="inlineStr">
        <is>
          <t>Phùng Công Thắng</t>
        </is>
      </c>
      <c r="G209" s="61" t="inlineStr">
        <is>
          <t>OP-GEN-01</t>
        </is>
      </c>
      <c r="H209" s="47" t="inlineStr">
        <is>
          <t>Vico- QLTB</t>
        </is>
      </c>
      <c r="I209" s="47" t="inlineStr">
        <is>
          <t>Mẫu Thử CR &amp; hàng #</t>
        </is>
      </c>
      <c r="J209" s="46" t="inlineStr">
        <is>
          <t>PO-1659</t>
        </is>
      </c>
      <c r="K209" s="47" t="inlineStr">
        <is>
          <t>G/c hoàn thiện</t>
        </is>
      </c>
      <c r="L209" s="50" t="n">
        <v>83700</v>
      </c>
      <c r="M209" s="67" t="n">
        <v>2</v>
      </c>
      <c r="N209" s="50" t="n">
        <v>0</v>
      </c>
      <c r="O209" s="68" t="n">
        <v>4</v>
      </c>
      <c r="P209" s="64">
        <f>L209*M209</f>
        <v/>
      </c>
      <c r="Q209" s="47" t="inlineStr">
        <is>
          <t>Dây cắt CNC</t>
        </is>
      </c>
      <c r="R209" s="50" t="n">
        <v>0</v>
      </c>
      <c r="S209" s="65" t="inlineStr">
        <is>
          <t>ĐÚNG</t>
        </is>
      </c>
      <c r="T209" s="47" t="inlineStr">
        <is>
          <t>Đã xong nguyên công</t>
        </is>
      </c>
      <c r="U209" t="inlineStr">
        <is>
          <t>ĐÃ DUYỆT</t>
        </is>
      </c>
      <c r="V209" t="inlineStr">
        <is>
          <t>ĐÃ PHÊ DUYỆT</t>
        </is>
      </c>
      <c r="W209" t="inlineStr">
        <is>
          <t>🔒 ĐÃ KHÓA</t>
        </is>
      </c>
    </row>
    <row r="210" ht="21" customHeight="1" s="75">
      <c r="A210" s="40" t="n">
        <v>207</v>
      </c>
      <c r="B210" s="60" t="n">
        <v>46262.65639893519</v>
      </c>
      <c r="C210" s="61" t="inlineStr">
        <is>
          <t>EMP-NV01</t>
        </is>
      </c>
      <c r="D210" s="41" t="inlineStr">
        <is>
          <t>Phùng Công Thắng</t>
        </is>
      </c>
      <c r="E210" s="61" t="inlineStr">
        <is>
          <t>M-T1516-01</t>
        </is>
      </c>
      <c r="F210" s="41" t="inlineStr">
        <is>
          <t>Phùng Công Thắng</t>
        </is>
      </c>
      <c r="G210" s="61" t="inlineStr">
        <is>
          <t>OP-ISH355-NC3</t>
        </is>
      </c>
      <c r="H210" s="41" t="inlineStr">
        <is>
          <t>Win-Win</t>
        </is>
      </c>
      <c r="I210" s="41" t="inlineStr">
        <is>
          <t>Mold of Ishizue omega 355,6-1060</t>
        </is>
      </c>
      <c r="J210" s="40" t="inlineStr">
        <is>
          <t>PO-6850</t>
        </is>
      </c>
      <c r="K210" s="41" t="inlineStr">
        <is>
          <t>G/c tiện hoàn thiện góc 45 độ</t>
        </is>
      </c>
      <c r="L210" s="44" t="n">
        <v>37200</v>
      </c>
      <c r="M210" s="62" t="n">
        <v>3</v>
      </c>
      <c r="N210" s="44" t="n">
        <v>3</v>
      </c>
      <c r="O210" s="63" t="n">
        <v>4</v>
      </c>
      <c r="P210" s="64">
        <f>L210*M210</f>
        <v/>
      </c>
      <c r="Q210" s="41" t="inlineStr">
        <is>
          <t>Chíp  Kenna (6 cạnh)</t>
        </is>
      </c>
      <c r="R210" s="44" t="n">
        <v>1</v>
      </c>
      <c r="S210" s="65" t="inlineStr">
        <is>
          <t>ĐÚNG</t>
        </is>
      </c>
      <c r="T210" s="41" t="inlineStr">
        <is>
          <t>Đã xong nguyên công</t>
        </is>
      </c>
      <c r="U210" t="inlineStr">
        <is>
          <t>ĐÃ DUYỆT</t>
        </is>
      </c>
      <c r="V210" t="inlineStr">
        <is>
          <t>ĐÃ PHÊ DUYỆT</t>
        </is>
      </c>
      <c r="W210" t="inlineStr">
        <is>
          <t>🔒 ĐÃ KHÓA</t>
        </is>
      </c>
    </row>
    <row r="211" ht="21" customHeight="1" s="75">
      <c r="A211" s="46" t="n">
        <v>208</v>
      </c>
      <c r="B211" s="66" t="n">
        <v>46262.65691313658</v>
      </c>
      <c r="C211" s="61" t="inlineStr">
        <is>
          <t>EMP-NV01</t>
        </is>
      </c>
      <c r="D211" s="47" t="inlineStr">
        <is>
          <t>Phùng Công Thắng</t>
        </is>
      </c>
      <c r="E211" s="61" t="inlineStr">
        <is>
          <t>M-T1516-01</t>
        </is>
      </c>
      <c r="F211" s="47" t="inlineStr">
        <is>
          <t>Phùng Công Thắng</t>
        </is>
      </c>
      <c r="G211" s="61" t="inlineStr">
        <is>
          <t>OP-GEN-01</t>
        </is>
      </c>
      <c r="H211" s="47" t="inlineStr">
        <is>
          <t>Win-Win</t>
        </is>
      </c>
      <c r="I211" s="47" t="inlineStr">
        <is>
          <t>ISHIZUE OMEGA406.4-1130</t>
        </is>
      </c>
      <c r="J211" s="46" t="inlineStr">
        <is>
          <t>PO-7465</t>
        </is>
      </c>
      <c r="K211" s="47" t="inlineStr">
        <is>
          <t>G/c tiện hoàn thiện</t>
        </is>
      </c>
      <c r="L211" s="50" t="n">
        <v>83700</v>
      </c>
      <c r="M211" s="67" t="n">
        <v>2</v>
      </c>
      <c r="N211" s="50" t="n">
        <v>2</v>
      </c>
      <c r="O211" s="68" t="n">
        <v>4</v>
      </c>
      <c r="P211" s="64">
        <f>L211*M211</f>
        <v/>
      </c>
      <c r="Q211" s="47" t="inlineStr">
        <is>
          <t>Chíp  R5 THREADEX- P3200</t>
        </is>
      </c>
      <c r="R211" s="50" t="n">
        <v>0</v>
      </c>
      <c r="S211" s="65" t="inlineStr">
        <is>
          <t>ĐÚNG</t>
        </is>
      </c>
      <c r="T211" s="47" t="inlineStr">
        <is>
          <t>Đã xong nguyên công</t>
        </is>
      </c>
      <c r="U211" t="inlineStr">
        <is>
          <t>ĐÃ DUYỆT</t>
        </is>
      </c>
      <c r="V211" t="inlineStr">
        <is>
          <t>ĐÃ PHÊ DUYỆT</t>
        </is>
      </c>
      <c r="W211" t="inlineStr">
        <is>
          <t>🔒 ĐÃ KHÓA</t>
        </is>
      </c>
    </row>
    <row r="212" ht="21" customHeight="1" s="75">
      <c r="A212" s="40" t="n">
        <v>209</v>
      </c>
      <c r="B212" s="60" t="n">
        <v>46262.65733457176</v>
      </c>
      <c r="C212" s="61" t="inlineStr">
        <is>
          <t>EMP-NV01</t>
        </is>
      </c>
      <c r="D212" s="41" t="inlineStr">
        <is>
          <t>Phùng Công Thắng</t>
        </is>
      </c>
      <c r="E212" s="61" t="inlineStr">
        <is>
          <t>M-TCNC1-01</t>
        </is>
      </c>
      <c r="F212" s="41" t="inlineStr">
        <is>
          <t>Phùng Công Thắng</t>
        </is>
      </c>
      <c r="G212" s="61" t="inlineStr">
        <is>
          <t>OP-GEN-01</t>
        </is>
      </c>
      <c r="H212" s="41" t="inlineStr">
        <is>
          <t>Vico- QLTB</t>
        </is>
      </c>
      <c r="I212" s="41" t="inlineStr">
        <is>
          <t>Mẫu Thử CR &amp; hàng #</t>
        </is>
      </c>
      <c r="J212" s="40" t="inlineStr">
        <is>
          <t>PO-3254</t>
        </is>
      </c>
      <c r="K212" s="41" t="inlineStr">
        <is>
          <t>G/c hoàn thiện</t>
        </is>
      </c>
      <c r="L212" s="44" t="n">
        <v>83700</v>
      </c>
      <c r="M212" s="62" t="n">
        <v>4</v>
      </c>
      <c r="N212" s="44" t="n">
        <v>0</v>
      </c>
      <c r="O212" s="63" t="n">
        <v>4</v>
      </c>
      <c r="P212" s="64">
        <f>L212*M212</f>
        <v/>
      </c>
      <c r="Q212" s="41" t="inlineStr">
        <is>
          <t>Dây cắt CNC</t>
        </is>
      </c>
      <c r="R212" s="44" t="n">
        <v>0</v>
      </c>
      <c r="S212" s="65" t="inlineStr">
        <is>
          <t>ĐÚNG</t>
        </is>
      </c>
      <c r="T212" s="41" t="inlineStr">
        <is>
          <t>Đã xong nguyên công</t>
        </is>
      </c>
      <c r="U212" t="inlineStr">
        <is>
          <t>ĐÃ DUYỆT</t>
        </is>
      </c>
      <c r="V212" t="inlineStr">
        <is>
          <t>ĐÃ PHÊ DUYỆT</t>
        </is>
      </c>
      <c r="W212" t="inlineStr">
        <is>
          <t>🔒 ĐÃ KHÓA</t>
        </is>
      </c>
    </row>
    <row r="213" ht="21" customHeight="1" s="75">
      <c r="A213" s="46" t="n">
        <v>210</v>
      </c>
      <c r="B213" s="66" t="n">
        <v>46263.07719986111</v>
      </c>
      <c r="C213" s="61" t="inlineStr">
        <is>
          <t>EMP-NV10</t>
        </is>
      </c>
      <c r="D213" s="47" t="inlineStr">
        <is>
          <t>Phùng Công Thắng</t>
        </is>
      </c>
      <c r="E213" s="61" t="inlineStr">
        <is>
          <t>M-OKUMA-01</t>
        </is>
      </c>
      <c r="F213" s="47" t="inlineStr">
        <is>
          <t>Phùng Công Thắng</t>
        </is>
      </c>
      <c r="G213" s="61" t="inlineStr">
        <is>
          <t>OP-GEN-01</t>
        </is>
      </c>
      <c r="H213" s="47" t="inlineStr">
        <is>
          <t>Vico- QLTB</t>
        </is>
      </c>
      <c r="I213" s="47" t="inlineStr">
        <is>
          <t>Mẫu kéo nén</t>
        </is>
      </c>
      <c r="J213" s="46" t="inlineStr">
        <is>
          <t>PO-9592</t>
        </is>
      </c>
      <c r="K213" s="47" t="inlineStr">
        <is>
          <t>G/c ht theo bản vẽ</t>
        </is>
      </c>
      <c r="L213" s="50" t="n">
        <v>55800</v>
      </c>
      <c r="M213" s="67" t="n">
        <v>1</v>
      </c>
      <c r="N213" s="50" t="n">
        <v>0</v>
      </c>
      <c r="O213" s="68" t="n">
        <v>4</v>
      </c>
      <c r="P213" s="64">
        <f>L213*M213</f>
        <v/>
      </c>
      <c r="Q213" s="47" t="inlineStr">
        <is>
          <t>Chíp WNMG 080408-PM 4325 ( Quả đào)</t>
        </is>
      </c>
      <c r="R213" s="50" t="n">
        <v>0</v>
      </c>
      <c r="S213" s="65" t="inlineStr">
        <is>
          <t>ĐÚNG</t>
        </is>
      </c>
      <c r="T213" s="47" t="inlineStr">
        <is>
          <t>Đã xong nguyên công</t>
        </is>
      </c>
      <c r="U213" t="inlineStr">
        <is>
          <t>ĐÃ DUYỆT</t>
        </is>
      </c>
      <c r="V213" t="inlineStr">
        <is>
          <t>ĐÃ PHÊ DUYỆT</t>
        </is>
      </c>
      <c r="W213" t="inlineStr">
        <is>
          <t>🔒 ĐÃ KHÓA</t>
        </is>
      </c>
    </row>
    <row r="214" ht="21" customHeight="1" s="75">
      <c r="A214" s="40" t="n">
        <v>211</v>
      </c>
      <c r="B214" s="60" t="n">
        <v>46263.07762005787</v>
      </c>
      <c r="C214" s="61" t="inlineStr">
        <is>
          <t>EMP-NV10</t>
        </is>
      </c>
      <c r="D214" s="41" t="inlineStr">
        <is>
          <t>Phùng Công Thắng</t>
        </is>
      </c>
      <c r="E214" s="61" t="inlineStr">
        <is>
          <t>M-OKK3-01</t>
        </is>
      </c>
      <c r="F214" s="41" t="inlineStr">
        <is>
          <t>Phùng Công Thắng</t>
        </is>
      </c>
      <c r="G214" s="61" t="inlineStr">
        <is>
          <t>OP-SEALB-NC1</t>
        </is>
      </c>
      <c r="H214" s="41" t="inlineStr">
        <is>
          <t>Thyssen</t>
        </is>
      </c>
      <c r="I214" s="41" t="inlineStr">
        <is>
          <t>Sealing trip, below</t>
        </is>
      </c>
      <c r="J214" s="40" t="inlineStr">
        <is>
          <t>PO-7660</t>
        </is>
      </c>
      <c r="K214" s="41" t="inlineStr">
        <is>
          <t>G/c phay Mp NC1 Kt 47mm</t>
        </is>
      </c>
      <c r="L214" s="44" t="n">
        <v>37200</v>
      </c>
      <c r="M214" s="62" t="n">
        <v>14</v>
      </c>
      <c r="N214" s="44" t="n">
        <v>0</v>
      </c>
      <c r="O214" s="63" t="n">
        <v>8</v>
      </c>
      <c r="P214" s="64">
        <f>L214*M214</f>
        <v/>
      </c>
      <c r="Q214" s="41" t="inlineStr">
        <is>
          <t>Chíp  Pramet (6 cạnh)</t>
        </is>
      </c>
      <c r="R214" s="44" t="n">
        <v>3</v>
      </c>
      <c r="S214" s="40" t="inlineStr">
        <is>
          <t>SAI</t>
        </is>
      </c>
      <c r="T214" s="41" t="inlineStr">
        <is>
          <t>Đang gia công dở dang, chuyển ca sau</t>
        </is>
      </c>
      <c r="U214" t="inlineStr">
        <is>
          <t>ĐÃ DUYỆT</t>
        </is>
      </c>
      <c r="V214" t="inlineStr">
        <is>
          <t>ĐÃ PHÊ DUYỆT</t>
        </is>
      </c>
      <c r="W214" t="inlineStr">
        <is>
          <t>🔒 ĐÃ KHÓA</t>
        </is>
      </c>
    </row>
    <row r="215" ht="21" customHeight="1" s="75">
      <c r="A215" s="46" t="n">
        <v>212</v>
      </c>
      <c r="B215" s="66" t="n">
        <v>46263.0781199074</v>
      </c>
      <c r="C215" s="61" t="inlineStr">
        <is>
          <t>EMP-NV10</t>
        </is>
      </c>
      <c r="D215" s="47" t="inlineStr">
        <is>
          <t>Phùng Công Thắng</t>
        </is>
      </c>
      <c r="E215" s="61" t="inlineStr">
        <is>
          <t>M-OKK1-01</t>
        </is>
      </c>
      <c r="F215" s="47" t="inlineStr">
        <is>
          <t>Phùng Công Thắng</t>
        </is>
      </c>
      <c r="G215" s="61" t="inlineStr">
        <is>
          <t>OP-SEALB-NC2</t>
        </is>
      </c>
      <c r="H215" s="47" t="inlineStr">
        <is>
          <t>Thyssen</t>
        </is>
      </c>
      <c r="I215" s="47" t="inlineStr">
        <is>
          <t>Sealing trip, below</t>
        </is>
      </c>
      <c r="J215" s="46" t="inlineStr">
        <is>
          <t>PO-3317</t>
        </is>
      </c>
      <c r="K215" s="47" t="inlineStr">
        <is>
          <t>G/c phay Mp NC2 Kt 95mm</t>
        </is>
      </c>
      <c r="L215" s="50" t="n">
        <v>37200</v>
      </c>
      <c r="M215" s="67" t="n">
        <v>2</v>
      </c>
      <c r="N215" s="50" t="n">
        <v>0</v>
      </c>
      <c r="O215" s="68" t="n">
        <v>4</v>
      </c>
      <c r="P215" s="64">
        <f>L215*M215</f>
        <v/>
      </c>
      <c r="Q215" s="47" t="inlineStr">
        <is>
          <t>Chíp APMT 1604 PDER - Grade 8230S-PRAMET</t>
        </is>
      </c>
      <c r="R215" s="50" t="n">
        <v>0</v>
      </c>
      <c r="S215" s="46" t="inlineStr">
        <is>
          <t>SAI</t>
        </is>
      </c>
      <c r="T215" s="47" t="inlineStr">
        <is>
          <t>Đang gia công dở dang, chuyển ca sau</t>
        </is>
      </c>
      <c r="U215" t="inlineStr">
        <is>
          <t>ĐÃ DUYỆT</t>
        </is>
      </c>
      <c r="V215" t="inlineStr">
        <is>
          <t>ĐÃ PHÊ DUYỆT</t>
        </is>
      </c>
      <c r="W215" t="inlineStr">
        <is>
          <t>🔒 ĐÃ KHÓA</t>
        </is>
      </c>
    </row>
    <row r="216" ht="21" customHeight="1" s="75">
      <c r="A216" s="40" t="n">
        <v>213</v>
      </c>
      <c r="B216" s="60" t="n">
        <v>46263.07819689815</v>
      </c>
      <c r="C216" s="61" t="inlineStr">
        <is>
          <t>EMP-NV10</t>
        </is>
      </c>
      <c r="D216" s="41" t="inlineStr">
        <is>
          <t>Phùng Công Thắng</t>
        </is>
      </c>
      <c r="E216" s="61" t="inlineStr">
        <is>
          <t>M-OKK1-01</t>
        </is>
      </c>
      <c r="F216" s="41" t="inlineStr">
        <is>
          <t>Phùng Công Thắng</t>
        </is>
      </c>
      <c r="G216" s="61" t="inlineStr">
        <is>
          <t>OP-SEALB-NC2</t>
        </is>
      </c>
      <c r="H216" s="41" t="inlineStr">
        <is>
          <t>Thyssen</t>
        </is>
      </c>
      <c r="I216" s="41" t="inlineStr">
        <is>
          <t>Sealing trip, below</t>
        </is>
      </c>
      <c r="J216" s="40" t="inlineStr">
        <is>
          <t>PO-3317</t>
        </is>
      </c>
      <c r="K216" s="41" t="inlineStr">
        <is>
          <t>G/c phay Mp NC2 Kt 95mm</t>
        </is>
      </c>
      <c r="L216" s="44" t="n">
        <v>37200</v>
      </c>
      <c r="M216" s="62" t="n">
        <v>2</v>
      </c>
      <c r="N216" s="44" t="n">
        <v>0</v>
      </c>
      <c r="O216" s="63" t="n">
        <v>4</v>
      </c>
      <c r="P216" s="64">
        <f>L216*M216</f>
        <v/>
      </c>
      <c r="Q216" s="41" t="inlineStr">
        <is>
          <t>Chíp APMT 1604 PDER - Grade 8230S-PRAMET</t>
        </is>
      </c>
      <c r="R216" s="44" t="n">
        <v>0</v>
      </c>
      <c r="S216" s="40" t="inlineStr">
        <is>
          <t>SAI</t>
        </is>
      </c>
      <c r="T216" s="41" t="inlineStr">
        <is>
          <t>Đang gia công dở dang, chuyển ca sau</t>
        </is>
      </c>
      <c r="U216" t="inlineStr">
        <is>
          <t>ĐÃ DUYỆT</t>
        </is>
      </c>
      <c r="V216" t="inlineStr">
        <is>
          <t>ĐÃ PHÊ DUYỆT</t>
        </is>
      </c>
      <c r="W216" t="inlineStr">
        <is>
          <t>🔒 ĐÃ KHÓA</t>
        </is>
      </c>
    </row>
    <row r="217" ht="21" customHeight="1" s="75">
      <c r="A217" s="46" t="n">
        <v>214</v>
      </c>
      <c r="B217" s="66" t="n">
        <v>46263.07851023148</v>
      </c>
      <c r="C217" s="61" t="inlineStr">
        <is>
          <t>EMP-NV10</t>
        </is>
      </c>
      <c r="D217" s="47" t="inlineStr">
        <is>
          <t>Phùng Công Thắng</t>
        </is>
      </c>
      <c r="E217" s="61" t="inlineStr">
        <is>
          <t>M-OKK1-01</t>
        </is>
      </c>
      <c r="F217" s="47" t="inlineStr">
        <is>
          <t>Phùng Công Thắng</t>
        </is>
      </c>
      <c r="G217" s="61" t="inlineStr">
        <is>
          <t>OP-SEALB-NC2</t>
        </is>
      </c>
      <c r="H217" s="47" t="inlineStr">
        <is>
          <t>Thyssen</t>
        </is>
      </c>
      <c r="I217" s="47" t="inlineStr">
        <is>
          <t>Sealing trip, below</t>
        </is>
      </c>
      <c r="J217" s="46" t="inlineStr">
        <is>
          <t>PO-3317</t>
        </is>
      </c>
      <c r="K217" s="47" t="inlineStr">
        <is>
          <t>G/c phay Mp NC2 Kt 95mm</t>
        </is>
      </c>
      <c r="L217" s="50" t="n">
        <v>37200</v>
      </c>
      <c r="M217" s="67" t="n">
        <v>2</v>
      </c>
      <c r="N217" s="50" t="n">
        <v>0</v>
      </c>
      <c r="O217" s="68" t="n">
        <v>4</v>
      </c>
      <c r="P217" s="64">
        <f>L217*M217</f>
        <v/>
      </c>
      <c r="Q217" s="47" t="inlineStr">
        <is>
          <t>Chíp APMT 1604 PDER - Grade 8230S-PRAMET</t>
        </is>
      </c>
      <c r="R217" s="50" t="n">
        <v>0</v>
      </c>
      <c r="S217" s="46" t="inlineStr">
        <is>
          <t>SAI</t>
        </is>
      </c>
      <c r="T217" s="47" t="inlineStr">
        <is>
          <t>Đang gia công dở dang, chuyển ca sau</t>
        </is>
      </c>
      <c r="U217" t="inlineStr">
        <is>
          <t>ĐÃ DUYỆT</t>
        </is>
      </c>
      <c r="V217" t="inlineStr">
        <is>
          <t>ĐÃ PHÊ DUYỆT</t>
        </is>
      </c>
      <c r="W217" t="inlineStr">
        <is>
          <t>🔒 ĐÃ KHÓA</t>
        </is>
      </c>
    </row>
    <row r="218" ht="21" customHeight="1" s="75">
      <c r="A218" s="40" t="n">
        <v>215</v>
      </c>
      <c r="B218" s="60" t="n">
        <v>46263.07869991898</v>
      </c>
      <c r="C218" s="61" t="inlineStr">
        <is>
          <t>EMP-NV10</t>
        </is>
      </c>
      <c r="D218" s="41" t="inlineStr">
        <is>
          <t>Phùng Công Thắng</t>
        </is>
      </c>
      <c r="E218" s="61" t="inlineStr">
        <is>
          <t>M-OKK1-01</t>
        </is>
      </c>
      <c r="F218" s="41" t="inlineStr">
        <is>
          <t>Phùng Công Thắng</t>
        </is>
      </c>
      <c r="G218" s="61" t="inlineStr">
        <is>
          <t>OP-SEALB-NC2</t>
        </is>
      </c>
      <c r="H218" s="41" t="inlineStr">
        <is>
          <t>Thyssen</t>
        </is>
      </c>
      <c r="I218" s="41" t="inlineStr">
        <is>
          <t>Sealing strip, above</t>
        </is>
      </c>
      <c r="J218" s="40" t="inlineStr">
        <is>
          <t>PO-5858</t>
        </is>
      </c>
      <c r="K218" s="41" t="inlineStr">
        <is>
          <t>G/c phay Mp NC1 Kt 95mm</t>
        </is>
      </c>
      <c r="L218" s="44" t="n">
        <v>37200</v>
      </c>
      <c r="M218" s="62" t="n">
        <v>11</v>
      </c>
      <c r="N218" s="44" t="n">
        <v>0</v>
      </c>
      <c r="O218" s="63" t="n">
        <v>8</v>
      </c>
      <c r="P218" s="64">
        <f>L218*M218</f>
        <v/>
      </c>
      <c r="Q218" s="41" t="inlineStr">
        <is>
          <t>Chíp APMT 1604 PDER - Grade 8230S-PRAMET</t>
        </is>
      </c>
      <c r="R218" s="44" t="n">
        <v>4</v>
      </c>
      <c r="S218" s="40" t="inlineStr">
        <is>
          <t>SAI</t>
        </is>
      </c>
      <c r="T218" s="41" t="inlineStr">
        <is>
          <t>Đang gia công dở dang, chuyển ca sau</t>
        </is>
      </c>
      <c r="U218" t="inlineStr">
        <is>
          <t>ĐÃ DUYỆT</t>
        </is>
      </c>
      <c r="V218" t="inlineStr">
        <is>
          <t>ĐÃ PHÊ DUYỆT</t>
        </is>
      </c>
      <c r="W218" t="inlineStr">
        <is>
          <t>🔒 ĐÃ KHÓA</t>
        </is>
      </c>
    </row>
    <row r="219" ht="21" customHeight="1" s="75">
      <c r="A219" s="46" t="n">
        <v>216</v>
      </c>
      <c r="B219" s="66" t="n">
        <v>46263.25019399306</v>
      </c>
      <c r="C219" s="61" t="inlineStr">
        <is>
          <t>EMP-NV11</t>
        </is>
      </c>
      <c r="D219" s="47" t="inlineStr">
        <is>
          <t>Phùng Công Thắng</t>
        </is>
      </c>
      <c r="E219" s="61" t="inlineStr">
        <is>
          <t>M-FUJI-01</t>
        </is>
      </c>
      <c r="F219" s="47" t="inlineStr">
        <is>
          <t>Phùng Công Thắng</t>
        </is>
      </c>
      <c r="G219" s="61" t="inlineStr">
        <is>
          <t>OP-GEN-01</t>
        </is>
      </c>
      <c r="H219" s="47" t="inlineStr">
        <is>
          <t>Win-Win</t>
        </is>
      </c>
      <c r="I219" s="47" t="inlineStr">
        <is>
          <t>ISHIZUE 267Dw700</t>
        </is>
      </c>
      <c r="J219" s="46" t="inlineStr">
        <is>
          <t>PO-6066</t>
        </is>
      </c>
      <c r="K219" s="47" t="inlineStr">
        <is>
          <t>G/c hoàn thiện</t>
        </is>
      </c>
      <c r="L219" s="50" t="n">
        <v>55800</v>
      </c>
      <c r="M219" s="67" t="n">
        <v>2</v>
      </c>
      <c r="N219" s="50" t="n">
        <v>0</v>
      </c>
      <c r="O219" s="68" t="n">
        <v>4</v>
      </c>
      <c r="P219" s="64">
        <f>L219*M219</f>
        <v/>
      </c>
      <c r="Q219" s="47" t="inlineStr">
        <is>
          <t>Chíp  R5 THREADEX- P3200</t>
        </is>
      </c>
      <c r="R219" s="50" t="n">
        <v>0</v>
      </c>
      <c r="S219" s="65" t="inlineStr">
        <is>
          <t>ĐÚNG</t>
        </is>
      </c>
      <c r="T219" s="47" t="inlineStr">
        <is>
          <t>Đã xong nguyên công</t>
        </is>
      </c>
      <c r="U219" t="inlineStr">
        <is>
          <t>ĐÃ DUYỆT</t>
        </is>
      </c>
      <c r="V219" t="inlineStr">
        <is>
          <t>ĐÃ PHÊ DUYỆT</t>
        </is>
      </c>
      <c r="W219" t="inlineStr">
        <is>
          <t>🔒 ĐÃ KHÓA</t>
        </is>
      </c>
    </row>
    <row r="220" ht="21" customHeight="1" s="75">
      <c r="A220" s="40" t="n">
        <v>217</v>
      </c>
      <c r="B220" s="60" t="n">
        <v>46263.25060077546</v>
      </c>
      <c r="C220" s="61" t="inlineStr">
        <is>
          <t>EMP-NV11</t>
        </is>
      </c>
      <c r="D220" s="41" t="inlineStr">
        <is>
          <t>Phùng Công Thắng</t>
        </is>
      </c>
      <c r="E220" s="61" t="inlineStr">
        <is>
          <t>M-TCNC1-01</t>
        </is>
      </c>
      <c r="F220" s="41" t="inlineStr">
        <is>
          <t>Phùng Công Thắng</t>
        </is>
      </c>
      <c r="G220" s="61" t="inlineStr">
        <is>
          <t>OP-GEN-01</t>
        </is>
      </c>
      <c r="H220" s="41" t="inlineStr">
        <is>
          <t>Win-Win</t>
        </is>
      </c>
      <c r="I220" s="41" t="inlineStr">
        <is>
          <t>ISHIZUE 267Dw800</t>
        </is>
      </c>
      <c r="J220" s="40" t="inlineStr">
        <is>
          <t>PO-1041</t>
        </is>
      </c>
      <c r="K220" s="41" t="inlineStr">
        <is>
          <t>G/c hoàn thiện</t>
        </is>
      </c>
      <c r="L220" s="44" t="n">
        <v>55800</v>
      </c>
      <c r="M220" s="62" t="n">
        <v>3</v>
      </c>
      <c r="N220" s="44" t="n">
        <v>0</v>
      </c>
      <c r="O220" s="63" t="n">
        <v>4</v>
      </c>
      <c r="P220" s="64">
        <f>L220*M220</f>
        <v/>
      </c>
      <c r="Q220" s="41" t="inlineStr">
        <is>
          <t>Chíp  R5 THREADEX- P3200</t>
        </is>
      </c>
      <c r="R220" s="44" t="n">
        <v>0</v>
      </c>
      <c r="S220" s="65" t="inlineStr">
        <is>
          <t>ĐÚNG</t>
        </is>
      </c>
      <c r="T220" s="41" t="inlineStr">
        <is>
          <t>Đã xong nguyên công</t>
        </is>
      </c>
      <c r="U220" t="inlineStr">
        <is>
          <t>ĐÃ DUYỆT</t>
        </is>
      </c>
      <c r="V220" t="inlineStr">
        <is>
          <t>ĐÃ PHÊ DUYỆT</t>
        </is>
      </c>
      <c r="W220" t="inlineStr">
        <is>
          <t>🔒 ĐÃ KHÓA</t>
        </is>
      </c>
    </row>
    <row r="221" ht="21" customHeight="1" s="75">
      <c r="A221" s="46" t="n">
        <v>218</v>
      </c>
      <c r="B221" s="66" t="n">
        <v>46263.29102696759</v>
      </c>
      <c r="C221" s="61" t="inlineStr">
        <is>
          <t>EMP-NV08</t>
        </is>
      </c>
      <c r="D221" s="47" t="inlineStr">
        <is>
          <t>Phùng Công Thắng</t>
        </is>
      </c>
      <c r="E221" s="61" t="inlineStr">
        <is>
          <t>M-PCNC1-01</t>
        </is>
      </c>
      <c r="F221" s="47" t="inlineStr">
        <is>
          <t>Phùng Công Thắng</t>
        </is>
      </c>
      <c r="G221" s="61" t="inlineStr">
        <is>
          <t>OP-SEALB-NC4</t>
        </is>
      </c>
      <c r="H221" s="47" t="inlineStr">
        <is>
          <t>Thyssen</t>
        </is>
      </c>
      <c r="I221" s="47" t="inlineStr">
        <is>
          <t>Sealing strip, below</t>
        </is>
      </c>
      <c r="J221" s="46" t="inlineStr">
        <is>
          <t>PO-3762</t>
        </is>
      </c>
      <c r="K221" s="47" t="inlineStr">
        <is>
          <t>Gc phay rãnh</t>
        </is>
      </c>
      <c r="L221" s="50" t="n">
        <v>45000</v>
      </c>
      <c r="M221" s="67" t="n">
        <v>6</v>
      </c>
      <c r="N221" s="50" t="n">
        <v>0</v>
      </c>
      <c r="O221" s="68" t="n">
        <v>8</v>
      </c>
      <c r="P221" s="64">
        <f>L221*M221</f>
        <v/>
      </c>
      <c r="Q221" s="47" t="inlineStr">
        <is>
          <t>Không tiêu hao</t>
        </is>
      </c>
      <c r="R221" s="50" t="n">
        <v>0</v>
      </c>
      <c r="S221" s="46" t="inlineStr">
        <is>
          <t>SAI</t>
        </is>
      </c>
      <c r="T221" s="47" t="inlineStr">
        <is>
          <t>Đang gia công dở dang, chuyển ca sau</t>
        </is>
      </c>
      <c r="U221" t="inlineStr">
        <is>
          <t>ĐÃ DUYỆT</t>
        </is>
      </c>
      <c r="V221" t="inlineStr">
        <is>
          <t>ĐÃ PHÊ DUYỆT</t>
        </is>
      </c>
      <c r="W221" t="inlineStr">
        <is>
          <t>🔒 ĐÃ KHÓA</t>
        </is>
      </c>
    </row>
    <row r="222" ht="21" customHeight="1" s="75">
      <c r="A222" s="40" t="n">
        <v>219</v>
      </c>
      <c r="B222" s="60" t="n">
        <v>46263.29158210648</v>
      </c>
      <c r="C222" s="61" t="inlineStr">
        <is>
          <t>EMP-NV08</t>
        </is>
      </c>
      <c r="D222" s="41" t="inlineStr">
        <is>
          <t>Phùng Công Thắng</t>
        </is>
      </c>
      <c r="E222" s="61" t="inlineStr">
        <is>
          <t>M-OKK1-01</t>
        </is>
      </c>
      <c r="F222" s="41" t="inlineStr">
        <is>
          <t>Phùng Công Thắng</t>
        </is>
      </c>
      <c r="G222" s="61" t="inlineStr">
        <is>
          <t>OP-SEALB-NC2</t>
        </is>
      </c>
      <c r="H222" s="41" t="inlineStr">
        <is>
          <t>Thyssen</t>
        </is>
      </c>
      <c r="I222" s="41" t="inlineStr">
        <is>
          <t>Sealing strip, above</t>
        </is>
      </c>
      <c r="J222" s="40" t="inlineStr">
        <is>
          <t>PO-3787</t>
        </is>
      </c>
      <c r="K222" s="41" t="inlineStr">
        <is>
          <t>G/c phay Mp NC1 Kt 95mm</t>
        </is>
      </c>
      <c r="L222" s="44" t="n">
        <v>37200</v>
      </c>
      <c r="M222" s="62" t="n">
        <v>6</v>
      </c>
      <c r="N222" s="44" t="n">
        <v>0</v>
      </c>
      <c r="O222" s="63" t="n">
        <v>8</v>
      </c>
      <c r="P222" s="64">
        <f>L222*M222</f>
        <v/>
      </c>
      <c r="Q222" s="41" t="inlineStr">
        <is>
          <t>Không tiêu hao</t>
        </is>
      </c>
      <c r="R222" s="44" t="n">
        <v>0</v>
      </c>
      <c r="S222" s="40" t="inlineStr">
        <is>
          <t>SAI</t>
        </is>
      </c>
      <c r="T222" s="41" t="inlineStr">
        <is>
          <t>Đang gia công dở dang, chuyển ca sau</t>
        </is>
      </c>
      <c r="U222" t="inlineStr">
        <is>
          <t>ĐÃ DUYỆT</t>
        </is>
      </c>
      <c r="V222" t="inlineStr">
        <is>
          <t>ĐÃ PHÊ DUYỆT</t>
        </is>
      </c>
      <c r="W222" t="inlineStr">
        <is>
          <t>🔒 ĐÃ KHÓA</t>
        </is>
      </c>
    </row>
    <row r="223" ht="21" customHeight="1" s="75">
      <c r="A223" s="46" t="n">
        <v>220</v>
      </c>
      <c r="B223" s="66" t="n">
        <v>46263.29215075231</v>
      </c>
      <c r="C223" s="61" t="inlineStr">
        <is>
          <t>EMP-NV08</t>
        </is>
      </c>
      <c r="D223" s="47" t="inlineStr">
        <is>
          <t>Phùng Công Thắng</t>
        </is>
      </c>
      <c r="E223" s="61" t="inlineStr">
        <is>
          <t>M-PCNC2-01</t>
        </is>
      </c>
      <c r="F223" s="47" t="inlineStr">
        <is>
          <t>Phùng Công Thắng</t>
        </is>
      </c>
      <c r="G223" s="61" t="inlineStr">
        <is>
          <t>OP-ROTO-NC2</t>
        </is>
      </c>
      <c r="H223" s="47" t="inlineStr">
        <is>
          <t>Hải- Vinh Quảng Ninh</t>
        </is>
      </c>
      <c r="I223" s="47" t="inlineStr">
        <is>
          <t>Bộ rulo máy nghiền sơ cấp: Thân rồ to (φ820x890)</t>
        </is>
      </c>
      <c r="J223" s="46" t="inlineStr">
        <is>
          <t>PO-2504</t>
        </is>
      </c>
      <c r="K223" s="47" t="inlineStr">
        <is>
          <t>Gc khoan mồi</t>
        </is>
      </c>
      <c r="L223" s="50" t="n">
        <v>45000</v>
      </c>
      <c r="M223" s="67" t="n">
        <v>2</v>
      </c>
      <c r="N223" s="50" t="n">
        <v>0</v>
      </c>
      <c r="O223" s="68" t="n">
        <v>4</v>
      </c>
      <c r="P223" s="64">
        <f>L223*M223</f>
        <v/>
      </c>
      <c r="Q223" s="47" t="inlineStr">
        <is>
          <t>Không tiêu hao</t>
        </is>
      </c>
      <c r="R223" s="50" t="n">
        <v>0</v>
      </c>
      <c r="S223" s="46" t="inlineStr">
        <is>
          <t>SAI</t>
        </is>
      </c>
      <c r="T223" s="47" t="inlineStr">
        <is>
          <t>Đang gia công dở dang, chuyển ca sau</t>
        </is>
      </c>
      <c r="U223" t="inlineStr">
        <is>
          <t>ĐÃ DUYỆT</t>
        </is>
      </c>
      <c r="V223" t="inlineStr">
        <is>
          <t>ĐÃ PHÊ DUYỆT</t>
        </is>
      </c>
      <c r="W223" t="inlineStr">
        <is>
          <t>🔒 ĐÃ KHÓA</t>
        </is>
      </c>
    </row>
    <row r="224" ht="21" customHeight="1" s="75">
      <c r="A224" s="40" t="n">
        <v>221</v>
      </c>
      <c r="B224" s="60" t="n">
        <v>46263.29292076389</v>
      </c>
      <c r="C224" s="61" t="inlineStr">
        <is>
          <t>EMP-NV08</t>
        </is>
      </c>
      <c r="D224" s="41" t="inlineStr">
        <is>
          <t>Phùng Công Thắng</t>
        </is>
      </c>
      <c r="E224" s="61" t="inlineStr">
        <is>
          <t>M-PCNC2-01</t>
        </is>
      </c>
      <c r="F224" s="41" t="inlineStr">
        <is>
          <t>Phùng Công Thắng</t>
        </is>
      </c>
      <c r="G224" s="61" t="inlineStr">
        <is>
          <t>OP-GEN-01</t>
        </is>
      </c>
      <c r="H224" s="41" t="inlineStr">
        <is>
          <t>Vico- QLTB</t>
        </is>
      </c>
      <c r="I224" s="41" t="inlineStr">
        <is>
          <t>Mẫu Thử CR &amp; hàng #</t>
        </is>
      </c>
      <c r="J224" s="40" t="inlineStr">
        <is>
          <t>PO-5378</t>
        </is>
      </c>
      <c r="K224" s="41" t="inlineStr">
        <is>
          <t>G/c hoàn thiện</t>
        </is>
      </c>
      <c r="L224" s="44" t="n">
        <v>83700</v>
      </c>
      <c r="M224" s="62" t="n">
        <v>3</v>
      </c>
      <c r="N224" s="44" t="n">
        <v>0</v>
      </c>
      <c r="O224" s="63" t="n">
        <v>4</v>
      </c>
      <c r="P224" s="64">
        <f>L224*M224</f>
        <v/>
      </c>
      <c r="Q224" s="41" t="inlineStr">
        <is>
          <t>Không tiêu hao</t>
        </is>
      </c>
      <c r="R224" s="44" t="n">
        <v>0</v>
      </c>
      <c r="S224" s="65" t="inlineStr">
        <is>
          <t>ĐÚNG</t>
        </is>
      </c>
      <c r="T224" s="41" t="inlineStr">
        <is>
          <t>Đã xong nguyên công</t>
        </is>
      </c>
      <c r="U224" t="inlineStr">
        <is>
          <t>ĐÃ DUYỆT</t>
        </is>
      </c>
      <c r="V224" t="inlineStr">
        <is>
          <t>ĐÃ PHÊ DUYỆT</t>
        </is>
      </c>
      <c r="W224" t="inlineStr">
        <is>
          <t>🔒 ĐÃ KHÓA</t>
        </is>
      </c>
    </row>
    <row r="225" ht="21" customHeight="1" s="75">
      <c r="A225" s="46" t="n">
        <v>222</v>
      </c>
      <c r="B225" s="66" t="n">
        <v>46263.33292662037</v>
      </c>
      <c r="C225" s="61" t="inlineStr">
        <is>
          <t>EMP-NV06</t>
        </is>
      </c>
      <c r="D225" s="47" t="inlineStr">
        <is>
          <t>Phùng Công Thắng</t>
        </is>
      </c>
      <c r="E225" s="61" t="inlineStr">
        <is>
          <t>M-OKUMA-01</t>
        </is>
      </c>
      <c r="F225" s="47" t="inlineStr">
        <is>
          <t>Phùng Công Thắng</t>
        </is>
      </c>
      <c r="G225" s="61" t="inlineStr">
        <is>
          <t>OP-ISH114-NC1</t>
        </is>
      </c>
      <c r="H225" s="47" t="inlineStr">
        <is>
          <t>Win-Win</t>
        </is>
      </c>
      <c r="I225" s="47" t="inlineStr">
        <is>
          <t>ISHIZUE 114Dw300</t>
        </is>
      </c>
      <c r="J225" s="46" t="inlineStr">
        <is>
          <t>PO-1545</t>
        </is>
      </c>
      <c r="K225" s="47" t="inlineStr">
        <is>
          <t>G/c hoàn thiện</t>
        </is>
      </c>
      <c r="L225" s="50" t="n">
        <v>83700</v>
      </c>
      <c r="M225" s="67" t="n">
        <v>24</v>
      </c>
      <c r="N225" s="50" t="n">
        <v>6</v>
      </c>
      <c r="O225" s="68" t="n">
        <v>8</v>
      </c>
      <c r="P225" s="64">
        <f>L225*M225</f>
        <v/>
      </c>
      <c r="Q225" s="47" t="inlineStr">
        <is>
          <t>Chíp  R5 THREADEX- P3200</t>
        </is>
      </c>
      <c r="R225" s="50" t="n">
        <v>0</v>
      </c>
      <c r="S225" s="65" t="inlineStr">
        <is>
          <t>ĐÚNG</t>
        </is>
      </c>
      <c r="T225" s="47" t="inlineStr">
        <is>
          <t>Đã xong nguyên công</t>
        </is>
      </c>
      <c r="U225" t="inlineStr">
        <is>
          <t>ĐÃ DUYỆT</t>
        </is>
      </c>
      <c r="V225" t="inlineStr">
        <is>
          <t>ĐÃ PHÊ DUYỆT</t>
        </is>
      </c>
      <c r="W225" t="inlineStr">
        <is>
          <t>🔒 ĐÃ KHÓA</t>
        </is>
      </c>
    </row>
    <row r="226" ht="21" customHeight="1" s="75">
      <c r="A226" s="40" t="n">
        <v>223</v>
      </c>
      <c r="B226" s="60" t="n">
        <v>46263.33338954861</v>
      </c>
      <c r="C226" s="61" t="inlineStr">
        <is>
          <t>EMP-NV06</t>
        </is>
      </c>
      <c r="D226" s="41" t="inlineStr">
        <is>
          <t>Phùng Công Thắng</t>
        </is>
      </c>
      <c r="E226" s="61" t="inlineStr">
        <is>
          <t>M-FUJI-01</t>
        </is>
      </c>
      <c r="F226" s="41" t="inlineStr">
        <is>
          <t>Phùng Công Thắng</t>
        </is>
      </c>
      <c r="G226" s="61" t="inlineStr">
        <is>
          <t>OP-GEN-01</t>
        </is>
      </c>
      <c r="H226" s="41" t="inlineStr">
        <is>
          <t>Win-Win</t>
        </is>
      </c>
      <c r="I226" s="41" t="inlineStr">
        <is>
          <t>ISHIZUE 267Dw700</t>
        </is>
      </c>
      <c r="J226" s="40" t="inlineStr">
        <is>
          <t>PO-5940</t>
        </is>
      </c>
      <c r="K226" s="41" t="inlineStr">
        <is>
          <t>G/c hoàn thiện</t>
        </is>
      </c>
      <c r="L226" s="44" t="n">
        <v>55800</v>
      </c>
      <c r="M226" s="62" t="n">
        <v>2</v>
      </c>
      <c r="N226" s="44" t="n">
        <v>0</v>
      </c>
      <c r="O226" s="63" t="n">
        <v>4</v>
      </c>
      <c r="P226" s="64">
        <f>L226*M226</f>
        <v/>
      </c>
      <c r="Q226" s="41" t="inlineStr">
        <is>
          <t>Chíp  R5 THREADEX- P3200</t>
        </is>
      </c>
      <c r="R226" s="44" t="n">
        <v>0</v>
      </c>
      <c r="S226" s="65" t="inlineStr">
        <is>
          <t>ĐÚNG</t>
        </is>
      </c>
      <c r="T226" s="41" t="inlineStr">
        <is>
          <t>Đã xong nguyên công</t>
        </is>
      </c>
      <c r="U226" t="inlineStr">
        <is>
          <t>ĐÃ DUYỆT</t>
        </is>
      </c>
      <c r="V226" t="inlineStr">
        <is>
          <t>ĐÃ PHÊ DUYỆT</t>
        </is>
      </c>
      <c r="W226" t="inlineStr">
        <is>
          <t>🔒 ĐÃ KHÓA</t>
        </is>
      </c>
    </row>
    <row r="227" ht="21" customHeight="1" s="75">
      <c r="A227" s="46" t="n">
        <v>224</v>
      </c>
      <c r="B227" s="66" t="n">
        <v>46263.33572640047</v>
      </c>
      <c r="C227" s="61" t="inlineStr">
        <is>
          <t>EMP-NV06</t>
        </is>
      </c>
      <c r="D227" s="47" t="inlineStr">
        <is>
          <t>Phùng Công Thắng</t>
        </is>
      </c>
      <c r="E227" s="61" t="inlineStr">
        <is>
          <t>M-FUJI-01</t>
        </is>
      </c>
      <c r="F227" s="47" t="inlineStr">
        <is>
          <t>Phùng Công Thắng</t>
        </is>
      </c>
      <c r="G227" s="61" t="inlineStr">
        <is>
          <t>OP-GEN-01</t>
        </is>
      </c>
      <c r="H227" s="47" t="inlineStr">
        <is>
          <t>Win-Win</t>
        </is>
      </c>
      <c r="I227" s="47" t="inlineStr">
        <is>
          <t>ISHIZUE 267Dw800</t>
        </is>
      </c>
      <c r="J227" s="46" t="inlineStr">
        <is>
          <t>PO-1018</t>
        </is>
      </c>
      <c r="K227" s="47" t="inlineStr">
        <is>
          <t>G/c hoàn thiện</t>
        </is>
      </c>
      <c r="L227" s="50" t="n">
        <v>55800</v>
      </c>
      <c r="M227" s="67" t="n">
        <v>8</v>
      </c>
      <c r="N227" s="50" t="n">
        <v>0</v>
      </c>
      <c r="O227" s="68" t="n">
        <v>8</v>
      </c>
      <c r="P227" s="64">
        <f>L227*M227</f>
        <v/>
      </c>
      <c r="Q227" s="47" t="inlineStr">
        <is>
          <t>Chíp  R5 THREADEX- P3200</t>
        </is>
      </c>
      <c r="R227" s="50" t="n">
        <v>0</v>
      </c>
      <c r="S227" s="65" t="inlineStr">
        <is>
          <t>ĐÚNG</t>
        </is>
      </c>
      <c r="T227" s="47" t="inlineStr">
        <is>
          <t>Đã xong nguyên công</t>
        </is>
      </c>
      <c r="U227" t="inlineStr">
        <is>
          <t>ĐÃ DUYỆT</t>
        </is>
      </c>
      <c r="V227" t="inlineStr">
        <is>
          <t>ĐÃ PHÊ DUYỆT</t>
        </is>
      </c>
      <c r="W227" t="inlineStr">
        <is>
          <t>🔒 ĐÃ KHÓA</t>
        </is>
      </c>
    </row>
    <row r="228" ht="21" customHeight="1" s="75">
      <c r="A228" s="40" t="n">
        <v>225</v>
      </c>
      <c r="B228" s="60" t="n">
        <v>46263.34165695602</v>
      </c>
      <c r="C228" s="61" t="inlineStr">
        <is>
          <t>EMP-NV06</t>
        </is>
      </c>
      <c r="D228" s="41" t="inlineStr">
        <is>
          <t>Phùng Công Thắng</t>
        </is>
      </c>
      <c r="E228" s="61" t="inlineStr">
        <is>
          <t>M-DK7780-01</t>
        </is>
      </c>
      <c r="F228" s="41" t="inlineStr">
        <is>
          <t>Phùng Công Thắng</t>
        </is>
      </c>
      <c r="G228" s="61" t="inlineStr">
        <is>
          <t>OP-GEN-01</t>
        </is>
      </c>
      <c r="H228" s="41" t="inlineStr">
        <is>
          <t>Vico- QLTB</t>
        </is>
      </c>
      <c r="I228" s="41" t="inlineStr">
        <is>
          <t>Mẫu Thử CR &amp; hàng #</t>
        </is>
      </c>
      <c r="J228" s="40" t="inlineStr">
        <is>
          <t>PO-7007</t>
        </is>
      </c>
      <c r="K228" s="41" t="inlineStr">
        <is>
          <t>G/c hoàn thiện</t>
        </is>
      </c>
      <c r="L228" s="44" t="n">
        <v>83700</v>
      </c>
      <c r="M228" s="62" t="n">
        <v>5</v>
      </c>
      <c r="N228" s="44" t="n">
        <v>0</v>
      </c>
      <c r="O228" s="63" t="n">
        <v>8</v>
      </c>
      <c r="P228" s="64">
        <f>L228*M228</f>
        <v/>
      </c>
      <c r="Q228" s="41" t="inlineStr">
        <is>
          <t>Dây cắt CNC</t>
        </is>
      </c>
      <c r="R228" s="44" t="n">
        <v>0</v>
      </c>
      <c r="S228" s="65" t="inlineStr">
        <is>
          <t>ĐÚNG</t>
        </is>
      </c>
      <c r="T228" s="41" t="inlineStr">
        <is>
          <t>Đã xong nguyên công</t>
        </is>
      </c>
      <c r="U228" t="inlineStr">
        <is>
          <t>ĐÃ DUYỆT</t>
        </is>
      </c>
      <c r="V228" t="inlineStr">
        <is>
          <t>ĐÃ PHÊ DUYỆT</t>
        </is>
      </c>
      <c r="W228" t="inlineStr">
        <is>
          <t>🔒 ĐÃ KHÓA</t>
        </is>
      </c>
    </row>
    <row r="229" ht="21" customHeight="1" s="75">
      <c r="A229" s="46" t="n">
        <v>226</v>
      </c>
      <c r="B229" s="66" t="n">
        <v>46263.34261770833</v>
      </c>
      <c r="C229" s="61" t="inlineStr">
        <is>
          <t>EMP-NV11</t>
        </is>
      </c>
      <c r="D229" s="47" t="inlineStr">
        <is>
          <t>Phùng Công Thắng</t>
        </is>
      </c>
      <c r="E229" s="61" t="inlineStr">
        <is>
          <t>M-DK7780-01</t>
        </is>
      </c>
      <c r="F229" s="47" t="inlineStr">
        <is>
          <t>Phùng Công Thắng</t>
        </is>
      </c>
      <c r="G229" s="61" t="inlineStr">
        <is>
          <t>OP-GEN-01</t>
        </is>
      </c>
      <c r="H229" s="47" t="inlineStr">
        <is>
          <t>Vico- QLTB</t>
        </is>
      </c>
      <c r="I229" s="47" t="inlineStr">
        <is>
          <t>Mẫu Thử CR &amp; hàng #</t>
        </is>
      </c>
      <c r="J229" s="46" t="inlineStr">
        <is>
          <t>PO-2574</t>
        </is>
      </c>
      <c r="K229" s="47" t="inlineStr">
        <is>
          <t>G/c hoàn thiện</t>
        </is>
      </c>
      <c r="L229" s="50" t="n">
        <v>83700</v>
      </c>
      <c r="M229" s="67" t="n">
        <v>3</v>
      </c>
      <c r="N229" s="50" t="n">
        <v>0</v>
      </c>
      <c r="O229" s="68" t="n">
        <v>4</v>
      </c>
      <c r="P229" s="64">
        <f>L229*M229</f>
        <v/>
      </c>
      <c r="Q229" s="47" t="inlineStr">
        <is>
          <t>Dây cắt CNC</t>
        </is>
      </c>
      <c r="R229" s="50" t="n">
        <v>0</v>
      </c>
      <c r="S229" s="65" t="inlineStr">
        <is>
          <t>ĐÚNG</t>
        </is>
      </c>
      <c r="T229" s="47" t="inlineStr">
        <is>
          <t>Đã xong nguyên công</t>
        </is>
      </c>
      <c r="U229" t="inlineStr">
        <is>
          <t>ĐÃ DUYỆT</t>
        </is>
      </c>
      <c r="V229" t="inlineStr">
        <is>
          <t>ĐÃ PHÊ DUYỆT</t>
        </is>
      </c>
      <c r="W229" t="inlineStr">
        <is>
          <t>🔒 ĐÃ KHÓA</t>
        </is>
      </c>
    </row>
    <row r="230" ht="21" customHeight="1" s="75">
      <c r="A230" s="40" t="n">
        <v>227</v>
      </c>
      <c r="B230" s="60" t="n">
        <v>46263.65292239584</v>
      </c>
      <c r="C230" s="61" t="inlineStr">
        <is>
          <t>EMP-NV07</t>
        </is>
      </c>
      <c r="D230" s="41" t="inlineStr">
        <is>
          <t>Phùng Công Thắng</t>
        </is>
      </c>
      <c r="E230" s="61" t="inlineStr">
        <is>
          <t>M-OKK1-01</t>
        </is>
      </c>
      <c r="F230" s="41" t="inlineStr">
        <is>
          <t>Phùng Công Thắng</t>
        </is>
      </c>
      <c r="G230" s="61" t="inlineStr">
        <is>
          <t>OP-SEALB-NC2</t>
        </is>
      </c>
      <c r="H230" s="41" t="inlineStr">
        <is>
          <t>Thyssen</t>
        </is>
      </c>
      <c r="I230" s="41" t="inlineStr">
        <is>
          <t>Sealing strip, above</t>
        </is>
      </c>
      <c r="J230" s="40" t="inlineStr">
        <is>
          <t>PO-3922</t>
        </is>
      </c>
      <c r="K230" s="41" t="inlineStr">
        <is>
          <t>G/c phay Mp NC1 Kt 95mm</t>
        </is>
      </c>
      <c r="L230" s="44" t="n">
        <v>37200</v>
      </c>
      <c r="M230" s="62" t="n">
        <v>10</v>
      </c>
      <c r="N230" s="44" t="n">
        <v>0</v>
      </c>
      <c r="O230" s="63" t="n">
        <v>8</v>
      </c>
      <c r="P230" s="64">
        <f>L230*M230</f>
        <v/>
      </c>
      <c r="Q230" s="41" t="inlineStr">
        <is>
          <t>Không tiêu hao</t>
        </is>
      </c>
      <c r="R230" s="44" t="n">
        <v>0</v>
      </c>
      <c r="S230" s="40" t="inlineStr">
        <is>
          <t>SAI</t>
        </is>
      </c>
      <c r="T230" s="41" t="inlineStr">
        <is>
          <t>Đang gia công dở dang, chuyển ca sau</t>
        </is>
      </c>
      <c r="U230" t="inlineStr">
        <is>
          <t>ĐÃ DUYỆT</t>
        </is>
      </c>
      <c r="V230" t="inlineStr">
        <is>
          <t>ĐÃ PHÊ DUYỆT</t>
        </is>
      </c>
      <c r="W230" t="inlineStr">
        <is>
          <t>🔒 ĐÃ KHÓA</t>
        </is>
      </c>
    </row>
    <row r="231" ht="21" customHeight="1" s="75">
      <c r="A231" s="46" t="n">
        <v>228</v>
      </c>
      <c r="B231" s="66" t="n">
        <v>46263.65359289352</v>
      </c>
      <c r="C231" s="61" t="inlineStr">
        <is>
          <t>EMP-NV07</t>
        </is>
      </c>
      <c r="D231" s="47" t="inlineStr">
        <is>
          <t>Phùng Công Thắng</t>
        </is>
      </c>
      <c r="E231" s="61" t="inlineStr">
        <is>
          <t>M-OKK3-01</t>
        </is>
      </c>
      <c r="F231" s="47" t="inlineStr">
        <is>
          <t>Phùng Công Thắng</t>
        </is>
      </c>
      <c r="G231" s="61" t="inlineStr">
        <is>
          <t>OP-SEALB-NC2</t>
        </is>
      </c>
      <c r="H231" s="47" t="inlineStr">
        <is>
          <t>Thyssen</t>
        </is>
      </c>
      <c r="I231" s="47" t="inlineStr">
        <is>
          <t>Sealing strip, above</t>
        </is>
      </c>
      <c r="J231" s="46" t="inlineStr">
        <is>
          <t>PO-5954</t>
        </is>
      </c>
      <c r="K231" s="47" t="inlineStr">
        <is>
          <t>G/c phay Mp NC1 Kt 95mm</t>
        </is>
      </c>
      <c r="L231" s="50" t="n">
        <v>37200</v>
      </c>
      <c r="M231" s="67" t="n">
        <v>13</v>
      </c>
      <c r="N231" s="50" t="n">
        <v>0</v>
      </c>
      <c r="O231" s="68" t="n">
        <v>8</v>
      </c>
      <c r="P231" s="64">
        <f>L231*M231</f>
        <v/>
      </c>
      <c r="Q231" s="47" t="inlineStr">
        <is>
          <t>Không tiêu hao</t>
        </is>
      </c>
      <c r="R231" s="50" t="n">
        <v>0</v>
      </c>
      <c r="S231" s="46" t="inlineStr">
        <is>
          <t>SAI</t>
        </is>
      </c>
      <c r="T231" s="47" t="inlineStr">
        <is>
          <t>Đang gia công dở dang, chuyển ca sau</t>
        </is>
      </c>
      <c r="U231" t="inlineStr">
        <is>
          <t>ĐÃ DUYỆT</t>
        </is>
      </c>
      <c r="V231" t="inlineStr">
        <is>
          <t>ĐÃ PHÊ DUYỆT</t>
        </is>
      </c>
      <c r="W231" t="inlineStr">
        <is>
          <t>🔒 ĐÃ KHÓA</t>
        </is>
      </c>
    </row>
    <row r="232" ht="21" customHeight="1" s="75">
      <c r="A232" s="40" t="n">
        <v>229</v>
      </c>
      <c r="B232" s="60" t="n">
        <v>46263.65392114584</v>
      </c>
      <c r="C232" s="61" t="inlineStr">
        <is>
          <t>EMP-NV07</t>
        </is>
      </c>
      <c r="D232" s="41" t="inlineStr">
        <is>
          <t>Phùng Công Thắng</t>
        </is>
      </c>
      <c r="E232" s="61" t="inlineStr">
        <is>
          <t>M-OKK1-01</t>
        </is>
      </c>
      <c r="F232" s="41" t="inlineStr">
        <is>
          <t>Phùng Công Thắng</t>
        </is>
      </c>
      <c r="G232" s="61" t="inlineStr">
        <is>
          <t>OP-SEALB-NC2</t>
        </is>
      </c>
      <c r="H232" s="41" t="inlineStr">
        <is>
          <t>Thyssen</t>
        </is>
      </c>
      <c r="I232" s="41" t="inlineStr">
        <is>
          <t>Sealing strip, above</t>
        </is>
      </c>
      <c r="J232" s="40" t="inlineStr">
        <is>
          <t>PO-8760</t>
        </is>
      </c>
      <c r="K232" s="41" t="inlineStr">
        <is>
          <t>G/c phay Mp NC1 Kt 95mm</t>
        </is>
      </c>
      <c r="L232" s="44" t="n">
        <v>37200</v>
      </c>
      <c r="M232" s="62" t="n">
        <v>11</v>
      </c>
      <c r="N232" s="44" t="n">
        <v>0</v>
      </c>
      <c r="O232" s="63" t="n">
        <v>8</v>
      </c>
      <c r="P232" s="64">
        <f>L232*M232</f>
        <v/>
      </c>
      <c r="Q232" s="41" t="inlineStr">
        <is>
          <t>Không tiêu hao</t>
        </is>
      </c>
      <c r="R232" s="44" t="n">
        <v>0</v>
      </c>
      <c r="S232" s="40" t="inlineStr">
        <is>
          <t>SAI</t>
        </is>
      </c>
      <c r="T232" s="41" t="inlineStr">
        <is>
          <t>Đang gia công dở dang, chuyển ca sau</t>
        </is>
      </c>
      <c r="U232" t="inlineStr">
        <is>
          <t>ĐÃ DUYỆT</t>
        </is>
      </c>
      <c r="V232" t="inlineStr">
        <is>
          <t>ĐÃ PHÊ DUYỆT</t>
        </is>
      </c>
      <c r="W232" t="inlineStr">
        <is>
          <t>🔒 ĐÃ KHÓA</t>
        </is>
      </c>
    </row>
    <row r="233" ht="21" customHeight="1" s="75">
      <c r="A233" s="46" t="n">
        <v>230</v>
      </c>
      <c r="B233" s="66" t="n">
        <v>46263.65431121528</v>
      </c>
      <c r="C233" s="61" t="inlineStr">
        <is>
          <t>EMP-NV07</t>
        </is>
      </c>
      <c r="D233" s="47" t="inlineStr">
        <is>
          <t>Phùng Công Thắng</t>
        </is>
      </c>
      <c r="E233" s="61" t="inlineStr">
        <is>
          <t>M-OKK3-01</t>
        </is>
      </c>
      <c r="F233" s="47" t="inlineStr">
        <is>
          <t>Phùng Công Thắng</t>
        </is>
      </c>
      <c r="G233" s="61" t="inlineStr">
        <is>
          <t>OP-SEALB-NC2</t>
        </is>
      </c>
      <c r="H233" s="47" t="inlineStr">
        <is>
          <t>Thyssen</t>
        </is>
      </c>
      <c r="I233" s="47" t="inlineStr">
        <is>
          <t>Sealing trip, below</t>
        </is>
      </c>
      <c r="J233" s="46" t="inlineStr">
        <is>
          <t>PO-3304</t>
        </is>
      </c>
      <c r="K233" s="47" t="inlineStr">
        <is>
          <t>G/c phay Mp NC2 Kt 95mm</t>
        </is>
      </c>
      <c r="L233" s="50" t="n">
        <v>37200</v>
      </c>
      <c r="M233" s="67" t="n">
        <v>15</v>
      </c>
      <c r="N233" s="50" t="n">
        <v>0</v>
      </c>
      <c r="O233" s="68" t="n">
        <v>8</v>
      </c>
      <c r="P233" s="64">
        <f>L233*M233</f>
        <v/>
      </c>
      <c r="Q233" s="47" t="inlineStr">
        <is>
          <t>Không tiêu hao</t>
        </is>
      </c>
      <c r="R233" s="50" t="n">
        <v>0</v>
      </c>
      <c r="S233" s="46" t="inlineStr">
        <is>
          <t>SAI</t>
        </is>
      </c>
      <c r="T233" s="47" t="inlineStr">
        <is>
          <t>Đang gia công dở dang, chuyển ca sau</t>
        </is>
      </c>
      <c r="U233" t="inlineStr">
        <is>
          <t>ĐÃ DUYỆT</t>
        </is>
      </c>
      <c r="V233" t="inlineStr">
        <is>
          <t>ĐÃ PHÊ DUYỆT</t>
        </is>
      </c>
      <c r="W233" t="inlineStr">
        <is>
          <t>🔒 ĐÃ KHÓA</t>
        </is>
      </c>
    </row>
    <row r="234" ht="21" customHeight="1" s="75">
      <c r="A234" s="40" t="n">
        <v>231</v>
      </c>
      <c r="B234" s="60" t="n">
        <v>46263.66704516204</v>
      </c>
      <c r="C234" s="61" t="inlineStr">
        <is>
          <t>EMP-NV04</t>
        </is>
      </c>
      <c r="D234" s="41" t="inlineStr">
        <is>
          <t>Phùng Công Thắng</t>
        </is>
      </c>
      <c r="E234" s="61" t="inlineStr">
        <is>
          <t>M-FUJI-01</t>
        </is>
      </c>
      <c r="F234" s="41" t="inlineStr">
        <is>
          <t>Phùng Công Thắng</t>
        </is>
      </c>
      <c r="G234" s="61" t="inlineStr">
        <is>
          <t>OP-GEN-01</t>
        </is>
      </c>
      <c r="H234" s="41" t="inlineStr">
        <is>
          <t>Win-Win</t>
        </is>
      </c>
      <c r="I234" s="41" t="inlineStr">
        <is>
          <t>ISHIZUE 267Dw700</t>
        </is>
      </c>
      <c r="J234" s="40" t="inlineStr">
        <is>
          <t>PO-4985</t>
        </is>
      </c>
      <c r="K234" s="41" t="inlineStr">
        <is>
          <t>G/c hoàn thiện</t>
        </is>
      </c>
      <c r="L234" s="44" t="n">
        <v>55800</v>
      </c>
      <c r="M234" s="62" t="n">
        <v>7</v>
      </c>
      <c r="N234" s="44" t="n">
        <v>0</v>
      </c>
      <c r="O234" s="63" t="n">
        <v>8</v>
      </c>
      <c r="P234" s="64">
        <f>L234*M234</f>
        <v/>
      </c>
      <c r="Q234" s="41" t="inlineStr">
        <is>
          <t>Chíp  R5 THREADEX- P3200</t>
        </is>
      </c>
      <c r="R234" s="44" t="n">
        <v>1</v>
      </c>
      <c r="S234" s="65" t="inlineStr">
        <is>
          <t>ĐÚNG</t>
        </is>
      </c>
      <c r="T234" s="41" t="inlineStr">
        <is>
          <t>Đã xong nguyên công</t>
        </is>
      </c>
      <c r="U234" t="inlineStr">
        <is>
          <t>ĐÃ DUYỆT</t>
        </is>
      </c>
      <c r="V234" t="inlineStr">
        <is>
          <t>ĐÃ PHÊ DUYỆT</t>
        </is>
      </c>
      <c r="W234" t="inlineStr">
        <is>
          <t>🔒 ĐÃ KHÓA</t>
        </is>
      </c>
    </row>
    <row r="235" ht="21" customHeight="1" s="75">
      <c r="A235" s="46" t="n">
        <v>232</v>
      </c>
      <c r="B235" s="66" t="n">
        <v>46263.66789635416</v>
      </c>
      <c r="C235" s="61" t="inlineStr">
        <is>
          <t>EMP-NV04</t>
        </is>
      </c>
      <c r="D235" s="47" t="inlineStr">
        <is>
          <t>Phùng Công Thắng</t>
        </is>
      </c>
      <c r="E235" s="61" t="inlineStr">
        <is>
          <t>M-FUJI-01</t>
        </is>
      </c>
      <c r="F235" s="47" t="inlineStr">
        <is>
          <t>Phùng Công Thắng</t>
        </is>
      </c>
      <c r="G235" s="61" t="inlineStr">
        <is>
          <t>OP-ISH355-NC3</t>
        </is>
      </c>
      <c r="H235" s="47" t="inlineStr">
        <is>
          <t>Win-Win</t>
        </is>
      </c>
      <c r="I235" s="47" t="inlineStr">
        <is>
          <t>Mold of Ishizue omega 355,6-1060</t>
        </is>
      </c>
      <c r="J235" s="46" t="inlineStr">
        <is>
          <t>PO-2880</t>
        </is>
      </c>
      <c r="K235" s="47" t="inlineStr">
        <is>
          <t>G/c tiện hoàn thiện góc 45 độ</t>
        </is>
      </c>
      <c r="L235" s="50" t="n">
        <v>37200</v>
      </c>
      <c r="M235" s="67" t="n">
        <v>3</v>
      </c>
      <c r="N235" s="50" t="n">
        <v>0</v>
      </c>
      <c r="O235" s="68" t="n">
        <v>4</v>
      </c>
      <c r="P235" s="64">
        <f>L235*M235</f>
        <v/>
      </c>
      <c r="Q235" s="47" t="inlineStr">
        <is>
          <t>Chíp  R5 THREADEX- P3200</t>
        </is>
      </c>
      <c r="R235" s="50" t="n">
        <v>1</v>
      </c>
      <c r="S235" s="65" t="inlineStr">
        <is>
          <t>ĐÚNG</t>
        </is>
      </c>
      <c r="T235" s="47" t="inlineStr">
        <is>
          <t>Đã xong nguyên công</t>
        </is>
      </c>
      <c r="U235" t="inlineStr">
        <is>
          <t>ĐÃ DUYỆT</t>
        </is>
      </c>
      <c r="V235" t="inlineStr">
        <is>
          <t>ĐÃ PHÊ DUYỆT</t>
        </is>
      </c>
      <c r="W235" t="inlineStr">
        <is>
          <t>🔒 ĐÃ KHÓA</t>
        </is>
      </c>
    </row>
    <row r="236" ht="21" customHeight="1" s="75">
      <c r="A236" s="40" t="n">
        <v>233</v>
      </c>
      <c r="B236" s="60" t="n">
        <v>46263.69864010416</v>
      </c>
      <c r="C236" s="61" t="inlineStr">
        <is>
          <t>EMP-NV03</t>
        </is>
      </c>
      <c r="D236" s="41" t="inlineStr">
        <is>
          <t>Phùng Công Thắng</t>
        </is>
      </c>
      <c r="E236" s="61" t="inlineStr">
        <is>
          <t>M-T1516-01</t>
        </is>
      </c>
      <c r="F236" s="41" t="inlineStr">
        <is>
          <t>Phùng Công Thắng</t>
        </is>
      </c>
      <c r="G236" s="61" t="inlineStr">
        <is>
          <t>OP-GEN-01</t>
        </is>
      </c>
      <c r="H236" s="41" t="inlineStr">
        <is>
          <t>Win-Win</t>
        </is>
      </c>
      <c r="I236" s="41" t="inlineStr">
        <is>
          <t>ISHIZUE 267Dw800</t>
        </is>
      </c>
      <c r="J236" s="40" t="inlineStr">
        <is>
          <t>PO-9633</t>
        </is>
      </c>
      <c r="K236" s="41" t="inlineStr">
        <is>
          <t>G/c Cưa hoàn thiện</t>
        </is>
      </c>
      <c r="L236" s="44" t="n">
        <v>446400</v>
      </c>
      <c r="M236" s="62" t="n">
        <v>1</v>
      </c>
      <c r="N236" s="44" t="n">
        <v>9</v>
      </c>
      <c r="O236" s="63" t="n">
        <v>4</v>
      </c>
      <c r="P236" s="64">
        <f>L236*M236</f>
        <v/>
      </c>
      <c r="Q236" s="41" t="inlineStr">
        <is>
          <t>Chíp  R5 THREADEX- P3200</t>
        </is>
      </c>
      <c r="R236" s="44" t="n">
        <v>11</v>
      </c>
      <c r="S236" s="65" t="inlineStr">
        <is>
          <t>ĐÚNG</t>
        </is>
      </c>
      <c r="T236" s="41" t="inlineStr">
        <is>
          <t>Đã xong nguyên công</t>
        </is>
      </c>
      <c r="U236" t="inlineStr">
        <is>
          <t>ĐÃ DUYỆT</t>
        </is>
      </c>
      <c r="V236" t="inlineStr">
        <is>
          <t>ĐÃ PHÊ DUYỆT</t>
        </is>
      </c>
      <c r="W236" t="inlineStr">
        <is>
          <t>🔒 ĐÃ KHÓA</t>
        </is>
      </c>
    </row>
    <row r="237" ht="21" customHeight="1" s="75">
      <c r="A237" s="46" t="n">
        <v>234</v>
      </c>
      <c r="B237" s="66" t="n">
        <v>46263.87186158565</v>
      </c>
      <c r="C237" s="61" t="inlineStr">
        <is>
          <t>EMP-NV08</t>
        </is>
      </c>
      <c r="D237" s="47" t="inlineStr">
        <is>
          <t>Phùng Công Thắng</t>
        </is>
      </c>
      <c r="E237" s="61" t="inlineStr">
        <is>
          <t>M-PCNC2-01</t>
        </is>
      </c>
      <c r="F237" s="47" t="inlineStr">
        <is>
          <t>Phùng Công Thắng</t>
        </is>
      </c>
      <c r="G237" s="61" t="inlineStr">
        <is>
          <t>OP-SEALB-NC4</t>
        </is>
      </c>
      <c r="H237" s="47" t="inlineStr">
        <is>
          <t>Thyssen</t>
        </is>
      </c>
      <c r="I237" s="47" t="inlineStr">
        <is>
          <t>Sealing strip, below</t>
        </is>
      </c>
      <c r="J237" s="46" t="inlineStr">
        <is>
          <t>PO-7880</t>
        </is>
      </c>
      <c r="K237" s="47" t="inlineStr">
        <is>
          <t>G/c phay Mp NC4 Kt 412mm</t>
        </is>
      </c>
      <c r="L237" s="50" t="n">
        <v>45000</v>
      </c>
      <c r="M237" s="67" t="n">
        <v>20</v>
      </c>
      <c r="N237" s="50" t="n">
        <v>0</v>
      </c>
      <c r="O237" s="68" t="n">
        <v>8</v>
      </c>
      <c r="P237" s="64">
        <f>L237*M237</f>
        <v/>
      </c>
      <c r="Q237" s="47" t="inlineStr">
        <is>
          <t>Không tiêu hao</t>
        </is>
      </c>
      <c r="R237" s="50" t="n">
        <v>0</v>
      </c>
      <c r="S237" s="65" t="inlineStr">
        <is>
          <t>ĐÚNG</t>
        </is>
      </c>
      <c r="T237" s="47" t="inlineStr">
        <is>
          <t>Đã xong nguyên công</t>
        </is>
      </c>
      <c r="U237" t="inlineStr">
        <is>
          <t>ĐÃ DUYỆT</t>
        </is>
      </c>
      <c r="V237" t="inlineStr">
        <is>
          <t>ĐÃ PHÊ DUYỆT</t>
        </is>
      </c>
      <c r="W237" t="inlineStr">
        <is>
          <t>🔒 ĐÃ KHÓA</t>
        </is>
      </c>
    </row>
    <row r="238" ht="21" customHeight="1" s="75">
      <c r="A238" s="40" t="n">
        <v>235</v>
      </c>
      <c r="B238" s="60" t="n">
        <v>46263.87242451389</v>
      </c>
      <c r="C238" s="61" t="inlineStr">
        <is>
          <t>EMP-NV08</t>
        </is>
      </c>
      <c r="D238" s="41" t="inlineStr">
        <is>
          <t>Phùng Công Thắng</t>
        </is>
      </c>
      <c r="E238" s="61" t="inlineStr">
        <is>
          <t>M-OKK2-01</t>
        </is>
      </c>
      <c r="F238" s="41" t="inlineStr">
        <is>
          <t>Phùng Công Thắng</t>
        </is>
      </c>
      <c r="G238" s="61" t="inlineStr">
        <is>
          <t>OP-SEALB-NC2</t>
        </is>
      </c>
      <c r="H238" s="41" t="inlineStr">
        <is>
          <t>Thyssen</t>
        </is>
      </c>
      <c r="I238" s="41" t="inlineStr">
        <is>
          <t>Sealing strip, below</t>
        </is>
      </c>
      <c r="J238" s="40" t="inlineStr">
        <is>
          <t>PO-6658</t>
        </is>
      </c>
      <c r="K238" s="41" t="inlineStr">
        <is>
          <t>G/c phay Mp NC2 Kt 95mm</t>
        </is>
      </c>
      <c r="L238" s="44" t="n">
        <v>45000</v>
      </c>
      <c r="M238" s="62" t="n">
        <v>3</v>
      </c>
      <c r="N238" s="44" t="n">
        <v>0</v>
      </c>
      <c r="O238" s="63" t="n">
        <v>4</v>
      </c>
      <c r="P238" s="64">
        <f>L238*M238</f>
        <v/>
      </c>
      <c r="Q238" s="41" t="inlineStr">
        <is>
          <t>Không tiêu hao</t>
        </is>
      </c>
      <c r="R238" s="44" t="n">
        <v>0</v>
      </c>
      <c r="S238" s="40" t="inlineStr">
        <is>
          <t>SAI</t>
        </is>
      </c>
      <c r="T238" s="41" t="inlineStr">
        <is>
          <t>Đang gia công dở dang, chuyển ca sau</t>
        </is>
      </c>
      <c r="U238" t="inlineStr">
        <is>
          <t>ĐÃ DUYỆT</t>
        </is>
      </c>
      <c r="V238" t="inlineStr">
        <is>
          <t>ĐÃ PHÊ DUYỆT</t>
        </is>
      </c>
      <c r="W238" t="inlineStr">
        <is>
          <t>🔒 ĐÃ KHÓA</t>
        </is>
      </c>
    </row>
    <row r="239" ht="21" customHeight="1" s="75">
      <c r="A239" s="46" t="n">
        <v>236</v>
      </c>
      <c r="B239" s="66" t="n">
        <v>46263.87373042824</v>
      </c>
      <c r="C239" s="61" t="inlineStr">
        <is>
          <t>EMP-NV08</t>
        </is>
      </c>
      <c r="D239" s="47" t="inlineStr">
        <is>
          <t>Phùng Công Thắng</t>
        </is>
      </c>
      <c r="E239" s="61" t="inlineStr">
        <is>
          <t>M-PCNC1-01</t>
        </is>
      </c>
      <c r="F239" s="47" t="inlineStr">
        <is>
          <t>Phùng Công Thắng</t>
        </is>
      </c>
      <c r="G239" s="61" t="inlineStr">
        <is>
          <t>OP-GEN-01</t>
        </is>
      </c>
      <c r="H239" s="47" t="inlineStr">
        <is>
          <t>UCC</t>
        </is>
      </c>
      <c r="I239" s="47" t="inlineStr">
        <is>
          <t>4-210658-2</t>
        </is>
      </c>
      <c r="J239" s="46" t="inlineStr">
        <is>
          <t>PO-1456</t>
        </is>
      </c>
      <c r="K239" s="47" t="inlineStr">
        <is>
          <t>Gc phay tinh</t>
        </is>
      </c>
      <c r="L239" s="50" t="n">
        <v>45000</v>
      </c>
      <c r="M239" s="67" t="n">
        <v>6</v>
      </c>
      <c r="N239" s="50" t="n">
        <v>0</v>
      </c>
      <c r="O239" s="68" t="n">
        <v>8</v>
      </c>
      <c r="P239" s="64">
        <f>L239*M239</f>
        <v/>
      </c>
      <c r="Q239" s="47" t="inlineStr">
        <is>
          <t>Chíp  Pramet (6 cạnh)</t>
        </is>
      </c>
      <c r="R239" s="50" t="n">
        <v>10</v>
      </c>
      <c r="S239" s="46" t="inlineStr">
        <is>
          <t>SAI</t>
        </is>
      </c>
      <c r="T239" s="47" t="inlineStr">
        <is>
          <t>Đang gia công dở dang, chuyển ca sau</t>
        </is>
      </c>
      <c r="U239" t="inlineStr">
        <is>
          <t>ĐÃ DUYỆT</t>
        </is>
      </c>
      <c r="V239" t="inlineStr">
        <is>
          <t>ĐÃ PHÊ DUYỆT</t>
        </is>
      </c>
      <c r="W239" t="inlineStr">
        <is>
          <t>🔒 ĐÃ KHÓA</t>
        </is>
      </c>
    </row>
    <row r="240" ht="21" customHeight="1" s="75">
      <c r="A240" s="40" t="n">
        <v>237</v>
      </c>
      <c r="B240" s="60" t="n">
        <v>46263.99336928241</v>
      </c>
      <c r="C240" s="61" t="inlineStr">
        <is>
          <t>EMP-NV06</t>
        </is>
      </c>
      <c r="D240" s="41" t="inlineStr">
        <is>
          <t>Phùng Công Thắng</t>
        </is>
      </c>
      <c r="E240" s="61" t="inlineStr">
        <is>
          <t>M-FUJI-01</t>
        </is>
      </c>
      <c r="F240" s="41" t="inlineStr">
        <is>
          <t>Phùng Công Thắng</t>
        </is>
      </c>
      <c r="G240" s="61" t="inlineStr">
        <is>
          <t>OP-GEN-01</t>
        </is>
      </c>
      <c r="H240" s="41" t="inlineStr">
        <is>
          <t>Win-Win</t>
        </is>
      </c>
      <c r="I240" s="41" t="inlineStr">
        <is>
          <t>ISHIZUE 267Dw700</t>
        </is>
      </c>
      <c r="J240" s="40" t="inlineStr">
        <is>
          <t>PO-1656</t>
        </is>
      </c>
      <c r="K240" s="41" t="inlineStr">
        <is>
          <t>G/c hoàn thiện</t>
        </is>
      </c>
      <c r="L240" s="44" t="n">
        <v>55800</v>
      </c>
      <c r="M240" s="62" t="n">
        <v>1</v>
      </c>
      <c r="N240" s="44" t="n">
        <v>0</v>
      </c>
      <c r="O240" s="63" t="n">
        <v>4</v>
      </c>
      <c r="P240" s="64">
        <f>L240*M240</f>
        <v/>
      </c>
      <c r="Q240" s="41" t="inlineStr">
        <is>
          <t>Chíp  R5 THREADEX- P3200</t>
        </is>
      </c>
      <c r="R240" s="44" t="n">
        <v>0</v>
      </c>
      <c r="S240" s="65" t="inlineStr">
        <is>
          <t>ĐÚNG</t>
        </is>
      </c>
      <c r="T240" s="41" t="inlineStr">
        <is>
          <t>Đã xong nguyên công</t>
        </is>
      </c>
      <c r="U240" t="inlineStr">
        <is>
          <t>ĐÃ DUYỆT</t>
        </is>
      </c>
      <c r="V240" t="inlineStr">
        <is>
          <t>ĐÃ PHÊ DUYỆT</t>
        </is>
      </c>
      <c r="W240" t="inlineStr">
        <is>
          <t>🔒 ĐÃ KHÓA</t>
        </is>
      </c>
    </row>
    <row r="241" ht="21" customHeight="1" s="75">
      <c r="A241" s="46" t="n">
        <v>238</v>
      </c>
      <c r="B241" s="66" t="n">
        <v>46263.99384015046</v>
      </c>
      <c r="C241" s="61" t="inlineStr">
        <is>
          <t>EMP-NV06</t>
        </is>
      </c>
      <c r="D241" s="47" t="inlineStr">
        <is>
          <t>Phùng Công Thắng</t>
        </is>
      </c>
      <c r="E241" s="61" t="inlineStr">
        <is>
          <t>M-OKUMA-01</t>
        </is>
      </c>
      <c r="F241" s="47" t="inlineStr">
        <is>
          <t>Phùng Công Thắng</t>
        </is>
      </c>
      <c r="G241" s="61" t="inlineStr">
        <is>
          <t>OP-ISH114-NC1</t>
        </is>
      </c>
      <c r="H241" s="47" t="inlineStr">
        <is>
          <t>Win-Win</t>
        </is>
      </c>
      <c r="I241" s="47" t="inlineStr">
        <is>
          <t>ISHIZUE 114Dw300</t>
        </is>
      </c>
      <c r="J241" s="46" t="inlineStr">
        <is>
          <t>PO-3945</t>
        </is>
      </c>
      <c r="K241" s="47" t="inlineStr">
        <is>
          <t>G/c hoàn thiện</t>
        </is>
      </c>
      <c r="L241" s="50" t="n">
        <v>83700</v>
      </c>
      <c r="M241" s="67" t="n">
        <v>35</v>
      </c>
      <c r="N241" s="50" t="n">
        <v>11</v>
      </c>
      <c r="O241" s="68" t="n">
        <v>8</v>
      </c>
      <c r="P241" s="64">
        <f>L241*M241</f>
        <v/>
      </c>
      <c r="Q241" s="47" t="inlineStr">
        <is>
          <t>Chíp  R5 THREADEX- P3200</t>
        </is>
      </c>
      <c r="R241" s="50" t="n">
        <v>0</v>
      </c>
      <c r="S241" s="65" t="inlineStr">
        <is>
          <t>ĐÚNG</t>
        </is>
      </c>
      <c r="T241" s="47" t="inlineStr">
        <is>
          <t>Đã xong nguyên công</t>
        </is>
      </c>
      <c r="U241" t="inlineStr">
        <is>
          <t>ĐÃ DUYỆT</t>
        </is>
      </c>
      <c r="V241" t="inlineStr">
        <is>
          <t>ĐÃ PHÊ DUYỆT</t>
        </is>
      </c>
      <c r="W241" t="inlineStr">
        <is>
          <t>🔒 ĐÃ KHÓA</t>
        </is>
      </c>
    </row>
    <row r="242" ht="21" customHeight="1" s="75">
      <c r="A242" s="40" t="n">
        <v>239</v>
      </c>
      <c r="B242" s="60" t="n">
        <v>46263.99447594908</v>
      </c>
      <c r="C242" s="61" t="inlineStr">
        <is>
          <t>EMP-NV06</t>
        </is>
      </c>
      <c r="D242" s="41" t="inlineStr">
        <is>
          <t>Phùng Công Thắng</t>
        </is>
      </c>
      <c r="E242" s="61" t="inlineStr">
        <is>
          <t>M-DK7745-01</t>
        </is>
      </c>
      <c r="F242" s="41" t="inlineStr">
        <is>
          <t>Phùng Công Thắng</t>
        </is>
      </c>
      <c r="G242" s="61" t="inlineStr">
        <is>
          <t>OP-GEN-01</t>
        </is>
      </c>
      <c r="H242" s="41" t="inlineStr">
        <is>
          <t>Molycop</t>
        </is>
      </c>
      <c r="I242" s="41" t="inlineStr">
        <is>
          <t>Bi 40</t>
        </is>
      </c>
      <c r="J242" s="40" t="inlineStr">
        <is>
          <t>PO-4099</t>
        </is>
      </c>
      <c r="K242" s="41" t="inlineStr">
        <is>
          <t>G/c cắt dây</t>
        </is>
      </c>
      <c r="L242" s="44" t="n">
        <v>6510</v>
      </c>
      <c r="M242" s="62" t="n">
        <v>30</v>
      </c>
      <c r="N242" s="44" t="n">
        <v>0</v>
      </c>
      <c r="O242" s="63" t="n">
        <v>8</v>
      </c>
      <c r="P242" s="64">
        <f>L242*M242</f>
        <v/>
      </c>
      <c r="Q242" s="41" t="inlineStr">
        <is>
          <t>Dây cắt CNC</t>
        </is>
      </c>
      <c r="R242" s="44" t="n">
        <v>0</v>
      </c>
      <c r="S242" s="65" t="inlineStr">
        <is>
          <t>ĐÚNG</t>
        </is>
      </c>
      <c r="T242" s="41" t="inlineStr">
        <is>
          <t>Đã xong nguyên công</t>
        </is>
      </c>
      <c r="U242" t="inlineStr">
        <is>
          <t>ĐÃ DUYỆT</t>
        </is>
      </c>
      <c r="V242" t="inlineStr">
        <is>
          <t>ĐÃ PHÊ DUYỆT</t>
        </is>
      </c>
      <c r="W242" t="inlineStr">
        <is>
          <t>🔒 ĐÃ KHÓA</t>
        </is>
      </c>
    </row>
    <row r="243" ht="21" customHeight="1" s="75">
      <c r="A243" s="46" t="n">
        <v>240</v>
      </c>
      <c r="B243" s="66" t="n">
        <v>46264.0858052662</v>
      </c>
      <c r="C243" s="61" t="inlineStr">
        <is>
          <t>EMP-NV03</t>
        </is>
      </c>
      <c r="D243" s="47" t="inlineStr">
        <is>
          <t>Phùng Công Thắng</t>
        </is>
      </c>
      <c r="E243" s="61" t="inlineStr">
        <is>
          <t>M-T1516-01</t>
        </is>
      </c>
      <c r="F243" s="47" t="inlineStr">
        <is>
          <t>Phùng Công Thắng</t>
        </is>
      </c>
      <c r="G243" s="61" t="inlineStr">
        <is>
          <t>OP-GEN-01</t>
        </is>
      </c>
      <c r="H243" s="47" t="inlineStr">
        <is>
          <t>Win-Win</t>
        </is>
      </c>
      <c r="I243" s="47" t="inlineStr">
        <is>
          <t>ISHIZUE 267Dw700</t>
        </is>
      </c>
      <c r="J243" s="46" t="inlineStr">
        <is>
          <t>PO-8021</t>
        </is>
      </c>
      <c r="K243" s="47" t="inlineStr">
        <is>
          <t>G/c hoàn thiện</t>
        </is>
      </c>
      <c r="L243" s="50" t="n">
        <v>50000</v>
      </c>
      <c r="M243" s="67" t="n">
        <v>0</v>
      </c>
      <c r="N243" s="50" t="n">
        <v>7</v>
      </c>
      <c r="O243" s="68" t="n">
        <v>4</v>
      </c>
      <c r="P243" s="64">
        <f>L243*M243</f>
        <v/>
      </c>
      <c r="Q243" s="47" t="inlineStr">
        <is>
          <t>Chíp  R5 THREADEX- P3200</t>
        </is>
      </c>
      <c r="R243" s="50" t="n">
        <v>1</v>
      </c>
      <c r="S243" s="65" t="inlineStr">
        <is>
          <t>ĐÚNG</t>
        </is>
      </c>
      <c r="T243" s="47" t="inlineStr">
        <is>
          <t>Đã xong nguyên công</t>
        </is>
      </c>
      <c r="U243" t="inlineStr">
        <is>
          <t>ĐÃ DUYỆT</t>
        </is>
      </c>
      <c r="V243" t="inlineStr">
        <is>
          <t>ĐÃ PHÊ DUYỆT</t>
        </is>
      </c>
      <c r="W243" t="inlineStr">
        <is>
          <t>🔒 ĐÃ KHÓA</t>
        </is>
      </c>
    </row>
    <row r="244" ht="21" customHeight="1" s="75">
      <c r="A244" s="40" t="n">
        <v>241</v>
      </c>
      <c r="B244" s="60" t="n">
        <v>46264.09005844907</v>
      </c>
      <c r="C244" s="61" t="inlineStr">
        <is>
          <t>EMP-NV03</t>
        </is>
      </c>
      <c r="D244" s="41" t="inlineStr">
        <is>
          <t>Phùng Công Thắng</t>
        </is>
      </c>
      <c r="E244" s="61" t="inlineStr">
        <is>
          <t>M-T1516-01</t>
        </is>
      </c>
      <c r="F244" s="41" t="inlineStr">
        <is>
          <t>Phùng Công Thắng</t>
        </is>
      </c>
      <c r="G244" s="61" t="inlineStr">
        <is>
          <t>OP-GEN-01</t>
        </is>
      </c>
      <c r="H244" s="41" t="inlineStr">
        <is>
          <t>TFG</t>
        </is>
      </c>
      <c r="I244" s="41" t="inlineStr">
        <is>
          <t>Nut cover số hiệu E4P08508 theo bản vẽ 2CG00744</t>
        </is>
      </c>
      <c r="J244" s="40" t="inlineStr">
        <is>
          <t>PO-9407</t>
        </is>
      </c>
      <c r="K244" s="41" t="inlineStr">
        <is>
          <t>G/c tiện hoàn thiện</t>
        </is>
      </c>
      <c r="L244" s="44" t="n">
        <v>50000</v>
      </c>
      <c r="M244" s="62" t="n">
        <v>0</v>
      </c>
      <c r="N244" s="44" t="n">
        <v>1</v>
      </c>
      <c r="O244" s="63" t="n">
        <v>4</v>
      </c>
      <c r="P244" s="64">
        <f>L244*M244</f>
        <v/>
      </c>
      <c r="Q244" s="41" t="inlineStr">
        <is>
          <t>Chíp  TNMG160408 WINSTAR RP- CX2555 ( 3 cạnh thẳng)</t>
        </is>
      </c>
      <c r="R244" s="44" t="n">
        <v>3</v>
      </c>
      <c r="S244" s="65" t="inlineStr">
        <is>
          <t>ĐÚNG</t>
        </is>
      </c>
      <c r="T244" s="41" t="inlineStr">
        <is>
          <t>Đã xong nguyên công</t>
        </is>
      </c>
      <c r="U244" t="inlineStr">
        <is>
          <t>ĐÃ DUYỆT</t>
        </is>
      </c>
      <c r="V244" t="inlineStr">
        <is>
          <t>ĐÃ PHÊ DUYỆT</t>
        </is>
      </c>
      <c r="W244" t="inlineStr">
        <is>
          <t>🔒 ĐÃ KHÓA</t>
        </is>
      </c>
    </row>
    <row r="245" ht="21" customHeight="1" s="75">
      <c r="A245" s="46" t="n">
        <v>242</v>
      </c>
      <c r="B245" s="66" t="n">
        <v>46264.32857300926</v>
      </c>
      <c r="C245" s="61" t="inlineStr">
        <is>
          <t>EMP-NV11</t>
        </is>
      </c>
      <c r="D245" s="47" t="inlineStr">
        <is>
          <t>Phùng Công Thắng</t>
        </is>
      </c>
      <c r="E245" s="61" t="inlineStr">
        <is>
          <t>M-FUJI-01</t>
        </is>
      </c>
      <c r="F245" s="47" t="inlineStr">
        <is>
          <t>Phùng Công Thắng</t>
        </is>
      </c>
      <c r="G245" s="61" t="inlineStr">
        <is>
          <t>OP-GEN-01</t>
        </is>
      </c>
      <c r="H245" s="47" t="inlineStr">
        <is>
          <t>Win-Win</t>
        </is>
      </c>
      <c r="I245" s="47" t="inlineStr">
        <is>
          <t>ISHIZUE 267Dw700</t>
        </is>
      </c>
      <c r="J245" s="46" t="inlineStr">
        <is>
          <t>PO-7564</t>
        </is>
      </c>
      <c r="K245" s="47" t="inlineStr">
        <is>
          <t>G/c hoàn thiện</t>
        </is>
      </c>
      <c r="L245" s="50" t="n">
        <v>55800</v>
      </c>
      <c r="M245" s="67" t="n">
        <v>6</v>
      </c>
      <c r="N245" s="50" t="n">
        <v>0</v>
      </c>
      <c r="O245" s="68" t="n">
        <v>8</v>
      </c>
      <c r="P245" s="64">
        <f>L245*M245</f>
        <v/>
      </c>
      <c r="Q245" s="47" t="inlineStr">
        <is>
          <t>Chíp  R5 THREADEX- P3200</t>
        </is>
      </c>
      <c r="R245" s="50" t="n">
        <v>1</v>
      </c>
      <c r="S245" s="65" t="inlineStr">
        <is>
          <t>ĐÚNG</t>
        </is>
      </c>
      <c r="T245" s="47" t="inlineStr">
        <is>
          <t>Đã xong nguyên công</t>
        </is>
      </c>
      <c r="U245" t="inlineStr">
        <is>
          <t>ĐÃ DUYỆT</t>
        </is>
      </c>
      <c r="V245" t="inlineStr">
        <is>
          <t>ĐÃ PHÊ DUYỆT</t>
        </is>
      </c>
      <c r="W245" t="inlineStr">
        <is>
          <t>🔒 ĐÃ KHÓA</t>
        </is>
      </c>
    </row>
    <row r="246" ht="21" customHeight="1" s="75">
      <c r="A246" s="40" t="n">
        <v>243</v>
      </c>
      <c r="B246" s="60" t="n">
        <v>46264.32907388889</v>
      </c>
      <c r="C246" s="61" t="inlineStr">
        <is>
          <t>EMP-NV11</t>
        </is>
      </c>
      <c r="D246" s="41" t="inlineStr">
        <is>
          <t>Phùng Công Thắng</t>
        </is>
      </c>
      <c r="E246" s="61" t="inlineStr">
        <is>
          <t>M-FUJI-01</t>
        </is>
      </c>
      <c r="F246" s="41" t="inlineStr">
        <is>
          <t>Phùng Công Thắng</t>
        </is>
      </c>
      <c r="G246" s="61" t="inlineStr">
        <is>
          <t>OP-GEN-01</t>
        </is>
      </c>
      <c r="H246" s="41" t="inlineStr">
        <is>
          <t>Win-Win</t>
        </is>
      </c>
      <c r="I246" s="41" t="inlineStr">
        <is>
          <t>ISHIZUE 267Dw800</t>
        </is>
      </c>
      <c r="J246" s="40" t="inlineStr">
        <is>
          <t>PO-1186</t>
        </is>
      </c>
      <c r="K246" s="41" t="inlineStr">
        <is>
          <t>G/c hoàn thiện</t>
        </is>
      </c>
      <c r="L246" s="44" t="n">
        <v>55800</v>
      </c>
      <c r="M246" s="62" t="n">
        <v>5</v>
      </c>
      <c r="N246" s="44" t="n">
        <v>1</v>
      </c>
      <c r="O246" s="63" t="n">
        <v>8</v>
      </c>
      <c r="P246" s="64">
        <f>L246*M246</f>
        <v/>
      </c>
      <c r="Q246" s="41" t="inlineStr">
        <is>
          <t>Chíp  R5 THREADEX- P3200</t>
        </is>
      </c>
      <c r="R246" s="44" t="n">
        <v>0</v>
      </c>
      <c r="S246" s="65" t="inlineStr">
        <is>
          <t>ĐÚNG</t>
        </is>
      </c>
      <c r="T246" s="41" t="inlineStr">
        <is>
          <t>Đã xong nguyên công</t>
        </is>
      </c>
      <c r="U246" t="inlineStr">
        <is>
          <t>ĐÃ DUYỆT</t>
        </is>
      </c>
      <c r="V246" t="inlineStr">
        <is>
          <t>ĐÃ PHÊ DUYỆT</t>
        </is>
      </c>
      <c r="W246" t="inlineStr">
        <is>
          <t>🔒 ĐÃ KHÓA</t>
        </is>
      </c>
    </row>
    <row r="247" ht="21" customHeight="1" s="75">
      <c r="A247" s="46" t="n">
        <v>244</v>
      </c>
      <c r="B247" s="66" t="n">
        <v>46264.41251763889</v>
      </c>
      <c r="C247" s="61" t="inlineStr">
        <is>
          <t>EMP-NV12</t>
        </is>
      </c>
      <c r="D247" s="47" t="inlineStr">
        <is>
          <t>Phùng Công Thắng</t>
        </is>
      </c>
      <c r="E247" s="61" t="inlineStr">
        <is>
          <t>M-KHYOS-01</t>
        </is>
      </c>
      <c r="F247" s="47" t="inlineStr">
        <is>
          <t>Phùng Công Thắng</t>
        </is>
      </c>
      <c r="G247" s="61" t="inlineStr">
        <is>
          <t>OP-OPDAO-NC1</t>
        </is>
      </c>
      <c r="H247" s="47" t="inlineStr">
        <is>
          <t>Luợng- KS Tường Long</t>
        </is>
      </c>
      <c r="I247" s="47" t="inlineStr">
        <is>
          <t>Ốp dao nhào trên (Bộ bên trái)</t>
        </is>
      </c>
      <c r="J247" s="46" t="inlineStr">
        <is>
          <t>PO-7432</t>
        </is>
      </c>
      <c r="K247" s="47" t="inlineStr">
        <is>
          <t>G/c khan taro M14</t>
        </is>
      </c>
      <c r="L247" s="50" t="n">
        <v>63767</v>
      </c>
      <c r="M247" s="67" t="n">
        <v>8</v>
      </c>
      <c r="N247" s="50" t="n">
        <v>0</v>
      </c>
      <c r="O247" s="68" t="n">
        <v>8</v>
      </c>
      <c r="P247" s="64">
        <f>L247*M247</f>
        <v/>
      </c>
      <c r="Q247" s="47" t="inlineStr">
        <is>
          <t>Mũi khoan</t>
        </is>
      </c>
      <c r="R247" s="50" t="n">
        <v>0</v>
      </c>
      <c r="S247" s="46" t="inlineStr">
        <is>
          <t>SAI</t>
        </is>
      </c>
      <c r="T247" s="47" t="inlineStr">
        <is>
          <t>Đang gia công dở dang, chuyển ca sau</t>
        </is>
      </c>
      <c r="U247" t="inlineStr">
        <is>
          <t>ĐÃ DUYỆT</t>
        </is>
      </c>
      <c r="V247" t="inlineStr">
        <is>
          <t>ĐÃ PHÊ DUYỆT</t>
        </is>
      </c>
      <c r="W247" t="inlineStr">
        <is>
          <t>🔒 ĐÃ KHÓA</t>
        </is>
      </c>
    </row>
    <row r="248" ht="21" customHeight="1" s="75">
      <c r="A248" s="40" t="n">
        <v>245</v>
      </c>
      <c r="B248" s="60" t="n">
        <v>46264.41302842592</v>
      </c>
      <c r="C248" s="61" t="inlineStr">
        <is>
          <t>EMP-NV12</t>
        </is>
      </c>
      <c r="D248" s="41" t="inlineStr">
        <is>
          <t>Phùng Công Thắng</t>
        </is>
      </c>
      <c r="E248" s="61" t="inlineStr">
        <is>
          <t>M-KHYOS-01</t>
        </is>
      </c>
      <c r="F248" s="41" t="inlineStr">
        <is>
          <t>Phùng Công Thắng</t>
        </is>
      </c>
      <c r="G248" s="61" t="inlineStr">
        <is>
          <t>OP-SEALB-NC4</t>
        </is>
      </c>
      <c r="H248" s="41" t="inlineStr">
        <is>
          <t>Thyssen</t>
        </is>
      </c>
      <c r="I248" s="41" t="inlineStr">
        <is>
          <t>Sealing trip, below</t>
        </is>
      </c>
      <c r="J248" s="40" t="inlineStr">
        <is>
          <t>PO-3621</t>
        </is>
      </c>
      <c r="K248" s="41" t="inlineStr">
        <is>
          <t>G/c khoan lỗ phi 14/2 lỗ</t>
        </is>
      </c>
      <c r="L248" s="44" t="n">
        <v>26148</v>
      </c>
      <c r="M248" s="62" t="n">
        <v>18</v>
      </c>
      <c r="N248" s="44" t="n">
        <v>0</v>
      </c>
      <c r="O248" s="63" t="n">
        <v>8</v>
      </c>
      <c r="P248" s="64">
        <f>L248*M248</f>
        <v/>
      </c>
      <c r="Q248" s="41" t="inlineStr">
        <is>
          <t>Mũi khoan</t>
        </is>
      </c>
      <c r="R248" s="44" t="n">
        <v>0</v>
      </c>
      <c r="S248" s="65" t="inlineStr">
        <is>
          <t>ĐÚNG</t>
        </is>
      </c>
      <c r="T248" s="41" t="inlineStr">
        <is>
          <t>Đã xong nguyên công</t>
        </is>
      </c>
      <c r="U248" t="inlineStr">
        <is>
          <t>ĐÃ DUYỆT</t>
        </is>
      </c>
      <c r="V248" t="inlineStr">
        <is>
          <t>ĐÃ PHÊ DUYỆT</t>
        </is>
      </c>
      <c r="W248" t="inlineStr">
        <is>
          <t>🔒 ĐÃ KHÓA</t>
        </is>
      </c>
    </row>
    <row r="249" ht="21" customHeight="1" s="75">
      <c r="A249" s="46" t="n">
        <v>246</v>
      </c>
      <c r="B249" s="66" t="n">
        <v>46264.4138828125</v>
      </c>
      <c r="C249" s="61" t="inlineStr">
        <is>
          <t>EMP-NV12</t>
        </is>
      </c>
      <c r="D249" s="47" t="inlineStr">
        <is>
          <t>Phùng Công Thắng</t>
        </is>
      </c>
      <c r="E249" s="61" t="inlineStr">
        <is>
          <t>M-DK7745-01</t>
        </is>
      </c>
      <c r="F249" s="47" t="inlineStr">
        <is>
          <t>Phùng Công Thắng</t>
        </is>
      </c>
      <c r="G249" s="61" t="inlineStr">
        <is>
          <t>OP-GEN-01</t>
        </is>
      </c>
      <c r="H249" s="47" t="inlineStr">
        <is>
          <t>Vico- QLTB</t>
        </is>
      </c>
      <c r="I249" s="47" t="inlineStr">
        <is>
          <t>Mẫu Thử CR &amp; hàng #</t>
        </is>
      </c>
      <c r="J249" s="46" t="inlineStr">
        <is>
          <t>PO-7427</t>
        </is>
      </c>
      <c r="K249" s="47" t="inlineStr">
        <is>
          <t>G/c hoàn thiện</t>
        </is>
      </c>
      <c r="L249" s="50" t="n">
        <v>83700</v>
      </c>
      <c r="M249" s="67" t="n">
        <v>4</v>
      </c>
      <c r="N249" s="50" t="n">
        <v>0</v>
      </c>
      <c r="O249" s="68" t="n">
        <v>4</v>
      </c>
      <c r="P249" s="64">
        <f>L249*M249</f>
        <v/>
      </c>
      <c r="Q249" s="47" t="inlineStr">
        <is>
          <t>Dây cắt CNC</t>
        </is>
      </c>
      <c r="R249" s="50" t="n">
        <v>0</v>
      </c>
      <c r="S249" s="65" t="inlineStr">
        <is>
          <t>ĐÚNG</t>
        </is>
      </c>
      <c r="T249" s="47" t="inlineStr">
        <is>
          <t>Đã xong nguyên công</t>
        </is>
      </c>
      <c r="U249" t="inlineStr">
        <is>
          <t>ĐÃ DUYỆT</t>
        </is>
      </c>
      <c r="V249" t="inlineStr">
        <is>
          <t>ĐÃ PHÊ DUYỆT</t>
        </is>
      </c>
      <c r="W249" t="inlineStr">
        <is>
          <t>🔒 ĐÃ KHÓA</t>
        </is>
      </c>
    </row>
    <row r="250" ht="21" customHeight="1" s="75">
      <c r="A250" s="40" t="n">
        <v>247</v>
      </c>
      <c r="B250" s="60" t="n">
        <v>46264.65835049769</v>
      </c>
      <c r="C250" s="61" t="inlineStr">
        <is>
          <t>EMP-NV12</t>
        </is>
      </c>
      <c r="D250" s="41" t="inlineStr">
        <is>
          <t>Phùng Công Thắng</t>
        </is>
      </c>
      <c r="E250" s="61" t="inlineStr">
        <is>
          <t>M-TCNC1-01</t>
        </is>
      </c>
      <c r="F250" s="41" t="inlineStr">
        <is>
          <t>Phùng Công Thắng</t>
        </is>
      </c>
      <c r="G250" s="61" t="inlineStr">
        <is>
          <t>OP-GEN-01</t>
        </is>
      </c>
      <c r="H250" s="41" t="inlineStr">
        <is>
          <t>Vico- QLTB</t>
        </is>
      </c>
      <c r="I250" s="41" t="inlineStr">
        <is>
          <t>Mẫu Thử CR &amp; hàng #</t>
        </is>
      </c>
      <c r="J250" s="40" t="inlineStr">
        <is>
          <t>PO-4451</t>
        </is>
      </c>
      <c r="K250" s="41" t="inlineStr">
        <is>
          <t>G/c hoàn thiện</t>
        </is>
      </c>
      <c r="L250" s="44" t="n">
        <v>83700</v>
      </c>
      <c r="M250" s="62" t="n">
        <v>6</v>
      </c>
      <c r="N250" s="44" t="n">
        <v>0</v>
      </c>
      <c r="O250" s="63" t="n">
        <v>8</v>
      </c>
      <c r="P250" s="64">
        <f>L250*M250</f>
        <v/>
      </c>
      <c r="Q250" s="41" t="inlineStr">
        <is>
          <t>Dây cắt CNC</t>
        </is>
      </c>
      <c r="R250" s="44" t="n">
        <v>0</v>
      </c>
      <c r="S250" s="65" t="inlineStr">
        <is>
          <t>ĐÚNG</t>
        </is>
      </c>
      <c r="T250" s="41" t="inlineStr">
        <is>
          <t>Đã xong nguyên công</t>
        </is>
      </c>
      <c r="U250" t="inlineStr">
        <is>
          <t>ĐÃ DUYỆT</t>
        </is>
      </c>
      <c r="V250" t="inlineStr">
        <is>
          <t>ĐÃ PHÊ DUYỆT</t>
        </is>
      </c>
      <c r="W250" t="inlineStr">
        <is>
          <t>🔒 ĐÃ KHÓA</t>
        </is>
      </c>
    </row>
    <row r="251" ht="21" customHeight="1" s="75">
      <c r="A251" s="46" t="n">
        <v>248</v>
      </c>
      <c r="B251" s="66" t="n">
        <v>46264.65897412037</v>
      </c>
      <c r="C251" s="61" t="inlineStr">
        <is>
          <t>EMP-NV12</t>
        </is>
      </c>
      <c r="D251" s="47" t="inlineStr">
        <is>
          <t>Phùng Công Thắng</t>
        </is>
      </c>
      <c r="E251" s="61" t="inlineStr">
        <is>
          <t>M-FUJI-01</t>
        </is>
      </c>
      <c r="F251" s="47" t="inlineStr">
        <is>
          <t>Phùng Công Thắng</t>
        </is>
      </c>
      <c r="G251" s="61" t="inlineStr">
        <is>
          <t>OP-GEN-01</t>
        </is>
      </c>
      <c r="H251" s="47" t="inlineStr">
        <is>
          <t>Win-Win</t>
        </is>
      </c>
      <c r="I251" s="47" t="inlineStr">
        <is>
          <t>ISHIZUE 267Dw700</t>
        </is>
      </c>
      <c r="J251" s="46" t="inlineStr">
        <is>
          <t>PO-9238</t>
        </is>
      </c>
      <c r="K251" s="47" t="inlineStr">
        <is>
          <t>G/c hoàn thiện</t>
        </is>
      </c>
      <c r="L251" s="50" t="n">
        <v>55800</v>
      </c>
      <c r="M251" s="67" t="n">
        <v>3</v>
      </c>
      <c r="N251" s="50" t="n">
        <v>0</v>
      </c>
      <c r="O251" s="68" t="n">
        <v>4</v>
      </c>
      <c r="P251" s="64">
        <f>L251*M251</f>
        <v/>
      </c>
      <c r="Q251" s="47" t="inlineStr">
        <is>
          <t>Chíp  Pramet (6 cạnh)</t>
        </is>
      </c>
      <c r="R251" s="50" t="n">
        <v>0</v>
      </c>
      <c r="S251" s="65" t="inlineStr">
        <is>
          <t>ĐÚNG</t>
        </is>
      </c>
      <c r="T251" s="47" t="inlineStr">
        <is>
          <t>Đã xong nguyên công</t>
        </is>
      </c>
      <c r="U251" t="inlineStr">
        <is>
          <t>ĐÃ DUYỆT</t>
        </is>
      </c>
      <c r="V251" t="inlineStr">
        <is>
          <t>ĐÃ PHÊ DUYỆT</t>
        </is>
      </c>
      <c r="W251" t="inlineStr">
        <is>
          <t>🔒 ĐÃ KHÓA</t>
        </is>
      </c>
    </row>
    <row r="252" ht="21" customHeight="1" s="75">
      <c r="A252" s="40" t="n">
        <v>249</v>
      </c>
      <c r="B252" s="60" t="n">
        <v>46264.65943398148</v>
      </c>
      <c r="C252" s="61" t="inlineStr">
        <is>
          <t>EMP-NV12</t>
        </is>
      </c>
      <c r="D252" s="41" t="inlineStr">
        <is>
          <t>Phùng Công Thắng</t>
        </is>
      </c>
      <c r="E252" s="61" t="inlineStr">
        <is>
          <t>M-FUJI-01</t>
        </is>
      </c>
      <c r="F252" s="41" t="inlineStr">
        <is>
          <t>Phùng Công Thắng</t>
        </is>
      </c>
      <c r="G252" s="61" t="inlineStr">
        <is>
          <t>OP-GEN-01</t>
        </is>
      </c>
      <c r="H252" s="41" t="inlineStr">
        <is>
          <t>Win-Win</t>
        </is>
      </c>
      <c r="I252" s="41" t="inlineStr">
        <is>
          <t>ISHIZUE 267Dw800</t>
        </is>
      </c>
      <c r="J252" s="40" t="inlineStr">
        <is>
          <t>PO-3438</t>
        </is>
      </c>
      <c r="K252" s="41" t="inlineStr">
        <is>
          <t>G/c hoàn thiện</t>
        </is>
      </c>
      <c r="L252" s="44" t="n">
        <v>55800</v>
      </c>
      <c r="M252" s="62" t="n">
        <v>10</v>
      </c>
      <c r="N252" s="44" t="n">
        <v>0</v>
      </c>
      <c r="O252" s="63" t="n">
        <v>8</v>
      </c>
      <c r="P252" s="64">
        <f>L252*M252</f>
        <v/>
      </c>
      <c r="Q252" s="41" t="inlineStr">
        <is>
          <t>Chíp  Pramet (6 cạnh)</t>
        </is>
      </c>
      <c r="R252" s="44" t="n">
        <v>0</v>
      </c>
      <c r="S252" s="65" t="inlineStr">
        <is>
          <t>ĐÚNG</t>
        </is>
      </c>
      <c r="T252" s="41" t="inlineStr">
        <is>
          <t>Đã xong nguyên công</t>
        </is>
      </c>
      <c r="U252" t="inlineStr">
        <is>
          <t>ĐÃ DUYỆT</t>
        </is>
      </c>
      <c r="V252" t="inlineStr">
        <is>
          <t>ĐÃ PHÊ DUYỆT</t>
        </is>
      </c>
      <c r="W252" t="inlineStr">
        <is>
          <t>🔒 ĐÃ KHÓA</t>
        </is>
      </c>
    </row>
    <row r="253" ht="21" customHeight="1" s="75">
      <c r="A253" s="46" t="n">
        <v>250</v>
      </c>
      <c r="B253" s="66" t="n">
        <v>46264.66019166667</v>
      </c>
      <c r="C253" s="61" t="inlineStr">
        <is>
          <t>EMP-NV02</t>
        </is>
      </c>
      <c r="D253" s="47" t="inlineStr">
        <is>
          <t>Phùng Công Thắng</t>
        </is>
      </c>
      <c r="E253" s="61" t="inlineStr">
        <is>
          <t>M-DK7780-01</t>
        </is>
      </c>
      <c r="F253" s="47" t="inlineStr">
        <is>
          <t>Phùng Công Thắng</t>
        </is>
      </c>
      <c r="G253" s="61" t="inlineStr">
        <is>
          <t>OP-GEN-01</t>
        </is>
      </c>
      <c r="H253" s="47" t="inlineStr">
        <is>
          <t>Vico- QLTB</t>
        </is>
      </c>
      <c r="I253" s="47" t="inlineStr">
        <is>
          <t>Mẫu Thử CR &amp; hàng #</t>
        </is>
      </c>
      <c r="J253" s="46" t="inlineStr">
        <is>
          <t>PO-6097</t>
        </is>
      </c>
      <c r="K253" s="47" t="inlineStr">
        <is>
          <t>G/c hoàn thiện</t>
        </is>
      </c>
      <c r="L253" s="50" t="n">
        <v>83700</v>
      </c>
      <c r="M253" s="67" t="n">
        <v>6</v>
      </c>
      <c r="N253" s="50" t="n">
        <v>0</v>
      </c>
      <c r="O253" s="68" t="n">
        <v>8</v>
      </c>
      <c r="P253" s="64">
        <f>L253*M253</f>
        <v/>
      </c>
      <c r="Q253" s="47" t="inlineStr">
        <is>
          <t>Dây cắt CNC</t>
        </is>
      </c>
      <c r="R253" s="50" t="n">
        <v>0</v>
      </c>
      <c r="S253" s="65" t="inlineStr">
        <is>
          <t>ĐÚNG</t>
        </is>
      </c>
      <c r="T253" s="47" t="inlineStr">
        <is>
          <t>Đã xong nguyên công</t>
        </is>
      </c>
      <c r="U253" t="inlineStr">
        <is>
          <t>ĐÃ DUYỆT</t>
        </is>
      </c>
      <c r="V253" t="inlineStr">
        <is>
          <t>ĐÃ PHÊ DUYỆT</t>
        </is>
      </c>
      <c r="W253" t="inlineStr">
        <is>
          <t>🔒 ĐÃ KHÓA</t>
        </is>
      </c>
    </row>
    <row r="254" ht="21" customHeight="1" s="75">
      <c r="A254" s="40" t="n">
        <v>251</v>
      </c>
      <c r="B254" s="60" t="n">
        <v>46264.66112533565</v>
      </c>
      <c r="C254" s="61" t="inlineStr">
        <is>
          <t>EMP-NV02</t>
        </is>
      </c>
      <c r="D254" s="41" t="inlineStr">
        <is>
          <t>Phùng Công Thắng</t>
        </is>
      </c>
      <c r="E254" s="61" t="inlineStr">
        <is>
          <t>M-FUJI-01</t>
        </is>
      </c>
      <c r="F254" s="41" t="inlineStr">
        <is>
          <t>Phùng Công Thắng</t>
        </is>
      </c>
      <c r="G254" s="61" t="inlineStr">
        <is>
          <t>OP-ISH355-NC3</t>
        </is>
      </c>
      <c r="H254" s="41" t="inlineStr">
        <is>
          <t>Win-Win</t>
        </is>
      </c>
      <c r="I254" s="41" t="inlineStr">
        <is>
          <t>Mold of Ishizue omega 355,6-1060</t>
        </is>
      </c>
      <c r="J254" s="40" t="inlineStr">
        <is>
          <t>PO-7869</t>
        </is>
      </c>
      <c r="K254" s="41" t="inlineStr">
        <is>
          <t>G/c tiện hoàn thiện góc 45 độ</t>
        </is>
      </c>
      <c r="L254" s="44" t="n">
        <v>37200</v>
      </c>
      <c r="M254" s="62" t="n">
        <v>3</v>
      </c>
      <c r="N254" s="44" t="n">
        <v>0</v>
      </c>
      <c r="O254" s="63" t="n">
        <v>4</v>
      </c>
      <c r="P254" s="64">
        <f>L254*M254</f>
        <v/>
      </c>
      <c r="Q254" s="41" t="inlineStr">
        <is>
          <t>Chíp  R4 THREADEX- P3200 ( chíp cầu ) cán D12</t>
        </is>
      </c>
      <c r="R254" s="44" t="n">
        <v>0</v>
      </c>
      <c r="S254" s="65" t="inlineStr">
        <is>
          <t>ĐÚNG</t>
        </is>
      </c>
      <c r="T254" s="41" t="inlineStr">
        <is>
          <t>Đã xong nguyên công</t>
        </is>
      </c>
      <c r="U254" t="inlineStr">
        <is>
          <t>ĐÃ DUYỆT</t>
        </is>
      </c>
      <c r="V254" t="inlineStr">
        <is>
          <t>ĐÃ PHÊ DUYỆT</t>
        </is>
      </c>
      <c r="W254" t="inlineStr">
        <is>
          <t>🔒 ĐÃ KHÓA</t>
        </is>
      </c>
    </row>
    <row r="255" ht="21" customHeight="1" s="75">
      <c r="A255" s="46" t="n">
        <v>252</v>
      </c>
      <c r="B255" s="66" t="n">
        <v>46264.66177011574</v>
      </c>
      <c r="C255" s="61" t="inlineStr">
        <is>
          <t>EMP-NV02</t>
        </is>
      </c>
      <c r="D255" s="47" t="inlineStr">
        <is>
          <t>Phùng Công Thắng</t>
        </is>
      </c>
      <c r="E255" s="61" t="inlineStr">
        <is>
          <t>M-FUJI-01</t>
        </is>
      </c>
      <c r="F255" s="47" t="inlineStr">
        <is>
          <t>Phùng Công Thắng</t>
        </is>
      </c>
      <c r="G255" s="61" t="inlineStr">
        <is>
          <t>OP-GEN-01</t>
        </is>
      </c>
      <c r="H255" s="47" t="inlineStr">
        <is>
          <t>Win-Win</t>
        </is>
      </c>
      <c r="I255" s="47" t="inlineStr">
        <is>
          <t>Mold of Ishizue omega 267,4-950</t>
        </is>
      </c>
      <c r="J255" s="46" t="inlineStr">
        <is>
          <t>PO-7260</t>
        </is>
      </c>
      <c r="K255" s="47" t="inlineStr">
        <is>
          <t>G/c tiện hoàn thiện góc 45 độ</t>
        </is>
      </c>
      <c r="L255" s="50" t="n">
        <v>37200</v>
      </c>
      <c r="M255" s="67" t="n">
        <v>3</v>
      </c>
      <c r="N255" s="50" t="n">
        <v>0</v>
      </c>
      <c r="O255" s="68" t="n">
        <v>4</v>
      </c>
      <c r="P255" s="64">
        <f>L255*M255</f>
        <v/>
      </c>
      <c r="Q255" s="47" t="inlineStr">
        <is>
          <t>Chíp  R4 THREADEX- P3200 ( chíp cầu ) cán D12</t>
        </is>
      </c>
      <c r="R255" s="50" t="n">
        <v>0</v>
      </c>
      <c r="S255" s="65" t="inlineStr">
        <is>
          <t>ĐÚNG</t>
        </is>
      </c>
      <c r="T255" s="47" t="inlineStr">
        <is>
          <t>Đã xong nguyên công</t>
        </is>
      </c>
      <c r="U255" t="inlineStr">
        <is>
          <t>ĐÃ DUYỆT</t>
        </is>
      </c>
      <c r="V255" t="inlineStr">
        <is>
          <t>ĐÃ PHÊ DUYỆT</t>
        </is>
      </c>
      <c r="W255" t="inlineStr">
        <is>
          <t>🔒 ĐÃ KHÓA</t>
        </is>
      </c>
    </row>
    <row r="256" ht="21" customHeight="1" s="75">
      <c r="A256" s="40" t="n">
        <v>253</v>
      </c>
      <c r="B256" s="60" t="n">
        <v>46268.04902310185</v>
      </c>
      <c r="C256" s="61" t="inlineStr">
        <is>
          <t>EMP-NV03</t>
        </is>
      </c>
      <c r="D256" s="41" t="inlineStr">
        <is>
          <t>Phùng Công Thắng</t>
        </is>
      </c>
      <c r="E256" s="61" t="inlineStr">
        <is>
          <t>M-FUJI-01</t>
        </is>
      </c>
      <c r="F256" s="41" t="inlineStr">
        <is>
          <t>Phùng Công Thắng</t>
        </is>
      </c>
      <c r="G256" s="61" t="inlineStr">
        <is>
          <t>OP-GEN-01</t>
        </is>
      </c>
      <c r="H256" s="41" t="inlineStr">
        <is>
          <t>Win-Win</t>
        </is>
      </c>
      <c r="I256" s="41" t="inlineStr">
        <is>
          <t>ISHIZUE 267Dw700</t>
        </is>
      </c>
      <c r="J256" s="40" t="inlineStr">
        <is>
          <t>PO-3897</t>
        </is>
      </c>
      <c r="K256" s="41" t="inlineStr">
        <is>
          <t>G/c hoàn thiện</t>
        </is>
      </c>
      <c r="L256" s="44" t="n">
        <v>55800</v>
      </c>
      <c r="M256" s="62" t="n">
        <v>1</v>
      </c>
      <c r="N256" s="44" t="n">
        <v>0</v>
      </c>
      <c r="O256" s="63" t="n">
        <v>4</v>
      </c>
      <c r="P256" s="64">
        <f>L256*M256</f>
        <v/>
      </c>
      <c r="Q256" s="41" t="inlineStr">
        <is>
          <t>Chíp  R5 THREADEX- P3200</t>
        </is>
      </c>
      <c r="R256" s="44" t="n">
        <v>1</v>
      </c>
      <c r="S256" s="65" t="inlineStr">
        <is>
          <t>ĐÚNG</t>
        </is>
      </c>
      <c r="T256" s="41" t="inlineStr">
        <is>
          <t>Đã xong nguyên công</t>
        </is>
      </c>
      <c r="U256" t="inlineStr">
        <is>
          <t>ĐÃ DUYỆT</t>
        </is>
      </c>
      <c r="V256" t="inlineStr">
        <is>
          <t>ĐÃ PHÊ DUYỆT</t>
        </is>
      </c>
      <c r="W256" t="inlineStr">
        <is>
          <t>🔒 ĐÃ KHÓA</t>
        </is>
      </c>
    </row>
    <row r="257" ht="21" customHeight="1" s="75">
      <c r="A257" s="46" t="n">
        <v>254</v>
      </c>
      <c r="B257" s="66" t="n">
        <v>46268.05040417824</v>
      </c>
      <c r="C257" s="61" t="inlineStr">
        <is>
          <t>EMP-NV03</t>
        </is>
      </c>
      <c r="D257" s="47" t="inlineStr">
        <is>
          <t>Phùng Công Thắng</t>
        </is>
      </c>
      <c r="E257" s="61" t="inlineStr">
        <is>
          <t>M-FUJI-01</t>
        </is>
      </c>
      <c r="F257" s="47" t="inlineStr">
        <is>
          <t>Phùng Công Thắng</t>
        </is>
      </c>
      <c r="G257" s="61" t="inlineStr">
        <is>
          <t>OP-GEN-01</t>
        </is>
      </c>
      <c r="H257" s="47" t="inlineStr">
        <is>
          <t>Win-Win</t>
        </is>
      </c>
      <c r="I257" s="47" t="inlineStr">
        <is>
          <t>ISHIZUE 267Dw800</t>
        </is>
      </c>
      <c r="J257" s="46" t="inlineStr">
        <is>
          <t>PO-5438</t>
        </is>
      </c>
      <c r="K257" s="47" t="inlineStr">
        <is>
          <t>G/c hoàn thiện</t>
        </is>
      </c>
      <c r="L257" s="50" t="n">
        <v>50000</v>
      </c>
      <c r="M257" s="67" t="n">
        <v>0</v>
      </c>
      <c r="N257" s="50" t="n">
        <v>4</v>
      </c>
      <c r="O257" s="68" t="n">
        <v>4</v>
      </c>
      <c r="P257" s="64">
        <f>L257*M257</f>
        <v/>
      </c>
      <c r="Q257" s="47" t="inlineStr">
        <is>
          <t>Chíp  R5 THREADEX- P3200</t>
        </is>
      </c>
      <c r="R257" s="50" t="n">
        <v>0</v>
      </c>
      <c r="S257" s="65" t="inlineStr">
        <is>
          <t>ĐÚNG</t>
        </is>
      </c>
      <c r="T257" s="47" t="inlineStr">
        <is>
          <t>Đã xong nguyên công</t>
        </is>
      </c>
      <c r="U257" t="inlineStr">
        <is>
          <t>ĐÃ DUYỆT</t>
        </is>
      </c>
      <c r="V257" t="inlineStr">
        <is>
          <t>ĐÃ PHÊ DUYỆT</t>
        </is>
      </c>
      <c r="W257" t="inlineStr">
        <is>
          <t>🔒 ĐÃ KHÓA</t>
        </is>
      </c>
    </row>
    <row r="258" ht="21" customHeight="1" s="75">
      <c r="A258" s="40" t="n">
        <v>255</v>
      </c>
      <c r="B258" s="60" t="n">
        <v>46268.05154574074</v>
      </c>
      <c r="C258" s="61" t="inlineStr">
        <is>
          <t>EMP-NV03</t>
        </is>
      </c>
      <c r="D258" s="41" t="inlineStr">
        <is>
          <t>Phùng Công Thắng</t>
        </is>
      </c>
      <c r="E258" s="61" t="inlineStr">
        <is>
          <t>M-FUJI-01</t>
        </is>
      </c>
      <c r="F258" s="41" t="inlineStr">
        <is>
          <t>Phùng Công Thắng</t>
        </is>
      </c>
      <c r="G258" s="61" t="inlineStr">
        <is>
          <t>OP-GEN-01</t>
        </is>
      </c>
      <c r="H258" s="41" t="inlineStr">
        <is>
          <t>Win-Win</t>
        </is>
      </c>
      <c r="I258" s="41" t="inlineStr">
        <is>
          <t>ISHIZUE 267Dw700</t>
        </is>
      </c>
      <c r="J258" s="40" t="inlineStr">
        <is>
          <t>PO-2648</t>
        </is>
      </c>
      <c r="K258" s="41" t="inlineStr">
        <is>
          <t>G/c hoàn thiện</t>
        </is>
      </c>
      <c r="L258" s="44" t="n">
        <v>50000</v>
      </c>
      <c r="M258" s="62" t="n">
        <v>0</v>
      </c>
      <c r="N258" s="44" t="n">
        <v>3</v>
      </c>
      <c r="O258" s="63" t="n">
        <v>4</v>
      </c>
      <c r="P258" s="64">
        <f>L258*M258</f>
        <v/>
      </c>
      <c r="Q258" s="41" t="inlineStr">
        <is>
          <t>Chíp  R5 THREADEX- P3200</t>
        </is>
      </c>
      <c r="R258" s="44" t="n">
        <v>0</v>
      </c>
      <c r="S258" s="65" t="inlineStr">
        <is>
          <t>ĐÚNG</t>
        </is>
      </c>
      <c r="T258" s="41" t="inlineStr">
        <is>
          <t>Đã xong nguyên công</t>
        </is>
      </c>
      <c r="U258" t="inlineStr">
        <is>
          <t>ĐÃ DUYỆT</t>
        </is>
      </c>
      <c r="V258" t="inlineStr">
        <is>
          <t>ĐÃ PHÊ DUYỆT</t>
        </is>
      </c>
      <c r="W258" t="inlineStr">
        <is>
          <t>🔒 ĐÃ KHÓA</t>
        </is>
      </c>
    </row>
    <row r="259" ht="21" customHeight="1" s="75">
      <c r="A259" s="46" t="n">
        <v>256</v>
      </c>
      <c r="B259" s="66" t="n">
        <v>46268.21007467592</v>
      </c>
      <c r="C259" s="61" t="inlineStr">
        <is>
          <t>EMP-NV06</t>
        </is>
      </c>
      <c r="D259" s="47" t="inlineStr">
        <is>
          <t>Phùng Công Thắng</t>
        </is>
      </c>
      <c r="E259" s="61" t="inlineStr">
        <is>
          <t>M-FUJI-01</t>
        </is>
      </c>
      <c r="F259" s="47" t="inlineStr">
        <is>
          <t>Phùng Công Thắng</t>
        </is>
      </c>
      <c r="G259" s="61" t="inlineStr">
        <is>
          <t>OP-GEN-01</t>
        </is>
      </c>
      <c r="H259" s="47" t="inlineStr">
        <is>
          <t>Win-Win</t>
        </is>
      </c>
      <c r="I259" s="47" t="inlineStr">
        <is>
          <t>ISHIZUE 267Dw700</t>
        </is>
      </c>
      <c r="J259" s="46" t="inlineStr">
        <is>
          <t>PO-1867</t>
        </is>
      </c>
      <c r="K259" s="47" t="inlineStr">
        <is>
          <t>G/c hoàn thiện</t>
        </is>
      </c>
      <c r="L259" s="50" t="n">
        <v>55800</v>
      </c>
      <c r="M259" s="67" t="n">
        <v>11</v>
      </c>
      <c r="N259" s="50" t="n">
        <v>0</v>
      </c>
      <c r="O259" s="68" t="n">
        <v>8</v>
      </c>
      <c r="P259" s="64">
        <f>L259*M259</f>
        <v/>
      </c>
      <c r="Q259" s="47" t="inlineStr">
        <is>
          <t>Chíp  R5 THREADEX- P3200</t>
        </is>
      </c>
      <c r="R259" s="50" t="n">
        <v>0</v>
      </c>
      <c r="S259" s="65" t="inlineStr">
        <is>
          <t>ĐÚNG</t>
        </is>
      </c>
      <c r="T259" s="47" t="inlineStr">
        <is>
          <t>Đã xong nguyên công</t>
        </is>
      </c>
      <c r="U259" t="inlineStr">
        <is>
          <t>ĐÃ DUYỆT</t>
        </is>
      </c>
      <c r="V259" t="inlineStr">
        <is>
          <t>ĐÃ PHÊ DUYỆT</t>
        </is>
      </c>
      <c r="W259" t="inlineStr">
        <is>
          <t>🔒 ĐÃ KHÓA</t>
        </is>
      </c>
    </row>
    <row r="260" ht="21" customHeight="1" s="75">
      <c r="A260" s="40" t="n">
        <v>257</v>
      </c>
      <c r="B260" s="60" t="n">
        <v>46268.21130383102</v>
      </c>
      <c r="C260" s="61" t="inlineStr">
        <is>
          <t>EMP-NV06</t>
        </is>
      </c>
      <c r="D260" s="41" t="inlineStr">
        <is>
          <t>Phùng Công Thắng</t>
        </is>
      </c>
      <c r="E260" s="61" t="inlineStr">
        <is>
          <t>M-FUJI-01</t>
        </is>
      </c>
      <c r="F260" s="41" t="inlineStr">
        <is>
          <t>Phùng Công Thắng</t>
        </is>
      </c>
      <c r="G260" s="61" t="inlineStr">
        <is>
          <t>OP-ISH355-NC3</t>
        </is>
      </c>
      <c r="H260" s="41" t="inlineStr">
        <is>
          <t>Win-Win</t>
        </is>
      </c>
      <c r="I260" s="41" t="inlineStr">
        <is>
          <t>Mold of Ishizue omega 355,6-1060</t>
        </is>
      </c>
      <c r="J260" s="40" t="inlineStr">
        <is>
          <t>PO-9041</t>
        </is>
      </c>
      <c r="K260" s="41" t="inlineStr">
        <is>
          <t>G/c tiện hoàn thiện góc 45 độ</t>
        </is>
      </c>
      <c r="L260" s="44" t="n">
        <v>37200</v>
      </c>
      <c r="M260" s="62" t="n">
        <v>1</v>
      </c>
      <c r="N260" s="44" t="n">
        <v>0</v>
      </c>
      <c r="O260" s="63" t="n">
        <v>4</v>
      </c>
      <c r="P260" s="64">
        <f>L260*M260</f>
        <v/>
      </c>
      <c r="Q260" s="41" t="inlineStr">
        <is>
          <t>Chíp  R5 THREADEX- P3200</t>
        </is>
      </c>
      <c r="R260" s="44" t="n">
        <v>0</v>
      </c>
      <c r="S260" s="65" t="inlineStr">
        <is>
          <t>ĐÚNG</t>
        </is>
      </c>
      <c r="T260" s="41" t="inlineStr">
        <is>
          <t>Đã xong nguyên công</t>
        </is>
      </c>
      <c r="U260" t="inlineStr">
        <is>
          <t>ĐÃ DUYỆT</t>
        </is>
      </c>
      <c r="V260" t="inlineStr">
        <is>
          <t>ĐÃ PHÊ DUYỆT</t>
        </is>
      </c>
      <c r="W260" t="inlineStr">
        <is>
          <t>🔒 ĐÃ KHÓA</t>
        </is>
      </c>
    </row>
    <row r="261" ht="21" customHeight="1" s="75">
      <c r="A261" s="46" t="n">
        <v>258</v>
      </c>
      <c r="B261" s="66" t="n">
        <v>46268.21189622685</v>
      </c>
      <c r="C261" s="61" t="inlineStr">
        <is>
          <t>EMP-NV06</t>
        </is>
      </c>
      <c r="D261" s="47" t="inlineStr">
        <is>
          <t>Phùng Công Thắng</t>
        </is>
      </c>
      <c r="E261" s="61" t="inlineStr">
        <is>
          <t>M-DK7780-01</t>
        </is>
      </c>
      <c r="F261" s="47" t="inlineStr">
        <is>
          <t>Phùng Công Thắng</t>
        </is>
      </c>
      <c r="G261" s="61" t="inlineStr">
        <is>
          <t>OP-GEN-01</t>
        </is>
      </c>
      <c r="H261" s="47" t="inlineStr">
        <is>
          <t>Vico- QLTB</t>
        </is>
      </c>
      <c r="I261" s="47" t="inlineStr">
        <is>
          <t>Mẫu Thử CR &amp; hàng #</t>
        </is>
      </c>
      <c r="J261" s="46" t="inlineStr">
        <is>
          <t>PO-6383</t>
        </is>
      </c>
      <c r="K261" s="47" t="inlineStr">
        <is>
          <t>G/c hoàn thiện</t>
        </is>
      </c>
      <c r="L261" s="50" t="n">
        <v>83700</v>
      </c>
      <c r="M261" s="67" t="n">
        <v>6</v>
      </c>
      <c r="N261" s="50" t="n">
        <v>0</v>
      </c>
      <c r="O261" s="68" t="n">
        <v>8</v>
      </c>
      <c r="P261" s="64">
        <f>L261*M261</f>
        <v/>
      </c>
      <c r="Q261" s="47" t="inlineStr">
        <is>
          <t>Dây cắt CNC</t>
        </is>
      </c>
      <c r="R261" s="50" t="n">
        <v>0</v>
      </c>
      <c r="S261" s="65" t="inlineStr">
        <is>
          <t>ĐÚNG</t>
        </is>
      </c>
      <c r="T261" s="47" t="inlineStr">
        <is>
          <t>Đã xong nguyên công</t>
        </is>
      </c>
      <c r="U261" t="inlineStr">
        <is>
          <t>ĐÃ DUYỆT</t>
        </is>
      </c>
      <c r="V261" t="inlineStr">
        <is>
          <t>ĐÃ PHÊ DUYỆT</t>
        </is>
      </c>
      <c r="W261" t="inlineStr">
        <is>
          <t>🔒 ĐÃ KHÓA</t>
        </is>
      </c>
    </row>
    <row r="262" ht="21" customHeight="1" s="75">
      <c r="A262" s="40" t="n">
        <v>259</v>
      </c>
      <c r="B262" s="60" t="n">
        <v>46268.28829681713</v>
      </c>
      <c r="C262" s="61" t="inlineStr">
        <is>
          <t>EMP-NV08</t>
        </is>
      </c>
      <c r="D262" s="41" t="inlineStr">
        <is>
          <t>Phùng Công Thắng</t>
        </is>
      </c>
      <c r="E262" s="61" t="inlineStr">
        <is>
          <t>M-PCNC2-01</t>
        </is>
      </c>
      <c r="F262" s="41" t="inlineStr">
        <is>
          <t>Phùng Công Thắng</t>
        </is>
      </c>
      <c r="G262" s="61" t="inlineStr">
        <is>
          <t>OP-SEALB-NC4</t>
        </is>
      </c>
      <c r="H262" s="41" t="inlineStr">
        <is>
          <t>Thyssen</t>
        </is>
      </c>
      <c r="I262" s="41" t="inlineStr">
        <is>
          <t>Sealing strip, below</t>
        </is>
      </c>
      <c r="J262" s="40" t="inlineStr">
        <is>
          <t>PO-7728</t>
        </is>
      </c>
      <c r="K262" s="41" t="inlineStr">
        <is>
          <t>G/c phay Mp NC4 Kt 412mm</t>
        </is>
      </c>
      <c r="L262" s="44" t="n">
        <v>45000</v>
      </c>
      <c r="M262" s="62" t="n">
        <v>4</v>
      </c>
      <c r="N262" s="44" t="n">
        <v>0</v>
      </c>
      <c r="O262" s="63" t="n">
        <v>4</v>
      </c>
      <c r="P262" s="64">
        <f>L262*M262</f>
        <v/>
      </c>
      <c r="Q262" s="41" t="inlineStr">
        <is>
          <t>Không tiêu hao</t>
        </is>
      </c>
      <c r="R262" s="44" t="n">
        <v>0</v>
      </c>
      <c r="S262" s="65" t="inlineStr">
        <is>
          <t>ĐÚNG</t>
        </is>
      </c>
      <c r="T262" s="41" t="inlineStr">
        <is>
          <t>Đã xong nguyên công</t>
        </is>
      </c>
      <c r="U262" t="inlineStr">
        <is>
          <t>ĐÃ DUYỆT</t>
        </is>
      </c>
      <c r="V262" t="inlineStr">
        <is>
          <t>ĐÃ PHÊ DUYỆT</t>
        </is>
      </c>
      <c r="W262" t="inlineStr">
        <is>
          <t>🔒 ĐÃ KHÓA</t>
        </is>
      </c>
    </row>
    <row r="263" ht="21" customHeight="1" s="75">
      <c r="A263" s="46" t="n">
        <v>260</v>
      </c>
      <c r="B263" s="66" t="n">
        <v>46268.28868962963</v>
      </c>
      <c r="C263" s="61" t="inlineStr">
        <is>
          <t>EMP-NV08</t>
        </is>
      </c>
      <c r="D263" s="47" t="inlineStr">
        <is>
          <t>Phùng Công Thắng</t>
        </is>
      </c>
      <c r="E263" s="61" t="inlineStr">
        <is>
          <t>M-PCNC2-01</t>
        </is>
      </c>
      <c r="F263" s="47" t="inlineStr">
        <is>
          <t>Phùng Công Thắng</t>
        </is>
      </c>
      <c r="G263" s="61" t="inlineStr">
        <is>
          <t>OP-SEALB-NC1</t>
        </is>
      </c>
      <c r="H263" s="47" t="inlineStr">
        <is>
          <t>Thyssen</t>
        </is>
      </c>
      <c r="I263" s="47" t="inlineStr">
        <is>
          <t>Sealing strip, below</t>
        </is>
      </c>
      <c r="J263" s="46" t="inlineStr">
        <is>
          <t>PO-6897</t>
        </is>
      </c>
      <c r="K263" s="47" t="inlineStr">
        <is>
          <t>G/c phay Mp NC1 Kt 47mm</t>
        </is>
      </c>
      <c r="L263" s="50" t="n">
        <v>45000</v>
      </c>
      <c r="M263" s="67" t="n">
        <v>1</v>
      </c>
      <c r="N263" s="50" t="n">
        <v>0</v>
      </c>
      <c r="O263" s="68" t="n">
        <v>4</v>
      </c>
      <c r="P263" s="64">
        <f>L263*M263</f>
        <v/>
      </c>
      <c r="Q263" s="47" t="inlineStr">
        <is>
          <t>Không tiêu hao</t>
        </is>
      </c>
      <c r="R263" s="50" t="n">
        <v>0</v>
      </c>
      <c r="S263" s="46" t="inlineStr">
        <is>
          <t>SAI</t>
        </is>
      </c>
      <c r="T263" s="47" t="inlineStr">
        <is>
          <t>Đang gia công dở dang, chuyển ca sau</t>
        </is>
      </c>
      <c r="U263" t="inlineStr">
        <is>
          <t>ĐÃ DUYỆT</t>
        </is>
      </c>
      <c r="V263" t="inlineStr">
        <is>
          <t>ĐÃ PHÊ DUYỆT</t>
        </is>
      </c>
      <c r="W263" t="inlineStr">
        <is>
          <t>🔒 ĐÃ KHÓA</t>
        </is>
      </c>
    </row>
    <row r="264" ht="21" customHeight="1" s="75">
      <c r="A264" s="40" t="n">
        <v>261</v>
      </c>
      <c r="B264" s="60" t="n">
        <v>46268.2893221412</v>
      </c>
      <c r="C264" s="61" t="inlineStr">
        <is>
          <t>EMP-NV08</t>
        </is>
      </c>
      <c r="D264" s="41" t="inlineStr">
        <is>
          <t>Phùng Công Thắng</t>
        </is>
      </c>
      <c r="E264" s="61" t="inlineStr">
        <is>
          <t>M-PCNC2-01</t>
        </is>
      </c>
      <c r="F264" s="41" t="inlineStr">
        <is>
          <t>Phùng Công Thắng</t>
        </is>
      </c>
      <c r="G264" s="61" t="inlineStr">
        <is>
          <t>OP-GEN-01</t>
        </is>
      </c>
      <c r="H264" s="41" t="inlineStr">
        <is>
          <t>Vico- QLTB</t>
        </is>
      </c>
      <c r="I264" s="41" t="inlineStr">
        <is>
          <t>Khuôn chữ TFG</t>
        </is>
      </c>
      <c r="J264" s="40" t="inlineStr">
        <is>
          <t>PO-8702</t>
        </is>
      </c>
      <c r="K264" s="41" t="inlineStr">
        <is>
          <t>G/c hoàn thiện</t>
        </is>
      </c>
      <c r="L264" s="44" t="n">
        <v>669600</v>
      </c>
      <c r="M264" s="62" t="n">
        <v>1</v>
      </c>
      <c r="N264" s="44" t="n">
        <v>0</v>
      </c>
      <c r="O264" s="63" t="n">
        <v>4</v>
      </c>
      <c r="P264" s="64">
        <f>L264*M264</f>
        <v/>
      </c>
      <c r="Q264" s="41" t="inlineStr">
        <is>
          <t>Không tiêu hao</t>
        </is>
      </c>
      <c r="R264" s="44" t="n">
        <v>0</v>
      </c>
      <c r="S264" s="65" t="inlineStr">
        <is>
          <t>ĐÚNG</t>
        </is>
      </c>
      <c r="T264" s="41" t="inlineStr">
        <is>
          <t>Đã xong nguyên công</t>
        </is>
      </c>
      <c r="U264" t="inlineStr">
        <is>
          <t>ĐÃ DUYỆT</t>
        </is>
      </c>
      <c r="V264" t="inlineStr">
        <is>
          <t>ĐÃ PHÊ DUYỆT</t>
        </is>
      </c>
      <c r="W264" t="inlineStr">
        <is>
          <t>🔒 ĐÃ KHÓA</t>
        </is>
      </c>
    </row>
    <row r="265" ht="21" customHeight="1" s="75">
      <c r="A265" s="46" t="n">
        <v>262</v>
      </c>
      <c r="B265" s="66" t="n">
        <v>46268.28994052083</v>
      </c>
      <c r="C265" s="61" t="inlineStr">
        <is>
          <t>EMP-NV08</t>
        </is>
      </c>
      <c r="D265" s="47" t="inlineStr">
        <is>
          <t>Phùng Công Thắng</t>
        </is>
      </c>
      <c r="E265" s="61" t="inlineStr">
        <is>
          <t>M-PCNC1-01</t>
        </is>
      </c>
      <c r="F265" s="47" t="inlineStr">
        <is>
          <t>Phùng Công Thắng</t>
        </is>
      </c>
      <c r="G265" s="61" t="inlineStr">
        <is>
          <t>OP-GEN-01</t>
        </is>
      </c>
      <c r="H265" s="47" t="inlineStr">
        <is>
          <t>UCC</t>
        </is>
      </c>
      <c r="I265" s="47" t="inlineStr">
        <is>
          <t>4-210658-2</t>
        </is>
      </c>
      <c r="J265" s="46" t="inlineStr">
        <is>
          <t>PO-5566</t>
        </is>
      </c>
      <c r="K265" s="47" t="inlineStr">
        <is>
          <t>Gc phay mp tinh</t>
        </is>
      </c>
      <c r="L265" s="50" t="n">
        <v>45000</v>
      </c>
      <c r="M265" s="67" t="n">
        <v>3</v>
      </c>
      <c r="N265" s="50" t="n">
        <v>0</v>
      </c>
      <c r="O265" s="68" t="n">
        <v>4</v>
      </c>
      <c r="P265" s="64">
        <f>L265*M265</f>
        <v/>
      </c>
      <c r="Q265" s="47" t="inlineStr">
        <is>
          <t>Không tiêu hao</t>
        </is>
      </c>
      <c r="R265" s="50" t="n">
        <v>0</v>
      </c>
      <c r="S265" s="46" t="inlineStr">
        <is>
          <t>SAI</t>
        </is>
      </c>
      <c r="T265" s="47" t="inlineStr">
        <is>
          <t>Đang gia công dở dang, chuyển ca sau</t>
        </is>
      </c>
      <c r="U265" t="inlineStr">
        <is>
          <t>ĐÃ DUYỆT</t>
        </is>
      </c>
      <c r="V265" t="inlineStr">
        <is>
          <t>ĐÃ PHÊ DUYỆT</t>
        </is>
      </c>
      <c r="W265" t="inlineStr">
        <is>
          <t>🔒 ĐÃ KHÓA</t>
        </is>
      </c>
    </row>
    <row r="266" ht="21" customHeight="1" s="75">
      <c r="A266" s="40" t="n">
        <v>263</v>
      </c>
      <c r="B266" s="60" t="n">
        <v>46268.2902934375</v>
      </c>
      <c r="C266" s="61" t="inlineStr">
        <is>
          <t>EMP-NV08</t>
        </is>
      </c>
      <c r="D266" s="41" t="inlineStr">
        <is>
          <t>Phùng Công Thắng</t>
        </is>
      </c>
      <c r="E266" s="61" t="inlineStr">
        <is>
          <t>M-PCNC1-01</t>
        </is>
      </c>
      <c r="F266" s="41" t="inlineStr">
        <is>
          <t>Phùng Công Thắng</t>
        </is>
      </c>
      <c r="G266" s="61" t="inlineStr">
        <is>
          <t>OP-GEN-01</t>
        </is>
      </c>
      <c r="H266" s="41" t="inlineStr">
        <is>
          <t>UCC</t>
        </is>
      </c>
      <c r="I266" s="41" t="inlineStr">
        <is>
          <t>210768</t>
        </is>
      </c>
      <c r="J266" s="40" t="inlineStr">
        <is>
          <t>PO-2949</t>
        </is>
      </c>
      <c r="K266" s="41" t="inlineStr">
        <is>
          <t>G/c tinh sau tôi</t>
        </is>
      </c>
      <c r="L266" s="44" t="n">
        <v>209250</v>
      </c>
      <c r="M266" s="62" t="n">
        <v>2</v>
      </c>
      <c r="N266" s="44" t="n">
        <v>0</v>
      </c>
      <c r="O266" s="63" t="n">
        <v>4</v>
      </c>
      <c r="P266" s="64">
        <f>L266*M266</f>
        <v/>
      </c>
      <c r="Q266" s="41" t="inlineStr">
        <is>
          <t>Không tiêu hao</t>
        </is>
      </c>
      <c r="R266" s="44" t="n">
        <v>0</v>
      </c>
      <c r="S266" s="40" t="inlineStr">
        <is>
          <t>SAI</t>
        </is>
      </c>
      <c r="T266" s="41" t="inlineStr">
        <is>
          <t>Đang gia công dở dang, chuyển ca sau</t>
        </is>
      </c>
      <c r="U266" t="inlineStr">
        <is>
          <t>ĐÃ DUYỆT</t>
        </is>
      </c>
      <c r="V266" t="inlineStr">
        <is>
          <t>ĐÃ PHÊ DUYỆT</t>
        </is>
      </c>
      <c r="W266" t="inlineStr">
        <is>
          <t>🔒 ĐÃ KHÓA</t>
        </is>
      </c>
    </row>
    <row r="267" ht="21" customHeight="1" s="75">
      <c r="A267" s="46" t="n">
        <v>264</v>
      </c>
      <c r="B267" s="66" t="n">
        <v>46268.29085362268</v>
      </c>
      <c r="C267" s="61" t="inlineStr">
        <is>
          <t>EMP-NV08</t>
        </is>
      </c>
      <c r="D267" s="47" t="inlineStr">
        <is>
          <t>Phùng Công Thắng</t>
        </is>
      </c>
      <c r="E267" s="61" t="inlineStr">
        <is>
          <t>M-KHYOS-01</t>
        </is>
      </c>
      <c r="F267" s="47" t="inlineStr">
        <is>
          <t>Phùng Công Thắng</t>
        </is>
      </c>
      <c r="G267" s="61" t="inlineStr">
        <is>
          <t>OP-SEALB-NC4</t>
        </is>
      </c>
      <c r="H267" s="47" t="inlineStr">
        <is>
          <t>Thyssen</t>
        </is>
      </c>
      <c r="I267" s="47" t="inlineStr">
        <is>
          <t>Sealing strip, below</t>
        </is>
      </c>
      <c r="J267" s="46" t="inlineStr">
        <is>
          <t>PO-1776</t>
        </is>
      </c>
      <c r="K267" s="47" t="inlineStr">
        <is>
          <t>G/c khoan lỗ phi 14/2 lỗ</t>
        </is>
      </c>
      <c r="L267" s="50" t="n">
        <v>45000</v>
      </c>
      <c r="M267" s="67" t="n">
        <v>15</v>
      </c>
      <c r="N267" s="50" t="n">
        <v>0</v>
      </c>
      <c r="O267" s="68" t="n">
        <v>8</v>
      </c>
      <c r="P267" s="64">
        <f>L267*M267</f>
        <v/>
      </c>
      <c r="Q267" s="47" t="inlineStr">
        <is>
          <t>Không tiêu hao</t>
        </is>
      </c>
      <c r="R267" s="50" t="n">
        <v>0</v>
      </c>
      <c r="S267" s="65" t="inlineStr">
        <is>
          <t>ĐÚNG</t>
        </is>
      </c>
      <c r="T267" s="47" t="inlineStr">
        <is>
          <t>Đã xong nguyên công</t>
        </is>
      </c>
      <c r="U267" t="inlineStr">
        <is>
          <t>ĐÃ DUYỆT</t>
        </is>
      </c>
      <c r="V267" t="inlineStr">
        <is>
          <t>ĐÃ PHÊ DUYỆT</t>
        </is>
      </c>
      <c r="W267" t="inlineStr">
        <is>
          <t>🔒 ĐÃ KHÓA</t>
        </is>
      </c>
    </row>
    <row r="268" ht="21" customHeight="1" s="75">
      <c r="A268" s="40" t="n">
        <v>265</v>
      </c>
      <c r="B268" s="60" t="n">
        <v>46268.34662733796</v>
      </c>
      <c r="C268" s="61" t="inlineStr">
        <is>
          <t>EMP-NV11</t>
        </is>
      </c>
      <c r="D268" s="41" t="inlineStr">
        <is>
          <t>Phùng Công Thắng</t>
        </is>
      </c>
      <c r="E268" s="61" t="inlineStr">
        <is>
          <t>M-PODA-01</t>
        </is>
      </c>
      <c r="F268" s="41" t="inlineStr">
        <is>
          <t>Phùng Công Thắng</t>
        </is>
      </c>
      <c r="G268" s="61" t="inlineStr">
        <is>
          <t>OP-GEN-01</t>
        </is>
      </c>
      <c r="H268" s="41" t="inlineStr">
        <is>
          <t>Vico- QLTB</t>
        </is>
      </c>
      <c r="I268" s="41" t="inlineStr">
        <is>
          <t>Mẫu Thử CR &amp; hàng #</t>
        </is>
      </c>
      <c r="J268" s="40" t="inlineStr">
        <is>
          <t>PO-8993</t>
        </is>
      </c>
      <c r="K268" s="41" t="inlineStr">
        <is>
          <t>G/c hoàn thiện</t>
        </is>
      </c>
      <c r="L268" s="44" t="n">
        <v>83700</v>
      </c>
      <c r="M268" s="62" t="n">
        <v>5</v>
      </c>
      <c r="N268" s="44" t="n">
        <v>0</v>
      </c>
      <c r="O268" s="63" t="n">
        <v>8</v>
      </c>
      <c r="P268" s="64">
        <f>L268*M268</f>
        <v/>
      </c>
      <c r="Q268" s="41" t="inlineStr">
        <is>
          <t>Dây cắt CNC</t>
        </is>
      </c>
      <c r="R268" s="44" t="n">
        <v>0</v>
      </c>
      <c r="S268" s="65" t="inlineStr">
        <is>
          <t>ĐÚNG</t>
        </is>
      </c>
      <c r="T268" s="41" t="inlineStr">
        <is>
          <t>Đã xong nguyên công</t>
        </is>
      </c>
      <c r="U268" t="inlineStr">
        <is>
          <t>ĐÃ DUYỆT</t>
        </is>
      </c>
      <c r="V268" t="inlineStr">
        <is>
          <t>ĐÃ PHÊ DUYỆT</t>
        </is>
      </c>
      <c r="W268" t="inlineStr">
        <is>
          <t>🔒 ĐÃ KHÓA</t>
        </is>
      </c>
    </row>
    <row r="269" ht="21" customHeight="1" s="75">
      <c r="A269" s="46" t="n">
        <v>266</v>
      </c>
      <c r="B269" s="66" t="n">
        <v>46268.3471219213</v>
      </c>
      <c r="C269" s="61" t="inlineStr">
        <is>
          <t>EMP-NV11</t>
        </is>
      </c>
      <c r="D269" s="47" t="inlineStr">
        <is>
          <t>Phùng Công Thắng</t>
        </is>
      </c>
      <c r="E269" s="61" t="inlineStr">
        <is>
          <t>M-FUJI-01</t>
        </is>
      </c>
      <c r="F269" s="47" t="inlineStr">
        <is>
          <t>Phùng Công Thắng</t>
        </is>
      </c>
      <c r="G269" s="61" t="inlineStr">
        <is>
          <t>OP-GEN-01</t>
        </is>
      </c>
      <c r="H269" s="47" t="inlineStr">
        <is>
          <t>Win-Win</t>
        </is>
      </c>
      <c r="I269" s="47" t="inlineStr">
        <is>
          <t>ISHIZUE 267Dw700</t>
        </is>
      </c>
      <c r="J269" s="46" t="inlineStr">
        <is>
          <t>PO-2592</t>
        </is>
      </c>
      <c r="K269" s="47" t="inlineStr">
        <is>
          <t>G/c hoàn thiện</t>
        </is>
      </c>
      <c r="L269" s="50" t="n">
        <v>55800</v>
      </c>
      <c r="M269" s="67" t="n">
        <v>13</v>
      </c>
      <c r="N269" s="50" t="n">
        <v>4</v>
      </c>
      <c r="O269" s="68" t="n">
        <v>8</v>
      </c>
      <c r="P269" s="64">
        <f>L269*M269</f>
        <v/>
      </c>
      <c r="Q269" s="47" t="inlineStr">
        <is>
          <t>Chíp  R5 THREADEX- P3200</t>
        </is>
      </c>
      <c r="R269" s="50" t="n">
        <v>0</v>
      </c>
      <c r="S269" s="65" t="inlineStr">
        <is>
          <t>ĐÚNG</t>
        </is>
      </c>
      <c r="T269" s="47" t="inlineStr">
        <is>
          <t>Đã xong nguyên công</t>
        </is>
      </c>
      <c r="U269" t="inlineStr">
        <is>
          <t>ĐÃ DUYỆT</t>
        </is>
      </c>
      <c r="V269" t="inlineStr">
        <is>
          <t>ĐÃ PHÊ DUYỆT</t>
        </is>
      </c>
      <c r="W269" t="inlineStr">
        <is>
          <t>🔒 ĐÃ KHÓA</t>
        </is>
      </c>
    </row>
    <row r="270" ht="21" customHeight="1" s="75">
      <c r="A270" s="40" t="n">
        <v>267</v>
      </c>
      <c r="B270" s="60" t="n">
        <v>46268.65985070602</v>
      </c>
      <c r="C270" s="61" t="inlineStr">
        <is>
          <t>EMP-NV12</t>
        </is>
      </c>
      <c r="D270" s="41" t="inlineStr">
        <is>
          <t>Phùng Công Thắng</t>
        </is>
      </c>
      <c r="E270" s="61" t="inlineStr">
        <is>
          <t>M-DK7745-01</t>
        </is>
      </c>
      <c r="F270" s="41" t="inlineStr">
        <is>
          <t>Phùng Công Thắng</t>
        </is>
      </c>
      <c r="G270" s="61" t="inlineStr">
        <is>
          <t>OP-GEN-01</t>
        </is>
      </c>
      <c r="H270" s="41" t="inlineStr">
        <is>
          <t>Vico- QLTB</t>
        </is>
      </c>
      <c r="I270" s="41" t="inlineStr">
        <is>
          <t>Mẫu Thử CR &amp; hàng #</t>
        </is>
      </c>
      <c r="J270" s="40" t="inlineStr">
        <is>
          <t>PO-3499</t>
        </is>
      </c>
      <c r="K270" s="41" t="inlineStr">
        <is>
          <t>G/c hoàn thiện</t>
        </is>
      </c>
      <c r="L270" s="44" t="n">
        <v>83700</v>
      </c>
      <c r="M270" s="62" t="n">
        <v>3</v>
      </c>
      <c r="N270" s="44" t="n">
        <v>0</v>
      </c>
      <c r="O270" s="63" t="n">
        <v>4</v>
      </c>
      <c r="P270" s="64">
        <f>L270*M270</f>
        <v/>
      </c>
      <c r="Q270" s="41" t="inlineStr">
        <is>
          <t>Dây cắt CNC</t>
        </is>
      </c>
      <c r="R270" s="44" t="n">
        <v>0</v>
      </c>
      <c r="S270" s="65" t="inlineStr">
        <is>
          <t>ĐÚNG</t>
        </is>
      </c>
      <c r="T270" s="41" t="inlineStr">
        <is>
          <t>Đã xong nguyên công</t>
        </is>
      </c>
      <c r="U270" t="inlineStr">
        <is>
          <t>ĐÃ DUYỆT</t>
        </is>
      </c>
      <c r="V270" t="inlineStr">
        <is>
          <t>ĐÃ PHÊ DUYỆT</t>
        </is>
      </c>
      <c r="W270" t="inlineStr">
        <is>
          <t>🔒 ĐÃ KHÓA</t>
        </is>
      </c>
    </row>
    <row r="271" ht="21" customHeight="1" s="75">
      <c r="A271" s="46" t="n">
        <v>268</v>
      </c>
      <c r="B271" s="66" t="n">
        <v>46268.66030537037</v>
      </c>
      <c r="C271" s="61" t="inlineStr">
        <is>
          <t>EMP-NV12</t>
        </is>
      </c>
      <c r="D271" s="47" t="inlineStr">
        <is>
          <t>Phùng Công Thắng</t>
        </is>
      </c>
      <c r="E271" s="61" t="inlineStr">
        <is>
          <t>M-DK7745-01</t>
        </is>
      </c>
      <c r="F271" s="47" t="inlineStr">
        <is>
          <t>Phùng Công Thắng</t>
        </is>
      </c>
      <c r="G271" s="61" t="inlineStr">
        <is>
          <t>OP-GEN-01</t>
        </is>
      </c>
      <c r="H271" s="47" t="inlineStr">
        <is>
          <t>Vico- QLTB</t>
        </is>
      </c>
      <c r="I271" s="47" t="inlineStr">
        <is>
          <t>Mẫu kéo nén</t>
        </is>
      </c>
      <c r="J271" s="46" t="inlineStr">
        <is>
          <t>PO-2935</t>
        </is>
      </c>
      <c r="K271" s="47" t="inlineStr">
        <is>
          <t>G/c ht theo bản vẽ</t>
        </is>
      </c>
      <c r="L271" s="50" t="n">
        <v>55800</v>
      </c>
      <c r="M271" s="67" t="n">
        <v>1</v>
      </c>
      <c r="N271" s="50" t="n">
        <v>0</v>
      </c>
      <c r="O271" s="68" t="n">
        <v>4</v>
      </c>
      <c r="P271" s="64">
        <f>L271*M271</f>
        <v/>
      </c>
      <c r="Q271" s="47" t="inlineStr">
        <is>
          <t>Dây cắt CNC</t>
        </is>
      </c>
      <c r="R271" s="50" t="n">
        <v>0</v>
      </c>
      <c r="S271" s="65" t="inlineStr">
        <is>
          <t>ĐÚNG</t>
        </is>
      </c>
      <c r="T271" s="47" t="inlineStr">
        <is>
          <t>Đã xong nguyên công</t>
        </is>
      </c>
      <c r="U271" t="inlineStr">
        <is>
          <t>ĐÃ DUYỆT</t>
        </is>
      </c>
      <c r="V271" t="inlineStr">
        <is>
          <t>ĐÃ PHÊ DUYỆT</t>
        </is>
      </c>
      <c r="W271" t="inlineStr">
        <is>
          <t>🔒 ĐÃ KHÓA</t>
        </is>
      </c>
    </row>
    <row r="272" ht="21" customHeight="1" s="75">
      <c r="A272" s="40" t="n">
        <v>269</v>
      </c>
      <c r="B272" s="60" t="n">
        <v>46268.66089976852</v>
      </c>
      <c r="C272" s="61" t="inlineStr">
        <is>
          <t>EMP-NV12</t>
        </is>
      </c>
      <c r="D272" s="41" t="inlineStr">
        <is>
          <t>Phùng Công Thắng</t>
        </is>
      </c>
      <c r="E272" s="61" t="inlineStr">
        <is>
          <t>M-KHYOS-01</t>
        </is>
      </c>
      <c r="F272" s="41" t="inlineStr">
        <is>
          <t>Phùng Công Thắng</t>
        </is>
      </c>
      <c r="G272" s="61" t="inlineStr">
        <is>
          <t>OP-SEALB-NC4</t>
        </is>
      </c>
      <c r="H272" s="41" t="inlineStr">
        <is>
          <t>Thyssen</t>
        </is>
      </c>
      <c r="I272" s="41" t="inlineStr">
        <is>
          <t>Sealing strip, below</t>
        </is>
      </c>
      <c r="J272" s="40" t="inlineStr">
        <is>
          <t>PO-3201</t>
        </is>
      </c>
      <c r="K272" s="41" t="inlineStr">
        <is>
          <t>G/c khoan lỗ phi 14/2 lỗ</t>
        </is>
      </c>
      <c r="L272" s="44" t="n">
        <v>45000</v>
      </c>
      <c r="M272" s="62" t="n">
        <v>50</v>
      </c>
      <c r="N272" s="44" t="n">
        <v>0</v>
      </c>
      <c r="O272" s="63" t="n">
        <v>8</v>
      </c>
      <c r="P272" s="64">
        <f>L272*M272</f>
        <v/>
      </c>
      <c r="Q272" s="41" t="inlineStr">
        <is>
          <t>Mũi khoan</t>
        </is>
      </c>
      <c r="R272" s="44" t="n">
        <v>0</v>
      </c>
      <c r="S272" s="65" t="inlineStr">
        <is>
          <t>ĐÚNG</t>
        </is>
      </c>
      <c r="T272" s="41" t="inlineStr">
        <is>
          <t>Đã xong nguyên công</t>
        </is>
      </c>
      <c r="U272" t="inlineStr">
        <is>
          <t>ĐÃ DUYỆT</t>
        </is>
      </c>
      <c r="V272" t="inlineStr">
        <is>
          <t>ĐÃ PHÊ DUYỆT</t>
        </is>
      </c>
      <c r="W272" t="inlineStr">
        <is>
          <t>🔒 ĐÃ KHÓA</t>
        </is>
      </c>
    </row>
    <row r="273" ht="21" customHeight="1" s="75">
      <c r="A273" s="46" t="n">
        <v>270</v>
      </c>
      <c r="B273" s="66" t="n">
        <v>46268.66427556713</v>
      </c>
      <c r="C273" s="61" t="inlineStr">
        <is>
          <t>EMP-NV10</t>
        </is>
      </c>
      <c r="D273" s="47" t="inlineStr">
        <is>
          <t>Phùng Công Thắng</t>
        </is>
      </c>
      <c r="E273" s="61" t="inlineStr">
        <is>
          <t>M-OKK3-01</t>
        </is>
      </c>
      <c r="F273" s="47" t="inlineStr">
        <is>
          <t>Phùng Công Thắng</t>
        </is>
      </c>
      <c r="G273" s="61" t="inlineStr">
        <is>
          <t>OP-SEALB-NC1</t>
        </is>
      </c>
      <c r="H273" s="47" t="inlineStr">
        <is>
          <t>Thyssen</t>
        </is>
      </c>
      <c r="I273" s="47" t="inlineStr">
        <is>
          <t>Sealing strip, below</t>
        </is>
      </c>
      <c r="J273" s="46" t="inlineStr">
        <is>
          <t>PO-7687</t>
        </is>
      </c>
      <c r="K273" s="47" t="inlineStr">
        <is>
          <t>G/c phay Mp NC1 Kt 47mm</t>
        </is>
      </c>
      <c r="L273" s="50" t="n">
        <v>45000</v>
      </c>
      <c r="M273" s="67" t="n">
        <v>9</v>
      </c>
      <c r="N273" s="50" t="n">
        <v>0</v>
      </c>
      <c r="O273" s="68" t="n">
        <v>8</v>
      </c>
      <c r="P273" s="64">
        <f>L273*M273</f>
        <v/>
      </c>
      <c r="Q273" s="47" t="inlineStr">
        <is>
          <t>Chíp  Pramet (6 cạnh)</t>
        </is>
      </c>
      <c r="R273" s="50" t="n">
        <v>3</v>
      </c>
      <c r="S273" s="46" t="inlineStr">
        <is>
          <t>SAI</t>
        </is>
      </c>
      <c r="T273" s="47" t="inlineStr">
        <is>
          <t>Đang gia công dở dang, chuyển ca sau</t>
        </is>
      </c>
      <c r="U273" t="inlineStr">
        <is>
          <t>ĐÃ DUYỆT</t>
        </is>
      </c>
      <c r="V273" t="inlineStr">
        <is>
          <t>ĐÃ PHÊ DUYỆT</t>
        </is>
      </c>
      <c r="W273" t="inlineStr">
        <is>
          <t>🔒 ĐÃ KHÓA</t>
        </is>
      </c>
    </row>
    <row r="274" ht="21" customHeight="1" s="75">
      <c r="A274" s="40" t="n">
        <v>271</v>
      </c>
      <c r="B274" s="60" t="n">
        <v>46268.66472416667</v>
      </c>
      <c r="C274" s="61" t="inlineStr">
        <is>
          <t>EMP-NV10</t>
        </is>
      </c>
      <c r="D274" s="41" t="inlineStr">
        <is>
          <t>Phùng Công Thắng</t>
        </is>
      </c>
      <c r="E274" s="61" t="inlineStr">
        <is>
          <t>M-OKK3-01</t>
        </is>
      </c>
      <c r="F274" s="41" t="inlineStr">
        <is>
          <t>Phùng Công Thắng</t>
        </is>
      </c>
      <c r="G274" s="61" t="inlineStr">
        <is>
          <t>OP-SEALB-NC2</t>
        </is>
      </c>
      <c r="H274" s="41" t="inlineStr">
        <is>
          <t>Thyssen</t>
        </is>
      </c>
      <c r="I274" s="41" t="inlineStr">
        <is>
          <t>Sealing strip, below</t>
        </is>
      </c>
      <c r="J274" s="40" t="inlineStr">
        <is>
          <t>PO-2258</t>
        </is>
      </c>
      <c r="K274" s="41" t="inlineStr">
        <is>
          <t>G/c phay Mp NC2 Kt 95mm</t>
        </is>
      </c>
      <c r="L274" s="44" t="n">
        <v>45000</v>
      </c>
      <c r="M274" s="62" t="n">
        <v>6</v>
      </c>
      <c r="N274" s="44" t="n">
        <v>0</v>
      </c>
      <c r="O274" s="63" t="n">
        <v>8</v>
      </c>
      <c r="P274" s="64">
        <f>L274*M274</f>
        <v/>
      </c>
      <c r="Q274" s="41" t="inlineStr">
        <is>
          <t>Chíp  Pramet (6 cạnh)</t>
        </is>
      </c>
      <c r="R274" s="44" t="n">
        <v>0</v>
      </c>
      <c r="S274" s="40" t="inlineStr">
        <is>
          <t>SAI</t>
        </is>
      </c>
      <c r="T274" s="41" t="inlineStr">
        <is>
          <t>Đang gia công dở dang, chuyển ca sau</t>
        </is>
      </c>
      <c r="U274" t="inlineStr">
        <is>
          <t>ĐÃ DUYỆT</t>
        </is>
      </c>
      <c r="V274" t="inlineStr">
        <is>
          <t>ĐÃ PHÊ DUYỆT</t>
        </is>
      </c>
      <c r="W274" t="inlineStr">
        <is>
          <t>🔒 ĐÃ KHÓA</t>
        </is>
      </c>
    </row>
    <row r="275" ht="21" customHeight="1" s="75">
      <c r="A275" s="46" t="n">
        <v>272</v>
      </c>
      <c r="B275" s="66" t="n">
        <v>46268.66528832176</v>
      </c>
      <c r="C275" s="61" t="inlineStr">
        <is>
          <t>EMP-NV10</t>
        </is>
      </c>
      <c r="D275" s="47" t="inlineStr">
        <is>
          <t>Phùng Công Thắng</t>
        </is>
      </c>
      <c r="E275" s="61" t="inlineStr">
        <is>
          <t>M-OKK1-01</t>
        </is>
      </c>
      <c r="F275" s="47" t="inlineStr">
        <is>
          <t>Phùng Công Thắng</t>
        </is>
      </c>
      <c r="G275" s="61" t="inlineStr">
        <is>
          <t>OP-SEALB-NC2</t>
        </is>
      </c>
      <c r="H275" s="47" t="inlineStr">
        <is>
          <t>Thyssen</t>
        </is>
      </c>
      <c r="I275" s="47" t="inlineStr">
        <is>
          <t>Sealing strip, below</t>
        </is>
      </c>
      <c r="J275" s="46" t="inlineStr">
        <is>
          <t>PO-6636</t>
        </is>
      </c>
      <c r="K275" s="47" t="inlineStr">
        <is>
          <t>G/c phay Mp NC2 Kt 95mm</t>
        </is>
      </c>
      <c r="L275" s="50" t="n">
        <v>45000</v>
      </c>
      <c r="M275" s="67" t="n">
        <v>3</v>
      </c>
      <c r="N275" s="50" t="n">
        <v>0</v>
      </c>
      <c r="O275" s="68" t="n">
        <v>4</v>
      </c>
      <c r="P275" s="64">
        <f>L275*M275</f>
        <v/>
      </c>
      <c r="Q275" s="47" t="inlineStr">
        <is>
          <t>Chíp APMT 1604 PDER - Grade 8230S-PRAMET</t>
        </is>
      </c>
      <c r="R275" s="50" t="n">
        <v>0</v>
      </c>
      <c r="S275" s="46" t="inlineStr">
        <is>
          <t>SAI</t>
        </is>
      </c>
      <c r="T275" s="47" t="inlineStr">
        <is>
          <t>Đang gia công dở dang, chuyển ca sau</t>
        </is>
      </c>
      <c r="U275" t="inlineStr">
        <is>
          <t>ĐÃ DUYỆT</t>
        </is>
      </c>
      <c r="V275" t="inlineStr">
        <is>
          <t>ĐÃ PHÊ DUYỆT</t>
        </is>
      </c>
      <c r="W275" t="inlineStr">
        <is>
          <t>🔒 ĐÃ KHÓA</t>
        </is>
      </c>
    </row>
    <row r="276" ht="21" customHeight="1" s="75">
      <c r="A276" s="40" t="n">
        <v>273</v>
      </c>
      <c r="B276" s="60" t="n">
        <v>46268.66576174769</v>
      </c>
      <c r="C276" s="61" t="inlineStr">
        <is>
          <t>EMP-NV04</t>
        </is>
      </c>
      <c r="D276" s="41" t="inlineStr">
        <is>
          <t>Phùng Công Thắng</t>
        </is>
      </c>
      <c r="E276" s="61" t="inlineStr">
        <is>
          <t>M-FUJI-01</t>
        </is>
      </c>
      <c r="F276" s="41" t="inlineStr">
        <is>
          <t>Phùng Công Thắng</t>
        </is>
      </c>
      <c r="G276" s="61" t="inlineStr">
        <is>
          <t>OP-GEN-01</t>
        </is>
      </c>
      <c r="H276" s="41" t="inlineStr">
        <is>
          <t>Win-Win</t>
        </is>
      </c>
      <c r="I276" s="41" t="inlineStr">
        <is>
          <t>ISHIZUE 267Dw800</t>
        </is>
      </c>
      <c r="J276" s="40" t="inlineStr">
        <is>
          <t>PO-5703</t>
        </is>
      </c>
      <c r="K276" s="41" t="inlineStr">
        <is>
          <t>G/c hoàn thiện</t>
        </is>
      </c>
      <c r="L276" s="44" t="n">
        <v>55800</v>
      </c>
      <c r="M276" s="62" t="n">
        <v>10</v>
      </c>
      <c r="N276" s="44" t="n">
        <v>0</v>
      </c>
      <c r="O276" s="63" t="n">
        <v>8</v>
      </c>
      <c r="P276" s="64">
        <f>L276*M276</f>
        <v/>
      </c>
      <c r="Q276" s="41" t="inlineStr">
        <is>
          <t>Chíp  R5 THREADEX- P3200</t>
        </is>
      </c>
      <c r="R276" s="44" t="n">
        <v>1</v>
      </c>
      <c r="S276" s="65" t="inlineStr">
        <is>
          <t>ĐÚNG</t>
        </is>
      </c>
      <c r="T276" s="41" t="inlineStr">
        <is>
          <t>Đã xong nguyên công</t>
        </is>
      </c>
      <c r="U276" t="inlineStr">
        <is>
          <t>ĐÃ DUYỆT</t>
        </is>
      </c>
      <c r="V276" t="inlineStr">
        <is>
          <t>ĐÃ PHÊ DUYỆT</t>
        </is>
      </c>
      <c r="W276" t="inlineStr">
        <is>
          <t>🔒 ĐÃ KHÓA</t>
        </is>
      </c>
    </row>
    <row r="277" ht="21" customHeight="1" s="75">
      <c r="A277" s="46" t="n">
        <v>274</v>
      </c>
      <c r="B277" s="66" t="n">
        <v>46268.66578182871</v>
      </c>
      <c r="C277" s="61" t="inlineStr">
        <is>
          <t>EMP-NV10</t>
        </is>
      </c>
      <c r="D277" s="47" t="inlineStr">
        <is>
          <t>Phùng Công Thắng</t>
        </is>
      </c>
      <c r="E277" s="61" t="inlineStr">
        <is>
          <t>M-OKK1-01</t>
        </is>
      </c>
      <c r="F277" s="47" t="inlineStr">
        <is>
          <t>Phùng Công Thắng</t>
        </is>
      </c>
      <c r="G277" s="61" t="inlineStr">
        <is>
          <t>OP-SEALB-NC2</t>
        </is>
      </c>
      <c r="H277" s="47" t="inlineStr">
        <is>
          <t>Thyssen</t>
        </is>
      </c>
      <c r="I277" s="47" t="inlineStr">
        <is>
          <t>Sealing strip, above</t>
        </is>
      </c>
      <c r="J277" s="46" t="inlineStr">
        <is>
          <t>PO-1091</t>
        </is>
      </c>
      <c r="K277" s="47" t="inlineStr">
        <is>
          <t>G/c phay Mp NC1 Kt 95mm</t>
        </is>
      </c>
      <c r="L277" s="50" t="n">
        <v>37200</v>
      </c>
      <c r="M277" s="67" t="n">
        <v>9</v>
      </c>
      <c r="N277" s="50" t="n">
        <v>0</v>
      </c>
      <c r="O277" s="68" t="n">
        <v>8</v>
      </c>
      <c r="P277" s="64">
        <f>L277*M277</f>
        <v/>
      </c>
      <c r="Q277" s="47" t="inlineStr">
        <is>
          <t>Chíp APMT 1604 PDER - Grade 8230S-PRAMET</t>
        </is>
      </c>
      <c r="R277" s="50" t="n">
        <v>4</v>
      </c>
      <c r="S277" s="46" t="inlineStr">
        <is>
          <t>SAI</t>
        </is>
      </c>
      <c r="T277" s="47" t="inlineStr">
        <is>
          <t>Đang gia công dở dang, chuyển ca sau</t>
        </is>
      </c>
      <c r="U277" t="inlineStr">
        <is>
          <t>ĐÃ DUYỆT</t>
        </is>
      </c>
      <c r="V277" t="inlineStr">
        <is>
          <t>ĐÃ PHÊ DUYỆT</t>
        </is>
      </c>
      <c r="W277" t="inlineStr">
        <is>
          <t>🔒 ĐÃ KHÓA</t>
        </is>
      </c>
    </row>
    <row r="278" ht="21" customHeight="1" s="75">
      <c r="A278" s="40" t="n">
        <v>275</v>
      </c>
      <c r="B278" s="60" t="n">
        <v>46268.66757053241</v>
      </c>
      <c r="C278" s="61" t="inlineStr">
        <is>
          <t>EMP-NV04</t>
        </is>
      </c>
      <c r="D278" s="41" t="inlineStr">
        <is>
          <t>Phùng Công Thắng</t>
        </is>
      </c>
      <c r="E278" s="61" t="inlineStr">
        <is>
          <t>M-DK7745-01</t>
        </is>
      </c>
      <c r="F278" s="41" t="inlineStr">
        <is>
          <t>Phùng Công Thắng</t>
        </is>
      </c>
      <c r="G278" s="61" t="inlineStr">
        <is>
          <t>OP-GEN-01</t>
        </is>
      </c>
      <c r="H278" s="41" t="inlineStr">
        <is>
          <t>Vico- QLTB</t>
        </is>
      </c>
      <c r="I278" s="41" t="inlineStr">
        <is>
          <t>Mẫu Thử CR &amp; hàng #</t>
        </is>
      </c>
      <c r="J278" s="40" t="inlineStr">
        <is>
          <t>PO-2883</t>
        </is>
      </c>
      <c r="K278" s="41" t="inlineStr">
        <is>
          <t>G/c hoàn thiện</t>
        </is>
      </c>
      <c r="L278" s="44" t="n">
        <v>83700</v>
      </c>
      <c r="M278" s="62" t="n">
        <v>4</v>
      </c>
      <c r="N278" s="44" t="n">
        <v>0</v>
      </c>
      <c r="O278" s="63" t="n">
        <v>4</v>
      </c>
      <c r="P278" s="64">
        <f>L278*M278</f>
        <v/>
      </c>
      <c r="Q278" s="41" t="inlineStr">
        <is>
          <t>Dây cắt CNC</t>
        </is>
      </c>
      <c r="R278" s="44" t="n">
        <v>0</v>
      </c>
      <c r="S278" s="65" t="inlineStr">
        <is>
          <t>ĐÚNG</t>
        </is>
      </c>
      <c r="T278" s="41" t="inlineStr">
        <is>
          <t>Đã xong nguyên công</t>
        </is>
      </c>
      <c r="U278" t="inlineStr">
        <is>
          <t>ĐÃ DUYỆT</t>
        </is>
      </c>
      <c r="V278" t="inlineStr">
        <is>
          <t>ĐÃ PHÊ DUYỆT</t>
        </is>
      </c>
      <c r="W278" t="inlineStr">
        <is>
          <t>🔒 ĐÃ KHÓA</t>
        </is>
      </c>
    </row>
    <row r="279" ht="21" customHeight="1" s="75">
      <c r="A279" s="46" t="n">
        <v>276</v>
      </c>
      <c r="B279" s="66" t="n">
        <v>46268.71129359954</v>
      </c>
      <c r="C279" s="61" t="inlineStr">
        <is>
          <t>EMP-NV07</t>
        </is>
      </c>
      <c r="D279" s="47" t="inlineStr">
        <is>
          <t>Phùng Công Thắng</t>
        </is>
      </c>
      <c r="E279" s="61" t="inlineStr">
        <is>
          <t>M-OKK1-01</t>
        </is>
      </c>
      <c r="F279" s="47" t="inlineStr">
        <is>
          <t>Phùng Công Thắng</t>
        </is>
      </c>
      <c r="G279" s="61" t="inlineStr">
        <is>
          <t>OP-SEALB-NC1</t>
        </is>
      </c>
      <c r="H279" s="47" t="inlineStr">
        <is>
          <t>Thyssen</t>
        </is>
      </c>
      <c r="I279" s="47" t="inlineStr">
        <is>
          <t>Sealing strip, below</t>
        </is>
      </c>
      <c r="J279" s="46" t="inlineStr">
        <is>
          <t>PO-9073</t>
        </is>
      </c>
      <c r="K279" s="47" t="inlineStr">
        <is>
          <t>G/c phay Mp NC1 Kt 47mm</t>
        </is>
      </c>
      <c r="L279" s="50" t="n">
        <v>45000</v>
      </c>
      <c r="M279" s="67" t="n">
        <v>5</v>
      </c>
      <c r="N279" s="50" t="n">
        <v>0</v>
      </c>
      <c r="O279" s="68" t="n">
        <v>8</v>
      </c>
      <c r="P279" s="64">
        <f>L279*M279</f>
        <v/>
      </c>
      <c r="Q279" s="47" t="inlineStr">
        <is>
          <t>Không tiêu hao</t>
        </is>
      </c>
      <c r="R279" s="50" t="n">
        <v>0</v>
      </c>
      <c r="S279" s="46" t="inlineStr">
        <is>
          <t>SAI</t>
        </is>
      </c>
      <c r="T279" s="47" t="inlineStr">
        <is>
          <t>Đang gia công dở dang, chuyển ca sau</t>
        </is>
      </c>
      <c r="U279" t="inlineStr">
        <is>
          <t>ĐÃ DUYỆT</t>
        </is>
      </c>
      <c r="V279" t="inlineStr">
        <is>
          <t>ĐÃ PHÊ DUYỆT</t>
        </is>
      </c>
      <c r="W279" t="inlineStr">
        <is>
          <t>🔒 ĐÃ KHÓA</t>
        </is>
      </c>
    </row>
    <row r="280" ht="21" customHeight="1" s="75">
      <c r="A280" s="40" t="n">
        <v>277</v>
      </c>
      <c r="B280" s="60" t="n">
        <v>46268.71173768518</v>
      </c>
      <c r="C280" s="61" t="inlineStr">
        <is>
          <t>EMP-NV07</t>
        </is>
      </c>
      <c r="D280" s="41" t="inlineStr">
        <is>
          <t>Phùng Công Thắng</t>
        </is>
      </c>
      <c r="E280" s="61" t="inlineStr">
        <is>
          <t>M-TCNC1-01</t>
        </is>
      </c>
      <c r="F280" s="41" t="inlineStr">
        <is>
          <t>Phùng Công Thắng</t>
        </is>
      </c>
      <c r="G280" s="61" t="inlineStr">
        <is>
          <t>OP-SEALB-NC2</t>
        </is>
      </c>
      <c r="H280" s="41" t="inlineStr">
        <is>
          <t>Thyssen</t>
        </is>
      </c>
      <c r="I280" s="41" t="inlineStr">
        <is>
          <t>Sealing strip, below</t>
        </is>
      </c>
      <c r="J280" s="40" t="inlineStr">
        <is>
          <t>PO-4956</t>
        </is>
      </c>
      <c r="K280" s="41" t="inlineStr">
        <is>
          <t>G/c phay Mp NC2 Kt 95mm</t>
        </is>
      </c>
      <c r="L280" s="44" t="n">
        <v>45000</v>
      </c>
      <c r="M280" s="62" t="n">
        <v>9</v>
      </c>
      <c r="N280" s="44" t="n">
        <v>0</v>
      </c>
      <c r="O280" s="63" t="n">
        <v>8</v>
      </c>
      <c r="P280" s="64">
        <f>L280*M280</f>
        <v/>
      </c>
      <c r="Q280" s="41" t="inlineStr">
        <is>
          <t>Không tiêu hao</t>
        </is>
      </c>
      <c r="R280" s="44" t="n">
        <v>0</v>
      </c>
      <c r="S280" s="40" t="inlineStr">
        <is>
          <t>SAI</t>
        </is>
      </c>
      <c r="T280" s="41" t="inlineStr">
        <is>
          <t>Đang gia công dở dang, chuyển ca sau</t>
        </is>
      </c>
      <c r="U280" t="inlineStr">
        <is>
          <t>ĐÃ DUYỆT</t>
        </is>
      </c>
      <c r="V280" t="inlineStr">
        <is>
          <t>ĐÃ PHÊ DUYỆT</t>
        </is>
      </c>
      <c r="W280" t="inlineStr">
        <is>
          <t>🔒 ĐÃ KHÓA</t>
        </is>
      </c>
    </row>
    <row r="281" ht="21" customHeight="1" s="75">
      <c r="A281" s="46" t="n">
        <v>278</v>
      </c>
      <c r="B281" s="66" t="n">
        <v>46268.71223413194</v>
      </c>
      <c r="C281" s="61" t="inlineStr">
        <is>
          <t>EMP-NV07</t>
        </is>
      </c>
      <c r="D281" s="47" t="inlineStr">
        <is>
          <t>Phùng Công Thắng</t>
        </is>
      </c>
      <c r="E281" s="61" t="inlineStr">
        <is>
          <t>M-OKK3-01</t>
        </is>
      </c>
      <c r="F281" s="47" t="inlineStr">
        <is>
          <t>Phùng Công Thắng</t>
        </is>
      </c>
      <c r="G281" s="61" t="inlineStr">
        <is>
          <t>OP-SEALB-NC2</t>
        </is>
      </c>
      <c r="H281" s="47" t="inlineStr">
        <is>
          <t>Thyssen</t>
        </is>
      </c>
      <c r="I281" s="47" t="inlineStr">
        <is>
          <t>Sealing strip, above</t>
        </is>
      </c>
      <c r="J281" s="46" t="inlineStr">
        <is>
          <t>PO-2908</t>
        </is>
      </c>
      <c r="K281" s="47" t="inlineStr">
        <is>
          <t>G/c phay Mp NC1 Kt 95mm</t>
        </is>
      </c>
      <c r="L281" s="50" t="n">
        <v>37200</v>
      </c>
      <c r="M281" s="67" t="n">
        <v>12</v>
      </c>
      <c r="N281" s="50" t="n">
        <v>0</v>
      </c>
      <c r="O281" s="68" t="n">
        <v>8</v>
      </c>
      <c r="P281" s="64">
        <f>L281*M281</f>
        <v/>
      </c>
      <c r="Q281" s="47" t="inlineStr">
        <is>
          <t>Không tiêu hao</t>
        </is>
      </c>
      <c r="R281" s="50" t="n">
        <v>0</v>
      </c>
      <c r="S281" s="46" t="inlineStr">
        <is>
          <t>SAI</t>
        </is>
      </c>
      <c r="T281" s="47" t="inlineStr">
        <is>
          <t>Đang gia công dở dang, chuyển ca sau</t>
        </is>
      </c>
      <c r="U281" t="inlineStr">
        <is>
          <t>ĐÃ DUYỆT</t>
        </is>
      </c>
      <c r="V281" t="inlineStr">
        <is>
          <t>ĐÃ PHÊ DUYỆT</t>
        </is>
      </c>
      <c r="W281" t="inlineStr">
        <is>
          <t>🔒 ĐÃ KHÓA</t>
        </is>
      </c>
    </row>
    <row r="282" ht="21" customHeight="1" s="75">
      <c r="A282" s="40" t="n">
        <v>279</v>
      </c>
      <c r="B282" s="60" t="n">
        <v>46269.01940333333</v>
      </c>
      <c r="C282" s="61" t="inlineStr">
        <is>
          <t>EMP-NV03</t>
        </is>
      </c>
      <c r="D282" s="41" t="inlineStr">
        <is>
          <t>Phùng Công Thắng</t>
        </is>
      </c>
      <c r="E282" s="61" t="inlineStr">
        <is>
          <t>M-FUJI-01</t>
        </is>
      </c>
      <c r="F282" s="41" t="inlineStr">
        <is>
          <t>Phùng Công Thắng</t>
        </is>
      </c>
      <c r="G282" s="61" t="inlineStr">
        <is>
          <t>OP-GEN-01</t>
        </is>
      </c>
      <c r="H282" s="41" t="inlineStr">
        <is>
          <t>Win-Win</t>
        </is>
      </c>
      <c r="I282" s="41" t="inlineStr">
        <is>
          <t>ISHIZUE 267Dw700</t>
        </is>
      </c>
      <c r="J282" s="40" t="inlineStr">
        <is>
          <t>PO-7520</t>
        </is>
      </c>
      <c r="K282" s="41" t="inlineStr">
        <is>
          <t>G/c hoàn thiện</t>
        </is>
      </c>
      <c r="L282" s="44" t="n">
        <v>50000</v>
      </c>
      <c r="M282" s="62" t="n">
        <v>0</v>
      </c>
      <c r="N282" s="44" t="n">
        <v>8</v>
      </c>
      <c r="O282" s="63" t="n">
        <v>4</v>
      </c>
      <c r="P282" s="64">
        <f>L282*M282</f>
        <v/>
      </c>
      <c r="Q282" s="41" t="inlineStr">
        <is>
          <t>Chíp  R5 THREADEX- P3200</t>
        </is>
      </c>
      <c r="R282" s="44" t="n">
        <v>1</v>
      </c>
      <c r="S282" s="65" t="inlineStr">
        <is>
          <t>ĐÚNG</t>
        </is>
      </c>
      <c r="T282" s="41" t="inlineStr">
        <is>
          <t>Đã xong nguyên công</t>
        </is>
      </c>
      <c r="U282" t="inlineStr">
        <is>
          <t>ĐÃ DUYỆT</t>
        </is>
      </c>
      <c r="V282" t="inlineStr">
        <is>
          <t>ĐÃ PHÊ DUYỆT</t>
        </is>
      </c>
      <c r="W282" t="inlineStr">
        <is>
          <t>🔒 ĐÃ KHÓA</t>
        </is>
      </c>
    </row>
    <row r="283" ht="21" customHeight="1" s="75">
      <c r="A283" s="46" t="n">
        <v>280</v>
      </c>
      <c r="B283" s="66" t="n">
        <v>46269.020404375</v>
      </c>
      <c r="C283" s="61" t="inlineStr">
        <is>
          <t>EMP-NV03</t>
        </is>
      </c>
      <c r="D283" s="47" t="inlineStr">
        <is>
          <t>Phùng Công Thắng</t>
        </is>
      </c>
      <c r="E283" s="61" t="inlineStr">
        <is>
          <t>M-FUJI-01</t>
        </is>
      </c>
      <c r="F283" s="47" t="inlineStr">
        <is>
          <t>Phùng Công Thắng</t>
        </is>
      </c>
      <c r="G283" s="61" t="inlineStr">
        <is>
          <t>OP-GEN-01</t>
        </is>
      </c>
      <c r="H283" s="47" t="inlineStr">
        <is>
          <t>Win-Win</t>
        </is>
      </c>
      <c r="I283" s="47" t="inlineStr">
        <is>
          <t>ISHIZUE 267Dw800</t>
        </is>
      </c>
      <c r="J283" s="46" t="inlineStr">
        <is>
          <t>PO-1834</t>
        </is>
      </c>
      <c r="K283" s="47" t="inlineStr">
        <is>
          <t>G/c hoàn thiện</t>
        </is>
      </c>
      <c r="L283" s="50" t="n">
        <v>50000</v>
      </c>
      <c r="M283" s="67" t="n">
        <v>0</v>
      </c>
      <c r="N283" s="50" t="n">
        <v>3</v>
      </c>
      <c r="O283" s="68" t="n">
        <v>4</v>
      </c>
      <c r="P283" s="64">
        <f>L283*M283</f>
        <v/>
      </c>
      <c r="Q283" s="47" t="inlineStr">
        <is>
          <t>Chíp  R5 THREADEX- P3200</t>
        </is>
      </c>
      <c r="R283" s="50" t="n">
        <v>0</v>
      </c>
      <c r="S283" s="65" t="inlineStr">
        <is>
          <t>ĐÚNG</t>
        </is>
      </c>
      <c r="T283" s="47" t="inlineStr">
        <is>
          <t>Đã xong nguyên công</t>
        </is>
      </c>
      <c r="U283" t="inlineStr">
        <is>
          <t>ĐÃ DUYỆT</t>
        </is>
      </c>
      <c r="V283" t="inlineStr">
        <is>
          <t>ĐÃ PHÊ DUYỆT</t>
        </is>
      </c>
      <c r="W283" t="inlineStr">
        <is>
          <t>🔒 ĐÃ KHÓA</t>
        </is>
      </c>
    </row>
    <row r="284" ht="21" customHeight="1" s="75">
      <c r="A284" s="40" t="n">
        <v>281</v>
      </c>
      <c r="B284" s="60" t="n">
        <v>46269.02753452546</v>
      </c>
      <c r="C284" s="61" t="inlineStr">
        <is>
          <t>EMP-NV02</t>
        </is>
      </c>
      <c r="D284" s="41" t="inlineStr">
        <is>
          <t>Phùng Công Thắng</t>
        </is>
      </c>
      <c r="E284" s="61" t="inlineStr">
        <is>
          <t>M-DK7780-01</t>
        </is>
      </c>
      <c r="F284" s="41" t="inlineStr">
        <is>
          <t>Phùng Công Thắng</t>
        </is>
      </c>
      <c r="G284" s="61" t="inlineStr">
        <is>
          <t>OP-GEN-01</t>
        </is>
      </c>
      <c r="H284" s="41" t="inlineStr">
        <is>
          <t>Vico- QLTB</t>
        </is>
      </c>
      <c r="I284" s="41" t="inlineStr">
        <is>
          <t>Mẫu Thử CR &amp; hàng #</t>
        </is>
      </c>
      <c r="J284" s="40" t="inlineStr">
        <is>
          <t>PO-6668</t>
        </is>
      </c>
      <c r="K284" s="41" t="inlineStr">
        <is>
          <t>G/c hoàn thiện</t>
        </is>
      </c>
      <c r="L284" s="44" t="n">
        <v>83700</v>
      </c>
      <c r="M284" s="62" t="n">
        <v>1</v>
      </c>
      <c r="N284" s="44" t="n">
        <v>0</v>
      </c>
      <c r="O284" s="63" t="n">
        <v>4</v>
      </c>
      <c r="P284" s="64">
        <f>L284*M284</f>
        <v/>
      </c>
      <c r="Q284" s="41" t="inlineStr">
        <is>
          <t>Dây cắt CNC</t>
        </is>
      </c>
      <c r="R284" s="44" t="n">
        <v>0</v>
      </c>
      <c r="S284" s="65" t="inlineStr">
        <is>
          <t>ĐÚNG</t>
        </is>
      </c>
      <c r="T284" s="41" t="inlineStr">
        <is>
          <t>Đã xong nguyên công</t>
        </is>
      </c>
      <c r="U284" t="inlineStr">
        <is>
          <t>ĐÃ DUYỆT</t>
        </is>
      </c>
      <c r="V284" t="inlineStr">
        <is>
          <t>ĐÃ PHÊ DUYỆT</t>
        </is>
      </c>
      <c r="W284" t="inlineStr">
        <is>
          <t>🔒 ĐÃ KHÓA</t>
        </is>
      </c>
    </row>
    <row r="285" ht="21" customHeight="1" s="75">
      <c r="A285" s="46" t="n">
        <v>282</v>
      </c>
      <c r="B285" s="66" t="n">
        <v>46269.02900377315</v>
      </c>
      <c r="C285" s="61" t="inlineStr">
        <is>
          <t>EMP-NV02</t>
        </is>
      </c>
      <c r="D285" s="47" t="inlineStr">
        <is>
          <t>Phùng Công Thắng</t>
        </is>
      </c>
      <c r="E285" s="61" t="inlineStr">
        <is>
          <t>M-FUJI-01</t>
        </is>
      </c>
      <c r="F285" s="47" t="inlineStr">
        <is>
          <t>Phùng Công Thắng</t>
        </is>
      </c>
      <c r="G285" s="61" t="inlineStr">
        <is>
          <t>OP-ISH355-NC3</t>
        </is>
      </c>
      <c r="H285" s="47" t="inlineStr">
        <is>
          <t>Win-Win</t>
        </is>
      </c>
      <c r="I285" s="47" t="inlineStr">
        <is>
          <t>ISHIZUE OMEGA355.6-1060</t>
        </is>
      </c>
      <c r="J285" s="46" t="inlineStr">
        <is>
          <t>PO-5584</t>
        </is>
      </c>
      <c r="K285" s="47" t="inlineStr">
        <is>
          <t>G/c tiện hoàn thiện</t>
        </is>
      </c>
      <c r="L285" s="50" t="n">
        <v>83700</v>
      </c>
      <c r="M285" s="67" t="n">
        <v>6</v>
      </c>
      <c r="N285" s="50" t="n">
        <v>0</v>
      </c>
      <c r="O285" s="68" t="n">
        <v>8</v>
      </c>
      <c r="P285" s="64">
        <f>L285*M285</f>
        <v/>
      </c>
      <c r="Q285" s="47" t="inlineStr">
        <is>
          <t>Chíp  R5 THREADEX- P3200</t>
        </is>
      </c>
      <c r="R285" s="50" t="n">
        <v>0</v>
      </c>
      <c r="S285" s="65" t="inlineStr">
        <is>
          <t>ĐÚNG</t>
        </is>
      </c>
      <c r="T285" s="47" t="inlineStr">
        <is>
          <t>Đã xong nguyên công</t>
        </is>
      </c>
      <c r="U285" t="inlineStr">
        <is>
          <t>ĐÃ DUYỆT</t>
        </is>
      </c>
      <c r="V285" t="inlineStr">
        <is>
          <t>ĐÃ PHÊ DUYỆT</t>
        </is>
      </c>
      <c r="W285" t="inlineStr">
        <is>
          <t>🔒 ĐÃ KHÓA</t>
        </is>
      </c>
    </row>
    <row r="286" ht="21" customHeight="1" s="75">
      <c r="A286" s="40" t="n">
        <v>283</v>
      </c>
      <c r="B286" s="60" t="n">
        <v>46269.08190144676</v>
      </c>
      <c r="C286" s="61" t="inlineStr">
        <is>
          <t>EMP-NV06</t>
        </is>
      </c>
      <c r="D286" s="41" t="inlineStr">
        <is>
          <t>Phùng Công Thắng</t>
        </is>
      </c>
      <c r="E286" s="61" t="inlineStr">
        <is>
          <t>M-FUJI-01</t>
        </is>
      </c>
      <c r="F286" s="41" t="inlineStr">
        <is>
          <t>Phùng Công Thắng</t>
        </is>
      </c>
      <c r="G286" s="61" t="inlineStr">
        <is>
          <t>OP-GEN-01</t>
        </is>
      </c>
      <c r="H286" s="41" t="inlineStr">
        <is>
          <t>Win-Win</t>
        </is>
      </c>
      <c r="I286" s="41" t="inlineStr">
        <is>
          <t>ISHIZUE OMEGA267.4-950</t>
        </is>
      </c>
      <c r="J286" s="40" t="inlineStr">
        <is>
          <t>PO-8037</t>
        </is>
      </c>
      <c r="K286" s="41" t="inlineStr">
        <is>
          <t>G/c tiện hoàn thiện</t>
        </is>
      </c>
      <c r="L286" s="44" t="n">
        <v>55800</v>
      </c>
      <c r="M286" s="62" t="n">
        <v>3</v>
      </c>
      <c r="N286" s="44" t="n">
        <v>0</v>
      </c>
      <c r="O286" s="63" t="n">
        <v>4</v>
      </c>
      <c r="P286" s="64">
        <f>L286*M286</f>
        <v/>
      </c>
      <c r="Q286" s="41" t="inlineStr">
        <is>
          <t>Chíp  R5 THREADEX- P3200</t>
        </is>
      </c>
      <c r="R286" s="44" t="n">
        <v>0</v>
      </c>
      <c r="S286" s="65" t="inlineStr">
        <is>
          <t>ĐÚNG</t>
        </is>
      </c>
      <c r="T286" s="41" t="inlineStr">
        <is>
          <t>Đã xong nguyên công</t>
        </is>
      </c>
      <c r="U286" t="inlineStr">
        <is>
          <t>ĐÃ DUYỆT</t>
        </is>
      </c>
      <c r="V286" t="inlineStr">
        <is>
          <t>ĐÃ PHÊ DUYỆT</t>
        </is>
      </c>
      <c r="W286" t="inlineStr">
        <is>
          <t>🔒 ĐÃ KHÓA</t>
        </is>
      </c>
    </row>
    <row r="287" ht="21" customHeight="1" s="75">
      <c r="A287" s="46" t="n">
        <v>284</v>
      </c>
      <c r="B287" s="66" t="n">
        <v>46269.08264168981</v>
      </c>
      <c r="C287" s="61" t="inlineStr">
        <is>
          <t>EMP-NV06</t>
        </is>
      </c>
      <c r="D287" s="47" t="inlineStr">
        <is>
          <t>Phùng Công Thắng</t>
        </is>
      </c>
      <c r="E287" s="61" t="inlineStr">
        <is>
          <t>M-FUJI-01</t>
        </is>
      </c>
      <c r="F287" s="47" t="inlineStr">
        <is>
          <t>Phùng Công Thắng</t>
        </is>
      </c>
      <c r="G287" s="61" t="inlineStr">
        <is>
          <t>OP-ISH355-NC3</t>
        </is>
      </c>
      <c r="H287" s="47" t="inlineStr">
        <is>
          <t>Win-Win</t>
        </is>
      </c>
      <c r="I287" s="47" t="inlineStr">
        <is>
          <t>Mold of Ishizue omega 355,6-1060</t>
        </is>
      </c>
      <c r="J287" s="46" t="inlineStr">
        <is>
          <t>PO-4005</t>
        </is>
      </c>
      <c r="K287" s="47" t="inlineStr">
        <is>
          <t>G/c tiện hoàn thiện góc 45 độ</t>
        </is>
      </c>
      <c r="L287" s="50" t="n">
        <v>37200</v>
      </c>
      <c r="M287" s="67" t="n">
        <v>4</v>
      </c>
      <c r="N287" s="50" t="n">
        <v>0</v>
      </c>
      <c r="O287" s="68" t="n">
        <v>4</v>
      </c>
      <c r="P287" s="64">
        <f>L287*M287</f>
        <v/>
      </c>
      <c r="Q287" s="47" t="inlineStr">
        <is>
          <t>Chíp  R5 THREADEX- P3200</t>
        </is>
      </c>
      <c r="R287" s="50" t="n">
        <v>0</v>
      </c>
      <c r="S287" s="65" t="inlineStr">
        <is>
          <t>ĐÚNG</t>
        </is>
      </c>
      <c r="T287" s="47" t="inlineStr">
        <is>
          <t>Đã xong nguyên công</t>
        </is>
      </c>
      <c r="U287" t="inlineStr">
        <is>
          <t>ĐÃ DUYỆT</t>
        </is>
      </c>
      <c r="V287" t="inlineStr">
        <is>
          <t>ĐÃ PHÊ DUYỆT</t>
        </is>
      </c>
      <c r="W287" t="inlineStr">
        <is>
          <t>🔒 ĐÃ KHÓA</t>
        </is>
      </c>
    </row>
    <row r="288" ht="21" customHeight="1" s="75">
      <c r="A288" s="40" t="n">
        <v>285</v>
      </c>
      <c r="B288" s="60" t="n">
        <v>46269.08308460648</v>
      </c>
      <c r="C288" s="61" t="inlineStr">
        <is>
          <t>EMP-NV06</t>
        </is>
      </c>
      <c r="D288" s="41" t="inlineStr">
        <is>
          <t>Phùng Công Thắng</t>
        </is>
      </c>
      <c r="E288" s="61" t="inlineStr">
        <is>
          <t>M-OKUMA-01</t>
        </is>
      </c>
      <c r="F288" s="41" t="inlineStr">
        <is>
          <t>Phùng Công Thắng</t>
        </is>
      </c>
      <c r="G288" s="61" t="inlineStr">
        <is>
          <t>OP-GEN-01</t>
        </is>
      </c>
      <c r="H288" s="41" t="inlineStr">
        <is>
          <t>Vico- QLTB</t>
        </is>
      </c>
      <c r="I288" s="41" t="inlineStr">
        <is>
          <t>Mẫu kéo nén</t>
        </is>
      </c>
      <c r="J288" s="40" t="inlineStr">
        <is>
          <t>PO-6224</t>
        </is>
      </c>
      <c r="K288" s="41" t="inlineStr">
        <is>
          <t>G/c ht theo bản vẽ</t>
        </is>
      </c>
      <c r="L288" s="44" t="n">
        <v>55800</v>
      </c>
      <c r="M288" s="62" t="n">
        <v>1</v>
      </c>
      <c r="N288" s="44" t="n">
        <v>0</v>
      </c>
      <c r="O288" s="63" t="n">
        <v>4</v>
      </c>
      <c r="P288" s="64">
        <f>L288*M288</f>
        <v/>
      </c>
      <c r="Q288" s="41" t="inlineStr">
        <is>
          <t>Chíp  R5 THREADEX- P3200</t>
        </is>
      </c>
      <c r="R288" s="44" t="n">
        <v>0</v>
      </c>
      <c r="S288" s="65" t="inlineStr">
        <is>
          <t>ĐÚNG</t>
        </is>
      </c>
      <c r="T288" s="41" t="inlineStr">
        <is>
          <t>Đã xong nguyên công</t>
        </is>
      </c>
      <c r="U288" t="inlineStr">
        <is>
          <t>ĐÃ DUYỆT</t>
        </is>
      </c>
      <c r="V288" t="inlineStr">
        <is>
          <t>ĐÃ PHÊ DUYỆT</t>
        </is>
      </c>
      <c r="W288" t="inlineStr">
        <is>
          <t>🔒 ĐÃ KHÓA</t>
        </is>
      </c>
    </row>
    <row r="289" ht="21" customHeight="1" s="75">
      <c r="A289" s="46" t="n">
        <v>286</v>
      </c>
      <c r="B289" s="66" t="n">
        <v>46269.08349388889</v>
      </c>
      <c r="C289" s="61" t="inlineStr">
        <is>
          <t>EMP-NV06</t>
        </is>
      </c>
      <c r="D289" s="47" t="inlineStr">
        <is>
          <t>Phùng Công Thắng</t>
        </is>
      </c>
      <c r="E289" s="61" t="inlineStr">
        <is>
          <t>M-DK7745-01</t>
        </is>
      </c>
      <c r="F289" s="47" t="inlineStr">
        <is>
          <t>Phùng Công Thắng</t>
        </is>
      </c>
      <c r="G289" s="61" t="inlineStr">
        <is>
          <t>OP-GEN-01</t>
        </is>
      </c>
      <c r="H289" s="47" t="inlineStr">
        <is>
          <t>Vico- QLTB</t>
        </is>
      </c>
      <c r="I289" s="47" t="inlineStr">
        <is>
          <t>Mẫu Thử CR &amp; hàng #</t>
        </is>
      </c>
      <c r="J289" s="46" t="inlineStr">
        <is>
          <t>PO-1897</t>
        </is>
      </c>
      <c r="K289" s="47" t="inlineStr">
        <is>
          <t>G/c hoàn thiện</t>
        </is>
      </c>
      <c r="L289" s="50" t="n">
        <v>83700</v>
      </c>
      <c r="M289" s="67" t="n">
        <v>4</v>
      </c>
      <c r="N289" s="50" t="n">
        <v>0</v>
      </c>
      <c r="O289" s="68" t="n">
        <v>4</v>
      </c>
      <c r="P289" s="64">
        <f>L289*M289</f>
        <v/>
      </c>
      <c r="Q289" s="47" t="inlineStr">
        <is>
          <t>Dây cắt CNC</t>
        </is>
      </c>
      <c r="R289" s="50" t="n">
        <v>0</v>
      </c>
      <c r="S289" s="65" t="inlineStr">
        <is>
          <t>ĐÚNG</t>
        </is>
      </c>
      <c r="T289" s="47" t="inlineStr">
        <is>
          <t>Đã xong nguyên công</t>
        </is>
      </c>
      <c r="U289" t="inlineStr">
        <is>
          <t>ĐÃ DUYỆT</t>
        </is>
      </c>
      <c r="V289" t="inlineStr">
        <is>
          <t>ĐÃ PHÊ DUYỆT</t>
        </is>
      </c>
      <c r="W289" t="inlineStr">
        <is>
          <t>🔒 ĐÃ KHÓA</t>
        </is>
      </c>
    </row>
    <row r="290" ht="21" customHeight="1" s="75">
      <c r="A290" s="40" t="n">
        <v>287</v>
      </c>
      <c r="B290" s="60" t="n">
        <v>46269.33194956018</v>
      </c>
      <c r="C290" s="61" t="inlineStr">
        <is>
          <t>EMP-NV11</t>
        </is>
      </c>
      <c r="D290" s="41" t="inlineStr">
        <is>
          <t>Phùng Công Thắng</t>
        </is>
      </c>
      <c r="E290" s="61" t="inlineStr">
        <is>
          <t>M-FUJI-01</t>
        </is>
      </c>
      <c r="F290" s="41" t="inlineStr">
        <is>
          <t>Phùng Công Thắng</t>
        </is>
      </c>
      <c r="G290" s="61" t="inlineStr">
        <is>
          <t>OP-GEN-01</t>
        </is>
      </c>
      <c r="H290" s="41" t="inlineStr">
        <is>
          <t>Win-Win</t>
        </is>
      </c>
      <c r="I290" s="41" t="inlineStr">
        <is>
          <t>ISHIZUE 267Dw700</t>
        </is>
      </c>
      <c r="J290" s="40" t="inlineStr">
        <is>
          <t>PO-8577</t>
        </is>
      </c>
      <c r="K290" s="41" t="inlineStr">
        <is>
          <t>G/c hoàn thiện</t>
        </is>
      </c>
      <c r="L290" s="44" t="n">
        <v>55800</v>
      </c>
      <c r="M290" s="62" t="n">
        <v>10</v>
      </c>
      <c r="N290" s="44" t="n">
        <v>0</v>
      </c>
      <c r="O290" s="63" t="n">
        <v>8</v>
      </c>
      <c r="P290" s="64">
        <f>L290*M290</f>
        <v/>
      </c>
      <c r="Q290" s="41" t="inlineStr">
        <is>
          <t>Chíp  R5 THREADEX- P3200</t>
        </is>
      </c>
      <c r="R290" s="44" t="n">
        <v>1</v>
      </c>
      <c r="S290" s="65" t="inlineStr">
        <is>
          <t>ĐÚNG</t>
        </is>
      </c>
      <c r="T290" s="41" t="inlineStr">
        <is>
          <t>Đã xong nguyên công</t>
        </is>
      </c>
      <c r="U290" t="inlineStr">
        <is>
          <t>ĐÃ DUYỆT</t>
        </is>
      </c>
      <c r="V290" t="inlineStr">
        <is>
          <t>ĐÃ PHÊ DUYỆT</t>
        </is>
      </c>
      <c r="W290" t="inlineStr">
        <is>
          <t>🔒 ĐÃ KHÓA</t>
        </is>
      </c>
    </row>
    <row r="291" ht="21" customHeight="1" s="75">
      <c r="A291" s="46" t="n">
        <v>288</v>
      </c>
      <c r="B291" s="66" t="n">
        <v>46269.33254745371</v>
      </c>
      <c r="C291" s="61" t="inlineStr">
        <is>
          <t>EMP-NV11</t>
        </is>
      </c>
      <c r="D291" s="47" t="inlineStr">
        <is>
          <t>Phùng Công Thắng</t>
        </is>
      </c>
      <c r="E291" s="61" t="inlineStr">
        <is>
          <t>M-PODA-01</t>
        </is>
      </c>
      <c r="F291" s="47" t="inlineStr">
        <is>
          <t>Phùng Công Thắng</t>
        </is>
      </c>
      <c r="G291" s="61" t="inlineStr">
        <is>
          <t>OP-GEN-01</t>
        </is>
      </c>
      <c r="H291" s="47" t="inlineStr">
        <is>
          <t>Vico- QLTB</t>
        </is>
      </c>
      <c r="I291" s="47" t="inlineStr">
        <is>
          <t>Mẫu Thử CR &amp; hàng #</t>
        </is>
      </c>
      <c r="J291" s="46" t="inlineStr">
        <is>
          <t>PO-2302</t>
        </is>
      </c>
      <c r="K291" s="47" t="inlineStr">
        <is>
          <t>G/c hoàn thiện</t>
        </is>
      </c>
      <c r="L291" s="50" t="n">
        <v>83700</v>
      </c>
      <c r="M291" s="67" t="n">
        <v>8</v>
      </c>
      <c r="N291" s="50" t="n">
        <v>0</v>
      </c>
      <c r="O291" s="68" t="n">
        <v>8</v>
      </c>
      <c r="P291" s="64">
        <f>L291*M291</f>
        <v/>
      </c>
      <c r="Q291" s="47" t="inlineStr">
        <is>
          <t>Dây cắt CNC</t>
        </is>
      </c>
      <c r="R291" s="50" t="n">
        <v>0</v>
      </c>
      <c r="S291" s="65" t="inlineStr">
        <is>
          <t>ĐÚNG</t>
        </is>
      </c>
      <c r="T291" s="47" t="inlineStr">
        <is>
          <t>Đã xong nguyên công</t>
        </is>
      </c>
      <c r="U291" t="inlineStr">
        <is>
          <t>ĐÃ DUYỆT</t>
        </is>
      </c>
      <c r="V291" t="inlineStr">
        <is>
          <t>ĐÃ PHÊ DUYỆT</t>
        </is>
      </c>
      <c r="W291" t="inlineStr">
        <is>
          <t>🔒 ĐÃ KHÓA</t>
        </is>
      </c>
    </row>
    <row r="292" ht="21" customHeight="1" s="75">
      <c r="A292" s="40" t="n">
        <v>289</v>
      </c>
      <c r="B292" s="60" t="n">
        <v>46269.40508733796</v>
      </c>
      <c r="C292" s="61" t="inlineStr">
        <is>
          <t>EMP-NV07</t>
        </is>
      </c>
      <c r="D292" s="41" t="inlineStr">
        <is>
          <t>Phùng Công Thắng</t>
        </is>
      </c>
      <c r="E292" s="61" t="inlineStr">
        <is>
          <t>M-OKK1-01</t>
        </is>
      </c>
      <c r="F292" s="41" t="inlineStr">
        <is>
          <t>Phùng Công Thắng</t>
        </is>
      </c>
      <c r="G292" s="61" t="inlineStr">
        <is>
          <t>OP-SEALB-NC2</t>
        </is>
      </c>
      <c r="H292" s="41" t="inlineStr">
        <is>
          <t>Thyssen</t>
        </is>
      </c>
      <c r="I292" s="41" t="inlineStr">
        <is>
          <t>Sealing strip, above</t>
        </is>
      </c>
      <c r="J292" s="40" t="inlineStr">
        <is>
          <t>PO-4243</t>
        </is>
      </c>
      <c r="K292" s="41" t="inlineStr">
        <is>
          <t>G/c phay Mp NC1 Kt 95mm</t>
        </is>
      </c>
      <c r="L292" s="44" t="n">
        <v>37200</v>
      </c>
      <c r="M292" s="62" t="n">
        <v>12</v>
      </c>
      <c r="N292" s="44" t="n">
        <v>0</v>
      </c>
      <c r="O292" s="63" t="n">
        <v>8</v>
      </c>
      <c r="P292" s="64">
        <f>L292*M292</f>
        <v/>
      </c>
      <c r="Q292" s="41" t="inlineStr">
        <is>
          <t>Không tiêu hao</t>
        </is>
      </c>
      <c r="R292" s="44" t="n">
        <v>0</v>
      </c>
      <c r="S292" s="40" t="inlineStr">
        <is>
          <t>SAI</t>
        </is>
      </c>
      <c r="T292" s="41" t="inlineStr">
        <is>
          <t>Đang gia công dở dang, chuyển ca sau</t>
        </is>
      </c>
      <c r="U292" t="inlineStr">
        <is>
          <t>ĐÃ DUYỆT</t>
        </is>
      </c>
      <c r="V292" t="inlineStr">
        <is>
          <t>ĐÃ PHÊ DUYỆT</t>
        </is>
      </c>
      <c r="W292" t="inlineStr">
        <is>
          <t>🔒 ĐÃ KHÓA</t>
        </is>
      </c>
    </row>
    <row r="293" ht="21" customHeight="1" s="75">
      <c r="A293" s="46" t="n">
        <v>290</v>
      </c>
      <c r="B293" s="66" t="n">
        <v>46269.40546424768</v>
      </c>
      <c r="C293" s="61" t="inlineStr">
        <is>
          <t>EMP-NV07</t>
        </is>
      </c>
      <c r="D293" s="47" t="inlineStr">
        <is>
          <t>Phùng Công Thắng</t>
        </is>
      </c>
      <c r="E293" s="61" t="inlineStr">
        <is>
          <t>M-OKK3-01</t>
        </is>
      </c>
      <c r="F293" s="47" t="inlineStr">
        <is>
          <t>Phùng Công Thắng</t>
        </is>
      </c>
      <c r="G293" s="61" t="inlineStr">
        <is>
          <t>OP-SEALB-NC2</t>
        </is>
      </c>
      <c r="H293" s="47" t="inlineStr">
        <is>
          <t>Thyssen</t>
        </is>
      </c>
      <c r="I293" s="47" t="inlineStr">
        <is>
          <t>Sealing strip, above</t>
        </is>
      </c>
      <c r="J293" s="46" t="inlineStr">
        <is>
          <t>PO-1168</t>
        </is>
      </c>
      <c r="K293" s="47" t="inlineStr">
        <is>
          <t>G/c phay Mp NC1 Kt 95mm</t>
        </is>
      </c>
      <c r="L293" s="50" t="n">
        <v>37200</v>
      </c>
      <c r="M293" s="67" t="n">
        <v>8</v>
      </c>
      <c r="N293" s="50" t="n">
        <v>0</v>
      </c>
      <c r="O293" s="68" t="n">
        <v>8</v>
      </c>
      <c r="P293" s="64">
        <f>L293*M293</f>
        <v/>
      </c>
      <c r="Q293" s="47" t="inlineStr">
        <is>
          <t>Không tiêu hao</t>
        </is>
      </c>
      <c r="R293" s="50" t="n">
        <v>0</v>
      </c>
      <c r="S293" s="46" t="inlineStr">
        <is>
          <t>SAI</t>
        </is>
      </c>
      <c r="T293" s="47" t="inlineStr">
        <is>
          <t>Đang gia công dở dang, chuyển ca sau</t>
        </is>
      </c>
      <c r="U293" t="inlineStr">
        <is>
          <t>ĐÃ DUYỆT</t>
        </is>
      </c>
      <c r="V293" t="inlineStr">
        <is>
          <t>ĐÃ PHÊ DUYỆT</t>
        </is>
      </c>
      <c r="W293" t="inlineStr">
        <is>
          <t>🔒 ĐÃ KHÓA</t>
        </is>
      </c>
    </row>
    <row r="294" ht="21" customHeight="1" s="75">
      <c r="A294" s="40" t="n">
        <v>291</v>
      </c>
      <c r="B294" s="60" t="n">
        <v>46269.40600975695</v>
      </c>
      <c r="C294" s="61" t="inlineStr">
        <is>
          <t>EMP-NV07</t>
        </is>
      </c>
      <c r="D294" s="41" t="inlineStr">
        <is>
          <t>Phùng Công Thắng</t>
        </is>
      </c>
      <c r="E294" s="61" t="inlineStr">
        <is>
          <t>M-KHYOS-01</t>
        </is>
      </c>
      <c r="F294" s="41" t="inlineStr">
        <is>
          <t>Phùng Công Thắng</t>
        </is>
      </c>
      <c r="G294" s="61" t="inlineStr">
        <is>
          <t>OP-GEN-01</t>
        </is>
      </c>
      <c r="H294" s="41" t="inlineStr">
        <is>
          <t>Vico- QLTB</t>
        </is>
      </c>
      <c r="I294" s="41" t="inlineStr">
        <is>
          <t>Mẫu Thử CR &amp; hàng #</t>
        </is>
      </c>
      <c r="J294" s="40" t="inlineStr">
        <is>
          <t>PO-5037</t>
        </is>
      </c>
      <c r="K294" s="41" t="inlineStr">
        <is>
          <t>G/c hoàn thiện</t>
        </is>
      </c>
      <c r="L294" s="44" t="n">
        <v>83700</v>
      </c>
      <c r="M294" s="62" t="n">
        <v>17</v>
      </c>
      <c r="N294" s="44" t="n">
        <v>0</v>
      </c>
      <c r="O294" s="63" t="n">
        <v>8</v>
      </c>
      <c r="P294" s="64">
        <f>L294*M294</f>
        <v/>
      </c>
      <c r="Q294" s="41" t="inlineStr">
        <is>
          <t>Không tiêu hao</t>
        </is>
      </c>
      <c r="R294" s="44" t="n">
        <v>0</v>
      </c>
      <c r="S294" s="65" t="inlineStr">
        <is>
          <t>ĐÚNG</t>
        </is>
      </c>
      <c r="T294" s="41" t="inlineStr">
        <is>
          <t>Đã xong nguyên công</t>
        </is>
      </c>
      <c r="U294" t="inlineStr">
        <is>
          <t>ĐÃ DUYỆT</t>
        </is>
      </c>
      <c r="V294" t="inlineStr">
        <is>
          <t>ĐÃ PHÊ DUYỆT</t>
        </is>
      </c>
      <c r="W294" t="inlineStr">
        <is>
          <t>🔒 ĐÃ KHÓA</t>
        </is>
      </c>
    </row>
    <row r="295" ht="21" customHeight="1" s="75">
      <c r="A295" s="46" t="n">
        <v>292</v>
      </c>
      <c r="B295" s="66" t="n">
        <v>46269.43002513889</v>
      </c>
      <c r="C295" s="61" t="inlineStr">
        <is>
          <t>EMP-NV01</t>
        </is>
      </c>
      <c r="D295" s="47" t="inlineStr">
        <is>
          <t>Phùng Công Thắng</t>
        </is>
      </c>
      <c r="E295" s="61" t="inlineStr">
        <is>
          <t>M-PCNC2-01</t>
        </is>
      </c>
      <c r="F295" s="47" t="inlineStr">
        <is>
          <t>Phùng Công Thắng</t>
        </is>
      </c>
      <c r="G295" s="61" t="inlineStr">
        <is>
          <t>OP-SEALB-NC2</t>
        </is>
      </c>
      <c r="H295" s="47" t="inlineStr">
        <is>
          <t>Thyssen</t>
        </is>
      </c>
      <c r="I295" s="47" t="inlineStr">
        <is>
          <t>Sealing strip, above</t>
        </is>
      </c>
      <c r="J295" s="46" t="inlineStr">
        <is>
          <t>PO-3198</t>
        </is>
      </c>
      <c r="K295" s="47" t="inlineStr">
        <is>
          <t>G/c phay Mp NC1 Kt 95mm</t>
        </is>
      </c>
      <c r="L295" s="50" t="n">
        <v>37200</v>
      </c>
      <c r="M295" s="67" t="n">
        <v>12</v>
      </c>
      <c r="N295" s="50" t="n">
        <v>0</v>
      </c>
      <c r="O295" s="68" t="n">
        <v>8</v>
      </c>
      <c r="P295" s="64">
        <f>L295*M295</f>
        <v/>
      </c>
      <c r="Q295" s="47" t="inlineStr">
        <is>
          <t>Chíp APMT 1604 PDTR - LT30-PVD - LAMINA</t>
        </is>
      </c>
      <c r="R295" s="50" t="n">
        <v>5</v>
      </c>
      <c r="S295" s="46" t="inlineStr">
        <is>
          <t>SAI</t>
        </is>
      </c>
      <c r="T295" s="47" t="inlineStr">
        <is>
          <t>Đang gia công dở dang, chuyển ca sau</t>
        </is>
      </c>
      <c r="U295" t="inlineStr">
        <is>
          <t>ĐÃ DUYỆT</t>
        </is>
      </c>
      <c r="V295" t="inlineStr">
        <is>
          <t>ĐÃ PHÊ DUYỆT</t>
        </is>
      </c>
      <c r="W295" t="inlineStr">
        <is>
          <t>🔒 ĐÃ KHÓA</t>
        </is>
      </c>
    </row>
    <row r="296" ht="21" customHeight="1" s="75">
      <c r="A296" s="40" t="n">
        <v>293</v>
      </c>
      <c r="B296" s="60" t="n">
        <v>46269.43086540509</v>
      </c>
      <c r="C296" s="61" t="inlineStr">
        <is>
          <t>EMP-NV01</t>
        </is>
      </c>
      <c r="D296" s="41" t="inlineStr">
        <is>
          <t>Phùng Công Thắng</t>
        </is>
      </c>
      <c r="E296" s="61" t="inlineStr">
        <is>
          <t>M-PCNC1-01</t>
        </is>
      </c>
      <c r="F296" s="41" t="inlineStr">
        <is>
          <t>Phùng Công Thắng</t>
        </is>
      </c>
      <c r="G296" s="61" t="inlineStr">
        <is>
          <t>OP-SEALB-NC4</t>
        </is>
      </c>
      <c r="H296" s="41" t="inlineStr">
        <is>
          <t>Thyssen</t>
        </is>
      </c>
      <c r="I296" s="41" t="inlineStr">
        <is>
          <t>Sealing strip, below</t>
        </is>
      </c>
      <c r="J296" s="40" t="inlineStr">
        <is>
          <t>PO-3155</t>
        </is>
      </c>
      <c r="K296" s="41" t="inlineStr">
        <is>
          <t>Phay rãnh</t>
        </is>
      </c>
      <c r="L296" s="44" t="n">
        <v>45000</v>
      </c>
      <c r="M296" s="62" t="n">
        <v>9</v>
      </c>
      <c r="N296" s="44" t="n">
        <v>0</v>
      </c>
      <c r="O296" s="63" t="n">
        <v>8</v>
      </c>
      <c r="P296" s="64">
        <f>L296*M296</f>
        <v/>
      </c>
      <c r="Q296" s="41" t="inlineStr">
        <is>
          <t>Chíp APMT 1604 PDER - Grade 8230S-PRAMET</t>
        </is>
      </c>
      <c r="R296" s="44" t="n">
        <v>0</v>
      </c>
      <c r="S296" s="40" t="inlineStr">
        <is>
          <t>SAI</t>
        </is>
      </c>
      <c r="T296" s="41" t="inlineStr">
        <is>
          <t>Đang gia công dở dang, chuyển ca sau</t>
        </is>
      </c>
      <c r="U296" t="inlineStr">
        <is>
          <t>ĐÃ DUYỆT</t>
        </is>
      </c>
      <c r="V296" t="inlineStr">
        <is>
          <t>ĐÃ PHÊ DUYỆT</t>
        </is>
      </c>
      <c r="W296" t="inlineStr">
        <is>
          <t>🔒 ĐÃ KHÓA</t>
        </is>
      </c>
    </row>
    <row r="297" ht="21" customHeight="1" s="75">
      <c r="A297" s="46" t="n">
        <v>294</v>
      </c>
      <c r="B297" s="66" t="n">
        <v>46269.65757515046</v>
      </c>
      <c r="C297" s="61" t="inlineStr">
        <is>
          <t>EMP-NV12</t>
        </is>
      </c>
      <c r="D297" s="47" t="inlineStr">
        <is>
          <t>Phùng Công Thắng</t>
        </is>
      </c>
      <c r="E297" s="61" t="inlineStr">
        <is>
          <t>M-DK7745-01</t>
        </is>
      </c>
      <c r="F297" s="47" t="inlineStr">
        <is>
          <t>Phùng Công Thắng</t>
        </is>
      </c>
      <c r="G297" s="61" t="inlineStr">
        <is>
          <t>OP-GEN-01</t>
        </is>
      </c>
      <c r="H297" s="47" t="inlineStr">
        <is>
          <t>Vico- QLTB</t>
        </is>
      </c>
      <c r="I297" s="47" t="inlineStr">
        <is>
          <t>Mẫu Thử CR &amp; hàng #</t>
        </is>
      </c>
      <c r="J297" s="46" t="inlineStr">
        <is>
          <t>PO-5604</t>
        </is>
      </c>
      <c r="K297" s="47" t="inlineStr">
        <is>
          <t>G/c hoàn thiện</t>
        </is>
      </c>
      <c r="L297" s="50" t="n">
        <v>83700</v>
      </c>
      <c r="M297" s="67" t="n">
        <v>6</v>
      </c>
      <c r="N297" s="50" t="n">
        <v>0</v>
      </c>
      <c r="O297" s="68" t="n">
        <v>8</v>
      </c>
      <c r="P297" s="64">
        <f>L297*M297</f>
        <v/>
      </c>
      <c r="Q297" s="47" t="inlineStr">
        <is>
          <t>Dây cắt CNC</t>
        </is>
      </c>
      <c r="R297" s="50" t="n">
        <v>0</v>
      </c>
      <c r="S297" s="65" t="inlineStr">
        <is>
          <t>ĐÚNG</t>
        </is>
      </c>
      <c r="T297" s="47" t="inlineStr">
        <is>
          <t>Đã xong nguyên công</t>
        </is>
      </c>
      <c r="U297" t="inlineStr">
        <is>
          <t>ĐÃ DUYỆT</t>
        </is>
      </c>
      <c r="V297" t="inlineStr">
        <is>
          <t>ĐÃ PHÊ DUYỆT</t>
        </is>
      </c>
      <c r="W297" t="inlineStr">
        <is>
          <t>🔒 ĐÃ KHÓA</t>
        </is>
      </c>
    </row>
    <row r="298" ht="21" customHeight="1" s="75">
      <c r="A298" s="40" t="n">
        <v>295</v>
      </c>
      <c r="B298" s="60" t="n">
        <v>46269.65830731481</v>
      </c>
      <c r="C298" s="61" t="inlineStr">
        <is>
          <t>EMP-NV12</t>
        </is>
      </c>
      <c r="D298" s="41" t="inlineStr">
        <is>
          <t>Phùng Công Thắng</t>
        </is>
      </c>
      <c r="E298" s="61" t="inlineStr">
        <is>
          <t>M-KHYOS-01</t>
        </is>
      </c>
      <c r="F298" s="41" t="inlineStr">
        <is>
          <t>Phùng Công Thắng</t>
        </is>
      </c>
      <c r="G298" s="61" t="inlineStr">
        <is>
          <t>OP-SEALB-NC4</t>
        </is>
      </c>
      <c r="H298" s="41" t="inlineStr">
        <is>
          <t>Thyssen</t>
        </is>
      </c>
      <c r="I298" s="41" t="inlineStr">
        <is>
          <t>Sealing strip, below</t>
        </is>
      </c>
      <c r="J298" s="40" t="inlineStr">
        <is>
          <t>PO-9520</t>
        </is>
      </c>
      <c r="K298" s="41" t="inlineStr">
        <is>
          <t>G/c khoan lỗ phi 14/2 lỗ</t>
        </is>
      </c>
      <c r="L298" s="44" t="n">
        <v>45000</v>
      </c>
      <c r="M298" s="62" t="n">
        <v>40</v>
      </c>
      <c r="N298" s="44" t="n">
        <v>0</v>
      </c>
      <c r="O298" s="63" t="n">
        <v>8</v>
      </c>
      <c r="P298" s="64">
        <f>L298*M298</f>
        <v/>
      </c>
      <c r="Q298" s="41" t="inlineStr">
        <is>
          <t>Mũi khoan</t>
        </is>
      </c>
      <c r="R298" s="44" t="n">
        <v>0</v>
      </c>
      <c r="S298" s="65" t="inlineStr">
        <is>
          <t>ĐÚNG</t>
        </is>
      </c>
      <c r="T298" s="41" t="inlineStr">
        <is>
          <t>Đã xong nguyên công</t>
        </is>
      </c>
      <c r="U298" t="inlineStr">
        <is>
          <t>ĐÃ DUYỆT</t>
        </is>
      </c>
      <c r="V298" t="inlineStr">
        <is>
          <t>ĐÃ PHÊ DUYỆT</t>
        </is>
      </c>
      <c r="W298" t="inlineStr">
        <is>
          <t>🔒 ĐÃ KHÓA</t>
        </is>
      </c>
    </row>
    <row r="299" ht="21" customHeight="1" s="75">
      <c r="A299" s="46" t="n">
        <v>296</v>
      </c>
      <c r="B299" s="66" t="n">
        <v>46269.65886560185</v>
      </c>
      <c r="C299" s="61" t="inlineStr">
        <is>
          <t>EMP-NV12</t>
        </is>
      </c>
      <c r="D299" s="47" t="inlineStr">
        <is>
          <t>Phùng Công Thắng</t>
        </is>
      </c>
      <c r="E299" s="61" t="inlineStr">
        <is>
          <t>M-OKK2-01</t>
        </is>
      </c>
      <c r="F299" s="47" t="inlineStr">
        <is>
          <t>Phùng Công Thắng</t>
        </is>
      </c>
      <c r="G299" s="61" t="inlineStr">
        <is>
          <t>OP-SEALB-NC2</t>
        </is>
      </c>
      <c r="H299" s="47" t="inlineStr">
        <is>
          <t>Thyssen</t>
        </is>
      </c>
      <c r="I299" s="47" t="inlineStr">
        <is>
          <t>Sealing strip, above</t>
        </is>
      </c>
      <c r="J299" s="46" t="inlineStr">
        <is>
          <t>PO-3978</t>
        </is>
      </c>
      <c r="K299" s="47" t="inlineStr">
        <is>
          <t>G/c phay Mp NC1 Kt 95mm</t>
        </is>
      </c>
      <c r="L299" s="50" t="n">
        <v>37200</v>
      </c>
      <c r="M299" s="67" t="n">
        <v>3</v>
      </c>
      <c r="N299" s="50" t="n">
        <v>0</v>
      </c>
      <c r="O299" s="68" t="n">
        <v>4</v>
      </c>
      <c r="P299" s="64">
        <f>L299*M299</f>
        <v/>
      </c>
      <c r="Q299" s="47" t="inlineStr">
        <is>
          <t>Chíp  Pramet (6 cạnh)</t>
        </is>
      </c>
      <c r="R299" s="50" t="n">
        <v>0</v>
      </c>
      <c r="S299" s="46" t="inlineStr">
        <is>
          <t>SAI</t>
        </is>
      </c>
      <c r="T299" s="47" t="inlineStr">
        <is>
          <t>Đang gia công dở dang, chuyển ca sau</t>
        </is>
      </c>
      <c r="U299" t="inlineStr">
        <is>
          <t>ĐÃ DUYỆT</t>
        </is>
      </c>
      <c r="V299" t="inlineStr">
        <is>
          <t>ĐÃ PHÊ DUYỆT</t>
        </is>
      </c>
      <c r="W299" t="inlineStr">
        <is>
          <t>🔒 ĐÃ KHÓA</t>
        </is>
      </c>
    </row>
    <row r="300" ht="21" customHeight="1" s="75">
      <c r="A300" s="40" t="n">
        <v>297</v>
      </c>
      <c r="B300" s="60" t="n">
        <v>46269.66437775463</v>
      </c>
      <c r="C300" s="61" t="inlineStr">
        <is>
          <t>EMP-NV10</t>
        </is>
      </c>
      <c r="D300" s="41" t="inlineStr">
        <is>
          <t>Phùng Công Thắng</t>
        </is>
      </c>
      <c r="E300" s="61" t="inlineStr">
        <is>
          <t>M-OKK2-01</t>
        </is>
      </c>
      <c r="F300" s="41" t="inlineStr">
        <is>
          <t>Phùng Công Thắng</t>
        </is>
      </c>
      <c r="G300" s="61" t="inlineStr">
        <is>
          <t>OP-SEALB-NC2</t>
        </is>
      </c>
      <c r="H300" s="41" t="inlineStr">
        <is>
          <t>Thyssen</t>
        </is>
      </c>
      <c r="I300" s="41" t="inlineStr">
        <is>
          <t>Sealing strip, above</t>
        </is>
      </c>
      <c r="J300" s="40" t="inlineStr">
        <is>
          <t>PO-3819</t>
        </is>
      </c>
      <c r="K300" s="41" t="inlineStr">
        <is>
          <t>G/c phay Mp NC1 Kt 95mm</t>
        </is>
      </c>
      <c r="L300" s="44" t="n">
        <v>37200</v>
      </c>
      <c r="M300" s="62" t="n">
        <v>3</v>
      </c>
      <c r="N300" s="44" t="n">
        <v>0</v>
      </c>
      <c r="O300" s="63" t="n">
        <v>4</v>
      </c>
      <c r="P300" s="64">
        <f>L300*M300</f>
        <v/>
      </c>
      <c r="Q300" s="41" t="inlineStr">
        <is>
          <t>Chíp APMT 1604 PDER - Grade 8230S-PRAMET</t>
        </is>
      </c>
      <c r="R300" s="44" t="n">
        <v>0</v>
      </c>
      <c r="S300" s="40" t="inlineStr">
        <is>
          <t>SAI</t>
        </is>
      </c>
      <c r="T300" s="41" t="inlineStr">
        <is>
          <t>Đang gia công dở dang, chuyển ca sau</t>
        </is>
      </c>
      <c r="U300" t="inlineStr">
        <is>
          <t>ĐÃ DUYỆT</t>
        </is>
      </c>
      <c r="V300" t="inlineStr">
        <is>
          <t>ĐÃ PHÊ DUYỆT</t>
        </is>
      </c>
      <c r="W300" t="inlineStr">
        <is>
          <t>🔒 ĐÃ KHÓA</t>
        </is>
      </c>
    </row>
    <row r="301" ht="21" customHeight="1" s="75">
      <c r="A301" s="46" t="n">
        <v>298</v>
      </c>
      <c r="B301" s="66" t="n">
        <v>46269.66486123842</v>
      </c>
      <c r="C301" s="61" t="inlineStr">
        <is>
          <t>EMP-NV10</t>
        </is>
      </c>
      <c r="D301" s="47" t="inlineStr">
        <is>
          <t>Phùng Công Thắng</t>
        </is>
      </c>
      <c r="E301" s="61" t="inlineStr">
        <is>
          <t>M-OKK1-01</t>
        </is>
      </c>
      <c r="F301" s="47" t="inlineStr">
        <is>
          <t>Phùng Công Thắng</t>
        </is>
      </c>
      <c r="G301" s="61" t="inlineStr">
        <is>
          <t>OP-SEALB-NC2</t>
        </is>
      </c>
      <c r="H301" s="47" t="inlineStr">
        <is>
          <t>Thyssen</t>
        </is>
      </c>
      <c r="I301" s="47" t="inlineStr">
        <is>
          <t>Sealing strip, above</t>
        </is>
      </c>
      <c r="J301" s="46" t="inlineStr">
        <is>
          <t>PO-9527</t>
        </is>
      </c>
      <c r="K301" s="47" t="inlineStr">
        <is>
          <t>G/c phay Mp NC1 Kt 95mm</t>
        </is>
      </c>
      <c r="L301" s="50" t="n">
        <v>37200</v>
      </c>
      <c r="M301" s="67" t="n">
        <v>10</v>
      </c>
      <c r="N301" s="50" t="n">
        <v>0</v>
      </c>
      <c r="O301" s="68" t="n">
        <v>8</v>
      </c>
      <c r="P301" s="64">
        <f>L301*M301</f>
        <v/>
      </c>
      <c r="Q301" s="47" t="inlineStr">
        <is>
          <t>Chíp APMT 1604 PDER - Grade 8230S-PRAMET</t>
        </is>
      </c>
      <c r="R301" s="50" t="n">
        <v>4</v>
      </c>
      <c r="S301" s="46" t="inlineStr">
        <is>
          <t>SAI</t>
        </is>
      </c>
      <c r="T301" s="47" t="inlineStr">
        <is>
          <t>Đang gia công dở dang, chuyển ca sau</t>
        </is>
      </c>
      <c r="U301" t="inlineStr">
        <is>
          <t>ĐÃ DUYỆT</t>
        </is>
      </c>
      <c r="V301" t="inlineStr">
        <is>
          <t>ĐÃ PHÊ DUYỆT</t>
        </is>
      </c>
      <c r="W301" t="inlineStr">
        <is>
          <t>🔒 ĐÃ KHÓA</t>
        </is>
      </c>
    </row>
    <row r="302" ht="21" customHeight="1" s="75">
      <c r="A302" s="40" t="n">
        <v>299</v>
      </c>
      <c r="B302" s="60" t="n">
        <v>46269.66528065972</v>
      </c>
      <c r="C302" s="61" t="inlineStr">
        <is>
          <t>EMP-NV10</t>
        </is>
      </c>
      <c r="D302" s="41" t="inlineStr">
        <is>
          <t>Phùng Công Thắng</t>
        </is>
      </c>
      <c r="E302" s="61" t="inlineStr">
        <is>
          <t>M-OKK3-01</t>
        </is>
      </c>
      <c r="F302" s="41" t="inlineStr">
        <is>
          <t>Phùng Công Thắng</t>
        </is>
      </c>
      <c r="G302" s="61" t="inlineStr">
        <is>
          <t>OP-SEALB-NC2</t>
        </is>
      </c>
      <c r="H302" s="41" t="inlineStr">
        <is>
          <t>Thyssen</t>
        </is>
      </c>
      <c r="I302" s="41" t="inlineStr">
        <is>
          <t>Sealing strip, above</t>
        </is>
      </c>
      <c r="J302" s="40" t="inlineStr">
        <is>
          <t>PO-5721</t>
        </is>
      </c>
      <c r="K302" s="41" t="inlineStr">
        <is>
          <t>G/c phay Mp NC1 Kt 95mm</t>
        </is>
      </c>
      <c r="L302" s="44" t="n">
        <v>37200</v>
      </c>
      <c r="M302" s="62" t="n">
        <v>10</v>
      </c>
      <c r="N302" s="44" t="n">
        <v>0</v>
      </c>
      <c r="O302" s="63" t="n">
        <v>8</v>
      </c>
      <c r="P302" s="64">
        <f>L302*M302</f>
        <v/>
      </c>
      <c r="Q302" s="41" t="inlineStr">
        <is>
          <t>Chíp  Pramet (6 cạnh)</t>
        </is>
      </c>
      <c r="R302" s="44" t="n">
        <v>3</v>
      </c>
      <c r="S302" s="40" t="inlineStr">
        <is>
          <t>SAI</t>
        </is>
      </c>
      <c r="T302" s="41" t="inlineStr">
        <is>
          <t>Đang gia công dở dang, chuyển ca sau</t>
        </is>
      </c>
      <c r="U302" t="inlineStr">
        <is>
          <t>ĐÃ DUYỆT</t>
        </is>
      </c>
      <c r="V302" t="inlineStr">
        <is>
          <t>ĐÃ PHÊ DUYỆT</t>
        </is>
      </c>
      <c r="W302" t="inlineStr">
        <is>
          <t>🔒 ĐÃ KHÓA</t>
        </is>
      </c>
    </row>
    <row r="303" ht="21" customHeight="1" s="75">
      <c r="A303" s="46" t="n">
        <v>300</v>
      </c>
      <c r="B303" s="66" t="n">
        <v>46269.69587887731</v>
      </c>
      <c r="C303" s="61" t="inlineStr">
        <is>
          <t>EMP-NV04</t>
        </is>
      </c>
      <c r="D303" s="47" t="inlineStr">
        <is>
          <t>Phùng Công Thắng</t>
        </is>
      </c>
      <c r="E303" s="61" t="inlineStr">
        <is>
          <t>M-FUJI-01</t>
        </is>
      </c>
      <c r="F303" s="47" t="inlineStr">
        <is>
          <t>Phùng Công Thắng</t>
        </is>
      </c>
      <c r="G303" s="61" t="inlineStr">
        <is>
          <t>OP-GEN-01</t>
        </is>
      </c>
      <c r="H303" s="47" t="inlineStr">
        <is>
          <t>Win-Win</t>
        </is>
      </c>
      <c r="I303" s="47" t="inlineStr">
        <is>
          <t>ISHIZUE 267Dw700</t>
        </is>
      </c>
      <c r="J303" s="46" t="inlineStr">
        <is>
          <t>PO-7036</t>
        </is>
      </c>
      <c r="K303" s="47" t="inlineStr">
        <is>
          <t>G/c hoàn thiện</t>
        </is>
      </c>
      <c r="L303" s="50" t="n">
        <v>55800</v>
      </c>
      <c r="M303" s="67" t="n">
        <v>2</v>
      </c>
      <c r="N303" s="50" t="n">
        <v>0</v>
      </c>
      <c r="O303" s="68" t="n">
        <v>4</v>
      </c>
      <c r="P303" s="64">
        <f>L303*M303</f>
        <v/>
      </c>
      <c r="Q303" s="47" t="inlineStr">
        <is>
          <t>Chíp  R5 THREADEX- P3200</t>
        </is>
      </c>
      <c r="R303" s="50" t="n">
        <v>1</v>
      </c>
      <c r="S303" s="65" t="inlineStr">
        <is>
          <t>ĐÚNG</t>
        </is>
      </c>
      <c r="T303" s="47" t="inlineStr">
        <is>
          <t>Đã xong nguyên công</t>
        </is>
      </c>
      <c r="U303" t="inlineStr">
        <is>
          <t>ĐÃ DUYỆT</t>
        </is>
      </c>
      <c r="V303" t="inlineStr">
        <is>
          <t>ĐÃ PHÊ DUYỆT</t>
        </is>
      </c>
      <c r="W303" t="inlineStr">
        <is>
          <t>🔒 ĐÃ KHÓA</t>
        </is>
      </c>
    </row>
    <row r="304" ht="21" customHeight="1" s="75">
      <c r="A304" s="40" t="n">
        <v>301</v>
      </c>
      <c r="B304" s="60" t="n">
        <v>46269.69673140047</v>
      </c>
      <c r="C304" s="61" t="inlineStr">
        <is>
          <t>EMP-NV04</t>
        </is>
      </c>
      <c r="D304" s="41" t="inlineStr">
        <is>
          <t>Phùng Công Thắng</t>
        </is>
      </c>
      <c r="E304" s="61" t="inlineStr">
        <is>
          <t>M-FUJI-01</t>
        </is>
      </c>
      <c r="F304" s="41" t="inlineStr">
        <is>
          <t>Phùng Công Thắng</t>
        </is>
      </c>
      <c r="G304" s="61" t="inlineStr">
        <is>
          <t>OP-GEN-01</t>
        </is>
      </c>
      <c r="H304" s="41" t="inlineStr">
        <is>
          <t>Win-Win</t>
        </is>
      </c>
      <c r="I304" s="41" t="inlineStr">
        <is>
          <t>ISHIZUE 267Dw800</t>
        </is>
      </c>
      <c r="J304" s="40" t="inlineStr">
        <is>
          <t>PO-6148</t>
        </is>
      </c>
      <c r="K304" s="41" t="inlineStr">
        <is>
          <t>G/c hoàn thiện</t>
        </is>
      </c>
      <c r="L304" s="44" t="n">
        <v>55800</v>
      </c>
      <c r="M304" s="62" t="n">
        <v>8</v>
      </c>
      <c r="N304" s="44" t="n">
        <v>0</v>
      </c>
      <c r="O304" s="63" t="n">
        <v>8</v>
      </c>
      <c r="P304" s="64">
        <f>L304*M304</f>
        <v/>
      </c>
      <c r="Q304" s="41" t="inlineStr">
        <is>
          <t>Chíp  R5 THREADEX- P3200</t>
        </is>
      </c>
      <c r="R304" s="44" t="n">
        <v>1</v>
      </c>
      <c r="S304" s="65" t="inlineStr">
        <is>
          <t>ĐÚNG</t>
        </is>
      </c>
      <c r="T304" s="41" t="inlineStr">
        <is>
          <t>Đã xong nguyên công</t>
        </is>
      </c>
      <c r="U304" t="inlineStr">
        <is>
          <t>ĐÃ DUYỆT</t>
        </is>
      </c>
      <c r="V304" t="inlineStr">
        <is>
          <t>ĐÃ PHÊ DUYỆT</t>
        </is>
      </c>
      <c r="W304" t="inlineStr">
        <is>
          <t>🔒 ĐÃ KHÓA</t>
        </is>
      </c>
    </row>
    <row r="305" ht="21" customHeight="1" s="75">
      <c r="A305" s="46" t="n">
        <v>302</v>
      </c>
      <c r="B305" s="66" t="n">
        <v>46269.69797217593</v>
      </c>
      <c r="C305" s="61" t="inlineStr">
        <is>
          <t>EMP-NV04</t>
        </is>
      </c>
      <c r="D305" s="47" t="inlineStr">
        <is>
          <t>Phùng Công Thắng</t>
        </is>
      </c>
      <c r="E305" s="61" t="inlineStr">
        <is>
          <t>M-DK7745-01</t>
        </is>
      </c>
      <c r="F305" s="47" t="inlineStr">
        <is>
          <t>Phùng Công Thắng</t>
        </is>
      </c>
      <c r="G305" s="61" t="inlineStr">
        <is>
          <t>OP-GEN-01</t>
        </is>
      </c>
      <c r="H305" s="47" t="inlineStr">
        <is>
          <t>Vico- QLTB</t>
        </is>
      </c>
      <c r="I305" s="47" t="inlineStr">
        <is>
          <t>Mẫu Thử CR &amp; hàng #</t>
        </is>
      </c>
      <c r="J305" s="46" t="inlineStr">
        <is>
          <t>PO-5547</t>
        </is>
      </c>
      <c r="K305" s="47" t="inlineStr">
        <is>
          <t>G/c hoàn thiện</t>
        </is>
      </c>
      <c r="L305" s="50" t="n">
        <v>83700</v>
      </c>
      <c r="M305" s="67" t="n">
        <v>4</v>
      </c>
      <c r="N305" s="50" t="n">
        <v>0</v>
      </c>
      <c r="O305" s="68" t="n">
        <v>4</v>
      </c>
      <c r="P305" s="64">
        <f>L305*M305</f>
        <v/>
      </c>
      <c r="Q305" s="47" t="inlineStr">
        <is>
          <t>Dây cắt CNC</t>
        </is>
      </c>
      <c r="R305" s="50" t="n">
        <v>0</v>
      </c>
      <c r="S305" s="65" t="inlineStr">
        <is>
          <t>ĐÚNG</t>
        </is>
      </c>
      <c r="T305" s="47" t="inlineStr">
        <is>
          <t>Đã xong nguyên công</t>
        </is>
      </c>
      <c r="U305" t="inlineStr">
        <is>
          <t>ĐÃ DUYỆT</t>
        </is>
      </c>
      <c r="V305" t="inlineStr">
        <is>
          <t>ĐÃ PHÊ DUYỆT</t>
        </is>
      </c>
      <c r="W305" t="inlineStr">
        <is>
          <t>🔒 ĐÃ KHÓA</t>
        </is>
      </c>
    </row>
    <row r="306" ht="21" customHeight="1" s="75">
      <c r="A306" s="40" t="n">
        <v>303</v>
      </c>
      <c r="B306" s="60" t="n">
        <v>46269.97866466436</v>
      </c>
      <c r="C306" s="61" t="inlineStr">
        <is>
          <t>EMP-NV08</t>
        </is>
      </c>
      <c r="D306" s="41" t="inlineStr">
        <is>
          <t>Phùng Công Thắng</t>
        </is>
      </c>
      <c r="E306" s="61" t="inlineStr">
        <is>
          <t>M-PCNC1-01</t>
        </is>
      </c>
      <c r="F306" s="41" t="inlineStr">
        <is>
          <t>Phùng Công Thắng</t>
        </is>
      </c>
      <c r="G306" s="61" t="inlineStr">
        <is>
          <t>OP-SEALB-NC4</t>
        </is>
      </c>
      <c r="H306" s="41" t="inlineStr">
        <is>
          <t>Thyssen</t>
        </is>
      </c>
      <c r="I306" s="41" t="inlineStr">
        <is>
          <t>Sealing strip, below</t>
        </is>
      </c>
      <c r="J306" s="40" t="inlineStr">
        <is>
          <t>PO-6743</t>
        </is>
      </c>
      <c r="K306" s="41" t="inlineStr">
        <is>
          <t>Gc phay rãnh</t>
        </is>
      </c>
      <c r="L306" s="44" t="n">
        <v>45000</v>
      </c>
      <c r="M306" s="62" t="n">
        <v>9</v>
      </c>
      <c r="N306" s="44" t="n">
        <v>0</v>
      </c>
      <c r="O306" s="63" t="n">
        <v>8</v>
      </c>
      <c r="P306" s="64">
        <f>L306*M306</f>
        <v/>
      </c>
      <c r="Q306" s="41" t="inlineStr">
        <is>
          <t>Không tiêu hao</t>
        </is>
      </c>
      <c r="R306" s="44" t="n">
        <v>0</v>
      </c>
      <c r="S306" s="40" t="inlineStr">
        <is>
          <t>SAI</t>
        </is>
      </c>
      <c r="T306" s="41" t="inlineStr">
        <is>
          <t>Đang gia công dở dang, chuyển ca sau</t>
        </is>
      </c>
      <c r="U306" t="inlineStr">
        <is>
          <t>ĐÃ DUYỆT</t>
        </is>
      </c>
      <c r="V306" t="inlineStr">
        <is>
          <t>ĐÃ PHÊ DUYỆT</t>
        </is>
      </c>
      <c r="W306" t="inlineStr">
        <is>
          <t>🔒 ĐÃ KHÓA</t>
        </is>
      </c>
    </row>
    <row r="307" ht="21" customHeight="1" s="75">
      <c r="A307" s="46" t="n">
        <v>304</v>
      </c>
      <c r="B307" s="66" t="n">
        <v>46269.97925341435</v>
      </c>
      <c r="C307" s="61" t="inlineStr">
        <is>
          <t>EMP-NV08</t>
        </is>
      </c>
      <c r="D307" s="47" t="inlineStr">
        <is>
          <t>Phùng Công Thắng</t>
        </is>
      </c>
      <c r="E307" s="61" t="inlineStr">
        <is>
          <t>M-T1516-01</t>
        </is>
      </c>
      <c r="F307" s="47" t="inlineStr">
        <is>
          <t>Phùng Công Thắng</t>
        </is>
      </c>
      <c r="G307" s="61" t="inlineStr">
        <is>
          <t>OP-GEN-01</t>
        </is>
      </c>
      <c r="H307" s="47" t="inlineStr">
        <is>
          <t>TFG</t>
        </is>
      </c>
      <c r="I307" s="47" t="inlineStr">
        <is>
          <t>Pattern Drawing No 2CG00820</t>
        </is>
      </c>
      <c r="J307" s="46" t="inlineStr">
        <is>
          <t>PO-8916</t>
        </is>
      </c>
      <c r="K307" s="47" t="inlineStr">
        <is>
          <t>NC4: Mài hoàn thiện</t>
        </is>
      </c>
      <c r="L307" s="50" t="n">
        <v>45000</v>
      </c>
      <c r="M307" s="67" t="n">
        <v>1</v>
      </c>
      <c r="N307" s="50" t="n">
        <v>0</v>
      </c>
      <c r="O307" s="68" t="n">
        <v>4</v>
      </c>
      <c r="P307" s="64">
        <f>L307*M307</f>
        <v/>
      </c>
      <c r="Q307" s="47" t="inlineStr">
        <is>
          <t>Không tiêu hao</t>
        </is>
      </c>
      <c r="R307" s="50" t="n">
        <v>0</v>
      </c>
      <c r="S307" s="65" t="inlineStr">
        <is>
          <t>ĐÚNG</t>
        </is>
      </c>
      <c r="T307" s="47" t="inlineStr">
        <is>
          <t>Đã xong nguyên công</t>
        </is>
      </c>
      <c r="U307" t="inlineStr">
        <is>
          <t>ĐÃ DUYỆT</t>
        </is>
      </c>
      <c r="V307" t="inlineStr">
        <is>
          <t>ĐÃ PHÊ DUYỆT</t>
        </is>
      </c>
      <c r="W307" t="inlineStr">
        <is>
          <t>🔒 ĐÃ KHÓA</t>
        </is>
      </c>
    </row>
    <row r="308" ht="21" customHeight="1" s="75">
      <c r="A308" s="40" t="n">
        <v>305</v>
      </c>
      <c r="B308" s="60" t="n">
        <v>46269.97960405092</v>
      </c>
      <c r="C308" s="61" t="inlineStr">
        <is>
          <t>EMP-NV08</t>
        </is>
      </c>
      <c r="D308" s="41" t="inlineStr">
        <is>
          <t>Phùng Công Thắng</t>
        </is>
      </c>
      <c r="E308" s="61" t="inlineStr">
        <is>
          <t>M-PCNC2-01</t>
        </is>
      </c>
      <c r="F308" s="41" t="inlineStr">
        <is>
          <t>Phùng Công Thắng</t>
        </is>
      </c>
      <c r="G308" s="61" t="inlineStr">
        <is>
          <t>OP-SEALB-NC2</t>
        </is>
      </c>
      <c r="H308" s="41" t="inlineStr">
        <is>
          <t>Thyssen</t>
        </is>
      </c>
      <c r="I308" s="41" t="inlineStr">
        <is>
          <t>Sealing strip, above</t>
        </is>
      </c>
      <c r="J308" s="40" t="inlineStr">
        <is>
          <t>PO-2318</t>
        </is>
      </c>
      <c r="K308" s="41" t="inlineStr">
        <is>
          <t>G/c phay Mp NC1 Kt 95mm</t>
        </is>
      </c>
      <c r="L308" s="44" t="n">
        <v>37200</v>
      </c>
      <c r="M308" s="62" t="n">
        <v>2</v>
      </c>
      <c r="N308" s="44" t="n">
        <v>0</v>
      </c>
      <c r="O308" s="63" t="n">
        <v>4</v>
      </c>
      <c r="P308" s="64">
        <f>L308*M308</f>
        <v/>
      </c>
      <c r="Q308" s="41" t="inlineStr">
        <is>
          <t>Không tiêu hao</t>
        </is>
      </c>
      <c r="R308" s="44" t="n">
        <v>0</v>
      </c>
      <c r="S308" s="40" t="inlineStr">
        <is>
          <t>SAI</t>
        </is>
      </c>
      <c r="T308" s="41" t="inlineStr">
        <is>
          <t>Đang gia công dở dang, chuyển ca sau</t>
        </is>
      </c>
      <c r="U308" t="inlineStr">
        <is>
          <t>ĐÃ DUYỆT</t>
        </is>
      </c>
      <c r="V308" t="inlineStr">
        <is>
          <t>ĐÃ PHÊ DUYỆT</t>
        </is>
      </c>
      <c r="W308" t="inlineStr">
        <is>
          <t>🔒 ĐÃ KHÓA</t>
        </is>
      </c>
    </row>
    <row r="309" ht="21" customHeight="1" s="75">
      <c r="A309" s="46" t="n">
        <v>306</v>
      </c>
      <c r="B309" s="66" t="n">
        <v>46270.02469564815</v>
      </c>
      <c r="C309" s="61" t="inlineStr">
        <is>
          <t>EMP-NV03</t>
        </is>
      </c>
      <c r="D309" s="47" t="inlineStr">
        <is>
          <t>Phùng Công Thắng</t>
        </is>
      </c>
      <c r="E309" s="61" t="inlineStr">
        <is>
          <t>M-FUJI-01</t>
        </is>
      </c>
      <c r="F309" s="47" t="inlineStr">
        <is>
          <t>Phùng Công Thắng</t>
        </is>
      </c>
      <c r="G309" s="61" t="inlineStr">
        <is>
          <t>OP-GEN-01</t>
        </is>
      </c>
      <c r="H309" s="47" t="inlineStr">
        <is>
          <t>Win-Win</t>
        </is>
      </c>
      <c r="I309" s="47" t="inlineStr">
        <is>
          <t>ISHIZUE 406Dw1000</t>
        </is>
      </c>
      <c r="J309" s="46" t="inlineStr">
        <is>
          <t>PO-7251</t>
        </is>
      </c>
      <c r="K309" s="47" t="inlineStr">
        <is>
          <t>G/c hoàn thiện</t>
        </is>
      </c>
      <c r="L309" s="50" t="n">
        <v>74400</v>
      </c>
      <c r="M309" s="67" t="n">
        <v>5</v>
      </c>
      <c r="N309" s="50" t="n">
        <v>0</v>
      </c>
      <c r="O309" s="68" t="n">
        <v>8</v>
      </c>
      <c r="P309" s="64">
        <f>L309*M309</f>
        <v/>
      </c>
      <c r="Q309" s="47" t="inlineStr">
        <is>
          <t>Chíp  R5 THREADEX- P3200</t>
        </is>
      </c>
      <c r="R309" s="50" t="n">
        <v>1</v>
      </c>
      <c r="S309" s="65" t="inlineStr">
        <is>
          <t>ĐÚNG</t>
        </is>
      </c>
      <c r="T309" s="47" t="inlineStr">
        <is>
          <t>Đã xong nguyên công</t>
        </is>
      </c>
      <c r="U309" t="inlineStr">
        <is>
          <t>ĐÃ DUYỆT</t>
        </is>
      </c>
      <c r="V309" t="inlineStr">
        <is>
          <t>ĐÃ PHÊ DUYỆT</t>
        </is>
      </c>
      <c r="W309" t="inlineStr">
        <is>
          <t>🔒 ĐÃ KHÓA</t>
        </is>
      </c>
    </row>
    <row r="310" ht="21" customHeight="1" s="75">
      <c r="A310" s="40" t="n">
        <v>307</v>
      </c>
      <c r="B310" s="60" t="n">
        <v>46270.02571262731</v>
      </c>
      <c r="C310" s="61" t="inlineStr">
        <is>
          <t>EMP-NV03</t>
        </is>
      </c>
      <c r="D310" s="41" t="inlineStr">
        <is>
          <t>Phùng Công Thắng</t>
        </is>
      </c>
      <c r="E310" s="61" t="inlineStr">
        <is>
          <t>M-FUJI-01</t>
        </is>
      </c>
      <c r="F310" s="41" t="inlineStr">
        <is>
          <t>Phùng Công Thắng</t>
        </is>
      </c>
      <c r="G310" s="61" t="inlineStr">
        <is>
          <t>OP-GEN-01</t>
        </is>
      </c>
      <c r="H310" s="41" t="inlineStr">
        <is>
          <t>Win-Win</t>
        </is>
      </c>
      <c r="I310" s="41" t="inlineStr">
        <is>
          <t>ISHIZUE 267Dw800</t>
        </is>
      </c>
      <c r="J310" s="40" t="inlineStr">
        <is>
          <t>PO-9880</t>
        </is>
      </c>
      <c r="K310" s="41" t="inlineStr">
        <is>
          <t>G/c hoàn thiện</t>
        </is>
      </c>
      <c r="L310" s="44" t="n">
        <v>55800</v>
      </c>
      <c r="M310" s="62" t="n">
        <v>2</v>
      </c>
      <c r="N310" s="44" t="n">
        <v>1</v>
      </c>
      <c r="O310" s="63" t="n">
        <v>4</v>
      </c>
      <c r="P310" s="64">
        <f>L310*M310</f>
        <v/>
      </c>
      <c r="Q310" s="41" t="inlineStr">
        <is>
          <t>Chíp  R5 THREADEX- P3200</t>
        </is>
      </c>
      <c r="R310" s="44" t="n">
        <v>0</v>
      </c>
      <c r="S310" s="65" t="inlineStr">
        <is>
          <t>ĐÚNG</t>
        </is>
      </c>
      <c r="T310" s="41" t="inlineStr">
        <is>
          <t>Đã xong nguyên công</t>
        </is>
      </c>
      <c r="U310" t="inlineStr">
        <is>
          <t>ĐÃ DUYỆT</t>
        </is>
      </c>
      <c r="V310" t="inlineStr">
        <is>
          <t>ĐÃ PHÊ DUYỆT</t>
        </is>
      </c>
      <c r="W310" t="inlineStr">
        <is>
          <t>🔒 ĐÃ KHÓA</t>
        </is>
      </c>
    </row>
    <row r="311" ht="21" customHeight="1" s="75">
      <c r="A311" s="46" t="n">
        <v>308</v>
      </c>
      <c r="B311" s="66" t="n">
        <v>46270.11765157407</v>
      </c>
      <c r="C311" s="61" t="inlineStr">
        <is>
          <t>EMP-NV06</t>
        </is>
      </c>
      <c r="D311" s="47" t="inlineStr">
        <is>
          <t>Phùng Công Thắng</t>
        </is>
      </c>
      <c r="E311" s="61" t="inlineStr">
        <is>
          <t>M-FUJI-01</t>
        </is>
      </c>
      <c r="F311" s="47" t="inlineStr">
        <is>
          <t>Phùng Công Thắng</t>
        </is>
      </c>
      <c r="G311" s="61" t="inlineStr">
        <is>
          <t>OP-GEN-01</t>
        </is>
      </c>
      <c r="H311" s="47" t="inlineStr">
        <is>
          <t>Win-Win</t>
        </is>
      </c>
      <c r="I311" s="47" t="inlineStr">
        <is>
          <t>Mold of Ishizue omega 267,4-950</t>
        </is>
      </c>
      <c r="J311" s="46" t="inlineStr">
        <is>
          <t>PO-3088</t>
        </is>
      </c>
      <c r="K311" s="47" t="inlineStr">
        <is>
          <t>G/c tiện hoàn thiện góc 45 độ</t>
        </is>
      </c>
      <c r="L311" s="50" t="n">
        <v>37200</v>
      </c>
      <c r="M311" s="67" t="n">
        <v>2</v>
      </c>
      <c r="N311" s="50" t="n">
        <v>0</v>
      </c>
      <c r="O311" s="68" t="n">
        <v>4</v>
      </c>
      <c r="P311" s="64">
        <f>L311*M311</f>
        <v/>
      </c>
      <c r="Q311" s="47" t="inlineStr">
        <is>
          <t>Chíp  R5 THREADEX- P3200</t>
        </is>
      </c>
      <c r="R311" s="50" t="n">
        <v>0</v>
      </c>
      <c r="S311" s="65" t="inlineStr">
        <is>
          <t>ĐÚNG</t>
        </is>
      </c>
      <c r="T311" s="47" t="inlineStr">
        <is>
          <t>Đã xong nguyên công</t>
        </is>
      </c>
      <c r="U311" t="inlineStr">
        <is>
          <t>ĐÃ DUYỆT</t>
        </is>
      </c>
      <c r="V311" t="inlineStr">
        <is>
          <t>ĐÃ PHÊ DUYỆT</t>
        </is>
      </c>
      <c r="W311" t="inlineStr">
        <is>
          <t>🔒 ĐÃ KHÓA</t>
        </is>
      </c>
    </row>
    <row r="312" ht="21" customHeight="1" s="75">
      <c r="A312" s="40" t="n">
        <v>309</v>
      </c>
      <c r="B312" s="60" t="n">
        <v>46270.11819827546</v>
      </c>
      <c r="C312" s="61" t="inlineStr">
        <is>
          <t>EMP-NV06</t>
        </is>
      </c>
      <c r="D312" s="41" t="inlineStr">
        <is>
          <t>Phùng Công Thắng</t>
        </is>
      </c>
      <c r="E312" s="61" t="inlineStr">
        <is>
          <t>M-DK7745-01</t>
        </is>
      </c>
      <c r="F312" s="41" t="inlineStr">
        <is>
          <t>Phùng Công Thắng</t>
        </is>
      </c>
      <c r="G312" s="61" t="inlineStr">
        <is>
          <t>OP-GEN-01</t>
        </is>
      </c>
      <c r="H312" s="41" t="inlineStr">
        <is>
          <t>Molycop</t>
        </is>
      </c>
      <c r="I312" s="41" t="inlineStr">
        <is>
          <t>Bi 40</t>
        </is>
      </c>
      <c r="J312" s="40" t="inlineStr">
        <is>
          <t>PO-5163</t>
        </is>
      </c>
      <c r="K312" s="41" t="inlineStr">
        <is>
          <t>G/c cắt dây</t>
        </is>
      </c>
      <c r="L312" s="44" t="n">
        <v>6510</v>
      </c>
      <c r="M312" s="62" t="n">
        <v>19</v>
      </c>
      <c r="N312" s="44" t="n">
        <v>0</v>
      </c>
      <c r="O312" s="63" t="n">
        <v>8</v>
      </c>
      <c r="P312" s="64">
        <f>L312*M312</f>
        <v/>
      </c>
      <c r="Q312" s="41" t="inlineStr">
        <is>
          <t>Dây cắt CNC</t>
        </is>
      </c>
      <c r="R312" s="44" t="n">
        <v>0</v>
      </c>
      <c r="S312" s="65" t="inlineStr">
        <is>
          <t>ĐÚNG</t>
        </is>
      </c>
      <c r="T312" s="41" t="inlineStr">
        <is>
          <t>Đã xong nguyên công</t>
        </is>
      </c>
      <c r="U312" t="inlineStr">
        <is>
          <t>ĐÃ DUYỆT</t>
        </is>
      </c>
      <c r="V312" t="inlineStr">
        <is>
          <t>ĐÃ PHÊ DUYỆT</t>
        </is>
      </c>
      <c r="W312" t="inlineStr">
        <is>
          <t>🔒 ĐÃ KHÓA</t>
        </is>
      </c>
    </row>
    <row r="313" ht="21" customHeight="1" s="75">
      <c r="A313" s="46" t="n">
        <v>310</v>
      </c>
      <c r="B313" s="66" t="n">
        <v>46270.1186599537</v>
      </c>
      <c r="C313" s="61" t="inlineStr">
        <is>
          <t>EMP-NV06</t>
        </is>
      </c>
      <c r="D313" s="47" t="inlineStr">
        <is>
          <t>Phùng Công Thắng</t>
        </is>
      </c>
      <c r="E313" s="61" t="inlineStr">
        <is>
          <t>M-DK7780-01</t>
        </is>
      </c>
      <c r="F313" s="47" t="inlineStr">
        <is>
          <t>Phùng Công Thắng</t>
        </is>
      </c>
      <c r="G313" s="61" t="inlineStr">
        <is>
          <t>OP-GEN-01</t>
        </is>
      </c>
      <c r="H313" s="47" t="inlineStr">
        <is>
          <t>Molycop</t>
        </is>
      </c>
      <c r="I313" s="47" t="inlineStr">
        <is>
          <t>Bi 25</t>
        </is>
      </c>
      <c r="J313" s="46" t="inlineStr">
        <is>
          <t>PO-2891</t>
        </is>
      </c>
      <c r="K313" s="47" t="inlineStr">
        <is>
          <t>G/c cắt dây</t>
        </is>
      </c>
      <c r="L313" s="50" t="n">
        <v>6510</v>
      </c>
      <c r="M313" s="67" t="n">
        <v>10</v>
      </c>
      <c r="N313" s="50" t="n">
        <v>0</v>
      </c>
      <c r="O313" s="68" t="n">
        <v>8</v>
      </c>
      <c r="P313" s="64">
        <f>L313*M313</f>
        <v/>
      </c>
      <c r="Q313" s="47" t="inlineStr">
        <is>
          <t>Dây cắt CNC</t>
        </is>
      </c>
      <c r="R313" s="50" t="n">
        <v>0</v>
      </c>
      <c r="S313" s="65" t="inlineStr">
        <is>
          <t>ĐÚNG</t>
        </is>
      </c>
      <c r="T313" s="47" t="inlineStr">
        <is>
          <t>Đã xong nguyên công</t>
        </is>
      </c>
      <c r="U313" t="inlineStr">
        <is>
          <t>ĐÃ DUYỆT</t>
        </is>
      </c>
      <c r="V313" t="inlineStr">
        <is>
          <t>ĐÃ PHÊ DUYỆT</t>
        </is>
      </c>
      <c r="W313" t="inlineStr">
        <is>
          <t>🔒 ĐÃ KHÓA</t>
        </is>
      </c>
    </row>
    <row r="314" ht="21" customHeight="1" s="75">
      <c r="A314" s="40" t="n">
        <v>311</v>
      </c>
      <c r="B314" s="60" t="n">
        <v>46270.3316244676</v>
      </c>
      <c r="C314" s="61" t="inlineStr">
        <is>
          <t>EMP-NV11</t>
        </is>
      </c>
      <c r="D314" s="41" t="inlineStr">
        <is>
          <t>Phùng Công Thắng</t>
        </is>
      </c>
      <c r="E314" s="61" t="inlineStr">
        <is>
          <t>M-PODA-01</t>
        </is>
      </c>
      <c r="F314" s="41" t="inlineStr">
        <is>
          <t>Phùng Công Thắng</t>
        </is>
      </c>
      <c r="G314" s="61" t="inlineStr">
        <is>
          <t>OP-GEN-01</t>
        </is>
      </c>
      <c r="H314" s="41" t="inlineStr">
        <is>
          <t>Vico- QLTB</t>
        </is>
      </c>
      <c r="I314" s="41" t="inlineStr">
        <is>
          <t>Mẫu Thử CR &amp; hàng #</t>
        </is>
      </c>
      <c r="J314" s="40" t="inlineStr">
        <is>
          <t>PO-7767</t>
        </is>
      </c>
      <c r="K314" s="41" t="inlineStr">
        <is>
          <t>G/c hoàn thiện</t>
        </is>
      </c>
      <c r="L314" s="44" t="n">
        <v>83700</v>
      </c>
      <c r="M314" s="62" t="n">
        <v>2</v>
      </c>
      <c r="N314" s="44" t="n">
        <v>0</v>
      </c>
      <c r="O314" s="63" t="n">
        <v>4</v>
      </c>
      <c r="P314" s="64">
        <f>L314*M314</f>
        <v/>
      </c>
      <c r="Q314" s="41" t="inlineStr">
        <is>
          <t>Dây cắt CNC</t>
        </is>
      </c>
      <c r="R314" s="44" t="n">
        <v>0</v>
      </c>
      <c r="S314" s="65" t="inlineStr">
        <is>
          <t>ĐÚNG</t>
        </is>
      </c>
      <c r="T314" s="41" t="inlineStr">
        <is>
          <t>Đã xong nguyên công</t>
        </is>
      </c>
      <c r="U314" t="inlineStr">
        <is>
          <t>ĐÃ DUYỆT</t>
        </is>
      </c>
      <c r="V314" t="inlineStr">
        <is>
          <t>ĐÃ PHÊ DUYỆT</t>
        </is>
      </c>
      <c r="W314" t="inlineStr">
        <is>
          <t>🔒 ĐÃ KHÓA</t>
        </is>
      </c>
    </row>
    <row r="315" ht="21" customHeight="1" s="75">
      <c r="A315" s="46" t="n">
        <v>312</v>
      </c>
      <c r="B315" s="66" t="n">
        <v>46270.33271755787</v>
      </c>
      <c r="C315" s="61" t="inlineStr">
        <is>
          <t>EMP-NV11</t>
        </is>
      </c>
      <c r="D315" s="47" t="inlineStr">
        <is>
          <t>Phùng Công Thắng</t>
        </is>
      </c>
      <c r="E315" s="61" t="inlineStr">
        <is>
          <t>M-FUJI-01</t>
        </is>
      </c>
      <c r="F315" s="47" t="inlineStr">
        <is>
          <t>Phùng Công Thắng</t>
        </is>
      </c>
      <c r="G315" s="61" t="inlineStr">
        <is>
          <t>OP-GEN-01</t>
        </is>
      </c>
      <c r="H315" s="47" t="inlineStr">
        <is>
          <t>Win-Win</t>
        </is>
      </c>
      <c r="I315" s="47" t="inlineStr">
        <is>
          <t>ISHIZUE 267Dw800</t>
        </is>
      </c>
      <c r="J315" s="46" t="inlineStr">
        <is>
          <t>PO-5876</t>
        </is>
      </c>
      <c r="K315" s="47" t="inlineStr">
        <is>
          <t>G/c hoàn thiện</t>
        </is>
      </c>
      <c r="L315" s="50" t="n">
        <v>55800</v>
      </c>
      <c r="M315" s="67" t="n">
        <v>1</v>
      </c>
      <c r="N315" s="50" t="n">
        <v>0</v>
      </c>
      <c r="O315" s="68" t="n">
        <v>4</v>
      </c>
      <c r="P315" s="64">
        <f>L315*M315</f>
        <v/>
      </c>
      <c r="Q315" s="47" t="inlineStr">
        <is>
          <t>Chíp  R5 THREADEX- P3200</t>
        </is>
      </c>
      <c r="R315" s="50" t="n">
        <v>0</v>
      </c>
      <c r="S315" s="65" t="inlineStr">
        <is>
          <t>ĐÚNG</t>
        </is>
      </c>
      <c r="T315" s="47" t="inlineStr">
        <is>
          <t>Đã xong nguyên công</t>
        </is>
      </c>
      <c r="U315" t="inlineStr">
        <is>
          <t>ĐÃ DUYỆT</t>
        </is>
      </c>
      <c r="V315" t="inlineStr">
        <is>
          <t>ĐÃ PHÊ DUYỆT</t>
        </is>
      </c>
      <c r="W315" t="inlineStr">
        <is>
          <t>🔒 ĐÃ KHÓA</t>
        </is>
      </c>
    </row>
    <row r="316" ht="21" customHeight="1" s="75">
      <c r="A316" s="40" t="n">
        <v>313</v>
      </c>
      <c r="B316" s="60" t="n">
        <v>46270.33304741898</v>
      </c>
      <c r="C316" s="61" t="inlineStr">
        <is>
          <t>EMP-NV02</t>
        </is>
      </c>
      <c r="D316" s="41" t="inlineStr">
        <is>
          <t>Phùng Công Thắng</t>
        </is>
      </c>
      <c r="E316" s="61" t="inlineStr">
        <is>
          <t>M-DK7780-01</t>
        </is>
      </c>
      <c r="F316" s="41" t="inlineStr">
        <is>
          <t>Phùng Công Thắng</t>
        </is>
      </c>
      <c r="G316" s="61" t="inlineStr">
        <is>
          <t>OP-GEN-01</t>
        </is>
      </c>
      <c r="H316" s="41" t="inlineStr">
        <is>
          <t>Vico- QLTB</t>
        </is>
      </c>
      <c r="I316" s="41" t="inlineStr">
        <is>
          <t>Mẫu Thử CR &amp; hàng #</t>
        </is>
      </c>
      <c r="J316" s="40" t="inlineStr">
        <is>
          <t>PO-4156</t>
        </is>
      </c>
      <c r="K316" s="41" t="inlineStr">
        <is>
          <t>G/c hoàn thiện</t>
        </is>
      </c>
      <c r="L316" s="44" t="n">
        <v>83700</v>
      </c>
      <c r="M316" s="62" t="n">
        <v>5</v>
      </c>
      <c r="N316" s="44" t="n">
        <v>0</v>
      </c>
      <c r="O316" s="63" t="n">
        <v>8</v>
      </c>
      <c r="P316" s="64">
        <f>L316*M316</f>
        <v/>
      </c>
      <c r="Q316" s="41" t="inlineStr">
        <is>
          <t>Dây cắt CNC</t>
        </is>
      </c>
      <c r="R316" s="44" t="n">
        <v>0</v>
      </c>
      <c r="S316" s="65" t="inlineStr">
        <is>
          <t>ĐÚNG</t>
        </is>
      </c>
      <c r="T316" s="41" t="inlineStr">
        <is>
          <t>Đã xong nguyên công</t>
        </is>
      </c>
      <c r="U316" t="inlineStr">
        <is>
          <t>ĐÃ DUYỆT</t>
        </is>
      </c>
      <c r="V316" t="inlineStr">
        <is>
          <t>ĐÃ PHÊ DUYỆT</t>
        </is>
      </c>
      <c r="W316" t="inlineStr">
        <is>
          <t>🔒 ĐÃ KHÓA</t>
        </is>
      </c>
    </row>
    <row r="317" ht="21" customHeight="1" s="75">
      <c r="A317" s="46" t="n">
        <v>314</v>
      </c>
      <c r="B317" s="66" t="n">
        <v>46270.33305001158</v>
      </c>
      <c r="C317" s="61" t="inlineStr">
        <is>
          <t>EMP-NV11</t>
        </is>
      </c>
      <c r="D317" s="47" t="inlineStr">
        <is>
          <t>Phùng Công Thắng</t>
        </is>
      </c>
      <c r="E317" s="61" t="inlineStr">
        <is>
          <t>M-FUJI-01</t>
        </is>
      </c>
      <c r="F317" s="47" t="inlineStr">
        <is>
          <t>Phùng Công Thắng</t>
        </is>
      </c>
      <c r="G317" s="61" t="inlineStr">
        <is>
          <t>OP-GEN-01</t>
        </is>
      </c>
      <c r="H317" s="47" t="inlineStr">
        <is>
          <t>Win-Win</t>
        </is>
      </c>
      <c r="I317" s="47" t="inlineStr">
        <is>
          <t>ISHIZUE 267Dw700</t>
        </is>
      </c>
      <c r="J317" s="46" t="inlineStr">
        <is>
          <t>PO-4396</t>
        </is>
      </c>
      <c r="K317" s="47" t="inlineStr">
        <is>
          <t>G/c hoàn thiện</t>
        </is>
      </c>
      <c r="L317" s="50" t="n">
        <v>55800</v>
      </c>
      <c r="M317" s="67" t="n">
        <v>4</v>
      </c>
      <c r="N317" s="50" t="n">
        <v>0</v>
      </c>
      <c r="O317" s="68" t="n">
        <v>4</v>
      </c>
      <c r="P317" s="64">
        <f>L317*M317</f>
        <v/>
      </c>
      <c r="Q317" s="47" t="inlineStr">
        <is>
          <t>Chíp  R5 THREADEX- P3200</t>
        </is>
      </c>
      <c r="R317" s="50" t="n">
        <v>0</v>
      </c>
      <c r="S317" s="65" t="inlineStr">
        <is>
          <t>ĐÚNG</t>
        </is>
      </c>
      <c r="T317" s="47" t="inlineStr">
        <is>
          <t>Đã xong nguyên công</t>
        </is>
      </c>
      <c r="U317" t="inlineStr">
        <is>
          <t>ĐÃ DUYỆT</t>
        </is>
      </c>
      <c r="V317" t="inlineStr">
        <is>
          <t>ĐÃ PHÊ DUYỆT</t>
        </is>
      </c>
      <c r="W317" t="inlineStr">
        <is>
          <t>🔒 ĐÃ KHÓA</t>
        </is>
      </c>
    </row>
    <row r="318" ht="21" customHeight="1" s="75">
      <c r="A318" s="40" t="n">
        <v>315</v>
      </c>
      <c r="B318" s="60" t="n">
        <v>46270.33393449074</v>
      </c>
      <c r="C318" s="61" t="inlineStr">
        <is>
          <t>EMP-NV11</t>
        </is>
      </c>
      <c r="D318" s="41" t="inlineStr">
        <is>
          <t>Phùng Công Thắng</t>
        </is>
      </c>
      <c r="E318" s="61" t="inlineStr">
        <is>
          <t>M-FUJI-01</t>
        </is>
      </c>
      <c r="F318" s="41" t="inlineStr">
        <is>
          <t>Phùng Công Thắng</t>
        </is>
      </c>
      <c r="G318" s="61" t="inlineStr">
        <is>
          <t>OP-GEN-01</t>
        </is>
      </c>
      <c r="H318" s="41" t="inlineStr">
        <is>
          <t>Win-Win</t>
        </is>
      </c>
      <c r="I318" s="41" t="inlineStr">
        <is>
          <t>Mold of Ishizue omega 267,4-950</t>
        </is>
      </c>
      <c r="J318" s="40" t="inlineStr">
        <is>
          <t>PO-2421</t>
        </is>
      </c>
      <c r="K318" s="41" t="inlineStr">
        <is>
          <t>G/c tiện hoàn thiện góc 45 độ</t>
        </is>
      </c>
      <c r="L318" s="44" t="n">
        <v>37200</v>
      </c>
      <c r="M318" s="62" t="n">
        <v>2</v>
      </c>
      <c r="N318" s="44" t="n">
        <v>0</v>
      </c>
      <c r="O318" s="63" t="n">
        <v>4</v>
      </c>
      <c r="P318" s="64">
        <f>L318*M318</f>
        <v/>
      </c>
      <c r="Q318" s="41" t="inlineStr">
        <is>
          <t>Chíp  R5 THREADEX- P3200</t>
        </is>
      </c>
      <c r="R318" s="44" t="n">
        <v>0</v>
      </c>
      <c r="S318" s="65" t="inlineStr">
        <is>
          <t>ĐÚNG</t>
        </is>
      </c>
      <c r="T318" s="41" t="inlineStr">
        <is>
          <t>Đã xong nguyên công</t>
        </is>
      </c>
      <c r="U318" t="inlineStr">
        <is>
          <t>ĐÃ DUYỆT</t>
        </is>
      </c>
      <c r="V318" t="inlineStr">
        <is>
          <t>ĐÃ PHÊ DUYỆT</t>
        </is>
      </c>
      <c r="W318" t="inlineStr">
        <is>
          <t>🔒 ĐÃ KHÓA</t>
        </is>
      </c>
    </row>
    <row r="319" ht="21" customHeight="1" s="75">
      <c r="A319" s="46" t="n">
        <v>316</v>
      </c>
      <c r="B319" s="66" t="n">
        <v>46270.33436125</v>
      </c>
      <c r="C319" s="61" t="inlineStr">
        <is>
          <t>EMP-NV02</t>
        </is>
      </c>
      <c r="D319" s="47" t="inlineStr">
        <is>
          <t>Phùng Công Thắng</t>
        </is>
      </c>
      <c r="E319" s="61" t="inlineStr">
        <is>
          <t>M-FUJI-01</t>
        </is>
      </c>
      <c r="F319" s="47" t="inlineStr">
        <is>
          <t>Phùng Công Thắng</t>
        </is>
      </c>
      <c r="G319" s="61" t="inlineStr">
        <is>
          <t>OP-ISH355-NC3</t>
        </is>
      </c>
      <c r="H319" s="47" t="inlineStr">
        <is>
          <t>Win-Win</t>
        </is>
      </c>
      <c r="I319" s="47" t="inlineStr">
        <is>
          <t>Mold of Ishizue omega 355,6-1060</t>
        </is>
      </c>
      <c r="J319" s="46" t="inlineStr">
        <is>
          <t>PO-1527</t>
        </is>
      </c>
      <c r="K319" s="47" t="inlineStr">
        <is>
          <t>G/c tiện hoàn thiện góc 45 độ</t>
        </is>
      </c>
      <c r="L319" s="50" t="n">
        <v>37200</v>
      </c>
      <c r="M319" s="67" t="n">
        <v>5</v>
      </c>
      <c r="N319" s="50" t="n">
        <v>0</v>
      </c>
      <c r="O319" s="68" t="n">
        <v>8</v>
      </c>
      <c r="P319" s="64">
        <f>L319*M319</f>
        <v/>
      </c>
      <c r="Q319" s="47" t="inlineStr">
        <is>
          <t>Chíp  R4 THREADEX- P3200 ( chíp cầu ) cán D12</t>
        </is>
      </c>
      <c r="R319" s="50" t="n">
        <v>0</v>
      </c>
      <c r="S319" s="65" t="inlineStr">
        <is>
          <t>ĐÚNG</t>
        </is>
      </c>
      <c r="T319" s="47" t="inlineStr">
        <is>
          <t>Đã xong nguyên công</t>
        </is>
      </c>
      <c r="U319" t="inlineStr">
        <is>
          <t>ĐÃ DUYỆT</t>
        </is>
      </c>
      <c r="V319" t="inlineStr">
        <is>
          <t>ĐÃ PHÊ DUYỆT</t>
        </is>
      </c>
      <c r="W319" t="inlineStr">
        <is>
          <t>🔒 ĐÃ KHÓA</t>
        </is>
      </c>
    </row>
    <row r="320" ht="21" customHeight="1" s="75">
      <c r="A320" s="40" t="n">
        <v>317</v>
      </c>
      <c r="B320" s="60" t="n">
        <v>46270.33452443287</v>
      </c>
      <c r="C320" s="61" t="inlineStr">
        <is>
          <t>EMP-NV11</t>
        </is>
      </c>
      <c r="D320" s="41" t="inlineStr">
        <is>
          <t>Phùng Công Thắng</t>
        </is>
      </c>
      <c r="E320" s="61" t="inlineStr">
        <is>
          <t>M-FUJI-01</t>
        </is>
      </c>
      <c r="F320" s="41" t="inlineStr">
        <is>
          <t>Phùng Công Thắng</t>
        </is>
      </c>
      <c r="G320" s="61" t="inlineStr">
        <is>
          <t>OP-GEN-01</t>
        </is>
      </c>
      <c r="H320" s="41" t="inlineStr">
        <is>
          <t>Win-Win</t>
        </is>
      </c>
      <c r="I320" s="41" t="inlineStr">
        <is>
          <t>Mold of Ishizue omega 216,3-740</t>
        </is>
      </c>
      <c r="J320" s="40" t="inlineStr">
        <is>
          <t>PO-3940</t>
        </is>
      </c>
      <c r="K320" s="41" t="inlineStr">
        <is>
          <t>G/c tiện hoàn thiện góc 45 độ</t>
        </is>
      </c>
      <c r="L320" s="44" t="n">
        <v>37200</v>
      </c>
      <c r="M320" s="62" t="n">
        <v>2</v>
      </c>
      <c r="N320" s="44" t="n">
        <v>0</v>
      </c>
      <c r="O320" s="63" t="n">
        <v>4</v>
      </c>
      <c r="P320" s="64">
        <f>L320*M320</f>
        <v/>
      </c>
      <c r="Q320" s="41" t="inlineStr">
        <is>
          <t>Chíp  R5 THREADEX- P3200</t>
        </is>
      </c>
      <c r="R320" s="44" t="n">
        <v>0</v>
      </c>
      <c r="S320" s="65" t="inlineStr">
        <is>
          <t>ĐÚNG</t>
        </is>
      </c>
      <c r="T320" s="41" t="inlineStr">
        <is>
          <t>Đã xong nguyên công</t>
        </is>
      </c>
      <c r="U320" t="inlineStr">
        <is>
          <t>ĐÃ DUYỆT</t>
        </is>
      </c>
      <c r="V320" t="inlineStr">
        <is>
          <t>ĐÃ PHÊ DUYỆT</t>
        </is>
      </c>
      <c r="W320" t="inlineStr">
        <is>
          <t>🔒 ĐÃ KHÓA</t>
        </is>
      </c>
    </row>
    <row r="321" ht="21" customHeight="1" s="75">
      <c r="A321" s="46" t="n">
        <v>318</v>
      </c>
      <c r="B321" s="66" t="n">
        <v>46270.33509931713</v>
      </c>
      <c r="C321" s="61" t="inlineStr">
        <is>
          <t>EMP-NV02</t>
        </is>
      </c>
      <c r="D321" s="47" t="inlineStr">
        <is>
          <t>Phùng Công Thắng</t>
        </is>
      </c>
      <c r="E321" s="61" t="inlineStr">
        <is>
          <t>M-FUJI-01</t>
        </is>
      </c>
      <c r="F321" s="47" t="inlineStr">
        <is>
          <t>Phùng Công Thắng</t>
        </is>
      </c>
      <c r="G321" s="61" t="inlineStr">
        <is>
          <t>OP-GEN-01</t>
        </is>
      </c>
      <c r="H321" s="47" t="inlineStr">
        <is>
          <t>Win-Win</t>
        </is>
      </c>
      <c r="I321" s="47" t="inlineStr">
        <is>
          <t>Mold of Ishizue omega 267,4-950</t>
        </is>
      </c>
      <c r="J321" s="46" t="inlineStr">
        <is>
          <t>PO-5374</t>
        </is>
      </c>
      <c r="K321" s="47" t="inlineStr">
        <is>
          <t>G/c tiện hoàn thiện góc 45 độ</t>
        </is>
      </c>
      <c r="L321" s="50" t="n">
        <v>37200</v>
      </c>
      <c r="M321" s="67" t="n">
        <v>1</v>
      </c>
      <c r="N321" s="50" t="n">
        <v>0</v>
      </c>
      <c r="O321" s="68" t="n">
        <v>4</v>
      </c>
      <c r="P321" s="64">
        <f>L321*M321</f>
        <v/>
      </c>
      <c r="Q321" s="47" t="inlineStr">
        <is>
          <t>Chíp  R4 THREADEX- P3200 ( chíp cầu ) cán D12</t>
        </is>
      </c>
      <c r="R321" s="50" t="n">
        <v>0</v>
      </c>
      <c r="S321" s="65" t="inlineStr">
        <is>
          <t>ĐÚNG</t>
        </is>
      </c>
      <c r="T321" s="47" t="inlineStr">
        <is>
          <t>Đã xong nguyên công</t>
        </is>
      </c>
      <c r="U321" t="inlineStr">
        <is>
          <t>ĐÃ DUYỆT</t>
        </is>
      </c>
      <c r="V321" t="inlineStr">
        <is>
          <t>ĐÃ PHÊ DUYỆT</t>
        </is>
      </c>
      <c r="W321" t="inlineStr">
        <is>
          <t>🔒 ĐÃ KHÓA</t>
        </is>
      </c>
    </row>
    <row r="322" ht="21" customHeight="1" s="75">
      <c r="A322" s="40" t="n">
        <v>319</v>
      </c>
      <c r="B322" s="60" t="n">
        <v>46270.39344305555</v>
      </c>
      <c r="C322" s="61" t="inlineStr">
        <is>
          <t>EMP-NV01</t>
        </is>
      </c>
      <c r="D322" s="41" t="inlineStr">
        <is>
          <t>Phùng Công Thắng</t>
        </is>
      </c>
      <c r="E322" s="61" t="inlineStr">
        <is>
          <t>M-PCNC1-01</t>
        </is>
      </c>
      <c r="F322" s="41" t="inlineStr">
        <is>
          <t>Phùng Công Thắng</t>
        </is>
      </c>
      <c r="G322" s="61" t="inlineStr">
        <is>
          <t>OP-SEALB-NC4</t>
        </is>
      </c>
      <c r="H322" s="41" t="inlineStr">
        <is>
          <t>Thyssen</t>
        </is>
      </c>
      <c r="I322" s="41" t="inlineStr">
        <is>
          <t>Sealing strip, above</t>
        </is>
      </c>
      <c r="J322" s="40" t="inlineStr">
        <is>
          <t>PO-2615</t>
        </is>
      </c>
      <c r="K322" s="41" t="inlineStr">
        <is>
          <t>Phay rãnh</t>
        </is>
      </c>
      <c r="L322" s="44" t="n">
        <v>45000</v>
      </c>
      <c r="M322" s="62" t="n">
        <v>9</v>
      </c>
      <c r="N322" s="44" t="n">
        <v>0</v>
      </c>
      <c r="O322" s="63" t="n">
        <v>8</v>
      </c>
      <c r="P322" s="64">
        <f>L322*M322</f>
        <v/>
      </c>
      <c r="Q322" s="41" t="inlineStr">
        <is>
          <t>Chíp APMT 1604 PDTR - LT30-PVD - LAMINA</t>
        </is>
      </c>
      <c r="R322" s="44" t="n">
        <v>0</v>
      </c>
      <c r="S322" s="40" t="inlineStr">
        <is>
          <t>SAI</t>
        </is>
      </c>
      <c r="T322" s="41" t="inlineStr">
        <is>
          <t>Đang gia công dở dang, chuyển ca sau</t>
        </is>
      </c>
      <c r="U322" t="inlineStr">
        <is>
          <t>ĐÃ DUYỆT</t>
        </is>
      </c>
      <c r="V322" t="inlineStr">
        <is>
          <t>ĐÃ PHÊ DUYỆT</t>
        </is>
      </c>
      <c r="W322" t="inlineStr">
        <is>
          <t>🔒 ĐÃ KHÓA</t>
        </is>
      </c>
    </row>
    <row r="323" ht="21" customHeight="1" s="75">
      <c r="A323" s="46" t="n">
        <v>320</v>
      </c>
      <c r="B323" s="66" t="n">
        <v>46270.39395258102</v>
      </c>
      <c r="C323" s="61" t="inlineStr">
        <is>
          <t>EMP-NV01</t>
        </is>
      </c>
      <c r="D323" s="47" t="inlineStr">
        <is>
          <t>Phùng Công Thắng</t>
        </is>
      </c>
      <c r="E323" s="61" t="inlineStr">
        <is>
          <t>M-PCNC2-01</t>
        </is>
      </c>
      <c r="F323" s="47" t="inlineStr">
        <is>
          <t>Phùng Công Thắng</t>
        </is>
      </c>
      <c r="G323" s="61" t="inlineStr">
        <is>
          <t>OP-SEALB-NC2</t>
        </is>
      </c>
      <c r="H323" s="47" t="inlineStr">
        <is>
          <t>Thyssen</t>
        </is>
      </c>
      <c r="I323" s="47" t="inlineStr">
        <is>
          <t>Sealing strip, above</t>
        </is>
      </c>
      <c r="J323" s="46" t="inlineStr">
        <is>
          <t>PO-8279</t>
        </is>
      </c>
      <c r="K323" s="47" t="inlineStr">
        <is>
          <t>G/c phay Mp NC1 Kt 95mm</t>
        </is>
      </c>
      <c r="L323" s="50" t="n">
        <v>37200</v>
      </c>
      <c r="M323" s="67" t="n">
        <v>4</v>
      </c>
      <c r="N323" s="50" t="n">
        <v>0</v>
      </c>
      <c r="O323" s="68" t="n">
        <v>4</v>
      </c>
      <c r="P323" s="64">
        <f>L323*M323</f>
        <v/>
      </c>
      <c r="Q323" s="47" t="inlineStr">
        <is>
          <t>Chíp APMT 1604 PDTR - LT30-PVD - LAMINA</t>
        </is>
      </c>
      <c r="R323" s="50" t="n">
        <v>0</v>
      </c>
      <c r="S323" s="46" t="inlineStr">
        <is>
          <t>SAI</t>
        </is>
      </c>
      <c r="T323" s="47" t="inlineStr">
        <is>
          <t>Đang gia công dở dang, chuyển ca sau</t>
        </is>
      </c>
      <c r="U323" t="inlineStr">
        <is>
          <t>ĐÃ DUYỆT</t>
        </is>
      </c>
      <c r="V323" t="inlineStr">
        <is>
          <t>ĐÃ PHÊ DUYỆT</t>
        </is>
      </c>
      <c r="W323" t="inlineStr">
        <is>
          <t>🔒 ĐÃ KHÓA</t>
        </is>
      </c>
    </row>
    <row r="324" ht="21" customHeight="1" s="75">
      <c r="A324" s="40" t="n">
        <v>321</v>
      </c>
      <c r="B324" s="60" t="n">
        <v>46270.39471640046</v>
      </c>
      <c r="C324" s="61" t="inlineStr">
        <is>
          <t>EMP-NV01</t>
        </is>
      </c>
      <c r="D324" s="41" t="inlineStr">
        <is>
          <t>Phùng Công Thắng</t>
        </is>
      </c>
      <c r="E324" s="61" t="inlineStr">
        <is>
          <t>M-TCNC1-01</t>
        </is>
      </c>
      <c r="F324" s="41" t="inlineStr">
        <is>
          <t>Phùng Công Thắng</t>
        </is>
      </c>
      <c r="G324" s="61" t="inlineStr">
        <is>
          <t>OP-GEN-01</t>
        </is>
      </c>
      <c r="H324" s="41" t="inlineStr">
        <is>
          <t>Vico- QLTB</t>
        </is>
      </c>
      <c r="I324" s="41" t="inlineStr">
        <is>
          <t>Sửa khuôn CRMINING</t>
        </is>
      </c>
      <c r="J324" s="40" t="inlineStr">
        <is>
          <t>PO-6250</t>
        </is>
      </c>
      <c r="K324" s="41" t="inlineStr">
        <is>
          <t>G/c sửa theo Yc</t>
        </is>
      </c>
      <c r="L324" s="44" t="n">
        <v>223200</v>
      </c>
      <c r="M324" s="62" t="n">
        <v>1</v>
      </c>
      <c r="N324" s="44" t="n">
        <v>0</v>
      </c>
      <c r="O324" s="63" t="n">
        <v>4</v>
      </c>
      <c r="P324" s="64">
        <f>L324*M324</f>
        <v/>
      </c>
      <c r="Q324" s="41" t="inlineStr">
        <is>
          <t>Chíp APMT 1604 PDTR - LT30-PVD - LAMINA</t>
        </is>
      </c>
      <c r="R324" s="44" t="n">
        <v>0</v>
      </c>
      <c r="S324" s="40" t="inlineStr">
        <is>
          <t>SAI</t>
        </is>
      </c>
      <c r="T324" s="41" t="inlineStr">
        <is>
          <t>Đang gia công dở dang, chuyển ca sau</t>
        </is>
      </c>
      <c r="U324" t="inlineStr">
        <is>
          <t>ĐÃ DUYỆT</t>
        </is>
      </c>
      <c r="V324" t="inlineStr">
        <is>
          <t>ĐÃ PHÊ DUYỆT</t>
        </is>
      </c>
      <c r="W324" t="inlineStr">
        <is>
          <t>🔒 ĐÃ KHÓA</t>
        </is>
      </c>
    </row>
    <row r="325" ht="21" customHeight="1" s="75">
      <c r="A325" s="46" t="n">
        <v>322</v>
      </c>
      <c r="B325" s="66" t="n">
        <v>46270.65633318287</v>
      </c>
      <c r="C325" s="61" t="inlineStr">
        <is>
          <t>EMP-NV10</t>
        </is>
      </c>
      <c r="D325" s="47" t="inlineStr">
        <is>
          <t>Phùng Công Thắng</t>
        </is>
      </c>
      <c r="E325" s="61" t="inlineStr">
        <is>
          <t>M-OKK3-01</t>
        </is>
      </c>
      <c r="F325" s="47" t="inlineStr">
        <is>
          <t>Phùng Công Thắng</t>
        </is>
      </c>
      <c r="G325" s="61" t="inlineStr">
        <is>
          <t>OP-SEALB-NC2</t>
        </is>
      </c>
      <c r="H325" s="47" t="inlineStr">
        <is>
          <t>Thyssen</t>
        </is>
      </c>
      <c r="I325" s="47" t="inlineStr">
        <is>
          <t>Sealing strip, above</t>
        </is>
      </c>
      <c r="J325" s="46" t="inlineStr">
        <is>
          <t>PO-7880</t>
        </is>
      </c>
      <c r="K325" s="47" t="inlineStr">
        <is>
          <t>G/c phay Mp NC1 Kt 95mm</t>
        </is>
      </c>
      <c r="L325" s="50" t="n">
        <v>37200</v>
      </c>
      <c r="M325" s="67" t="n">
        <v>12</v>
      </c>
      <c r="N325" s="50" t="n">
        <v>0</v>
      </c>
      <c r="O325" s="68" t="n">
        <v>8</v>
      </c>
      <c r="P325" s="64">
        <f>L325*M325</f>
        <v/>
      </c>
      <c r="Q325" s="47" t="inlineStr">
        <is>
          <t>Chíp  Pramet (6 cạnh)</t>
        </is>
      </c>
      <c r="R325" s="50" t="n">
        <v>6</v>
      </c>
      <c r="S325" s="46" t="inlineStr">
        <is>
          <t>SAI</t>
        </is>
      </c>
      <c r="T325" s="47" t="inlineStr">
        <is>
          <t>Đang gia công dở dang, chuyển ca sau</t>
        </is>
      </c>
      <c r="U325" t="inlineStr">
        <is>
          <t>ĐÃ DUYỆT</t>
        </is>
      </c>
      <c r="V325" t="inlineStr">
        <is>
          <t>ĐÃ PHÊ DUYỆT</t>
        </is>
      </c>
      <c r="W325" t="inlineStr">
        <is>
          <t>🔒 ĐÃ KHÓA</t>
        </is>
      </c>
    </row>
    <row r="326" ht="21" customHeight="1" s="75">
      <c r="A326" s="40" t="n">
        <v>323</v>
      </c>
      <c r="B326" s="60" t="n">
        <v>46270.65667833333</v>
      </c>
      <c r="C326" s="61" t="inlineStr">
        <is>
          <t>EMP-NV12</t>
        </is>
      </c>
      <c r="D326" s="41" t="inlineStr">
        <is>
          <t>Phùng Công Thắng</t>
        </is>
      </c>
      <c r="E326" s="61" t="inlineStr">
        <is>
          <t>M-DK7745-01</t>
        </is>
      </c>
      <c r="F326" s="41" t="inlineStr">
        <is>
          <t>Phùng Công Thắng</t>
        </is>
      </c>
      <c r="G326" s="61" t="inlineStr">
        <is>
          <t>OP-GEN-01</t>
        </is>
      </c>
      <c r="H326" s="41" t="inlineStr">
        <is>
          <t>Vico- QLTB</t>
        </is>
      </c>
      <c r="I326" s="41" t="inlineStr">
        <is>
          <t>Mẫu Thử CR &amp; hàng #</t>
        </is>
      </c>
      <c r="J326" s="40" t="inlineStr">
        <is>
          <t>PO-7384</t>
        </is>
      </c>
      <c r="K326" s="41" t="inlineStr">
        <is>
          <t>G/c hoàn thiện</t>
        </is>
      </c>
      <c r="L326" s="44" t="n">
        <v>83700</v>
      </c>
      <c r="M326" s="62" t="n">
        <v>5</v>
      </c>
      <c r="N326" s="44" t="n">
        <v>0</v>
      </c>
      <c r="O326" s="63" t="n">
        <v>8</v>
      </c>
      <c r="P326" s="64">
        <f>L326*M326</f>
        <v/>
      </c>
      <c r="Q326" s="41" t="inlineStr">
        <is>
          <t>Dây cắt CNC</t>
        </is>
      </c>
      <c r="R326" s="44" t="n">
        <v>0</v>
      </c>
      <c r="S326" s="65" t="inlineStr">
        <is>
          <t>ĐÚNG</t>
        </is>
      </c>
      <c r="T326" s="41" t="inlineStr">
        <is>
          <t>Đã xong nguyên công</t>
        </is>
      </c>
      <c r="U326" t="inlineStr">
        <is>
          <t>ĐÃ DUYỆT</t>
        </is>
      </c>
      <c r="V326" t="inlineStr">
        <is>
          <t>ĐÃ PHÊ DUYỆT</t>
        </is>
      </c>
      <c r="W326" t="inlineStr">
        <is>
          <t>🔒 ĐÃ KHÓA</t>
        </is>
      </c>
    </row>
    <row r="327" ht="21" customHeight="1" s="75">
      <c r="A327" s="46" t="n">
        <v>324</v>
      </c>
      <c r="B327" s="66" t="n">
        <v>46270.65687768519</v>
      </c>
      <c r="C327" s="61" t="inlineStr">
        <is>
          <t>EMP-NV10</t>
        </is>
      </c>
      <c r="D327" s="47" t="inlineStr">
        <is>
          <t>Phùng Công Thắng</t>
        </is>
      </c>
      <c r="E327" s="61" t="inlineStr">
        <is>
          <t>M-OKK1-01</t>
        </is>
      </c>
      <c r="F327" s="47" t="inlineStr">
        <is>
          <t>Phùng Công Thắng</t>
        </is>
      </c>
      <c r="G327" s="61" t="inlineStr">
        <is>
          <t>OP-SEALB-NC4</t>
        </is>
      </c>
      <c r="H327" s="47" t="inlineStr">
        <is>
          <t>Thyssen</t>
        </is>
      </c>
      <c r="I327" s="47" t="inlineStr">
        <is>
          <t>Sealing strip, above</t>
        </is>
      </c>
      <c r="J327" s="46" t="inlineStr">
        <is>
          <t>PO-8158</t>
        </is>
      </c>
      <c r="K327" s="47" t="inlineStr">
        <is>
          <t>G/c phay Mp NC2 Kt 412mm</t>
        </is>
      </c>
      <c r="L327" s="50" t="n">
        <v>14942</v>
      </c>
      <c r="M327" s="67" t="n">
        <v>18</v>
      </c>
      <c r="N327" s="50" t="n">
        <v>0</v>
      </c>
      <c r="O327" s="68" t="n">
        <v>8</v>
      </c>
      <c r="P327" s="64">
        <f>L327*M327</f>
        <v/>
      </c>
      <c r="Q327" s="47" t="inlineStr">
        <is>
          <t>Chíp APMT 1604 PDER - Grade 8230S-PRAMET</t>
        </is>
      </c>
      <c r="R327" s="50" t="n">
        <v>5</v>
      </c>
      <c r="S327" s="46" t="inlineStr">
        <is>
          <t>SAI</t>
        </is>
      </c>
      <c r="T327" s="47" t="inlineStr">
        <is>
          <t>Đang gia công dở dang, chuyển ca sau</t>
        </is>
      </c>
      <c r="U327" t="inlineStr">
        <is>
          <t>ĐÃ DUYỆT</t>
        </is>
      </c>
      <c r="V327" t="inlineStr">
        <is>
          <t>ĐÃ PHÊ DUYỆT</t>
        </is>
      </c>
      <c r="W327" t="inlineStr">
        <is>
          <t>🔒 ĐÃ KHÓA</t>
        </is>
      </c>
    </row>
    <row r="328" ht="21" customHeight="1" s="75">
      <c r="A328" s="40" t="n">
        <v>325</v>
      </c>
      <c r="B328" s="60" t="n">
        <v>46270.65733701389</v>
      </c>
      <c r="C328" s="61" t="inlineStr">
        <is>
          <t>EMP-NV10</t>
        </is>
      </c>
      <c r="D328" s="41" t="inlineStr">
        <is>
          <t>Phùng Công Thắng</t>
        </is>
      </c>
      <c r="E328" s="61" t="inlineStr">
        <is>
          <t>M-OKK1-01</t>
        </is>
      </c>
      <c r="F328" s="41" t="inlineStr">
        <is>
          <t>Phùng Công Thắng</t>
        </is>
      </c>
      <c r="G328" s="61" t="inlineStr">
        <is>
          <t>OP-SEALB-NC4</t>
        </is>
      </c>
      <c r="H328" s="41" t="inlineStr">
        <is>
          <t>Thyssen</t>
        </is>
      </c>
      <c r="I328" s="41" t="inlineStr">
        <is>
          <t>Sealing strip, above</t>
        </is>
      </c>
      <c r="J328" s="40" t="inlineStr">
        <is>
          <t>PO-9167</t>
        </is>
      </c>
      <c r="K328" s="41" t="inlineStr">
        <is>
          <t>G/c phay Mp NC3 Kt 412mm còn lại</t>
        </is>
      </c>
      <c r="L328" s="44" t="n">
        <v>14942</v>
      </c>
      <c r="M328" s="62" t="n">
        <v>5</v>
      </c>
      <c r="N328" s="44" t="n">
        <v>0</v>
      </c>
      <c r="O328" s="63" t="n">
        <v>8</v>
      </c>
      <c r="P328" s="64">
        <f>L328*M328</f>
        <v/>
      </c>
      <c r="Q328" s="41" t="inlineStr">
        <is>
          <t>Chíp APMT 1604 PDER - Grade 8230S-PRAMET</t>
        </is>
      </c>
      <c r="R328" s="44" t="n">
        <v>4</v>
      </c>
      <c r="S328" s="40" t="inlineStr">
        <is>
          <t>SAI</t>
        </is>
      </c>
      <c r="T328" s="41" t="inlineStr">
        <is>
          <t>Đang gia công dở dang, chuyển ca sau</t>
        </is>
      </c>
      <c r="U328" t="inlineStr">
        <is>
          <t>ĐÃ DUYỆT</t>
        </is>
      </c>
      <c r="V328" t="inlineStr">
        <is>
          <t>ĐÃ PHÊ DUYỆT</t>
        </is>
      </c>
      <c r="W328" t="inlineStr">
        <is>
          <t>🔒 ĐÃ KHÓA</t>
        </is>
      </c>
    </row>
    <row r="329" ht="21" customHeight="1" s="75">
      <c r="A329" s="46" t="n">
        <v>326</v>
      </c>
      <c r="B329" s="66" t="n">
        <v>46270.65760571759</v>
      </c>
      <c r="C329" s="61" t="inlineStr">
        <is>
          <t>EMP-NV12</t>
        </is>
      </c>
      <c r="D329" s="47" t="inlineStr">
        <is>
          <t>Phùng Công Thắng</t>
        </is>
      </c>
      <c r="E329" s="61" t="inlineStr">
        <is>
          <t>M-OIGO-01</t>
        </is>
      </c>
      <c r="F329" s="47" t="inlineStr">
        <is>
          <t>Phùng Công Thắng</t>
        </is>
      </c>
      <c r="G329" s="61" t="inlineStr">
        <is>
          <t>OP-THD-NC1</t>
        </is>
      </c>
      <c r="H329" s="47" t="inlineStr">
        <is>
          <t>Hà Song Hải - XM Hạ Long</t>
        </is>
      </c>
      <c r="I329" s="47" t="inlineStr">
        <is>
          <t>Thanh đập đá vôi (2240x510x145)</t>
        </is>
      </c>
      <c r="J329" s="46" t="inlineStr">
        <is>
          <t>PO-7365</t>
        </is>
      </c>
      <c r="K329" s="47" t="inlineStr">
        <is>
          <t>G/c phay hoàn thiện Mp Kt 445/145 mm Nc1</t>
        </is>
      </c>
      <c r="L329" s="50" t="n">
        <v>1562400</v>
      </c>
      <c r="M329" s="67" t="n">
        <v>1</v>
      </c>
      <c r="N329" s="50" t="n">
        <v>0</v>
      </c>
      <c r="O329" s="68" t="n">
        <v>8</v>
      </c>
      <c r="P329" s="64">
        <f>L329*M329</f>
        <v/>
      </c>
      <c r="Q329" s="47" t="inlineStr">
        <is>
          <t>Chíp  Pramet (6 cạnh)</t>
        </is>
      </c>
      <c r="R329" s="50" t="n">
        <v>3</v>
      </c>
      <c r="S329" s="65" t="inlineStr">
        <is>
          <t>ĐÚNG</t>
        </is>
      </c>
      <c r="T329" s="47" t="inlineStr">
        <is>
          <t>Đã xong nguyên công</t>
        </is>
      </c>
      <c r="U329" t="inlineStr">
        <is>
          <t>ĐÃ DUYỆT</t>
        </is>
      </c>
      <c r="V329" t="inlineStr">
        <is>
          <t>ĐÃ PHÊ DUYỆT</t>
        </is>
      </c>
      <c r="W329" t="inlineStr">
        <is>
          <t>🔒 ĐÃ KHÓA</t>
        </is>
      </c>
    </row>
    <row r="330" ht="21" customHeight="1" s="75">
      <c r="A330" s="40" t="n">
        <v>327</v>
      </c>
      <c r="B330" s="60" t="n">
        <v>46270.65870355324</v>
      </c>
      <c r="C330" s="61" t="inlineStr">
        <is>
          <t>EMP-NV12</t>
        </is>
      </c>
      <c r="D330" s="41" t="inlineStr">
        <is>
          <t>Phùng Công Thắng</t>
        </is>
      </c>
      <c r="E330" s="61" t="inlineStr">
        <is>
          <t>M-OIGO-01</t>
        </is>
      </c>
      <c r="F330" s="41" t="inlineStr">
        <is>
          <t>Phùng Công Thắng</t>
        </is>
      </c>
      <c r="G330" s="61" t="inlineStr">
        <is>
          <t>OP-GEN-01</t>
        </is>
      </c>
      <c r="H330" s="41" t="inlineStr">
        <is>
          <t>Vico- QLTB</t>
        </is>
      </c>
      <c r="I330" s="41" t="inlineStr">
        <is>
          <t>Mẫu Thử CR &amp; hàng #</t>
        </is>
      </c>
      <c r="J330" s="40" t="inlineStr">
        <is>
          <t>PO-9746</t>
        </is>
      </c>
      <c r="K330" s="41" t="inlineStr">
        <is>
          <t>G/c hoàn thiện</t>
        </is>
      </c>
      <c r="L330" s="44" t="n">
        <v>83700</v>
      </c>
      <c r="M330" s="62" t="n">
        <v>1</v>
      </c>
      <c r="N330" s="44" t="n">
        <v>0</v>
      </c>
      <c r="O330" s="63" t="n">
        <v>4</v>
      </c>
      <c r="P330" s="64">
        <f>L330*M330</f>
        <v/>
      </c>
      <c r="Q330" s="41" t="inlineStr">
        <is>
          <t>Chíp  Pramet (6 cạnh)</t>
        </is>
      </c>
      <c r="R330" s="44" t="n">
        <v>0</v>
      </c>
      <c r="S330" s="65" t="inlineStr">
        <is>
          <t>ĐÚNG</t>
        </is>
      </c>
      <c r="T330" s="41" t="inlineStr">
        <is>
          <t>Đã xong nguyên công</t>
        </is>
      </c>
      <c r="U330" t="inlineStr">
        <is>
          <t>ĐÃ DUYỆT</t>
        </is>
      </c>
      <c r="V330" t="inlineStr">
        <is>
          <t>ĐÃ PHÊ DUYỆT</t>
        </is>
      </c>
      <c r="W330" t="inlineStr">
        <is>
          <t>🔒 ĐÃ KHÓA</t>
        </is>
      </c>
    </row>
    <row r="331" ht="21" customHeight="1" s="75">
      <c r="A331" s="46" t="n">
        <v>328</v>
      </c>
      <c r="B331" s="66" t="n">
        <v>46271.0070803125</v>
      </c>
      <c r="C331" s="61" t="inlineStr">
        <is>
          <t>EMP-NV07</t>
        </is>
      </c>
      <c r="D331" s="47" t="inlineStr">
        <is>
          <t>Phùng Công Thắng</t>
        </is>
      </c>
      <c r="E331" s="61" t="inlineStr">
        <is>
          <t>M-OKK1-01</t>
        </is>
      </c>
      <c r="F331" s="47" t="inlineStr">
        <is>
          <t>Phùng Công Thắng</t>
        </is>
      </c>
      <c r="G331" s="61" t="inlineStr">
        <is>
          <t>OP-SEALB-NC4</t>
        </is>
      </c>
      <c r="H331" s="47" t="inlineStr">
        <is>
          <t>Thyssen</t>
        </is>
      </c>
      <c r="I331" s="47" t="inlineStr">
        <is>
          <t>Sealing strip, above</t>
        </is>
      </c>
      <c r="J331" s="46" t="inlineStr">
        <is>
          <t>PO-7798</t>
        </is>
      </c>
      <c r="K331" s="47" t="inlineStr">
        <is>
          <t>G/c phay Mp NC2 Kt 412mm</t>
        </is>
      </c>
      <c r="L331" s="50" t="n">
        <v>14942</v>
      </c>
      <c r="M331" s="67" t="n">
        <v>13</v>
      </c>
      <c r="N331" s="50" t="n">
        <v>0</v>
      </c>
      <c r="O331" s="68" t="n">
        <v>8</v>
      </c>
      <c r="P331" s="64">
        <f>L331*M331</f>
        <v/>
      </c>
      <c r="Q331" s="47" t="inlineStr">
        <is>
          <t>Không tiêu hao</t>
        </is>
      </c>
      <c r="R331" s="50" t="n">
        <v>0</v>
      </c>
      <c r="S331" s="46" t="inlineStr">
        <is>
          <t>SAI</t>
        </is>
      </c>
      <c r="T331" s="47" t="inlineStr">
        <is>
          <t>Đang gia công dở dang, chuyển ca sau</t>
        </is>
      </c>
      <c r="U331" t="inlineStr">
        <is>
          <t>ĐÃ DUYỆT</t>
        </is>
      </c>
      <c r="V331" t="inlineStr">
        <is>
          <t>ĐÃ PHÊ DUYỆT</t>
        </is>
      </c>
      <c r="W331" t="inlineStr">
        <is>
          <t>🔒 ĐÃ KHÓA</t>
        </is>
      </c>
    </row>
    <row r="332" ht="21" customHeight="1" s="75">
      <c r="A332" s="40" t="n">
        <v>329</v>
      </c>
      <c r="B332" s="60" t="n">
        <v>46271.00765068287</v>
      </c>
      <c r="C332" s="61" t="inlineStr">
        <is>
          <t>EMP-NV07</t>
        </is>
      </c>
      <c r="D332" s="41" t="inlineStr">
        <is>
          <t>Phùng Công Thắng</t>
        </is>
      </c>
      <c r="E332" s="61" t="inlineStr">
        <is>
          <t>M-OKK3-01</t>
        </is>
      </c>
      <c r="F332" s="41" t="inlineStr">
        <is>
          <t>Phùng Công Thắng</t>
        </is>
      </c>
      <c r="G332" s="61" t="inlineStr">
        <is>
          <t>OP-SEALB-NC2</t>
        </is>
      </c>
      <c r="H332" s="41" t="inlineStr">
        <is>
          <t>Thyssen</t>
        </is>
      </c>
      <c r="I332" s="41" t="inlineStr">
        <is>
          <t>Sealing strip, above</t>
        </is>
      </c>
      <c r="J332" s="40" t="inlineStr">
        <is>
          <t>PO-6865</t>
        </is>
      </c>
      <c r="K332" s="41" t="inlineStr">
        <is>
          <t>G/c phay Mp NC1 Kt 95mm</t>
        </is>
      </c>
      <c r="L332" s="44" t="n">
        <v>37200</v>
      </c>
      <c r="M332" s="62" t="n">
        <v>10</v>
      </c>
      <c r="N332" s="44" t="n">
        <v>1</v>
      </c>
      <c r="O332" s="63" t="n">
        <v>8</v>
      </c>
      <c r="P332" s="64">
        <f>L332*M332</f>
        <v/>
      </c>
      <c r="Q332" s="41" t="inlineStr">
        <is>
          <t>Không tiêu hao</t>
        </is>
      </c>
      <c r="R332" s="44" t="n">
        <v>0</v>
      </c>
      <c r="S332" s="40" t="inlineStr">
        <is>
          <t>SAI</t>
        </is>
      </c>
      <c r="T332" s="41" t="inlineStr">
        <is>
          <t>Đang gia công dở dang, chuyển ca sau</t>
        </is>
      </c>
      <c r="U332" t="inlineStr">
        <is>
          <t>ĐÃ DUYỆT</t>
        </is>
      </c>
      <c r="V332" t="inlineStr">
        <is>
          <t>ĐÃ PHÊ DUYỆT</t>
        </is>
      </c>
      <c r="W332" t="inlineStr">
        <is>
          <t>🔒 ĐÃ KHÓA</t>
        </is>
      </c>
    </row>
    <row r="333" ht="21" customHeight="1" s="75">
      <c r="A333" s="46" t="n">
        <v>330</v>
      </c>
      <c r="B333" s="66" t="n">
        <v>46271.00804592593</v>
      </c>
      <c r="C333" s="61" t="inlineStr">
        <is>
          <t>EMP-NV07</t>
        </is>
      </c>
      <c r="D333" s="47" t="inlineStr">
        <is>
          <t>Phùng Công Thắng</t>
        </is>
      </c>
      <c r="E333" s="61" t="inlineStr">
        <is>
          <t>M-OKK1-01</t>
        </is>
      </c>
      <c r="F333" s="47" t="inlineStr">
        <is>
          <t>Phùng Công Thắng</t>
        </is>
      </c>
      <c r="G333" s="61" t="inlineStr">
        <is>
          <t>OP-SEALB-NC2</t>
        </is>
      </c>
      <c r="H333" s="47" t="inlineStr">
        <is>
          <t>Thyssen</t>
        </is>
      </c>
      <c r="I333" s="47" t="inlineStr">
        <is>
          <t>Sealing strip, above</t>
        </is>
      </c>
      <c r="J333" s="46" t="inlineStr">
        <is>
          <t>PO-1415</t>
        </is>
      </c>
      <c r="K333" s="47" t="inlineStr">
        <is>
          <t>G/c phay Mp NC1 Kt 95mm</t>
        </is>
      </c>
      <c r="L333" s="50" t="n">
        <v>37200</v>
      </c>
      <c r="M333" s="67" t="n">
        <v>2</v>
      </c>
      <c r="N333" s="50" t="n">
        <v>0</v>
      </c>
      <c r="O333" s="68" t="n">
        <v>4</v>
      </c>
      <c r="P333" s="64">
        <f>L333*M333</f>
        <v/>
      </c>
      <c r="Q333" s="47" t="inlineStr">
        <is>
          <t>Không tiêu hao</t>
        </is>
      </c>
      <c r="R333" s="50" t="n">
        <v>0</v>
      </c>
      <c r="S333" s="46" t="inlineStr">
        <is>
          <t>SAI</t>
        </is>
      </c>
      <c r="T333" s="47" t="inlineStr">
        <is>
          <t>Đang gia công dở dang, chuyển ca sau</t>
        </is>
      </c>
      <c r="U333" t="inlineStr">
        <is>
          <t>ĐÃ DUYỆT</t>
        </is>
      </c>
      <c r="V333" t="inlineStr">
        <is>
          <t>ĐÃ PHÊ DUYỆT</t>
        </is>
      </c>
      <c r="W333" t="inlineStr">
        <is>
          <t>🔒 ĐÃ KHÓA</t>
        </is>
      </c>
    </row>
    <row r="334" ht="21" customHeight="1" s="75">
      <c r="A334" s="40" t="n">
        <v>331</v>
      </c>
      <c r="B334" s="60" t="n">
        <v>46271.00837128472</v>
      </c>
      <c r="C334" s="61" t="inlineStr">
        <is>
          <t>EMP-NV07</t>
        </is>
      </c>
      <c r="D334" s="41" t="inlineStr">
        <is>
          <t>Phùng Công Thắng</t>
        </is>
      </c>
      <c r="E334" s="61" t="inlineStr">
        <is>
          <t>M-OKK1-01</t>
        </is>
      </c>
      <c r="F334" s="41" t="inlineStr">
        <is>
          <t>Phùng Công Thắng</t>
        </is>
      </c>
      <c r="G334" s="61" t="inlineStr">
        <is>
          <t>OP-SEALB-NC4</t>
        </is>
      </c>
      <c r="H334" s="41" t="inlineStr">
        <is>
          <t>Thyssen</t>
        </is>
      </c>
      <c r="I334" s="41" t="inlineStr">
        <is>
          <t>Sealing strip, above</t>
        </is>
      </c>
      <c r="J334" s="40" t="inlineStr">
        <is>
          <t>PO-3661</t>
        </is>
      </c>
      <c r="K334" s="41" t="inlineStr">
        <is>
          <t>G/c phay Mp NC2 Kt 412mm</t>
        </is>
      </c>
      <c r="L334" s="44" t="n">
        <v>14942</v>
      </c>
      <c r="M334" s="62" t="n">
        <v>18</v>
      </c>
      <c r="N334" s="44" t="n">
        <v>0</v>
      </c>
      <c r="O334" s="63" t="n">
        <v>8</v>
      </c>
      <c r="P334" s="64">
        <f>L334*M334</f>
        <v/>
      </c>
      <c r="Q334" s="41" t="inlineStr">
        <is>
          <t>Không tiêu hao</t>
        </is>
      </c>
      <c r="R334" s="44" t="n">
        <v>0</v>
      </c>
      <c r="S334" s="40" t="inlineStr">
        <is>
          <t>SAI</t>
        </is>
      </c>
      <c r="T334" s="41" t="inlineStr">
        <is>
          <t>Đang gia công dở dang, chuyển ca sau</t>
        </is>
      </c>
      <c r="U334" t="inlineStr">
        <is>
          <t>ĐÃ DUYỆT</t>
        </is>
      </c>
      <c r="V334" t="inlineStr">
        <is>
          <t>ĐÃ PHÊ DUYỆT</t>
        </is>
      </c>
      <c r="W334" t="inlineStr">
        <is>
          <t>🔒 ĐÃ KHÓA</t>
        </is>
      </c>
    </row>
    <row r="335" ht="21" customHeight="1" s="75">
      <c r="A335" s="46" t="n">
        <v>332</v>
      </c>
      <c r="B335" s="66" t="n">
        <v>46271.00864903935</v>
      </c>
      <c r="C335" s="61" t="inlineStr">
        <is>
          <t>EMP-NV07</t>
        </is>
      </c>
      <c r="D335" s="47" t="inlineStr">
        <is>
          <t>Phùng Công Thắng</t>
        </is>
      </c>
      <c r="E335" s="61" t="inlineStr">
        <is>
          <t>M-OKK3-01</t>
        </is>
      </c>
      <c r="F335" s="47" t="inlineStr">
        <is>
          <t>Phùng Công Thắng</t>
        </is>
      </c>
      <c r="G335" s="61" t="inlineStr">
        <is>
          <t>OP-SEALB-NC2</t>
        </is>
      </c>
      <c r="H335" s="47" t="inlineStr">
        <is>
          <t>Thyssen</t>
        </is>
      </c>
      <c r="I335" s="47" t="inlineStr">
        <is>
          <t>Sealing strip, above</t>
        </is>
      </c>
      <c r="J335" s="46" t="inlineStr">
        <is>
          <t>PO-6110</t>
        </is>
      </c>
      <c r="K335" s="47" t="inlineStr">
        <is>
          <t>G/c phay Mp NC1 Kt 95mm</t>
        </is>
      </c>
      <c r="L335" s="50" t="n">
        <v>37200</v>
      </c>
      <c r="M335" s="67" t="n">
        <v>10</v>
      </c>
      <c r="N335" s="50" t="n">
        <v>0</v>
      </c>
      <c r="O335" s="68" t="n">
        <v>8</v>
      </c>
      <c r="P335" s="64">
        <f>L335*M335</f>
        <v/>
      </c>
      <c r="Q335" s="47" t="inlineStr">
        <is>
          <t>Không tiêu hao</t>
        </is>
      </c>
      <c r="R335" s="50" t="n">
        <v>0</v>
      </c>
      <c r="S335" s="46" t="inlineStr">
        <is>
          <t>SAI</t>
        </is>
      </c>
      <c r="T335" s="47" t="inlineStr">
        <is>
          <t>Đang gia công dở dang, chuyển ca sau</t>
        </is>
      </c>
      <c r="U335" t="inlineStr">
        <is>
          <t>ĐÃ DUYỆT</t>
        </is>
      </c>
      <c r="V335" t="inlineStr">
        <is>
          <t>ĐÃ PHÊ DUYỆT</t>
        </is>
      </c>
      <c r="W335" t="inlineStr">
        <is>
          <t>🔒 ĐÃ KHÓA</t>
        </is>
      </c>
    </row>
    <row r="336" ht="21" customHeight="1" s="75">
      <c r="A336" s="40" t="n">
        <v>333</v>
      </c>
      <c r="B336" s="60" t="n">
        <v>46271.31796802083</v>
      </c>
      <c r="C336" s="61" t="inlineStr">
        <is>
          <t>EMP-NV03</t>
        </is>
      </c>
      <c r="D336" s="41" t="inlineStr">
        <is>
          <t>Phùng Công Thắng</t>
        </is>
      </c>
      <c r="E336" s="61" t="inlineStr">
        <is>
          <t>M-OIGO-01</t>
        </is>
      </c>
      <c r="F336" s="41" t="inlineStr">
        <is>
          <t>Phùng Công Thắng</t>
        </is>
      </c>
      <c r="G336" s="61" t="inlineStr">
        <is>
          <t>OP-THD-NC1</t>
        </is>
      </c>
      <c r="H336" s="41" t="inlineStr">
        <is>
          <t>Hà Song Hải - XM Hạ Long</t>
        </is>
      </c>
      <c r="I336" s="41" t="inlineStr">
        <is>
          <t>Thanh đập đá vôi (2240x510x145)</t>
        </is>
      </c>
      <c r="J336" s="40" t="inlineStr">
        <is>
          <t>PO-7044</t>
        </is>
      </c>
      <c r="K336" s="41" t="inlineStr">
        <is>
          <t>G/c phay hoàn thiện Mp Kt 445/145 mm Nc1</t>
        </is>
      </c>
      <c r="L336" s="44" t="n">
        <v>1562400</v>
      </c>
      <c r="M336" s="62" t="n">
        <v>1</v>
      </c>
      <c r="N336" s="44" t="n">
        <v>0</v>
      </c>
      <c r="O336" s="63" t="n">
        <v>8</v>
      </c>
      <c r="P336" s="64">
        <f>L336*M336</f>
        <v/>
      </c>
      <c r="Q336" s="41" t="inlineStr">
        <is>
          <t>Chíp  Pramet (6 cạnh)</t>
        </is>
      </c>
      <c r="R336" s="44" t="n">
        <v>9</v>
      </c>
      <c r="S336" s="65" t="inlineStr">
        <is>
          <t>ĐÚNG</t>
        </is>
      </c>
      <c r="T336" s="41" t="inlineStr">
        <is>
          <t>Đã xong nguyên công</t>
        </is>
      </c>
      <c r="U336" t="inlineStr">
        <is>
          <t>ĐÃ DUYỆT</t>
        </is>
      </c>
      <c r="V336" t="inlineStr">
        <is>
          <t>ĐÃ PHÊ DUYỆT</t>
        </is>
      </c>
      <c r="W336" t="inlineStr">
        <is>
          <t>🔒 ĐÃ KHÓA</t>
        </is>
      </c>
    </row>
    <row r="337" ht="21" customHeight="1" s="75">
      <c r="A337" s="46" t="n">
        <v>334</v>
      </c>
      <c r="B337" s="66" t="n">
        <v>46271.33340787037</v>
      </c>
      <c r="C337" s="61" t="inlineStr">
        <is>
          <t>EMP-NV04</t>
        </is>
      </c>
      <c r="D337" s="47" t="inlineStr">
        <is>
          <t>Phùng Công Thắng</t>
        </is>
      </c>
      <c r="E337" s="61" t="inlineStr">
        <is>
          <t>M-FUJI-01</t>
        </is>
      </c>
      <c r="F337" s="47" t="inlineStr">
        <is>
          <t>Phùng Công Thắng</t>
        </is>
      </c>
      <c r="G337" s="61" t="inlineStr">
        <is>
          <t>OP-GEN-01</t>
        </is>
      </c>
      <c r="H337" s="47" t="inlineStr">
        <is>
          <t>Win-Win</t>
        </is>
      </c>
      <c r="I337" s="47" t="inlineStr">
        <is>
          <t>Mold of Ishizue omega 267,4-950</t>
        </is>
      </c>
      <c r="J337" s="46" t="inlineStr">
        <is>
          <t>PO-1962</t>
        </is>
      </c>
      <c r="K337" s="47" t="inlineStr">
        <is>
          <t>G/c tiện hoàn thiện góc 45 độ</t>
        </is>
      </c>
      <c r="L337" s="50" t="n">
        <v>37200</v>
      </c>
      <c r="M337" s="67" t="n">
        <v>6</v>
      </c>
      <c r="N337" s="50" t="n">
        <v>0</v>
      </c>
      <c r="O337" s="68" t="n">
        <v>8</v>
      </c>
      <c r="P337" s="64">
        <f>L337*M337</f>
        <v/>
      </c>
      <c r="Q337" s="47" t="inlineStr">
        <is>
          <t>Chíp  R5 THREADEX- P3200</t>
        </is>
      </c>
      <c r="R337" s="50" t="n">
        <v>0</v>
      </c>
      <c r="S337" s="65" t="inlineStr">
        <is>
          <t>ĐÚNG</t>
        </is>
      </c>
      <c r="T337" s="47" t="inlineStr">
        <is>
          <t>Đã xong nguyên công</t>
        </is>
      </c>
      <c r="U337" t="inlineStr">
        <is>
          <t>ĐÃ DUYỆT</t>
        </is>
      </c>
      <c r="V337" t="inlineStr">
        <is>
          <t>ĐÃ PHÊ DUYỆT</t>
        </is>
      </c>
      <c r="W337" t="inlineStr">
        <is>
          <t>🔒 ĐÃ KHÓA</t>
        </is>
      </c>
    </row>
    <row r="338" ht="21" customHeight="1" s="75">
      <c r="A338" s="40" t="n">
        <v>335</v>
      </c>
      <c r="B338" s="60" t="n">
        <v>46271.33439329861</v>
      </c>
      <c r="C338" s="61" t="inlineStr">
        <is>
          <t>EMP-NV04</t>
        </is>
      </c>
      <c r="D338" s="41" t="inlineStr">
        <is>
          <t>Phùng Công Thắng</t>
        </is>
      </c>
      <c r="E338" s="61" t="inlineStr">
        <is>
          <t>M-FUJI-01</t>
        </is>
      </c>
      <c r="F338" s="41" t="inlineStr">
        <is>
          <t>Phùng Công Thắng</t>
        </is>
      </c>
      <c r="G338" s="61" t="inlineStr">
        <is>
          <t>OP-GEN-01</t>
        </is>
      </c>
      <c r="H338" s="41" t="inlineStr">
        <is>
          <t>Win-Win</t>
        </is>
      </c>
      <c r="I338" s="41" t="inlineStr">
        <is>
          <t>ISHIZUE 267Dw700</t>
        </is>
      </c>
      <c r="J338" s="40" t="inlineStr">
        <is>
          <t>PO-2165</t>
        </is>
      </c>
      <c r="K338" s="41" t="inlineStr">
        <is>
          <t>G/c hoàn thiện</t>
        </is>
      </c>
      <c r="L338" s="44" t="n">
        <v>55800</v>
      </c>
      <c r="M338" s="62" t="n">
        <v>1</v>
      </c>
      <c r="N338" s="44" t="n">
        <v>0</v>
      </c>
      <c r="O338" s="63" t="n">
        <v>4</v>
      </c>
      <c r="P338" s="64">
        <f>L338*M338</f>
        <v/>
      </c>
      <c r="Q338" s="41" t="inlineStr">
        <is>
          <t>Không tiêu hao</t>
        </is>
      </c>
      <c r="R338" s="44" t="n">
        <v>0</v>
      </c>
      <c r="S338" s="65" t="inlineStr">
        <is>
          <t>ĐÚNG</t>
        </is>
      </c>
      <c r="T338" s="41" t="inlineStr">
        <is>
          <t>Đã xong nguyên công</t>
        </is>
      </c>
      <c r="U338" t="inlineStr">
        <is>
          <t>ĐÃ DUYỆT</t>
        </is>
      </c>
      <c r="V338" t="inlineStr">
        <is>
          <t>ĐÃ PHÊ DUYỆT</t>
        </is>
      </c>
      <c r="W338" t="inlineStr">
        <is>
          <t>🔒 ĐÃ KHÓA</t>
        </is>
      </c>
    </row>
    <row r="339" ht="21" customHeight="1" s="75">
      <c r="A339" s="46" t="n">
        <v>336</v>
      </c>
      <c r="B339" s="66" t="n">
        <v>46271.33539409722</v>
      </c>
      <c r="C339" s="61" t="inlineStr">
        <is>
          <t>EMP-NV04</t>
        </is>
      </c>
      <c r="D339" s="47" t="inlineStr">
        <is>
          <t>Phùng Công Thắng</t>
        </is>
      </c>
      <c r="E339" s="61" t="inlineStr">
        <is>
          <t>M-DK7780-01</t>
        </is>
      </c>
      <c r="F339" s="47" t="inlineStr">
        <is>
          <t>Phùng Công Thắng</t>
        </is>
      </c>
      <c r="G339" s="61" t="inlineStr">
        <is>
          <t>OP-GEN-01</t>
        </is>
      </c>
      <c r="H339" s="47" t="inlineStr">
        <is>
          <t>Vico- QLTB</t>
        </is>
      </c>
      <c r="I339" s="47" t="inlineStr">
        <is>
          <t>Mẫu Thử CR &amp; hàng #</t>
        </is>
      </c>
      <c r="J339" s="46" t="inlineStr">
        <is>
          <t>PO-4061</t>
        </is>
      </c>
      <c r="K339" s="47" t="inlineStr">
        <is>
          <t>G/c hoàn thiện</t>
        </is>
      </c>
      <c r="L339" s="50" t="n">
        <v>83700</v>
      </c>
      <c r="M339" s="67" t="n">
        <v>6</v>
      </c>
      <c r="N339" s="50" t="n">
        <v>0</v>
      </c>
      <c r="O339" s="68" t="n">
        <v>8</v>
      </c>
      <c r="P339" s="64">
        <f>L339*M339</f>
        <v/>
      </c>
      <c r="Q339" s="47" t="inlineStr">
        <is>
          <t>Dây cắt CNC</t>
        </is>
      </c>
      <c r="R339" s="50" t="n">
        <v>1</v>
      </c>
      <c r="S339" s="65" t="inlineStr">
        <is>
          <t>ĐÚNG</t>
        </is>
      </c>
      <c r="T339" s="47" t="inlineStr">
        <is>
          <t>Đã xong nguyên công</t>
        </is>
      </c>
      <c r="U339" t="inlineStr">
        <is>
          <t>ĐÃ DUYỆT</t>
        </is>
      </c>
      <c r="V339" t="inlineStr">
        <is>
          <t>ĐÃ PHÊ DUYỆT</t>
        </is>
      </c>
      <c r="W339" t="inlineStr">
        <is>
          <t>🔒 ĐÃ KHÓA</t>
        </is>
      </c>
    </row>
    <row r="340" ht="21" customHeight="1" s="75">
      <c r="A340" s="40" t="n">
        <v>337</v>
      </c>
      <c r="B340" s="60" t="n">
        <v>46271.3481875</v>
      </c>
      <c r="C340" s="61" t="inlineStr">
        <is>
          <t>EMP-NV11</t>
        </is>
      </c>
      <c r="D340" s="41" t="inlineStr">
        <is>
          <t>Phùng Công Thắng</t>
        </is>
      </c>
      <c r="E340" s="61" t="inlineStr">
        <is>
          <t>M-PODA-01</t>
        </is>
      </c>
      <c r="F340" s="41" t="inlineStr">
        <is>
          <t>Phùng Công Thắng</t>
        </is>
      </c>
      <c r="G340" s="61" t="inlineStr">
        <is>
          <t>OP-GEN-01</t>
        </is>
      </c>
      <c r="H340" s="41" t="inlineStr">
        <is>
          <t>Vico- QLTB</t>
        </is>
      </c>
      <c r="I340" s="41" t="inlineStr">
        <is>
          <t>Mẫu Thử CR &amp; hàng #</t>
        </is>
      </c>
      <c r="J340" s="40" t="inlineStr">
        <is>
          <t>PO-3497</t>
        </is>
      </c>
      <c r="K340" s="41" t="inlineStr">
        <is>
          <t>G/c hoàn thiện</t>
        </is>
      </c>
      <c r="L340" s="44" t="n">
        <v>83700</v>
      </c>
      <c r="M340" s="62" t="n">
        <v>1</v>
      </c>
      <c r="N340" s="44" t="n">
        <v>0</v>
      </c>
      <c r="O340" s="63" t="n">
        <v>4</v>
      </c>
      <c r="P340" s="64">
        <f>L340*M340</f>
        <v/>
      </c>
      <c r="Q340" s="41" t="inlineStr">
        <is>
          <t>Dây cắt CNC</t>
        </is>
      </c>
      <c r="R340" s="44" t="n">
        <v>0</v>
      </c>
      <c r="S340" s="65" t="inlineStr">
        <is>
          <t>ĐÚNG</t>
        </is>
      </c>
      <c r="T340" s="41" t="inlineStr">
        <is>
          <t>Đã xong nguyên công</t>
        </is>
      </c>
      <c r="U340" t="inlineStr">
        <is>
          <t>ĐÃ DUYỆT</t>
        </is>
      </c>
      <c r="V340" t="inlineStr">
        <is>
          <t>ĐÃ PHÊ DUYỆT</t>
        </is>
      </c>
      <c r="W340" t="inlineStr">
        <is>
          <t>🔒 ĐÃ KHÓA</t>
        </is>
      </c>
    </row>
    <row r="341" ht="21" customHeight="1" s="75">
      <c r="A341" s="46" t="n">
        <v>338</v>
      </c>
      <c r="B341" s="66" t="n">
        <v>46271.34864369213</v>
      </c>
      <c r="C341" s="61" t="inlineStr">
        <is>
          <t>EMP-NV11</t>
        </is>
      </c>
      <c r="D341" s="47" t="inlineStr">
        <is>
          <t>Phùng Công Thắng</t>
        </is>
      </c>
      <c r="E341" s="61" t="inlineStr">
        <is>
          <t>M-FUJI-01</t>
        </is>
      </c>
      <c r="F341" s="47" t="inlineStr">
        <is>
          <t>Phùng Công Thắng</t>
        </is>
      </c>
      <c r="G341" s="61" t="inlineStr">
        <is>
          <t>OP-GEN-01</t>
        </is>
      </c>
      <c r="H341" s="47" t="inlineStr">
        <is>
          <t>Win-Win</t>
        </is>
      </c>
      <c r="I341" s="47" t="inlineStr">
        <is>
          <t>Mold of Ishizue omega 216,3-740</t>
        </is>
      </c>
      <c r="J341" s="46" t="inlineStr">
        <is>
          <t>PO-5117</t>
        </is>
      </c>
      <c r="K341" s="47" t="inlineStr">
        <is>
          <t>G/c tiện hoàn thiện góc 45 độ</t>
        </is>
      </c>
      <c r="L341" s="50" t="n">
        <v>37200</v>
      </c>
      <c r="M341" s="67" t="n">
        <v>7</v>
      </c>
      <c r="N341" s="50" t="n">
        <v>0</v>
      </c>
      <c r="O341" s="68" t="n">
        <v>8</v>
      </c>
      <c r="P341" s="64">
        <f>L341*M341</f>
        <v/>
      </c>
      <c r="Q341" s="47" t="inlineStr">
        <is>
          <t>Chíp  R5 THREADEX- P3200</t>
        </is>
      </c>
      <c r="R341" s="50" t="n">
        <v>0</v>
      </c>
      <c r="S341" s="65" t="inlineStr">
        <is>
          <t>ĐÚNG</t>
        </is>
      </c>
      <c r="T341" s="47" t="inlineStr">
        <is>
          <t>Đã xong nguyên công</t>
        </is>
      </c>
      <c r="U341" t="inlineStr">
        <is>
          <t>ĐÃ DUYỆT</t>
        </is>
      </c>
      <c r="V341" t="inlineStr">
        <is>
          <t>ĐÃ PHÊ DUYỆT</t>
        </is>
      </c>
      <c r="W341" t="inlineStr">
        <is>
          <t>🔒 ĐÃ KHÓA</t>
        </is>
      </c>
    </row>
    <row r="342" ht="21" customHeight="1" s="75">
      <c r="A342" s="40" t="n">
        <v>339</v>
      </c>
      <c r="B342" s="60" t="n">
        <v>46271.39949445602</v>
      </c>
      <c r="C342" s="61" t="inlineStr">
        <is>
          <t>EMP-NV03</t>
        </is>
      </c>
      <c r="D342" s="41" t="inlineStr">
        <is>
          <t>Phùng Công Thắng</t>
        </is>
      </c>
      <c r="E342" s="61" t="inlineStr">
        <is>
          <t>M-T1516-01</t>
        </is>
      </c>
      <c r="F342" s="41" t="inlineStr">
        <is>
          <t>Phùng Công Thắng</t>
        </is>
      </c>
      <c r="G342" s="61" t="inlineStr">
        <is>
          <t>OP-GEN-01</t>
        </is>
      </c>
      <c r="H342" s="41" t="inlineStr">
        <is>
          <t>TFG</t>
        </is>
      </c>
      <c r="I342" s="41" t="inlineStr">
        <is>
          <t>Pattern Drawing No 2CG00820</t>
        </is>
      </c>
      <c r="J342" s="40" t="inlineStr">
        <is>
          <t>PO-1877</t>
        </is>
      </c>
      <c r="K342" s="41" t="inlineStr">
        <is>
          <t>G/c Tiện NC1</t>
        </is>
      </c>
      <c r="L342" s="44" t="n">
        <v>45000</v>
      </c>
      <c r="M342" s="62" t="n">
        <v>1</v>
      </c>
      <c r="N342" s="44" t="n">
        <v>0</v>
      </c>
      <c r="O342" s="63" t="n">
        <v>4</v>
      </c>
      <c r="P342" s="64">
        <f>L342*M342</f>
        <v/>
      </c>
      <c r="Q342" s="41" t="inlineStr">
        <is>
          <t>Chíp  TNMG160408 WINSTAR RP- CX2555 ( 3 cạnh thẳng)</t>
        </is>
      </c>
      <c r="R342" s="44" t="n">
        <v>3</v>
      </c>
      <c r="S342" s="40" t="inlineStr">
        <is>
          <t>SAI</t>
        </is>
      </c>
      <c r="T342" s="41" t="inlineStr">
        <is>
          <t>Đang gia công dở dang, chuyển ca sau</t>
        </is>
      </c>
      <c r="U342" t="inlineStr">
        <is>
          <t>ĐÃ DUYỆT</t>
        </is>
      </c>
      <c r="V342" t="inlineStr">
        <is>
          <t>ĐÃ PHÊ DUYỆT</t>
        </is>
      </c>
      <c r="W342" t="inlineStr">
        <is>
          <t>🔒 ĐÃ KHÓA</t>
        </is>
      </c>
    </row>
    <row r="343" ht="21" customHeight="1" s="75">
      <c r="A343" s="46" t="n">
        <v>340</v>
      </c>
      <c r="B343" s="66" t="n">
        <v>46271.65716319445</v>
      </c>
      <c r="C343" s="61" t="inlineStr">
        <is>
          <t>EMP-NV06</t>
        </is>
      </c>
      <c r="D343" s="47" t="inlineStr">
        <is>
          <t>Phùng Công Thắng</t>
        </is>
      </c>
      <c r="E343" s="61" t="inlineStr">
        <is>
          <t>M-FUJI-01</t>
        </is>
      </c>
      <c r="F343" s="47" t="inlineStr">
        <is>
          <t>Phùng Công Thắng</t>
        </is>
      </c>
      <c r="G343" s="61" t="inlineStr">
        <is>
          <t>OP-GEN-01</t>
        </is>
      </c>
      <c r="H343" s="47" t="inlineStr">
        <is>
          <t>Win-Win</t>
        </is>
      </c>
      <c r="I343" s="47" t="inlineStr">
        <is>
          <t>Mold of Ishizue omega 216,3-740</t>
        </is>
      </c>
      <c r="J343" s="46" t="inlineStr">
        <is>
          <t>PO-7516</t>
        </is>
      </c>
      <c r="K343" s="47" t="inlineStr">
        <is>
          <t>G/c tiện hoàn thiện góc 45 độ</t>
        </is>
      </c>
      <c r="L343" s="50" t="n">
        <v>37200</v>
      </c>
      <c r="M343" s="67" t="n">
        <v>9</v>
      </c>
      <c r="N343" s="50" t="n">
        <v>0</v>
      </c>
      <c r="O343" s="68" t="n">
        <v>8</v>
      </c>
      <c r="P343" s="64">
        <f>L343*M343</f>
        <v/>
      </c>
      <c r="Q343" s="47" t="inlineStr">
        <is>
          <t>Chíp  R5 THREADEX- P3200</t>
        </is>
      </c>
      <c r="R343" s="50" t="n">
        <v>0</v>
      </c>
      <c r="S343" s="65" t="inlineStr">
        <is>
          <t>ĐÚNG</t>
        </is>
      </c>
      <c r="T343" s="47" t="inlineStr">
        <is>
          <t>Đã xong nguyên công</t>
        </is>
      </c>
      <c r="U343" t="inlineStr">
        <is>
          <t>ĐÃ DUYỆT</t>
        </is>
      </c>
      <c r="V343" t="inlineStr">
        <is>
          <t>ĐÃ PHÊ DUYỆT</t>
        </is>
      </c>
      <c r="W343" t="inlineStr">
        <is>
          <t>🔒 ĐÃ KHÓA</t>
        </is>
      </c>
    </row>
    <row r="344" ht="21" customHeight="1" s="75">
      <c r="A344" s="40" t="n">
        <v>341</v>
      </c>
      <c r="B344" s="60" t="n">
        <v>46271.65769269676</v>
      </c>
      <c r="C344" s="61" t="inlineStr">
        <is>
          <t>EMP-NV06</t>
        </is>
      </c>
      <c r="D344" s="41" t="inlineStr">
        <is>
          <t>Phùng Công Thắng</t>
        </is>
      </c>
      <c r="E344" s="61" t="inlineStr">
        <is>
          <t>M-DK7745-01</t>
        </is>
      </c>
      <c r="F344" s="41" t="inlineStr">
        <is>
          <t>Phùng Công Thắng</t>
        </is>
      </c>
      <c r="G344" s="61" t="inlineStr">
        <is>
          <t>OP-GEN-01</t>
        </is>
      </c>
      <c r="H344" s="41" t="inlineStr">
        <is>
          <t>Vico- QLTB</t>
        </is>
      </c>
      <c r="I344" s="41" t="inlineStr">
        <is>
          <t>Mẫu Thử CR &amp; hàng #</t>
        </is>
      </c>
      <c r="J344" s="40" t="inlineStr">
        <is>
          <t>PO-7916</t>
        </is>
      </c>
      <c r="K344" s="41" t="inlineStr">
        <is>
          <t>G/c hoàn thiện</t>
        </is>
      </c>
      <c r="L344" s="44" t="n">
        <v>83700</v>
      </c>
      <c r="M344" s="62" t="n">
        <v>4</v>
      </c>
      <c r="N344" s="44" t="n">
        <v>0</v>
      </c>
      <c r="O344" s="63" t="n">
        <v>4</v>
      </c>
      <c r="P344" s="64">
        <f>L344*M344</f>
        <v/>
      </c>
      <c r="Q344" s="41" t="inlineStr">
        <is>
          <t>Dây cắt CNC</t>
        </is>
      </c>
      <c r="R344" s="44" t="n">
        <v>0</v>
      </c>
      <c r="S344" s="65" t="inlineStr">
        <is>
          <t>ĐÚNG</t>
        </is>
      </c>
      <c r="T344" s="41" t="inlineStr">
        <is>
          <t>Đã xong nguyên công</t>
        </is>
      </c>
      <c r="U344" t="inlineStr">
        <is>
          <t>ĐÃ DUYỆT</t>
        </is>
      </c>
      <c r="V344" t="inlineStr">
        <is>
          <t>ĐÃ PHÊ DUYỆT</t>
        </is>
      </c>
      <c r="W344" t="inlineStr">
        <is>
          <t>🔒 ĐÃ KHÓA</t>
        </is>
      </c>
    </row>
    <row r="345" ht="21" customHeight="1" s="75">
      <c r="A345" s="46" t="n">
        <v>342</v>
      </c>
      <c r="B345" s="66" t="n">
        <v>46271.7428012963</v>
      </c>
      <c r="C345" s="61" t="inlineStr">
        <is>
          <t>EMP-NV12</t>
        </is>
      </c>
      <c r="D345" s="47" t="inlineStr">
        <is>
          <t>Phùng Công Thắng</t>
        </is>
      </c>
      <c r="E345" s="61" t="inlineStr">
        <is>
          <t>M-TCNC1-01</t>
        </is>
      </c>
      <c r="F345" s="47" t="inlineStr">
        <is>
          <t>Phùng Công Thắng</t>
        </is>
      </c>
      <c r="G345" s="61" t="inlineStr">
        <is>
          <t>OP-GEN-01</t>
        </is>
      </c>
      <c r="H345" s="47" t="inlineStr">
        <is>
          <t>Vico- QLTB</t>
        </is>
      </c>
      <c r="I345" s="47" t="inlineStr">
        <is>
          <t>Mẫu Thử CR &amp; hàng #</t>
        </is>
      </c>
      <c r="J345" s="46" t="inlineStr">
        <is>
          <t>PO-1365</t>
        </is>
      </c>
      <c r="K345" s="47" t="inlineStr">
        <is>
          <t>G/c hoàn thiện</t>
        </is>
      </c>
      <c r="L345" s="50" t="n">
        <v>83700</v>
      </c>
      <c r="M345" s="67" t="n">
        <v>4</v>
      </c>
      <c r="N345" s="50" t="n">
        <v>0</v>
      </c>
      <c r="O345" s="68" t="n">
        <v>4</v>
      </c>
      <c r="P345" s="64">
        <f>L345*M345</f>
        <v/>
      </c>
      <c r="Q345" s="47" t="inlineStr">
        <is>
          <t>Dây cắt CNC</t>
        </is>
      </c>
      <c r="R345" s="50" t="n">
        <v>0</v>
      </c>
      <c r="S345" s="65" t="inlineStr">
        <is>
          <t>ĐÚNG</t>
        </is>
      </c>
      <c r="T345" s="47" t="inlineStr">
        <is>
          <t>Đã xong nguyên công</t>
        </is>
      </c>
      <c r="U345" t="inlineStr">
        <is>
          <t>ĐÃ DUYỆT</t>
        </is>
      </c>
      <c r="V345" t="inlineStr">
        <is>
          <t>ĐÃ PHÊ DUYỆT</t>
        </is>
      </c>
      <c r="W345" t="inlineStr">
        <is>
          <t>🔒 ĐÃ KHÓA</t>
        </is>
      </c>
    </row>
    <row r="346" ht="21" customHeight="1" s="75">
      <c r="A346" s="40" t="n">
        <v>343</v>
      </c>
      <c r="B346" s="60" t="n">
        <v>46271.74384325231</v>
      </c>
      <c r="C346" s="61" t="inlineStr">
        <is>
          <t>EMP-NV12</t>
        </is>
      </c>
      <c r="D346" s="41" t="inlineStr">
        <is>
          <t>Phùng Công Thắng</t>
        </is>
      </c>
      <c r="E346" s="61" t="inlineStr">
        <is>
          <t>M-OKUMA-01</t>
        </is>
      </c>
      <c r="F346" s="41" t="inlineStr">
        <is>
          <t>Phùng Công Thắng</t>
        </is>
      </c>
      <c r="G346" s="61" t="inlineStr">
        <is>
          <t>OP-GEN-01</t>
        </is>
      </c>
      <c r="H346" s="41" t="inlineStr">
        <is>
          <t>Vico- QLTB</t>
        </is>
      </c>
      <c r="I346" s="41" t="inlineStr">
        <is>
          <t>Mẫu Thử CR &amp; hàng #</t>
        </is>
      </c>
      <c r="J346" s="40" t="inlineStr">
        <is>
          <t>PO-3839</t>
        </is>
      </c>
      <c r="K346" s="41" t="inlineStr">
        <is>
          <t>G/c hoàn thiện</t>
        </is>
      </c>
      <c r="L346" s="44" t="n">
        <v>83700</v>
      </c>
      <c r="M346" s="62" t="n">
        <v>1</v>
      </c>
      <c r="N346" s="44" t="n">
        <v>0</v>
      </c>
      <c r="O346" s="63" t="n">
        <v>4</v>
      </c>
      <c r="P346" s="64">
        <f>L346*M346</f>
        <v/>
      </c>
      <c r="Q346" s="41" t="inlineStr">
        <is>
          <t>Chíp TPMT 16T304-PSF AH725 ( 3 cạnh thẳng)</t>
        </is>
      </c>
      <c r="R346" s="44" t="n">
        <v>0</v>
      </c>
      <c r="S346" s="65" t="inlineStr">
        <is>
          <t>ĐÚNG</t>
        </is>
      </c>
      <c r="T346" s="41" t="inlineStr">
        <is>
          <t>Đã xong nguyên công</t>
        </is>
      </c>
      <c r="U346" t="inlineStr">
        <is>
          <t>ĐÃ DUYỆT</t>
        </is>
      </c>
      <c r="V346" t="inlineStr">
        <is>
          <t>ĐÃ PHÊ DUYỆT</t>
        </is>
      </c>
      <c r="W346" t="inlineStr">
        <is>
          <t>🔒 ĐÃ KHÓA</t>
        </is>
      </c>
    </row>
    <row r="347" ht="21" customHeight="1" s="75">
      <c r="A347" s="46" t="n">
        <v>344</v>
      </c>
      <c r="B347" s="66" t="n">
        <v>46271.74579310185</v>
      </c>
      <c r="C347" s="61" t="inlineStr">
        <is>
          <t>EMP-NV12</t>
        </is>
      </c>
      <c r="D347" s="47" t="inlineStr">
        <is>
          <t>Phùng Công Thắng</t>
        </is>
      </c>
      <c r="E347" s="61" t="inlineStr">
        <is>
          <t>M-OKK3-01</t>
        </is>
      </c>
      <c r="F347" s="47" t="inlineStr">
        <is>
          <t>Phùng Công Thắng</t>
        </is>
      </c>
      <c r="G347" s="61" t="inlineStr">
        <is>
          <t>OP-SEALB-NC4</t>
        </is>
      </c>
      <c r="H347" s="47" t="inlineStr">
        <is>
          <t>Thyssen</t>
        </is>
      </c>
      <c r="I347" s="47" t="inlineStr">
        <is>
          <t>Sealing trip, below</t>
        </is>
      </c>
      <c r="J347" s="46" t="inlineStr">
        <is>
          <t>PO-4844</t>
        </is>
      </c>
      <c r="K347" s="47" t="inlineStr">
        <is>
          <t>G/c phay cạnh NC3 kt 12mm</t>
        </is>
      </c>
      <c r="L347" s="50" t="n">
        <v>19918</v>
      </c>
      <c r="M347" s="67" t="n">
        <v>40</v>
      </c>
      <c r="N347" s="50" t="n">
        <v>0</v>
      </c>
      <c r="O347" s="68" t="n">
        <v>8</v>
      </c>
      <c r="P347" s="64">
        <f>L347*M347</f>
        <v/>
      </c>
      <c r="Q347" s="47" t="inlineStr">
        <is>
          <t>Dao phay D50 ( hợp kim )</t>
        </is>
      </c>
      <c r="R347" s="50" t="n">
        <v>0</v>
      </c>
      <c r="S347" s="46" t="inlineStr">
        <is>
          <t>SAI</t>
        </is>
      </c>
      <c r="T347" s="47" t="inlineStr">
        <is>
          <t>Đang gia công dở dang, chuyển ca sau</t>
        </is>
      </c>
      <c r="U347" t="inlineStr">
        <is>
          <t>ĐÃ DUYỆT</t>
        </is>
      </c>
      <c r="V347" t="inlineStr">
        <is>
          <t>ĐÃ PHÊ DUYỆT</t>
        </is>
      </c>
      <c r="W347" t="inlineStr">
        <is>
          <t>🔒 ĐÃ KHÓA</t>
        </is>
      </c>
    </row>
    <row r="348" ht="21" customHeight="1" s="75">
      <c r="A348" s="40" t="n">
        <v>345</v>
      </c>
      <c r="B348" s="60" t="n">
        <v>46272.31918259259</v>
      </c>
      <c r="C348" s="61" t="inlineStr">
        <is>
          <t>EMP-NV12</t>
        </is>
      </c>
      <c r="D348" s="41" t="inlineStr">
        <is>
          <t>Phùng Công Thắng</t>
        </is>
      </c>
      <c r="E348" s="61" t="inlineStr">
        <is>
          <t>M-DK7745-01</t>
        </is>
      </c>
      <c r="F348" s="41" t="inlineStr">
        <is>
          <t>Phùng Công Thắng</t>
        </is>
      </c>
      <c r="G348" s="61" t="inlineStr">
        <is>
          <t>OP-OPDAO-NC1</t>
        </is>
      </c>
      <c r="H348" s="41" t="inlineStr">
        <is>
          <t>Luợng- KS Tường Long</t>
        </is>
      </c>
      <c r="I348" s="41" t="inlineStr">
        <is>
          <t>Ốp dao nhào trên (Bộ bên trái)</t>
        </is>
      </c>
      <c r="J348" s="40" t="inlineStr">
        <is>
          <t>PO-2080</t>
        </is>
      </c>
      <c r="K348" s="41" t="inlineStr">
        <is>
          <t>G/c cắt dây</t>
        </is>
      </c>
      <c r="L348" s="44" t="n">
        <v>148800</v>
      </c>
      <c r="M348" s="62" t="n">
        <v>2</v>
      </c>
      <c r="N348" s="44" t="n">
        <v>0</v>
      </c>
      <c r="O348" s="63" t="n">
        <v>4</v>
      </c>
      <c r="P348" s="64">
        <f>L348*M348</f>
        <v/>
      </c>
      <c r="Q348" s="41" t="inlineStr">
        <is>
          <t>Dây cắt CNC</t>
        </is>
      </c>
      <c r="R348" s="44" t="n">
        <v>0</v>
      </c>
      <c r="S348" s="65" t="inlineStr">
        <is>
          <t>ĐÚNG</t>
        </is>
      </c>
      <c r="T348" s="41" t="inlineStr">
        <is>
          <t>Đã xong nguyên công</t>
        </is>
      </c>
      <c r="U348" t="inlineStr">
        <is>
          <t>ĐÃ DUYỆT</t>
        </is>
      </c>
      <c r="V348" t="inlineStr">
        <is>
          <t>ĐÃ PHÊ DUYỆT</t>
        </is>
      </c>
      <c r="W348" t="inlineStr">
        <is>
          <t>🔒 ĐÃ KHÓA</t>
        </is>
      </c>
    </row>
    <row r="349" ht="21" customHeight="1" s="75">
      <c r="A349" s="46" t="n">
        <v>346</v>
      </c>
      <c r="B349" s="66" t="n">
        <v>46272.31961421296</v>
      </c>
      <c r="C349" s="61" t="inlineStr">
        <is>
          <t>EMP-NV12</t>
        </is>
      </c>
      <c r="D349" s="47" t="inlineStr">
        <is>
          <t>Phùng Công Thắng</t>
        </is>
      </c>
      <c r="E349" s="61" t="inlineStr">
        <is>
          <t>M-TCNC1-01</t>
        </is>
      </c>
      <c r="F349" s="47" t="inlineStr">
        <is>
          <t>Phùng Công Thắng</t>
        </is>
      </c>
      <c r="G349" s="61" t="inlineStr">
        <is>
          <t>OP-SEALB-NC4</t>
        </is>
      </c>
      <c r="H349" s="47" t="inlineStr">
        <is>
          <t>Thyssen</t>
        </is>
      </c>
      <c r="I349" s="47" t="inlineStr">
        <is>
          <t>Sealing trip, below</t>
        </is>
      </c>
      <c r="J349" s="46" t="inlineStr">
        <is>
          <t>PO-7867</t>
        </is>
      </c>
      <c r="K349" s="47" t="inlineStr">
        <is>
          <t>G/c phay cạnh NC3 kt 12mm</t>
        </is>
      </c>
      <c r="L349" s="50" t="n">
        <v>19918</v>
      </c>
      <c r="M349" s="67" t="n">
        <v>55</v>
      </c>
      <c r="N349" s="50" t="n">
        <v>0</v>
      </c>
      <c r="O349" s="68" t="n">
        <v>8</v>
      </c>
      <c r="P349" s="64">
        <f>L349*M349</f>
        <v/>
      </c>
      <c r="Q349" s="47" t="inlineStr">
        <is>
          <t>Không tiêu hao</t>
        </is>
      </c>
      <c r="R349" s="50" t="n">
        <v>0</v>
      </c>
      <c r="S349" s="46" t="inlineStr">
        <is>
          <t>SAI</t>
        </is>
      </c>
      <c r="T349" s="47" t="inlineStr">
        <is>
          <t>Đang gia công dở dang, chuyển ca sau</t>
        </is>
      </c>
      <c r="U349" t="inlineStr">
        <is>
          <t>ĐÃ DUYỆT</t>
        </is>
      </c>
      <c r="V349" t="inlineStr">
        <is>
          <t>ĐÃ PHÊ DUYỆT</t>
        </is>
      </c>
      <c r="W349" t="inlineStr">
        <is>
          <t>🔒 ĐÃ KHÓA</t>
        </is>
      </c>
    </row>
    <row r="350" ht="21" customHeight="1" s="75">
      <c r="A350" s="40" t="n">
        <v>347</v>
      </c>
      <c r="B350" s="60" t="n">
        <v>46272.32730413195</v>
      </c>
      <c r="C350" s="61" t="inlineStr">
        <is>
          <t>EMP-NV02</t>
        </is>
      </c>
      <c r="D350" s="41" t="inlineStr">
        <is>
          <t>Phùng Công Thắng</t>
        </is>
      </c>
      <c r="E350" s="61" t="inlineStr">
        <is>
          <t>M-FUJI-01</t>
        </is>
      </c>
      <c r="F350" s="41" t="inlineStr">
        <is>
          <t>Phùng Công Thắng</t>
        </is>
      </c>
      <c r="G350" s="61" t="inlineStr">
        <is>
          <t>OP-ISH355-NC3</t>
        </is>
      </c>
      <c r="H350" s="41" t="inlineStr">
        <is>
          <t>Win-Win</t>
        </is>
      </c>
      <c r="I350" s="41" t="inlineStr">
        <is>
          <t>Mold of Ishizue omega 355,6-1060</t>
        </is>
      </c>
      <c r="J350" s="40" t="inlineStr">
        <is>
          <t>PO-3253</t>
        </is>
      </c>
      <c r="K350" s="41" t="inlineStr">
        <is>
          <t>G/c tiện hoàn thiện góc 45 độ</t>
        </is>
      </c>
      <c r="L350" s="44" t="n">
        <v>37200</v>
      </c>
      <c r="M350" s="62" t="n">
        <v>6</v>
      </c>
      <c r="N350" s="44" t="n">
        <v>0</v>
      </c>
      <c r="O350" s="63" t="n">
        <v>8</v>
      </c>
      <c r="P350" s="64">
        <f>L350*M350</f>
        <v/>
      </c>
      <c r="Q350" s="41" t="inlineStr">
        <is>
          <t>Chíp  R5 THREADEX- P3200</t>
        </is>
      </c>
      <c r="R350" s="44" t="n">
        <v>0</v>
      </c>
      <c r="S350" s="65" t="inlineStr">
        <is>
          <t>ĐÚNG</t>
        </is>
      </c>
      <c r="T350" s="41" t="inlineStr">
        <is>
          <t>Đã xong nguyên công</t>
        </is>
      </c>
      <c r="U350" t="inlineStr">
        <is>
          <t>ĐÃ DUYỆT</t>
        </is>
      </c>
      <c r="V350" t="inlineStr">
        <is>
          <t>ĐÃ PHÊ DUYỆT</t>
        </is>
      </c>
      <c r="W350" t="inlineStr">
        <is>
          <t>🔒 ĐÃ KHÓA</t>
        </is>
      </c>
    </row>
    <row r="351" ht="21" customHeight="1" s="75">
      <c r="A351" s="46" t="n">
        <v>348</v>
      </c>
      <c r="B351" s="66" t="n">
        <v>46272.32809108796</v>
      </c>
      <c r="C351" s="61" t="inlineStr">
        <is>
          <t>EMP-NV02</t>
        </is>
      </c>
      <c r="D351" s="47" t="inlineStr">
        <is>
          <t>Phùng Công Thắng</t>
        </is>
      </c>
      <c r="E351" s="61" t="inlineStr">
        <is>
          <t>M-DK7780-01</t>
        </is>
      </c>
      <c r="F351" s="47" t="inlineStr">
        <is>
          <t>Phùng Công Thắng</t>
        </is>
      </c>
      <c r="G351" s="61" t="inlineStr">
        <is>
          <t>OP-GEN-01</t>
        </is>
      </c>
      <c r="H351" s="47" t="inlineStr">
        <is>
          <t>Vico- QLTB</t>
        </is>
      </c>
      <c r="I351" s="47" t="inlineStr">
        <is>
          <t>Mẫu Thử CR &amp; hàng #</t>
        </is>
      </c>
      <c r="J351" s="46" t="inlineStr">
        <is>
          <t>PO-7165</t>
        </is>
      </c>
      <c r="K351" s="47" t="inlineStr">
        <is>
          <t>G/c hoàn thiện</t>
        </is>
      </c>
      <c r="L351" s="50" t="n">
        <v>83700</v>
      </c>
      <c r="M351" s="67" t="n">
        <v>1</v>
      </c>
      <c r="N351" s="50" t="n">
        <v>0</v>
      </c>
      <c r="O351" s="68" t="n">
        <v>4</v>
      </c>
      <c r="P351" s="64">
        <f>L351*M351</f>
        <v/>
      </c>
      <c r="Q351" s="47" t="inlineStr">
        <is>
          <t>Dây cắt CNC</t>
        </is>
      </c>
      <c r="R351" s="50" t="n">
        <v>0</v>
      </c>
      <c r="S351" s="65" t="inlineStr">
        <is>
          <t>ĐÚNG</t>
        </is>
      </c>
      <c r="T351" s="47" t="inlineStr">
        <is>
          <t>Đã xong nguyên công</t>
        </is>
      </c>
      <c r="U351" t="inlineStr">
        <is>
          <t>ĐÃ DUYỆT</t>
        </is>
      </c>
      <c r="V351" t="inlineStr">
        <is>
          <t>ĐÃ PHÊ DUYỆT</t>
        </is>
      </c>
      <c r="W351" t="inlineStr">
        <is>
          <t>🔒 ĐÃ KHÓA</t>
        </is>
      </c>
    </row>
    <row r="352" ht="21" customHeight="1" s="75">
      <c r="A352" s="40" t="n">
        <v>349</v>
      </c>
      <c r="B352" s="60" t="n">
        <v>46272.34899652778</v>
      </c>
      <c r="C352" s="61" t="inlineStr">
        <is>
          <t>EMP-NV02</t>
        </is>
      </c>
      <c r="D352" s="41" t="inlineStr">
        <is>
          <t>Phùng Công Thắng</t>
        </is>
      </c>
      <c r="E352" s="61" t="inlineStr">
        <is>
          <t>M-FUJI-01</t>
        </is>
      </c>
      <c r="F352" s="41" t="inlineStr">
        <is>
          <t>Phùng Công Thắng</t>
        </is>
      </c>
      <c r="G352" s="61" t="inlineStr">
        <is>
          <t>OP-ISH355-NC3</t>
        </is>
      </c>
      <c r="H352" s="41" t="inlineStr">
        <is>
          <t>Win-Win</t>
        </is>
      </c>
      <c r="I352" s="41" t="inlineStr">
        <is>
          <t>ISHIZUE 355Dw900</t>
        </is>
      </c>
      <c r="J352" s="40" t="inlineStr">
        <is>
          <t>PO-9767</t>
        </is>
      </c>
      <c r="K352" s="41" t="inlineStr">
        <is>
          <t>G/c hoàn thiện</t>
        </is>
      </c>
      <c r="L352" s="44" t="n">
        <v>55800</v>
      </c>
      <c r="M352" s="62" t="n">
        <v>5</v>
      </c>
      <c r="N352" s="44" t="n">
        <v>0</v>
      </c>
      <c r="O352" s="63" t="n">
        <v>8</v>
      </c>
      <c r="P352" s="64">
        <f>L352*M352</f>
        <v/>
      </c>
      <c r="Q352" s="41" t="inlineStr">
        <is>
          <t>Chíp  R4 THREADEX- P3200 ( chíp cầu ) cán D12</t>
        </is>
      </c>
      <c r="R352" s="44" t="n">
        <v>0</v>
      </c>
      <c r="S352" s="65" t="inlineStr">
        <is>
          <t>ĐÚNG</t>
        </is>
      </c>
      <c r="T352" s="41" t="inlineStr">
        <is>
          <t>Đã xong nguyên công</t>
        </is>
      </c>
      <c r="U352" t="inlineStr">
        <is>
          <t>ĐÃ DUYỆT</t>
        </is>
      </c>
      <c r="V352" t="inlineStr">
        <is>
          <t>ĐÃ PHÊ DUYỆT</t>
        </is>
      </c>
      <c r="W352" t="inlineStr">
        <is>
          <t>🔒 ĐÃ KHÓA</t>
        </is>
      </c>
    </row>
    <row r="353" ht="21" customHeight="1" s="75">
      <c r="A353" s="46" t="n">
        <v>350</v>
      </c>
      <c r="B353" s="66" t="n">
        <v>46272.34977472222</v>
      </c>
      <c r="C353" s="61" t="inlineStr">
        <is>
          <t>EMP-NV11</t>
        </is>
      </c>
      <c r="D353" s="47" t="inlineStr">
        <is>
          <t>Phùng Công Thắng</t>
        </is>
      </c>
      <c r="E353" s="61" t="inlineStr">
        <is>
          <t>M-PODA-01</t>
        </is>
      </c>
      <c r="F353" s="47" t="inlineStr">
        <is>
          <t>Phùng Công Thắng</t>
        </is>
      </c>
      <c r="G353" s="61" t="inlineStr">
        <is>
          <t>OP-GEN-01</t>
        </is>
      </c>
      <c r="H353" s="47" t="inlineStr">
        <is>
          <t>Vico- QLTB</t>
        </is>
      </c>
      <c r="I353" s="47" t="inlineStr">
        <is>
          <t>Mẫu Thử CR &amp; hàng #</t>
        </is>
      </c>
      <c r="J353" s="46" t="inlineStr">
        <is>
          <t>PO-4627</t>
        </is>
      </c>
      <c r="K353" s="47" t="inlineStr">
        <is>
          <t>G/c hoàn thiện</t>
        </is>
      </c>
      <c r="L353" s="50" t="n">
        <v>83700</v>
      </c>
      <c r="M353" s="67" t="n">
        <v>3</v>
      </c>
      <c r="N353" s="50" t="n">
        <v>0</v>
      </c>
      <c r="O353" s="68" t="n">
        <v>4</v>
      </c>
      <c r="P353" s="64">
        <f>L353*M353</f>
        <v/>
      </c>
      <c r="Q353" s="47" t="inlineStr">
        <is>
          <t>Dây cắt CNC</t>
        </is>
      </c>
      <c r="R353" s="50" t="n">
        <v>0</v>
      </c>
      <c r="S353" s="65" t="inlineStr">
        <is>
          <t>ĐÚNG</t>
        </is>
      </c>
      <c r="T353" s="47" t="inlineStr">
        <is>
          <t>Đã xong nguyên công</t>
        </is>
      </c>
      <c r="U353" t="inlineStr">
        <is>
          <t>ĐÃ DUYỆT</t>
        </is>
      </c>
      <c r="V353" t="inlineStr">
        <is>
          <t>ĐÃ PHÊ DUYỆT</t>
        </is>
      </c>
      <c r="W353" t="inlineStr">
        <is>
          <t>🔒 ĐÃ KHÓA</t>
        </is>
      </c>
    </row>
    <row r="354" ht="21" customHeight="1" s="75">
      <c r="A354" s="40" t="n">
        <v>351</v>
      </c>
      <c r="B354" s="60" t="n">
        <v>46272.34979158565</v>
      </c>
      <c r="C354" s="61" t="inlineStr">
        <is>
          <t>EMP-NV02</t>
        </is>
      </c>
      <c r="D354" s="41" t="inlineStr">
        <is>
          <t>Phùng Công Thắng</t>
        </is>
      </c>
      <c r="E354" s="61" t="inlineStr">
        <is>
          <t>M-FUJI-01</t>
        </is>
      </c>
      <c r="F354" s="41" t="inlineStr">
        <is>
          <t>Phùng Công Thắng</t>
        </is>
      </c>
      <c r="G354" s="61" t="inlineStr">
        <is>
          <t>OP-GEN-01</t>
        </is>
      </c>
      <c r="H354" s="41" t="inlineStr">
        <is>
          <t>Win-Win</t>
        </is>
      </c>
      <c r="I354" s="41" t="inlineStr">
        <is>
          <t>Mold of Ishizue omega 267,4-950</t>
        </is>
      </c>
      <c r="J354" s="40" t="inlineStr">
        <is>
          <t>PO-7533</t>
        </is>
      </c>
      <c r="K354" s="41" t="inlineStr">
        <is>
          <t>G/c tiện hoàn thiện góc 45 độ</t>
        </is>
      </c>
      <c r="L354" s="44" t="n">
        <v>37200</v>
      </c>
      <c r="M354" s="62" t="n">
        <v>3</v>
      </c>
      <c r="N354" s="44" t="n">
        <v>0</v>
      </c>
      <c r="O354" s="63" t="n">
        <v>4</v>
      </c>
      <c r="P354" s="64">
        <f>L354*M354</f>
        <v/>
      </c>
      <c r="Q354" s="41" t="inlineStr">
        <is>
          <t>Chíp  R5 THREADEX- P3200</t>
        </is>
      </c>
      <c r="R354" s="44" t="n">
        <v>0</v>
      </c>
      <c r="S354" s="65" t="inlineStr">
        <is>
          <t>ĐÚNG</t>
        </is>
      </c>
      <c r="T354" s="41" t="inlineStr">
        <is>
          <t>Đã xong nguyên công</t>
        </is>
      </c>
      <c r="U354" t="inlineStr">
        <is>
          <t>ĐÃ DUYỆT</t>
        </is>
      </c>
      <c r="V354" t="inlineStr">
        <is>
          <t>ĐÃ PHÊ DUYỆT</t>
        </is>
      </c>
      <c r="W354" t="inlineStr">
        <is>
          <t>🔒 ĐÃ KHÓA</t>
        </is>
      </c>
    </row>
    <row r="355" ht="21" customHeight="1" s="75">
      <c r="A355" s="46" t="n">
        <v>352</v>
      </c>
      <c r="B355" s="66" t="n">
        <v>46272.3505394213</v>
      </c>
      <c r="C355" s="61" t="inlineStr">
        <is>
          <t>EMP-NV11</t>
        </is>
      </c>
      <c r="D355" s="47" t="inlineStr">
        <is>
          <t>Phùng Công Thắng</t>
        </is>
      </c>
      <c r="E355" s="61" t="inlineStr">
        <is>
          <t>M-FUJI-01</t>
        </is>
      </c>
      <c r="F355" s="47" t="inlineStr">
        <is>
          <t>Phùng Công Thắng</t>
        </is>
      </c>
      <c r="G355" s="61" t="inlineStr">
        <is>
          <t>OP-GEN-01</t>
        </is>
      </c>
      <c r="H355" s="47" t="inlineStr">
        <is>
          <t>Win-Win</t>
        </is>
      </c>
      <c r="I355" s="47" t="inlineStr">
        <is>
          <t>Mold of Ishizue omega 216,3-740</t>
        </is>
      </c>
      <c r="J355" s="46" t="inlineStr">
        <is>
          <t>PO-3177</t>
        </is>
      </c>
      <c r="K355" s="47" t="inlineStr">
        <is>
          <t>G/c tiện hoàn thiện góc 45 độ</t>
        </is>
      </c>
      <c r="L355" s="50" t="n">
        <v>37200</v>
      </c>
      <c r="M355" s="67" t="n">
        <v>10</v>
      </c>
      <c r="N355" s="50" t="n">
        <v>0</v>
      </c>
      <c r="O355" s="68" t="n">
        <v>8</v>
      </c>
      <c r="P355" s="64">
        <f>L355*M355</f>
        <v/>
      </c>
      <c r="Q355" s="47" t="inlineStr">
        <is>
          <t>Chíp  R5 THREADEX- P3200</t>
        </is>
      </c>
      <c r="R355" s="50" t="n">
        <v>0</v>
      </c>
      <c r="S355" s="65" t="inlineStr">
        <is>
          <t>ĐÚNG</t>
        </is>
      </c>
      <c r="T355" s="47" t="inlineStr">
        <is>
          <t>Đã xong nguyên công</t>
        </is>
      </c>
      <c r="U355" t="inlineStr">
        <is>
          <t>ĐÃ DUYỆT</t>
        </is>
      </c>
      <c r="V355" t="inlineStr">
        <is>
          <t>ĐÃ PHÊ DUYỆT</t>
        </is>
      </c>
      <c r="W355" t="inlineStr">
        <is>
          <t>🔒 ĐÃ KHÓA</t>
        </is>
      </c>
    </row>
    <row r="356" ht="21" customHeight="1" s="75">
      <c r="A356" s="40" t="n">
        <v>353</v>
      </c>
      <c r="B356" s="60" t="n">
        <v>46272.38036002315</v>
      </c>
      <c r="C356" s="61" t="inlineStr">
        <is>
          <t>EMP-NV03</t>
        </is>
      </c>
      <c r="D356" s="41" t="inlineStr">
        <is>
          <t>Phùng Công Thắng</t>
        </is>
      </c>
      <c r="E356" s="61" t="inlineStr">
        <is>
          <t>M-OIGO-01</t>
        </is>
      </c>
      <c r="F356" s="41" t="inlineStr">
        <is>
          <t>Phùng Công Thắng</t>
        </is>
      </c>
      <c r="G356" s="61" t="inlineStr">
        <is>
          <t>OP-THD-NC2</t>
        </is>
      </c>
      <c r="H356" s="41" t="inlineStr">
        <is>
          <t>Hà Song Hải - XM Hạ Long</t>
        </is>
      </c>
      <c r="I356" s="41" t="inlineStr">
        <is>
          <t>Thanh đập đá vôi (2240x510x145)</t>
        </is>
      </c>
      <c r="J356" s="40" t="inlineStr">
        <is>
          <t>PO-5670</t>
        </is>
      </c>
      <c r="K356" s="41" t="inlineStr">
        <is>
          <t>G/c phay hoàn thiện Rãnh 62/52mm Nc2</t>
        </is>
      </c>
      <c r="L356" s="44" t="n">
        <v>892800</v>
      </c>
      <c r="M356" s="62" t="n">
        <v>1</v>
      </c>
      <c r="N356" s="44" t="n">
        <v>0</v>
      </c>
      <c r="O356" s="63" t="n">
        <v>8</v>
      </c>
      <c r="P356" s="64">
        <f>L356*M356</f>
        <v/>
      </c>
      <c r="Q356" s="41" t="inlineStr">
        <is>
          <t>Dao phay D50 ( hợp kim )</t>
        </is>
      </c>
      <c r="R356" s="44" t="n">
        <v>1</v>
      </c>
      <c r="S356" s="65" t="inlineStr">
        <is>
          <t>ĐÚNG</t>
        </is>
      </c>
      <c r="T356" s="41" t="inlineStr">
        <is>
          <t>Đã xong nguyên công</t>
        </is>
      </c>
      <c r="U356" t="inlineStr">
        <is>
          <t>ĐÃ DUYỆT</t>
        </is>
      </c>
      <c r="V356" t="inlineStr">
        <is>
          <t>ĐÃ PHÊ DUYỆT</t>
        </is>
      </c>
      <c r="W356" t="inlineStr">
        <is>
          <t>🔒 ĐÃ KHÓA</t>
        </is>
      </c>
    </row>
    <row r="357" ht="21" customHeight="1" s="75">
      <c r="A357" s="46" t="n">
        <v>354</v>
      </c>
      <c r="B357" s="66" t="n">
        <v>46272.38308359954</v>
      </c>
      <c r="C357" s="61" t="inlineStr">
        <is>
          <t>EMP-NV03</t>
        </is>
      </c>
      <c r="D357" s="47" t="inlineStr">
        <is>
          <t>Phùng Công Thắng</t>
        </is>
      </c>
      <c r="E357" s="61" t="inlineStr">
        <is>
          <t>M-T1516-01</t>
        </is>
      </c>
      <c r="F357" s="47" t="inlineStr">
        <is>
          <t>Phùng Công Thắng</t>
        </is>
      </c>
      <c r="G357" s="61" t="inlineStr">
        <is>
          <t>OP-GEN-01</t>
        </is>
      </c>
      <c r="H357" s="47" t="inlineStr">
        <is>
          <t>TFG</t>
        </is>
      </c>
      <c r="I357" s="47" t="inlineStr">
        <is>
          <t>Taytona Drawing No 2CG00820</t>
        </is>
      </c>
      <c r="J357" s="46" t="inlineStr">
        <is>
          <t>PO-1400</t>
        </is>
      </c>
      <c r="K357" s="47" t="inlineStr">
        <is>
          <t>G/c Tiện NC1</t>
        </is>
      </c>
      <c r="L357" s="50" t="n">
        <v>45000</v>
      </c>
      <c r="M357" s="67" t="n">
        <v>1</v>
      </c>
      <c r="N357" s="50" t="n">
        <v>0</v>
      </c>
      <c r="O357" s="68" t="n">
        <v>4</v>
      </c>
      <c r="P357" s="64">
        <f>L357*M357</f>
        <v/>
      </c>
      <c r="Q357" s="47" t="inlineStr">
        <is>
          <t>Chíp  TNMG160408L -ST TNMG332L-ST 
( 3 cạnh bẻ phoi )</t>
        </is>
      </c>
      <c r="R357" s="50" t="n">
        <v>1</v>
      </c>
      <c r="S357" s="46" t="inlineStr">
        <is>
          <t>SAI</t>
        </is>
      </c>
      <c r="T357" s="47" t="inlineStr">
        <is>
          <t>Đang gia công dở dang, chuyển ca sau</t>
        </is>
      </c>
      <c r="U357" t="inlineStr">
        <is>
          <t>ĐÃ DUYỆT</t>
        </is>
      </c>
      <c r="V357" t="inlineStr">
        <is>
          <t>ĐÃ PHÊ DUYỆT</t>
        </is>
      </c>
      <c r="W357" t="inlineStr">
        <is>
          <t>🔒 ĐÃ KHÓA</t>
        </is>
      </c>
    </row>
    <row r="358" ht="21" customHeight="1" s="75">
      <c r="A358" s="40" t="n">
        <v>355</v>
      </c>
      <c r="B358" s="60" t="n">
        <v>46272.41828070602</v>
      </c>
      <c r="C358" s="61" t="inlineStr">
        <is>
          <t>EMP-NV10</t>
        </is>
      </c>
      <c r="D358" s="41" t="inlineStr">
        <is>
          <t>Phùng Công Thắng</t>
        </is>
      </c>
      <c r="E358" s="61" t="inlineStr">
        <is>
          <t>M-OKK2-01</t>
        </is>
      </c>
      <c r="F358" s="41" t="inlineStr">
        <is>
          <t>Phùng Công Thắng</t>
        </is>
      </c>
      <c r="G358" s="61" t="inlineStr">
        <is>
          <t>OP-SEALB-NC1</t>
        </is>
      </c>
      <c r="H358" s="41" t="inlineStr">
        <is>
          <t>Thyssen</t>
        </is>
      </c>
      <c r="I358" s="41" t="inlineStr">
        <is>
          <t>Sealing trip, below</t>
        </is>
      </c>
      <c r="J358" s="40" t="inlineStr">
        <is>
          <t>PO-2506</t>
        </is>
      </c>
      <c r="K358" s="41" t="inlineStr">
        <is>
          <t>G/c phay Mp NC1 Kt 47mm</t>
        </is>
      </c>
      <c r="L358" s="44" t="n">
        <v>37200</v>
      </c>
      <c r="M358" s="62" t="n">
        <v>9</v>
      </c>
      <c r="N358" s="44" t="n">
        <v>0</v>
      </c>
      <c r="O358" s="63" t="n">
        <v>8</v>
      </c>
      <c r="P358" s="64">
        <f>L358*M358</f>
        <v/>
      </c>
      <c r="Q358" s="41" t="inlineStr">
        <is>
          <t>Chíp  Pramet (6 cạnh)</t>
        </is>
      </c>
      <c r="R358" s="44" t="n">
        <v>3</v>
      </c>
      <c r="S358" s="40" t="inlineStr">
        <is>
          <t>SAI</t>
        </is>
      </c>
      <c r="T358" s="41" t="inlineStr">
        <is>
          <t>Đang gia công dở dang, chuyển ca sau</t>
        </is>
      </c>
      <c r="U358" t="inlineStr">
        <is>
          <t>ĐÃ DUYỆT</t>
        </is>
      </c>
      <c r="V358" t="inlineStr">
        <is>
          <t>ĐÃ PHÊ DUYỆT</t>
        </is>
      </c>
      <c r="W358" t="inlineStr">
        <is>
          <t>🔒 ĐÃ KHÓA</t>
        </is>
      </c>
    </row>
    <row r="359" ht="21" customHeight="1" s="75">
      <c r="A359" s="46" t="n">
        <v>356</v>
      </c>
      <c r="B359" s="66" t="n">
        <v>46272.41869247685</v>
      </c>
      <c r="C359" s="61" t="inlineStr">
        <is>
          <t>EMP-NV10</t>
        </is>
      </c>
      <c r="D359" s="47" t="inlineStr">
        <is>
          <t>Phùng Công Thắng</t>
        </is>
      </c>
      <c r="E359" s="61" t="inlineStr">
        <is>
          <t>M-OKK2-01</t>
        </is>
      </c>
      <c r="F359" s="47" t="inlineStr">
        <is>
          <t>Phùng Công Thắng</t>
        </is>
      </c>
      <c r="G359" s="61" t="inlineStr">
        <is>
          <t>OP-SEALB-NC2</t>
        </is>
      </c>
      <c r="H359" s="47" t="inlineStr">
        <is>
          <t>Thyssen</t>
        </is>
      </c>
      <c r="I359" s="47" t="inlineStr">
        <is>
          <t>Sealing trip, below</t>
        </is>
      </c>
      <c r="J359" s="46" t="inlineStr">
        <is>
          <t>PO-6902</t>
        </is>
      </c>
      <c r="K359" s="47" t="inlineStr">
        <is>
          <t>G/c phay Mp NC2 Kt 95mm</t>
        </is>
      </c>
      <c r="L359" s="50" t="n">
        <v>37200</v>
      </c>
      <c r="M359" s="67" t="n">
        <v>6</v>
      </c>
      <c r="N359" s="50" t="n">
        <v>0</v>
      </c>
      <c r="O359" s="68" t="n">
        <v>8</v>
      </c>
      <c r="P359" s="64">
        <f>L359*M359</f>
        <v/>
      </c>
      <c r="Q359" s="47" t="inlineStr">
        <is>
          <t>Chíp  Pramet (6 cạnh)</t>
        </is>
      </c>
      <c r="R359" s="50" t="n">
        <v>3</v>
      </c>
      <c r="S359" s="46" t="inlineStr">
        <is>
          <t>SAI</t>
        </is>
      </c>
      <c r="T359" s="47" t="inlineStr">
        <is>
          <t>Đang gia công dở dang, chuyển ca sau</t>
        </is>
      </c>
      <c r="U359" t="inlineStr">
        <is>
          <t>ĐÃ DUYỆT</t>
        </is>
      </c>
      <c r="V359" t="inlineStr">
        <is>
          <t>ĐÃ PHÊ DUYỆT</t>
        </is>
      </c>
      <c r="W359" t="inlineStr">
        <is>
          <t>🔒 ĐÃ KHÓA</t>
        </is>
      </c>
    </row>
    <row r="360" ht="21" customHeight="1" s="75">
      <c r="A360" s="40" t="n">
        <v>357</v>
      </c>
      <c r="B360" s="60" t="n">
        <v>46272.41916231481</v>
      </c>
      <c r="C360" s="61" t="inlineStr">
        <is>
          <t>EMP-NV10</t>
        </is>
      </c>
      <c r="D360" s="41" t="inlineStr">
        <is>
          <t>Phùng Công Thắng</t>
        </is>
      </c>
      <c r="E360" s="61" t="inlineStr">
        <is>
          <t>M-OKK1-01</t>
        </is>
      </c>
      <c r="F360" s="41" t="inlineStr">
        <is>
          <t>Phùng Công Thắng</t>
        </is>
      </c>
      <c r="G360" s="61" t="inlineStr">
        <is>
          <t>OP-SEALB-NC4</t>
        </is>
      </c>
      <c r="H360" s="41" t="inlineStr">
        <is>
          <t>Thyssen</t>
        </is>
      </c>
      <c r="I360" s="41" t="inlineStr">
        <is>
          <t>Sealing strip, above</t>
        </is>
      </c>
      <c r="J360" s="40" t="inlineStr">
        <is>
          <t>PO-1099</t>
        </is>
      </c>
      <c r="K360" s="41" t="inlineStr">
        <is>
          <t>G/c phay Mp NC2 Kt 412mm</t>
        </is>
      </c>
      <c r="L360" s="44" t="n">
        <v>14942</v>
      </c>
      <c r="M360" s="62" t="n">
        <v>15</v>
      </c>
      <c r="N360" s="44" t="n">
        <v>0</v>
      </c>
      <c r="O360" s="63" t="n">
        <v>8</v>
      </c>
      <c r="P360" s="64">
        <f>L360*M360</f>
        <v/>
      </c>
      <c r="Q360" s="41" t="inlineStr">
        <is>
          <t>Chíp APMT 1604 PDER - Grade 8230S-PRAMET</t>
        </is>
      </c>
      <c r="R360" s="44" t="n">
        <v>5</v>
      </c>
      <c r="S360" s="40" t="inlineStr">
        <is>
          <t>SAI</t>
        </is>
      </c>
      <c r="T360" s="41" t="inlineStr">
        <is>
          <t>Đang gia công dở dang, chuyển ca sau</t>
        </is>
      </c>
      <c r="U360" t="inlineStr">
        <is>
          <t>ĐÃ DUYỆT</t>
        </is>
      </c>
      <c r="V360" t="inlineStr">
        <is>
          <t>ĐÃ PHÊ DUYỆT</t>
        </is>
      </c>
      <c r="W360" t="inlineStr">
        <is>
          <t>🔒 ĐÃ KHÓA</t>
        </is>
      </c>
    </row>
    <row r="361" ht="21" customHeight="1" s="75">
      <c r="A361" s="46" t="n">
        <v>358</v>
      </c>
      <c r="B361" s="66" t="n">
        <v>46272.41967076389</v>
      </c>
      <c r="C361" s="61" t="inlineStr">
        <is>
          <t>EMP-NV10</t>
        </is>
      </c>
      <c r="D361" s="47" t="inlineStr">
        <is>
          <t>Phùng Công Thắng</t>
        </is>
      </c>
      <c r="E361" s="61" t="inlineStr">
        <is>
          <t>M-OKK1-01</t>
        </is>
      </c>
      <c r="F361" s="47" t="inlineStr">
        <is>
          <t>Phùng Công Thắng</t>
        </is>
      </c>
      <c r="G361" s="61" t="inlineStr">
        <is>
          <t>OP-SEALB-NC4</t>
        </is>
      </c>
      <c r="H361" s="47" t="inlineStr">
        <is>
          <t>Thyssen</t>
        </is>
      </c>
      <c r="I361" s="47" t="inlineStr">
        <is>
          <t>Sealing strip, above</t>
        </is>
      </c>
      <c r="J361" s="46" t="inlineStr">
        <is>
          <t>PO-2481</t>
        </is>
      </c>
      <c r="K361" s="47" t="inlineStr">
        <is>
          <t>G/c phay Mp NC3 Kt 412mm còn lại</t>
        </is>
      </c>
      <c r="L361" s="50" t="n">
        <v>14942</v>
      </c>
      <c r="M361" s="67" t="n">
        <v>5</v>
      </c>
      <c r="N361" s="50" t="n">
        <v>0</v>
      </c>
      <c r="O361" s="68" t="n">
        <v>8</v>
      </c>
      <c r="P361" s="64">
        <f>L361*M361</f>
        <v/>
      </c>
      <c r="Q361" s="47" t="inlineStr">
        <is>
          <t>Chíp APMT 1604 PDER - Grade 8230S-PRAMET</t>
        </is>
      </c>
      <c r="R361" s="50" t="n">
        <v>5</v>
      </c>
      <c r="S361" s="46" t="inlineStr">
        <is>
          <t>SAI</t>
        </is>
      </c>
      <c r="T361" s="47" t="inlineStr">
        <is>
          <t>Đang gia công dở dang, chuyển ca sau</t>
        </is>
      </c>
      <c r="U361" t="inlineStr">
        <is>
          <t>ĐÃ DUYỆT</t>
        </is>
      </c>
      <c r="V361" t="inlineStr">
        <is>
          <t>ĐÃ PHÊ DUYỆT</t>
        </is>
      </c>
      <c r="W361" t="inlineStr">
        <is>
          <t>🔒 ĐÃ KHÓA</t>
        </is>
      </c>
    </row>
    <row r="362" ht="21" customHeight="1" s="75">
      <c r="A362" s="40" t="n">
        <v>359</v>
      </c>
      <c r="B362" s="60" t="n">
        <v>46272.65092717593</v>
      </c>
      <c r="C362" s="61" t="inlineStr">
        <is>
          <t>EMP-NV06</t>
        </is>
      </c>
      <c r="D362" s="41" t="inlineStr">
        <is>
          <t>Phùng Công Thắng</t>
        </is>
      </c>
      <c r="E362" s="61" t="inlineStr">
        <is>
          <t>M-OKUMA-01</t>
        </is>
      </c>
      <c r="F362" s="41" t="inlineStr">
        <is>
          <t>Phùng Công Thắng</t>
        </is>
      </c>
      <c r="G362" s="61" t="inlineStr">
        <is>
          <t>OP-GEN-01</t>
        </is>
      </c>
      <c r="H362" s="41" t="inlineStr">
        <is>
          <t>Win-Win</t>
        </is>
      </c>
      <c r="I362" s="41" t="inlineStr">
        <is>
          <t>ALKTOP 1342 M</t>
        </is>
      </c>
      <c r="J362" s="40" t="inlineStr">
        <is>
          <t>PO-3777</t>
        </is>
      </c>
      <c r="K362" s="41" t="inlineStr">
        <is>
          <t>G/c hoàn thiện</t>
        </is>
      </c>
      <c r="L362" s="44" t="n">
        <v>7440</v>
      </c>
      <c r="M362" s="62" t="n">
        <v>10</v>
      </c>
      <c r="N362" s="44" t="n">
        <v>0</v>
      </c>
      <c r="O362" s="63" t="n">
        <v>8</v>
      </c>
      <c r="P362" s="64">
        <f>L362*M362</f>
        <v/>
      </c>
      <c r="Q362" s="41" t="inlineStr">
        <is>
          <t>Chíp  TNMG160408 WINSTAR RP- CX2555 ( 3 cạnh thẳng)</t>
        </is>
      </c>
      <c r="R362" s="44" t="n">
        <v>1</v>
      </c>
      <c r="S362" s="65" t="inlineStr">
        <is>
          <t>ĐÚNG</t>
        </is>
      </c>
      <c r="T362" s="41" t="inlineStr">
        <is>
          <t>Đã xong nguyên công</t>
        </is>
      </c>
      <c r="U362" t="inlineStr">
        <is>
          <t>ĐÃ DUYỆT</t>
        </is>
      </c>
      <c r="V362" t="inlineStr">
        <is>
          <t>ĐÃ PHÊ DUYỆT</t>
        </is>
      </c>
      <c r="W362" t="inlineStr">
        <is>
          <t>🔒 ĐÃ KHÓA</t>
        </is>
      </c>
    </row>
    <row r="363" ht="21" customHeight="1" s="75">
      <c r="A363" s="46" t="n">
        <v>360</v>
      </c>
      <c r="B363" s="66" t="n">
        <v>46272.65170373843</v>
      </c>
      <c r="C363" s="61" t="inlineStr">
        <is>
          <t>EMP-NV06</t>
        </is>
      </c>
      <c r="D363" s="47" t="inlineStr">
        <is>
          <t>Phùng Công Thắng</t>
        </is>
      </c>
      <c r="E363" s="61" t="inlineStr">
        <is>
          <t>M-FUJI-01</t>
        </is>
      </c>
      <c r="F363" s="47" t="inlineStr">
        <is>
          <t>Phùng Công Thắng</t>
        </is>
      </c>
      <c r="G363" s="61" t="inlineStr">
        <is>
          <t>OP-GEN-01</t>
        </is>
      </c>
      <c r="H363" s="47" t="inlineStr">
        <is>
          <t>Win-Win</t>
        </is>
      </c>
      <c r="I363" s="47" t="inlineStr">
        <is>
          <t>Mold of Ishizue omega 216,3-740</t>
        </is>
      </c>
      <c r="J363" s="46" t="inlineStr">
        <is>
          <t>PO-3346</t>
        </is>
      </c>
      <c r="K363" s="47" t="inlineStr">
        <is>
          <t>G/c tiện hoàn thiện góc 45 độ</t>
        </is>
      </c>
      <c r="L363" s="50" t="n">
        <v>37200</v>
      </c>
      <c r="M363" s="67" t="n">
        <v>9</v>
      </c>
      <c r="N363" s="50" t="n">
        <v>0</v>
      </c>
      <c r="O363" s="68" t="n">
        <v>8</v>
      </c>
      <c r="P363" s="64">
        <f>L363*M363</f>
        <v/>
      </c>
      <c r="Q363" s="47" t="inlineStr">
        <is>
          <t>Chíp  R5 THREADEX- P3200</t>
        </is>
      </c>
      <c r="R363" s="50" t="n">
        <v>0</v>
      </c>
      <c r="S363" s="65" t="inlineStr">
        <is>
          <t>ĐÚNG</t>
        </is>
      </c>
      <c r="T363" s="47" t="inlineStr">
        <is>
          <t>Đã xong nguyên công</t>
        </is>
      </c>
      <c r="U363" t="inlineStr">
        <is>
          <t>ĐÃ DUYỆT</t>
        </is>
      </c>
      <c r="V363" t="inlineStr">
        <is>
          <t>ĐÃ PHÊ DUYỆT</t>
        </is>
      </c>
      <c r="W363" t="inlineStr">
        <is>
          <t>🔒 ĐÃ KHÓA</t>
        </is>
      </c>
    </row>
    <row r="364" ht="21" customHeight="1" s="75">
      <c r="A364" s="40" t="n">
        <v>361</v>
      </c>
      <c r="B364" s="60" t="n">
        <v>46272.65235753472</v>
      </c>
      <c r="C364" s="61" t="inlineStr">
        <is>
          <t>EMP-NV06</t>
        </is>
      </c>
      <c r="D364" s="41" t="inlineStr">
        <is>
          <t>Phùng Công Thắng</t>
        </is>
      </c>
      <c r="E364" s="61" t="inlineStr">
        <is>
          <t>M-DK7745-01</t>
        </is>
      </c>
      <c r="F364" s="41" t="inlineStr">
        <is>
          <t>Phùng Công Thắng</t>
        </is>
      </c>
      <c r="G364" s="61" t="inlineStr">
        <is>
          <t>OP-OPDAO-NC1</t>
        </is>
      </c>
      <c r="H364" s="41" t="inlineStr">
        <is>
          <t>Luợng- KS Tường Long</t>
        </is>
      </c>
      <c r="I364" s="41" t="inlineStr">
        <is>
          <t>Ốp dao nhào trên (Bộ bên trái)</t>
        </is>
      </c>
      <c r="J364" s="40" t="inlineStr">
        <is>
          <t>PO-3455</t>
        </is>
      </c>
      <c r="K364" s="41" t="inlineStr">
        <is>
          <t>G/c cắt dây</t>
        </is>
      </c>
      <c r="L364" s="44" t="n">
        <v>148800</v>
      </c>
      <c r="M364" s="62" t="n">
        <v>1</v>
      </c>
      <c r="N364" s="44" t="n">
        <v>0</v>
      </c>
      <c r="O364" s="63" t="n">
        <v>4</v>
      </c>
      <c r="P364" s="64">
        <f>L364*M364</f>
        <v/>
      </c>
      <c r="Q364" s="41" t="inlineStr">
        <is>
          <t>Dây cắt CNC</t>
        </is>
      </c>
      <c r="R364" s="44" t="n">
        <v>0</v>
      </c>
      <c r="S364" s="65" t="inlineStr">
        <is>
          <t>ĐÚNG</t>
        </is>
      </c>
      <c r="T364" s="41" t="inlineStr">
        <is>
          <t>Đã xong nguyên công</t>
        </is>
      </c>
      <c r="U364" t="inlineStr">
        <is>
          <t>ĐÃ DUYỆT</t>
        </is>
      </c>
      <c r="V364" t="inlineStr">
        <is>
          <t>ĐÃ PHÊ DUYỆT</t>
        </is>
      </c>
      <c r="W364" t="inlineStr">
        <is>
          <t>🔒 ĐÃ KHÓA</t>
        </is>
      </c>
    </row>
    <row r="365" ht="21" customHeight="1" s="75">
      <c r="A365" s="46" t="n">
        <v>362</v>
      </c>
      <c r="B365" s="66" t="n">
        <v>46272.65243591435</v>
      </c>
      <c r="C365" s="61" t="inlineStr">
        <is>
          <t>EMP-NV08</t>
        </is>
      </c>
      <c r="D365" s="47" t="inlineStr">
        <is>
          <t>Phùng Công Thắng</t>
        </is>
      </c>
      <c r="E365" s="61" t="inlineStr">
        <is>
          <t>M-PCNC2-01</t>
        </is>
      </c>
      <c r="F365" s="47" t="inlineStr">
        <is>
          <t>Phùng Công Thắng</t>
        </is>
      </c>
      <c r="G365" s="61" t="inlineStr">
        <is>
          <t>OP-GEN-01</t>
        </is>
      </c>
      <c r="H365" s="47" t="inlineStr">
        <is>
          <t>Vico- QLTB</t>
        </is>
      </c>
      <c r="I365" s="47" t="inlineStr">
        <is>
          <t>Sửa khuôn CRMINING</t>
        </is>
      </c>
      <c r="J365" s="46" t="inlineStr">
        <is>
          <t>PO-2062</t>
        </is>
      </c>
      <c r="K365" s="47" t="inlineStr">
        <is>
          <t>G/c sửa theo Yc</t>
        </is>
      </c>
      <c r="L365" s="50" t="n">
        <v>223200</v>
      </c>
      <c r="M365" s="67" t="n">
        <v>1</v>
      </c>
      <c r="N365" s="50" t="n">
        <v>0</v>
      </c>
      <c r="O365" s="68" t="n">
        <v>4</v>
      </c>
      <c r="P365" s="64">
        <f>L365*M365</f>
        <v/>
      </c>
      <c r="Q365" s="47" t="inlineStr">
        <is>
          <t>Không tiêu hao</t>
        </is>
      </c>
      <c r="R365" s="50" t="n">
        <v>0</v>
      </c>
      <c r="S365" s="46" t="inlineStr">
        <is>
          <t>SAI</t>
        </is>
      </c>
      <c r="T365" s="47" t="inlineStr">
        <is>
          <t>Đang gia công dở dang, chuyển ca sau</t>
        </is>
      </c>
      <c r="U365" t="inlineStr">
        <is>
          <t>ĐÃ DUYỆT</t>
        </is>
      </c>
      <c r="V365" t="inlineStr">
        <is>
          <t>ĐÃ PHÊ DUYỆT</t>
        </is>
      </c>
      <c r="W365" t="inlineStr">
        <is>
          <t>🔒 ĐÃ KHÓA</t>
        </is>
      </c>
    </row>
    <row r="366" ht="21" customHeight="1" s="75">
      <c r="A366" s="40" t="n">
        <v>363</v>
      </c>
      <c r="B366" s="60" t="n">
        <v>46272.65301721065</v>
      </c>
      <c r="C366" s="61" t="inlineStr">
        <is>
          <t>EMP-NV08</t>
        </is>
      </c>
      <c r="D366" s="41" t="inlineStr">
        <is>
          <t>Phùng Công Thắng</t>
        </is>
      </c>
      <c r="E366" s="61" t="inlineStr">
        <is>
          <t>M-OIGO-01</t>
        </is>
      </c>
      <c r="F366" s="41" t="inlineStr">
        <is>
          <t>Phùng Công Thắng</t>
        </is>
      </c>
      <c r="G366" s="61" t="inlineStr">
        <is>
          <t>OP-THD-NC1</t>
        </is>
      </c>
      <c r="H366" s="41" t="inlineStr">
        <is>
          <t>Hà Song Hải - XM Hạ Long</t>
        </is>
      </c>
      <c r="I366" s="41" t="inlineStr">
        <is>
          <t>Thanh đập đá vôi (2240x510x145)</t>
        </is>
      </c>
      <c r="J366" s="40" t="inlineStr">
        <is>
          <t>PO-7189</t>
        </is>
      </c>
      <c r="K366" s="41" t="inlineStr">
        <is>
          <t>G/c phay hoàn thiện Mp Kt 445/145 mm Nc1</t>
        </is>
      </c>
      <c r="L366" s="44" t="n">
        <v>6249600</v>
      </c>
      <c r="M366" s="62" t="n">
        <v>0.25</v>
      </c>
      <c r="N366" s="44" t="n">
        <v>0</v>
      </c>
      <c r="O366" s="63" t="n">
        <v>8</v>
      </c>
      <c r="P366" s="64">
        <f>L366*M366</f>
        <v/>
      </c>
      <c r="Q366" s="41" t="inlineStr">
        <is>
          <t>Không tiêu hao</t>
        </is>
      </c>
      <c r="R366" s="44" t="n">
        <v>6</v>
      </c>
      <c r="S366" s="65" t="inlineStr">
        <is>
          <t>ĐÚNG</t>
        </is>
      </c>
      <c r="T366" s="41" t="inlineStr">
        <is>
          <t>Đã xong nguyên công</t>
        </is>
      </c>
      <c r="U366" t="inlineStr">
        <is>
          <t>ĐÃ DUYỆT</t>
        </is>
      </c>
      <c r="V366" t="inlineStr">
        <is>
          <t>ĐÃ PHÊ DUYỆT</t>
        </is>
      </c>
      <c r="W366" t="inlineStr">
        <is>
          <t>🔒 ĐÃ KHÓA</t>
        </is>
      </c>
    </row>
    <row r="367" ht="21" customHeight="1" s="75">
      <c r="A367" s="46" t="n">
        <v>364</v>
      </c>
      <c r="B367" s="66" t="n">
        <v>46272.65351457176</v>
      </c>
      <c r="C367" s="61" t="inlineStr">
        <is>
          <t>EMP-NV08</t>
        </is>
      </c>
      <c r="D367" s="47" t="inlineStr">
        <is>
          <t>Phùng Công Thắng</t>
        </is>
      </c>
      <c r="E367" s="61" t="inlineStr">
        <is>
          <t>M-OIGO-01</t>
        </is>
      </c>
      <c r="F367" s="47" t="inlineStr">
        <is>
          <t>Phùng Công Thắng</t>
        </is>
      </c>
      <c r="G367" s="61" t="inlineStr">
        <is>
          <t>OP-THD-NC2</t>
        </is>
      </c>
      <c r="H367" s="47" t="inlineStr">
        <is>
          <t>Hà Song Hải - XM Hạ Long</t>
        </is>
      </c>
      <c r="I367" s="47" t="inlineStr">
        <is>
          <t>Thanh đập đá vôi (2240x510x145)</t>
        </is>
      </c>
      <c r="J367" s="46" t="inlineStr">
        <is>
          <t>PO-1602</t>
        </is>
      </c>
      <c r="K367" s="47" t="inlineStr">
        <is>
          <t>G/c phay hoàn thiện Rãnh 62/52mm Nc2</t>
        </is>
      </c>
      <c r="L367" s="50" t="n">
        <v>3571200</v>
      </c>
      <c r="M367" s="67" t="n">
        <v>0.25</v>
      </c>
      <c r="N367" s="50" t="n">
        <v>0</v>
      </c>
      <c r="O367" s="68" t="n">
        <v>8</v>
      </c>
      <c r="P367" s="64">
        <f>L367*M367</f>
        <v/>
      </c>
      <c r="Q367" s="47" t="inlineStr">
        <is>
          <t>Không tiêu hao</t>
        </is>
      </c>
      <c r="R367" s="50" t="n">
        <v>0</v>
      </c>
      <c r="S367" s="65" t="inlineStr">
        <is>
          <t>ĐÚNG</t>
        </is>
      </c>
      <c r="T367" s="47" t="inlineStr">
        <is>
          <t>Đã xong nguyên công</t>
        </is>
      </c>
      <c r="U367" t="inlineStr">
        <is>
          <t>ĐÃ DUYỆT</t>
        </is>
      </c>
      <c r="V367" t="inlineStr">
        <is>
          <t>ĐÃ PHÊ DUYỆT</t>
        </is>
      </c>
      <c r="W367" t="inlineStr">
        <is>
          <t>🔒 ĐÃ KHÓA</t>
        </is>
      </c>
    </row>
    <row r="368" ht="21" customHeight="1" s="75">
      <c r="A368" s="40" t="n">
        <v>365</v>
      </c>
      <c r="B368" s="60" t="n">
        <v>46272.65406734954</v>
      </c>
      <c r="C368" s="61" t="inlineStr">
        <is>
          <t>EMP-NV08</t>
        </is>
      </c>
      <c r="D368" s="41" t="inlineStr">
        <is>
          <t>Phùng Công Thắng</t>
        </is>
      </c>
      <c r="E368" s="61" t="inlineStr">
        <is>
          <t>M-PCNC1-01</t>
        </is>
      </c>
      <c r="F368" s="41" t="inlineStr">
        <is>
          <t>Phùng Công Thắng</t>
        </is>
      </c>
      <c r="G368" s="61" t="inlineStr">
        <is>
          <t>OP-SEALB-NC4</t>
        </is>
      </c>
      <c r="H368" s="41" t="inlineStr">
        <is>
          <t>Thyssen</t>
        </is>
      </c>
      <c r="I368" s="41" t="inlineStr">
        <is>
          <t>Sealing strip, below</t>
        </is>
      </c>
      <c r="J368" s="40" t="inlineStr">
        <is>
          <t>PO-8615</t>
        </is>
      </c>
      <c r="K368" s="41" t="inlineStr">
        <is>
          <t>Gc phay rãnh</t>
        </is>
      </c>
      <c r="L368" s="44" t="n">
        <v>45000</v>
      </c>
      <c r="M368" s="62" t="n">
        <v>12</v>
      </c>
      <c r="N368" s="44" t="n">
        <v>0</v>
      </c>
      <c r="O368" s="63" t="n">
        <v>8</v>
      </c>
      <c r="P368" s="64">
        <f>L368*M368</f>
        <v/>
      </c>
      <c r="Q368" s="41" t="inlineStr">
        <is>
          <t>Không tiêu hao</t>
        </is>
      </c>
      <c r="R368" s="44" t="n">
        <v>0</v>
      </c>
      <c r="S368" s="40" t="inlineStr">
        <is>
          <t>SAI</t>
        </is>
      </c>
      <c r="T368" s="41" t="inlineStr">
        <is>
          <t>Đang gia công dở dang, chuyển ca sau</t>
        </is>
      </c>
      <c r="U368" t="inlineStr">
        <is>
          <t>ĐÃ DUYỆT</t>
        </is>
      </c>
      <c r="V368" t="inlineStr">
        <is>
          <t>ĐÃ PHÊ DUYỆT</t>
        </is>
      </c>
      <c r="W368" t="inlineStr">
        <is>
          <t>🔒 ĐÃ KHÓA</t>
        </is>
      </c>
    </row>
    <row r="369" ht="21" customHeight="1" s="75">
      <c r="A369" s="46" t="n">
        <v>366</v>
      </c>
      <c r="B369" s="66" t="n">
        <v>46272.65436738426</v>
      </c>
      <c r="C369" s="61" t="inlineStr">
        <is>
          <t>EMP-NV08</t>
        </is>
      </c>
      <c r="D369" s="47" t="inlineStr">
        <is>
          <t>Phùng Công Thắng</t>
        </is>
      </c>
      <c r="E369" s="61" t="inlineStr">
        <is>
          <t>M-PCNC2-01</t>
        </is>
      </c>
      <c r="F369" s="47" t="inlineStr">
        <is>
          <t>Phùng Công Thắng</t>
        </is>
      </c>
      <c r="G369" s="61" t="inlineStr">
        <is>
          <t>OP-SEALB-NC2</t>
        </is>
      </c>
      <c r="H369" s="47" t="inlineStr">
        <is>
          <t>Thyssen</t>
        </is>
      </c>
      <c r="I369" s="47" t="inlineStr">
        <is>
          <t>Sealing strip, below</t>
        </is>
      </c>
      <c r="J369" s="46" t="inlineStr">
        <is>
          <t>PO-3992</t>
        </is>
      </c>
      <c r="K369" s="47" t="inlineStr">
        <is>
          <t>G/c phay Mp NC2 Kt 95mm</t>
        </is>
      </c>
      <c r="L369" s="50" t="n">
        <v>45000</v>
      </c>
      <c r="M369" s="67" t="n">
        <v>2</v>
      </c>
      <c r="N369" s="50" t="n">
        <v>0</v>
      </c>
      <c r="O369" s="68" t="n">
        <v>4</v>
      </c>
      <c r="P369" s="64">
        <f>L369*M369</f>
        <v/>
      </c>
      <c r="Q369" s="47" t="inlineStr">
        <is>
          <t>Không tiêu hao</t>
        </is>
      </c>
      <c r="R369" s="50" t="n">
        <v>0</v>
      </c>
      <c r="S369" s="46" t="inlineStr">
        <is>
          <t>SAI</t>
        </is>
      </c>
      <c r="T369" s="47" t="inlineStr">
        <is>
          <t>Đang gia công dở dang, chuyển ca sau</t>
        </is>
      </c>
      <c r="U369" t="inlineStr">
        <is>
          <t>ĐÃ DUYỆT</t>
        </is>
      </c>
      <c r="V369" t="inlineStr">
        <is>
          <t>ĐÃ PHÊ DUYỆT</t>
        </is>
      </c>
      <c r="W369" t="inlineStr">
        <is>
          <t>🔒 ĐÃ KHÓA</t>
        </is>
      </c>
    </row>
    <row r="370" ht="21" customHeight="1" s="75">
      <c r="A370" s="40" t="n">
        <v>367</v>
      </c>
      <c r="B370" s="60" t="n">
        <v>46272.65481996528</v>
      </c>
      <c r="C370" s="61" t="inlineStr">
        <is>
          <t>EMP-NV08</t>
        </is>
      </c>
      <c r="D370" s="41" t="inlineStr">
        <is>
          <t>Phùng Công Thắng</t>
        </is>
      </c>
      <c r="E370" s="61" t="inlineStr">
        <is>
          <t>M-OIGO-01</t>
        </is>
      </c>
      <c r="F370" s="41" t="inlineStr">
        <is>
          <t>Phùng Công Thắng</t>
        </is>
      </c>
      <c r="G370" s="61" t="inlineStr">
        <is>
          <t>OP-THD-NC1</t>
        </is>
      </c>
      <c r="H370" s="41" t="inlineStr">
        <is>
          <t>Hà Song Hải - XM Hạ Long</t>
        </is>
      </c>
      <c r="I370" s="41" t="inlineStr">
        <is>
          <t>Thanh đập đá vôi (2240x510x145)</t>
        </is>
      </c>
      <c r="J370" s="40" t="inlineStr">
        <is>
          <t>PO-3429</t>
        </is>
      </c>
      <c r="K370" s="41" t="inlineStr">
        <is>
          <t>G/c phay hoàn thiện Mp Kt 445/145 mm Nc1</t>
        </is>
      </c>
      <c r="L370" s="44" t="n">
        <v>6249600</v>
      </c>
      <c r="M370" s="62" t="n">
        <v>0.25</v>
      </c>
      <c r="N370" s="44" t="n">
        <v>0</v>
      </c>
      <c r="O370" s="63" t="n">
        <v>8</v>
      </c>
      <c r="P370" s="64">
        <f>L370*M370</f>
        <v/>
      </c>
      <c r="Q370" s="41" t="inlineStr">
        <is>
          <t>Không tiêu hao</t>
        </is>
      </c>
      <c r="R370" s="44" t="n">
        <v>9</v>
      </c>
      <c r="S370" s="65" t="inlineStr">
        <is>
          <t>ĐÚNG</t>
        </is>
      </c>
      <c r="T370" s="41" t="inlineStr">
        <is>
          <t>Đã xong nguyên công</t>
        </is>
      </c>
      <c r="U370" t="inlineStr">
        <is>
          <t>ĐÃ DUYỆT</t>
        </is>
      </c>
      <c r="V370" t="inlineStr">
        <is>
          <t>ĐÃ PHÊ DUYỆT</t>
        </is>
      </c>
      <c r="W370" t="inlineStr">
        <is>
          <t>🔒 ĐÃ KHÓA</t>
        </is>
      </c>
    </row>
    <row r="371" ht="21" customHeight="1" s="75">
      <c r="A371" s="46" t="n">
        <v>368</v>
      </c>
      <c r="B371" s="66" t="n">
        <v>46272.68631755787</v>
      </c>
      <c r="C371" s="61" t="inlineStr">
        <is>
          <t>EMP-NV04</t>
        </is>
      </c>
      <c r="D371" s="47" t="inlineStr">
        <is>
          <t>Phùng Công Thắng</t>
        </is>
      </c>
      <c r="E371" s="61" t="inlineStr">
        <is>
          <t>M-FUJI-01</t>
        </is>
      </c>
      <c r="F371" s="47" t="inlineStr">
        <is>
          <t>Phùng Công Thắng</t>
        </is>
      </c>
      <c r="G371" s="61" t="inlineStr">
        <is>
          <t>OP-GEN-01</t>
        </is>
      </c>
      <c r="H371" s="47" t="inlineStr">
        <is>
          <t>Win-Win</t>
        </is>
      </c>
      <c r="I371" s="47" t="inlineStr">
        <is>
          <t>ISUZUE 216 DW 650 (Po 318)</t>
        </is>
      </c>
      <c r="J371" s="46" t="inlineStr">
        <is>
          <t>PO-7849</t>
        </is>
      </c>
      <c r="K371" s="47" t="inlineStr">
        <is>
          <t>G/c Tiện hoàn thiện</t>
        </is>
      </c>
      <c r="L371" s="50" t="n">
        <v>23482</v>
      </c>
      <c r="M371" s="67" t="n">
        <v>7</v>
      </c>
      <c r="N371" s="50" t="n">
        <v>0</v>
      </c>
      <c r="O371" s="68" t="n">
        <v>8</v>
      </c>
      <c r="P371" s="64">
        <f>L371*M371</f>
        <v/>
      </c>
      <c r="Q371" s="47" t="inlineStr">
        <is>
          <t>Chíp  R5 THREADEX- P3200</t>
        </is>
      </c>
      <c r="R371" s="50" t="n">
        <v>1</v>
      </c>
      <c r="S371" s="65" t="inlineStr">
        <is>
          <t>ĐÚNG</t>
        </is>
      </c>
      <c r="T371" s="47" t="inlineStr">
        <is>
          <t>Đã xong nguyên công</t>
        </is>
      </c>
      <c r="U371" t="inlineStr">
        <is>
          <t>ĐÃ DUYỆT</t>
        </is>
      </c>
      <c r="V371" t="inlineStr">
        <is>
          <t>ĐÃ PHÊ DUYỆT</t>
        </is>
      </c>
      <c r="W371" t="inlineStr">
        <is>
          <t>🔒 ĐÃ KHÓA</t>
        </is>
      </c>
    </row>
    <row r="372" ht="21" customHeight="1" s="75">
      <c r="A372" s="40" t="n">
        <v>369</v>
      </c>
      <c r="B372" s="60" t="n">
        <v>46272.68803525463</v>
      </c>
      <c r="C372" s="61" t="inlineStr">
        <is>
          <t>EMP-NV04</t>
        </is>
      </c>
      <c r="D372" s="41" t="inlineStr">
        <is>
          <t>Phùng Công Thắng</t>
        </is>
      </c>
      <c r="E372" s="61" t="inlineStr">
        <is>
          <t>M-FUJI-01</t>
        </is>
      </c>
      <c r="F372" s="41" t="inlineStr">
        <is>
          <t>Phùng Công Thắng</t>
        </is>
      </c>
      <c r="G372" s="61" t="inlineStr">
        <is>
          <t>OP-GEN-01</t>
        </is>
      </c>
      <c r="H372" s="41" t="inlineStr">
        <is>
          <t>Win-Win</t>
        </is>
      </c>
      <c r="I372" s="41" t="inlineStr">
        <is>
          <t>ISHIZUE OMEGA216.3-740</t>
        </is>
      </c>
      <c r="J372" s="40" t="inlineStr">
        <is>
          <t>PO-9370</t>
        </is>
      </c>
      <c r="K372" s="41" t="inlineStr">
        <is>
          <t>G/c tiện hoàn thiện</t>
        </is>
      </c>
      <c r="L372" s="44" t="n">
        <v>55800</v>
      </c>
      <c r="M372" s="62" t="n">
        <v>7</v>
      </c>
      <c r="N372" s="44" t="n">
        <v>0</v>
      </c>
      <c r="O372" s="63" t="n">
        <v>8</v>
      </c>
      <c r="P372" s="64">
        <f>L372*M372</f>
        <v/>
      </c>
      <c r="Q372" s="41" t="inlineStr">
        <is>
          <t>Chíp  R5 THREADEX- P3200</t>
        </is>
      </c>
      <c r="R372" s="44" t="n">
        <v>0</v>
      </c>
      <c r="S372" s="65" t="inlineStr">
        <is>
          <t>ĐÚNG</t>
        </is>
      </c>
      <c r="T372" s="41" t="inlineStr">
        <is>
          <t>Đã xong nguyên công</t>
        </is>
      </c>
      <c r="U372" t="inlineStr">
        <is>
          <t>ĐÃ DUYỆT</t>
        </is>
      </c>
      <c r="V372" t="inlineStr">
        <is>
          <t>ĐÃ PHÊ DUYỆT</t>
        </is>
      </c>
      <c r="W372" t="inlineStr">
        <is>
          <t>🔒 ĐÃ KHÓA</t>
        </is>
      </c>
    </row>
    <row r="373" ht="21" customHeight="1" s="75">
      <c r="A373" s="46" t="n">
        <v>370</v>
      </c>
      <c r="B373" s="66" t="n">
        <v>46272.68877616898</v>
      </c>
      <c r="C373" s="61" t="inlineStr">
        <is>
          <t>EMP-NV04</t>
        </is>
      </c>
      <c r="D373" s="47" t="inlineStr">
        <is>
          <t>Phùng Công Thắng</t>
        </is>
      </c>
      <c r="E373" s="61" t="inlineStr">
        <is>
          <t>M-FUJI-01</t>
        </is>
      </c>
      <c r="F373" s="47" t="inlineStr">
        <is>
          <t>Phùng Công Thắng</t>
        </is>
      </c>
      <c r="G373" s="61" t="inlineStr">
        <is>
          <t>OP-GEN-01</t>
        </is>
      </c>
      <c r="H373" s="47" t="inlineStr">
        <is>
          <t>Win-Win</t>
        </is>
      </c>
      <c r="I373" s="47" t="inlineStr">
        <is>
          <t>Mold of Ishizue omega 267,4-950</t>
        </is>
      </c>
      <c r="J373" s="46" t="inlineStr">
        <is>
          <t>PO-1839</t>
        </is>
      </c>
      <c r="K373" s="47" t="inlineStr">
        <is>
          <t>G/c tiện hoàn thiện góc 45 độ</t>
        </is>
      </c>
      <c r="L373" s="50" t="n">
        <v>37200</v>
      </c>
      <c r="M373" s="67" t="n">
        <v>2</v>
      </c>
      <c r="N373" s="50" t="n">
        <v>0</v>
      </c>
      <c r="O373" s="68" t="n">
        <v>4</v>
      </c>
      <c r="P373" s="64">
        <f>L373*M373</f>
        <v/>
      </c>
      <c r="Q373" s="47" t="inlineStr">
        <is>
          <t>Chíp  R5 THREADEX- P3200</t>
        </is>
      </c>
      <c r="R373" s="50" t="n">
        <v>1</v>
      </c>
      <c r="S373" s="65" t="inlineStr">
        <is>
          <t>ĐÚNG</t>
        </is>
      </c>
      <c r="T373" s="47" t="inlineStr">
        <is>
          <t>Đã xong nguyên công</t>
        </is>
      </c>
      <c r="U373" t="inlineStr">
        <is>
          <t>ĐÃ DUYỆT</t>
        </is>
      </c>
      <c r="V373" t="inlineStr">
        <is>
          <t>ĐÃ PHÊ DUYỆT</t>
        </is>
      </c>
      <c r="W373" t="inlineStr">
        <is>
          <t>🔒 ĐÃ KHÓA</t>
        </is>
      </c>
    </row>
    <row r="374" ht="21" customHeight="1" s="75">
      <c r="A374" s="40" t="n">
        <v>371</v>
      </c>
      <c r="B374" s="60" t="n">
        <v>46272.81855052083</v>
      </c>
      <c r="C374" s="61" t="inlineStr">
        <is>
          <t>EMP-NV07</t>
        </is>
      </c>
      <c r="D374" s="41" t="inlineStr">
        <is>
          <t>Phùng Công Thắng</t>
        </is>
      </c>
      <c r="E374" s="61" t="inlineStr">
        <is>
          <t>M-OKK1-01</t>
        </is>
      </c>
      <c r="F374" s="41" t="inlineStr">
        <is>
          <t>Phùng Công Thắng</t>
        </is>
      </c>
      <c r="G374" s="61" t="inlineStr">
        <is>
          <t>OP-SEALB-NC4</t>
        </is>
      </c>
      <c r="H374" s="41" t="inlineStr">
        <is>
          <t>Thyssen</t>
        </is>
      </c>
      <c r="I374" s="41" t="inlineStr">
        <is>
          <t>Sealing strip, above</t>
        </is>
      </c>
      <c r="J374" s="40" t="inlineStr">
        <is>
          <t>PO-2075</t>
        </is>
      </c>
      <c r="K374" s="41" t="inlineStr">
        <is>
          <t>G/c phay Mp NC2 Kt 412mm</t>
        </is>
      </c>
      <c r="L374" s="44" t="n">
        <v>14942</v>
      </c>
      <c r="M374" s="62" t="n">
        <v>18</v>
      </c>
      <c r="N374" s="44" t="n">
        <v>0</v>
      </c>
      <c r="O374" s="63" t="n">
        <v>8</v>
      </c>
      <c r="P374" s="64">
        <f>L374*M374</f>
        <v/>
      </c>
      <c r="Q374" s="41" t="inlineStr">
        <is>
          <t>Không tiêu hao</t>
        </is>
      </c>
      <c r="R374" s="44" t="n">
        <v>0</v>
      </c>
      <c r="S374" s="40" t="inlineStr">
        <is>
          <t>SAI</t>
        </is>
      </c>
      <c r="T374" s="41" t="inlineStr">
        <is>
          <t>Đang gia công dở dang, chuyển ca sau</t>
        </is>
      </c>
      <c r="U374" t="inlineStr">
        <is>
          <t>ĐÃ DUYỆT</t>
        </is>
      </c>
      <c r="V374" t="inlineStr">
        <is>
          <t>ĐÃ PHÊ DUYỆT</t>
        </is>
      </c>
      <c r="W374" t="inlineStr">
        <is>
          <t>🔒 ĐÃ KHÓA</t>
        </is>
      </c>
    </row>
    <row r="375" ht="21" customHeight="1" s="75">
      <c r="A375" s="46" t="n">
        <v>372</v>
      </c>
      <c r="B375" s="66" t="n">
        <v>46272.81892837963</v>
      </c>
      <c r="C375" s="61" t="inlineStr">
        <is>
          <t>EMP-NV07</t>
        </is>
      </c>
      <c r="D375" s="47" t="inlineStr">
        <is>
          <t>Phùng Công Thắng</t>
        </is>
      </c>
      <c r="E375" s="61" t="inlineStr">
        <is>
          <t>M-OKK3-01</t>
        </is>
      </c>
      <c r="F375" s="47" t="inlineStr">
        <is>
          <t>Phùng Công Thắng</t>
        </is>
      </c>
      <c r="G375" s="61" t="inlineStr">
        <is>
          <t>OP-SEALB-NC2</t>
        </is>
      </c>
      <c r="H375" s="47" t="inlineStr">
        <is>
          <t>Thyssen</t>
        </is>
      </c>
      <c r="I375" s="47" t="inlineStr">
        <is>
          <t>Sealing strip, above</t>
        </is>
      </c>
      <c r="J375" s="46" t="inlineStr">
        <is>
          <t>PO-2001</t>
        </is>
      </c>
      <c r="K375" s="47" t="inlineStr">
        <is>
          <t>G/c phay Mp NC1 Kt 95mm</t>
        </is>
      </c>
      <c r="L375" s="50" t="n">
        <v>37200</v>
      </c>
      <c r="M375" s="67" t="n">
        <v>10</v>
      </c>
      <c r="N375" s="50" t="n">
        <v>0</v>
      </c>
      <c r="O375" s="68" t="n">
        <v>8</v>
      </c>
      <c r="P375" s="64">
        <f>L375*M375</f>
        <v/>
      </c>
      <c r="Q375" s="47" t="inlineStr">
        <is>
          <t>Không tiêu hao</t>
        </is>
      </c>
      <c r="R375" s="50" t="n">
        <v>0</v>
      </c>
      <c r="S375" s="46" t="inlineStr">
        <is>
          <t>SAI</t>
        </is>
      </c>
      <c r="T375" s="47" t="inlineStr">
        <is>
          <t>Đang gia công dở dang, chuyển ca sau</t>
        </is>
      </c>
      <c r="U375" t="inlineStr">
        <is>
          <t>ĐÃ DUYỆT</t>
        </is>
      </c>
      <c r="V375" t="inlineStr">
        <is>
          <t>ĐÃ PHÊ DUYỆT</t>
        </is>
      </c>
      <c r="W375" t="inlineStr">
        <is>
          <t>🔒 ĐÃ KHÓA</t>
        </is>
      </c>
    </row>
    <row r="376" ht="21" customHeight="1" s="75">
      <c r="A376" s="40" t="n">
        <v>373</v>
      </c>
      <c r="B376" s="60" t="n">
        <v>46272.8206625</v>
      </c>
      <c r="C376" s="61" t="inlineStr">
        <is>
          <t>EMP-NV07</t>
        </is>
      </c>
      <c r="D376" s="41" t="inlineStr">
        <is>
          <t>Phùng Công Thắng</t>
        </is>
      </c>
      <c r="E376" s="61" t="inlineStr">
        <is>
          <t>M-KHYOS-01</t>
        </is>
      </c>
      <c r="F376" s="41" t="inlineStr">
        <is>
          <t>Phùng Công Thắng</t>
        </is>
      </c>
      <c r="G376" s="61" t="inlineStr">
        <is>
          <t>OP-GEN-01</t>
        </is>
      </c>
      <c r="H376" s="41" t="inlineStr">
        <is>
          <t>Vico- QLTB</t>
        </is>
      </c>
      <c r="I376" s="41" t="inlineStr">
        <is>
          <t>Mẫu Thử CR &amp; hàng #</t>
        </is>
      </c>
      <c r="J376" s="40" t="inlineStr">
        <is>
          <t>PO-8863</t>
        </is>
      </c>
      <c r="K376" s="41" t="inlineStr">
        <is>
          <t>Khoan lỗ phi 22</t>
        </is>
      </c>
      <c r="L376" s="44" t="n">
        <v>45000</v>
      </c>
      <c r="M376" s="62" t="n">
        <v>25</v>
      </c>
      <c r="N376" s="44" t="n">
        <v>0</v>
      </c>
      <c r="O376" s="63" t="n">
        <v>8</v>
      </c>
      <c r="P376" s="64">
        <f>L376*M376</f>
        <v/>
      </c>
      <c r="Q376" s="41" t="inlineStr">
        <is>
          <t>Không tiêu hao</t>
        </is>
      </c>
      <c r="R376" s="44" t="n">
        <v>0</v>
      </c>
      <c r="S376" s="40" t="inlineStr">
        <is>
          <t>SAI</t>
        </is>
      </c>
      <c r="T376" s="41" t="inlineStr">
        <is>
          <t>Đang gia công dở dang, chuyển ca sau</t>
        </is>
      </c>
      <c r="U376" t="inlineStr">
        <is>
          <t>ĐÃ DUYỆT</t>
        </is>
      </c>
      <c r="V376" t="inlineStr">
        <is>
          <t>ĐÃ PHÊ DUYỆT</t>
        </is>
      </c>
      <c r="W376" t="inlineStr">
        <is>
          <t>🔒 ĐÃ KHÓA</t>
        </is>
      </c>
    </row>
    <row r="377" ht="21" customHeight="1" s="75">
      <c r="A377" s="46" t="n">
        <v>374</v>
      </c>
      <c r="B377" s="66" t="n">
        <v>46272.82707672453</v>
      </c>
      <c r="C377" s="61" t="inlineStr">
        <is>
          <t>EMP-NV01</t>
        </is>
      </c>
      <c r="D377" s="47" t="inlineStr">
        <is>
          <t>Phùng Công Thắng</t>
        </is>
      </c>
      <c r="E377" s="61" t="inlineStr">
        <is>
          <t>M-FUJI-01</t>
        </is>
      </c>
      <c r="F377" s="47" t="inlineStr">
        <is>
          <t>Phùng Công Thắng</t>
        </is>
      </c>
      <c r="G377" s="61" t="inlineStr">
        <is>
          <t>OP-ISH355-NC3</t>
        </is>
      </c>
      <c r="H377" s="47" t="inlineStr">
        <is>
          <t>Win-Win</t>
        </is>
      </c>
      <c r="I377" s="47" t="inlineStr">
        <is>
          <t>ISHIZUE 355Dw900</t>
        </is>
      </c>
      <c r="J377" s="46" t="inlineStr">
        <is>
          <t>PO-6080</t>
        </is>
      </c>
      <c r="K377" s="47" t="inlineStr">
        <is>
          <t>G/c hoàn thiện</t>
        </is>
      </c>
      <c r="L377" s="50" t="n">
        <v>55800</v>
      </c>
      <c r="M377" s="67" t="n">
        <v>2</v>
      </c>
      <c r="N377" s="50" t="n">
        <v>0</v>
      </c>
      <c r="O377" s="68" t="n">
        <v>4</v>
      </c>
      <c r="P377" s="64">
        <f>L377*M377</f>
        <v/>
      </c>
      <c r="Q377" s="47" t="inlineStr">
        <is>
          <t>Không tiêu hao</t>
        </is>
      </c>
      <c r="R377" s="50" t="n">
        <v>0</v>
      </c>
      <c r="S377" s="65" t="inlineStr">
        <is>
          <t>ĐÚNG</t>
        </is>
      </c>
      <c r="T377" s="47" t="inlineStr">
        <is>
          <t>Đã xong nguyên công</t>
        </is>
      </c>
      <c r="U377" t="inlineStr">
        <is>
          <t>ĐÃ DUYỆT</t>
        </is>
      </c>
      <c r="V377" t="inlineStr">
        <is>
          <t>ĐÃ PHÊ DUYỆT</t>
        </is>
      </c>
      <c r="W377" t="inlineStr">
        <is>
          <t>🔒 ĐÃ KHÓA</t>
        </is>
      </c>
    </row>
    <row r="378" ht="21" customHeight="1" s="75">
      <c r="A378" s="40" t="n">
        <v>375</v>
      </c>
      <c r="B378" s="60" t="n">
        <v>46272.82788185185</v>
      </c>
      <c r="C378" s="61" t="inlineStr">
        <is>
          <t>EMP-NV01</t>
        </is>
      </c>
      <c r="D378" s="41" t="inlineStr">
        <is>
          <t>Phùng Công Thắng</t>
        </is>
      </c>
      <c r="E378" s="61" t="inlineStr">
        <is>
          <t>M-FUJI-01</t>
        </is>
      </c>
      <c r="F378" s="41" t="inlineStr">
        <is>
          <t>Phùng Công Thắng</t>
        </is>
      </c>
      <c r="G378" s="61" t="inlineStr">
        <is>
          <t>OP-GEN-01</t>
        </is>
      </c>
      <c r="H378" s="41" t="inlineStr">
        <is>
          <t>Win-Win</t>
        </is>
      </c>
      <c r="I378" s="41" t="inlineStr">
        <is>
          <t>Mold of Ishizue omega 216,3-740</t>
        </is>
      </c>
      <c r="J378" s="40" t="inlineStr">
        <is>
          <t>PO-7492</t>
        </is>
      </c>
      <c r="K378" s="41" t="inlineStr">
        <is>
          <t>G/c tiện hoàn thiện góc 45 độ</t>
        </is>
      </c>
      <c r="L378" s="44" t="n">
        <v>37200</v>
      </c>
      <c r="M378" s="62" t="n">
        <v>2</v>
      </c>
      <c r="N378" s="44" t="n">
        <v>0</v>
      </c>
      <c r="O378" s="63" t="n">
        <v>4</v>
      </c>
      <c r="P378" s="64">
        <f>L378*M378</f>
        <v/>
      </c>
      <c r="Q378" s="41" t="inlineStr">
        <is>
          <t>Không tiêu hao</t>
        </is>
      </c>
      <c r="R378" s="44" t="n">
        <v>0</v>
      </c>
      <c r="S378" s="65" t="inlineStr">
        <is>
          <t>ĐÚNG</t>
        </is>
      </c>
      <c r="T378" s="41" t="inlineStr">
        <is>
          <t>Đã xong nguyên công</t>
        </is>
      </c>
      <c r="U378" t="inlineStr">
        <is>
          <t>ĐÃ DUYỆT</t>
        </is>
      </c>
      <c r="V378" t="inlineStr">
        <is>
          <t>ĐÃ PHÊ DUYỆT</t>
        </is>
      </c>
      <c r="W378" t="inlineStr">
        <is>
          <t>🔒 ĐÃ KHÓA</t>
        </is>
      </c>
    </row>
    <row r="379" ht="21" customHeight="1" s="75">
      <c r="A379" s="46" t="n">
        <v>376</v>
      </c>
      <c r="B379" s="66" t="n">
        <v>46272.8283622801</v>
      </c>
      <c r="C379" s="61" t="inlineStr">
        <is>
          <t>EMP-NV01</t>
        </is>
      </c>
      <c r="D379" s="47" t="inlineStr">
        <is>
          <t>Phùng Công Thắng</t>
        </is>
      </c>
      <c r="E379" s="61" t="inlineStr">
        <is>
          <t>M-OKUMA-01</t>
        </is>
      </c>
      <c r="F379" s="47" t="inlineStr">
        <is>
          <t>Phùng Công Thắng</t>
        </is>
      </c>
      <c r="G379" s="61" t="inlineStr">
        <is>
          <t>OP-GEN-01</t>
        </is>
      </c>
      <c r="H379" s="47" t="inlineStr">
        <is>
          <t>Vico- QLTB</t>
        </is>
      </c>
      <c r="I379" s="47" t="inlineStr">
        <is>
          <t>Mẫu kéo nén</t>
        </is>
      </c>
      <c r="J379" s="46" t="inlineStr">
        <is>
          <t>PO-4969</t>
        </is>
      </c>
      <c r="K379" s="47" t="inlineStr">
        <is>
          <t>G/c ht theo bản vẽ</t>
        </is>
      </c>
      <c r="L379" s="50" t="n">
        <v>55800</v>
      </c>
      <c r="M379" s="67" t="n">
        <v>2</v>
      </c>
      <c r="N379" s="50" t="n">
        <v>0</v>
      </c>
      <c r="O379" s="68" t="n">
        <v>4</v>
      </c>
      <c r="P379" s="64">
        <f>L379*M379</f>
        <v/>
      </c>
      <c r="Q379" s="47" t="inlineStr">
        <is>
          <t>Không tiêu hao</t>
        </is>
      </c>
      <c r="R379" s="50" t="n">
        <v>0</v>
      </c>
      <c r="S379" s="65" t="inlineStr">
        <is>
          <t>ĐÚNG</t>
        </is>
      </c>
      <c r="T379" s="47" t="inlineStr">
        <is>
          <t>Đã xong nguyên công</t>
        </is>
      </c>
      <c r="U379" t="inlineStr">
        <is>
          <t>ĐÃ DUYỆT</t>
        </is>
      </c>
      <c r="V379" t="inlineStr">
        <is>
          <t>ĐÃ PHÊ DUYỆT</t>
        </is>
      </c>
      <c r="W379" t="inlineStr">
        <is>
          <t>🔒 ĐÃ KHÓA</t>
        </is>
      </c>
    </row>
    <row r="380" ht="21" customHeight="1" s="75">
      <c r="A380" s="40" t="n">
        <v>377</v>
      </c>
      <c r="B380" s="60" t="n">
        <v>46272.82876594907</v>
      </c>
      <c r="C380" s="61" t="inlineStr">
        <is>
          <t>EMP-NV01</t>
        </is>
      </c>
      <c r="D380" s="41" t="inlineStr">
        <is>
          <t>Phùng Công Thắng</t>
        </is>
      </c>
      <c r="E380" s="61" t="inlineStr">
        <is>
          <t>M-DK7745-01</t>
        </is>
      </c>
      <c r="F380" s="41" t="inlineStr">
        <is>
          <t>Phùng Công Thắng</t>
        </is>
      </c>
      <c r="G380" s="61" t="inlineStr">
        <is>
          <t>OP-GEN-01</t>
        </is>
      </c>
      <c r="H380" s="41" t="inlineStr">
        <is>
          <t>Vico- QLTB</t>
        </is>
      </c>
      <c r="I380" s="41" t="inlineStr">
        <is>
          <t>Mẫu Thử CR &amp; hàng #</t>
        </is>
      </c>
      <c r="J380" s="40" t="inlineStr">
        <is>
          <t>PO-7957</t>
        </is>
      </c>
      <c r="K380" s="41" t="inlineStr">
        <is>
          <t>G/c hoàn thiện</t>
        </is>
      </c>
      <c r="L380" s="44" t="n">
        <v>83700</v>
      </c>
      <c r="M380" s="62" t="n">
        <v>6</v>
      </c>
      <c r="N380" s="44" t="n">
        <v>0</v>
      </c>
      <c r="O380" s="63" t="n">
        <v>8</v>
      </c>
      <c r="P380" s="64">
        <f>L380*M380</f>
        <v/>
      </c>
      <c r="Q380" s="41" t="inlineStr">
        <is>
          <t>Không tiêu hao</t>
        </is>
      </c>
      <c r="R380" s="44" t="n">
        <v>0</v>
      </c>
      <c r="S380" s="65" t="inlineStr">
        <is>
          <t>ĐÚNG</t>
        </is>
      </c>
      <c r="T380" s="41" t="inlineStr">
        <is>
          <t>Đã xong nguyên công</t>
        </is>
      </c>
      <c r="U380" t="inlineStr">
        <is>
          <t>ĐÃ DUYỆT</t>
        </is>
      </c>
      <c r="V380" t="inlineStr">
        <is>
          <t>ĐÃ PHÊ DUYỆT</t>
        </is>
      </c>
      <c r="W380" t="inlineStr">
        <is>
          <t>🔒 ĐÃ KHÓA</t>
        </is>
      </c>
    </row>
    <row r="381" ht="21" customHeight="1" s="75">
      <c r="A381" s="46" t="n">
        <v>378</v>
      </c>
      <c r="B381" s="66" t="n">
        <v>46272.83684053241</v>
      </c>
      <c r="C381" s="61" t="inlineStr">
        <is>
          <t>EMP-NV01</t>
        </is>
      </c>
      <c r="D381" s="47" t="inlineStr">
        <is>
          <t>Phùng Công Thắng</t>
        </is>
      </c>
      <c r="E381" s="61" t="inlineStr">
        <is>
          <t>M-OKUMA-01</t>
        </is>
      </c>
      <c r="F381" s="47" t="inlineStr">
        <is>
          <t>Phùng Công Thắng</t>
        </is>
      </c>
      <c r="G381" s="61" t="inlineStr">
        <is>
          <t>OP-GEN-01</t>
        </is>
      </c>
      <c r="H381" s="47" t="inlineStr">
        <is>
          <t>Win-Win</t>
        </is>
      </c>
      <c r="I381" s="47" t="inlineStr">
        <is>
          <t>ALKTOP 1335 M</t>
        </is>
      </c>
      <c r="J381" s="46" t="inlineStr">
        <is>
          <t>PO-1071</t>
        </is>
      </c>
      <c r="K381" s="47" t="inlineStr">
        <is>
          <t>G/c hoàn thiện</t>
        </is>
      </c>
      <c r="L381" s="50" t="n">
        <v>7440</v>
      </c>
      <c r="M381" s="67" t="n">
        <v>3</v>
      </c>
      <c r="N381" s="50" t="n">
        <v>0</v>
      </c>
      <c r="O381" s="68" t="n">
        <v>4</v>
      </c>
      <c r="P381" s="64">
        <f>L381*M381</f>
        <v/>
      </c>
      <c r="Q381" s="47" t="inlineStr">
        <is>
          <t>Không tiêu hao</t>
        </is>
      </c>
      <c r="R381" s="50" t="n">
        <v>0</v>
      </c>
      <c r="S381" s="65" t="inlineStr">
        <is>
          <t>ĐÚNG</t>
        </is>
      </c>
      <c r="T381" s="47" t="inlineStr">
        <is>
          <t>Đã xong nguyên công</t>
        </is>
      </c>
      <c r="U381" t="inlineStr">
        <is>
          <t>ĐÃ DUYỆT</t>
        </is>
      </c>
      <c r="V381" t="inlineStr">
        <is>
          <t>ĐÃ PHÊ DUYỆT</t>
        </is>
      </c>
      <c r="W381" t="inlineStr">
        <is>
          <t>🔒 ĐÃ KHÓA</t>
        </is>
      </c>
    </row>
    <row r="382" ht="21" customHeight="1" s="75">
      <c r="A382" s="40" t="n">
        <v>379</v>
      </c>
      <c r="B382" s="60" t="n">
        <v>46273.3182428125</v>
      </c>
      <c r="C382" s="61" t="inlineStr">
        <is>
          <t>EMP-NV12</t>
        </is>
      </c>
      <c r="D382" s="41" t="inlineStr">
        <is>
          <t>Phùng Công Thắng</t>
        </is>
      </c>
      <c r="E382" s="61" t="inlineStr">
        <is>
          <t>M-TCNC1-01</t>
        </is>
      </c>
      <c r="F382" s="41" t="inlineStr">
        <is>
          <t>Phùng Công Thắng</t>
        </is>
      </c>
      <c r="G382" s="61" t="inlineStr">
        <is>
          <t>OP-GEN-01</t>
        </is>
      </c>
      <c r="H382" s="41" t="inlineStr">
        <is>
          <t>Vico- QLTB</t>
        </is>
      </c>
      <c r="I382" s="41" t="inlineStr">
        <is>
          <t>Mẫu Thử CR &amp; hàng #</t>
        </is>
      </c>
      <c r="J382" s="40" t="inlineStr">
        <is>
          <t>PO-9535</t>
        </is>
      </c>
      <c r="K382" s="41" t="inlineStr">
        <is>
          <t>G/c hoàn thiện</t>
        </is>
      </c>
      <c r="L382" s="44" t="n">
        <v>83700</v>
      </c>
      <c r="M382" s="62" t="n">
        <v>4</v>
      </c>
      <c r="N382" s="44" t="n">
        <v>0</v>
      </c>
      <c r="O382" s="63" t="n">
        <v>4</v>
      </c>
      <c r="P382" s="64">
        <f>L382*M382</f>
        <v/>
      </c>
      <c r="Q382" s="41" t="inlineStr">
        <is>
          <t>Dây cắt CNC</t>
        </is>
      </c>
      <c r="R382" s="44" t="n">
        <v>0</v>
      </c>
      <c r="S382" s="65" t="inlineStr">
        <is>
          <t>ĐÚNG</t>
        </is>
      </c>
      <c r="T382" s="41" t="inlineStr">
        <is>
          <t>Đã xong nguyên công</t>
        </is>
      </c>
      <c r="U382" t="inlineStr">
        <is>
          <t>ĐÃ DUYỆT</t>
        </is>
      </c>
      <c r="V382" t="inlineStr">
        <is>
          <t>ĐÃ PHÊ DUYỆT</t>
        </is>
      </c>
      <c r="W382" t="inlineStr">
        <is>
          <t>🔒 ĐÃ KHÓA</t>
        </is>
      </c>
    </row>
    <row r="383" ht="21" customHeight="1" s="75">
      <c r="A383" s="46" t="n">
        <v>380</v>
      </c>
      <c r="B383" s="66" t="n">
        <v>46273.32087024306</v>
      </c>
      <c r="C383" s="61" t="inlineStr">
        <is>
          <t>EMP-NV12</t>
        </is>
      </c>
      <c r="D383" s="47" t="inlineStr">
        <is>
          <t>Phùng Công Thắng</t>
        </is>
      </c>
      <c r="E383" s="61" t="inlineStr">
        <is>
          <t>M-KHYOS-01</t>
        </is>
      </c>
      <c r="F383" s="47" t="inlineStr">
        <is>
          <t>Phùng Công Thắng</t>
        </is>
      </c>
      <c r="G383" s="61" t="inlineStr">
        <is>
          <t>OP-ROTO-NC2</t>
        </is>
      </c>
      <c r="H383" s="47" t="inlineStr">
        <is>
          <t>Hải- Vinh Quảng Ninh</t>
        </is>
      </c>
      <c r="I383" s="47" t="inlineStr">
        <is>
          <t>Bộ rulo máy nghiền sơ cấp: Thân rồ to (φ820x890)</t>
        </is>
      </c>
      <c r="J383" s="46" t="inlineStr">
        <is>
          <t>PO-8134</t>
        </is>
      </c>
      <c r="K383" s="47" t="inlineStr">
        <is>
          <t>G/c Nc9 khoan 12 Lỗ M16 x 2.0 mm</t>
        </is>
      </c>
      <c r="L383" s="50" t="n">
        <v>45000</v>
      </c>
      <c r="M383" s="67" t="n">
        <v>15</v>
      </c>
      <c r="N383" s="50" t="n">
        <v>0</v>
      </c>
      <c r="O383" s="68" t="n">
        <v>8</v>
      </c>
      <c r="P383" s="64">
        <f>L383*M383</f>
        <v/>
      </c>
      <c r="Q383" s="47" t="inlineStr">
        <is>
          <t>Mũi khoan</t>
        </is>
      </c>
      <c r="R383" s="50" t="n">
        <v>0</v>
      </c>
      <c r="S383" s="65" t="inlineStr">
        <is>
          <t>ĐÚNG</t>
        </is>
      </c>
      <c r="T383" s="47" t="inlineStr">
        <is>
          <t>Đã xong nguyên công</t>
        </is>
      </c>
      <c r="U383" t="inlineStr">
        <is>
          <t>ĐÃ DUYỆT</t>
        </is>
      </c>
      <c r="V383" t="inlineStr">
        <is>
          <t>ĐÃ PHÊ DUYỆT</t>
        </is>
      </c>
      <c r="W383" t="inlineStr">
        <is>
          <t>🔒 ĐÃ KHÓA</t>
        </is>
      </c>
    </row>
    <row r="384" ht="21" customHeight="1" s="75">
      <c r="A384" s="40" t="n">
        <v>381</v>
      </c>
      <c r="B384" s="60" t="n">
        <v>46273.32141077546</v>
      </c>
      <c r="C384" s="61" t="inlineStr">
        <is>
          <t>EMP-NV12</t>
        </is>
      </c>
      <c r="D384" s="41" t="inlineStr">
        <is>
          <t>Phùng Công Thắng</t>
        </is>
      </c>
      <c r="E384" s="61" t="inlineStr">
        <is>
          <t>M-KHYOS-01</t>
        </is>
      </c>
      <c r="F384" s="41" t="inlineStr">
        <is>
          <t>Phùng Công Thắng</t>
        </is>
      </c>
      <c r="G384" s="61" t="inlineStr">
        <is>
          <t>OP-ROTO-NC2</t>
        </is>
      </c>
      <c r="H384" s="41" t="inlineStr">
        <is>
          <t>Hải- Vinh Quảng Ninh</t>
        </is>
      </c>
      <c r="I384" s="41" t="inlineStr">
        <is>
          <t>Bộ rulo máy nghiền sơ cấp: Thân rồ to (φ820x890)</t>
        </is>
      </c>
      <c r="J384" s="40" t="inlineStr">
        <is>
          <t>PO-1279</t>
        </is>
      </c>
      <c r="K384" s="41" t="inlineStr">
        <is>
          <t>G/c Nc8 khoan 40 Lỗ x Ø22 mm</t>
        </is>
      </c>
      <c r="L384" s="44" t="n">
        <v>45000</v>
      </c>
      <c r="M384" s="62" t="n">
        <v>15</v>
      </c>
      <c r="N384" s="44" t="n">
        <v>0</v>
      </c>
      <c r="O384" s="63" t="n">
        <v>8</v>
      </c>
      <c r="P384" s="64">
        <f>L384*M384</f>
        <v/>
      </c>
      <c r="Q384" s="41" t="inlineStr">
        <is>
          <t>Mũi khoan</t>
        </is>
      </c>
      <c r="R384" s="44" t="n">
        <v>0</v>
      </c>
      <c r="S384" s="40" t="inlineStr">
        <is>
          <t>SAI</t>
        </is>
      </c>
      <c r="T384" s="41" t="inlineStr">
        <is>
          <t>Đang gia công dở dang, chuyển ca sau</t>
        </is>
      </c>
      <c r="U384" t="inlineStr">
        <is>
          <t>ĐÃ DUYỆT</t>
        </is>
      </c>
      <c r="V384" t="inlineStr">
        <is>
          <t>ĐÃ PHÊ DUYỆT</t>
        </is>
      </c>
      <c r="W384" t="inlineStr">
        <is>
          <t>🔒 ĐÃ KHÓA</t>
        </is>
      </c>
    </row>
    <row r="385" ht="21" customHeight="1" s="75">
      <c r="A385" s="46" t="n">
        <v>382</v>
      </c>
      <c r="B385" s="66" t="n">
        <v>46273.32353935186</v>
      </c>
      <c r="C385" s="61" t="inlineStr">
        <is>
          <t>EMP-NV03</t>
        </is>
      </c>
      <c r="D385" s="47" t="inlineStr">
        <is>
          <t>Phùng Công Thắng</t>
        </is>
      </c>
      <c r="E385" s="61" t="inlineStr">
        <is>
          <t>M-OIGO-01</t>
        </is>
      </c>
      <c r="F385" s="47" t="inlineStr">
        <is>
          <t>Phùng Công Thắng</t>
        </is>
      </c>
      <c r="G385" s="61" t="inlineStr">
        <is>
          <t>OP-THD-NC2</t>
        </is>
      </c>
      <c r="H385" s="47" t="inlineStr">
        <is>
          <t>Hà Song Hải - XM Hạ Long</t>
        </is>
      </c>
      <c r="I385" s="47" t="inlineStr">
        <is>
          <t>Thanh đập đá vôi (2240x510x145)</t>
        </is>
      </c>
      <c r="J385" s="46" t="inlineStr">
        <is>
          <t>PO-6829</t>
        </is>
      </c>
      <c r="K385" s="47" t="inlineStr">
        <is>
          <t>G/c phay hoàn thiện Rãnh 62/52mm Nc2</t>
        </is>
      </c>
      <c r="L385" s="50" t="n">
        <v>892800</v>
      </c>
      <c r="M385" s="67" t="n">
        <v>1</v>
      </c>
      <c r="N385" s="50" t="n">
        <v>0</v>
      </c>
      <c r="O385" s="68" t="n">
        <v>8</v>
      </c>
      <c r="P385" s="64">
        <f>L385*M385</f>
        <v/>
      </c>
      <c r="Q385" s="47" t="inlineStr">
        <is>
          <t>Dao phay D50 ( hợp kim )</t>
        </is>
      </c>
      <c r="R385" s="50" t="n">
        <v>1</v>
      </c>
      <c r="S385" s="65" t="inlineStr">
        <is>
          <t>ĐÚNG</t>
        </is>
      </c>
      <c r="T385" s="47" t="inlineStr">
        <is>
          <t>Đã xong nguyên công</t>
        </is>
      </c>
      <c r="U385" t="inlineStr">
        <is>
          <t>ĐÃ DUYỆT</t>
        </is>
      </c>
      <c r="V385" t="inlineStr">
        <is>
          <t>ĐÃ PHÊ DUYỆT</t>
        </is>
      </c>
      <c r="W385" t="inlineStr">
        <is>
          <t>🔒 ĐÃ KHÓA</t>
        </is>
      </c>
    </row>
    <row r="386" ht="21" customHeight="1" s="75">
      <c r="A386" s="40" t="n">
        <v>383</v>
      </c>
      <c r="B386" s="60" t="n">
        <v>46273.32776465278</v>
      </c>
      <c r="C386" s="61" t="inlineStr">
        <is>
          <t>EMP-NV10</t>
        </is>
      </c>
      <c r="D386" s="41" t="inlineStr">
        <is>
          <t>Phùng Công Thắng</t>
        </is>
      </c>
      <c r="E386" s="61" t="inlineStr">
        <is>
          <t>M-OKK1-01</t>
        </is>
      </c>
      <c r="F386" s="41" t="inlineStr">
        <is>
          <t>Phùng Công Thắng</t>
        </is>
      </c>
      <c r="G386" s="61" t="inlineStr">
        <is>
          <t>OP-SEALB-NC4</t>
        </is>
      </c>
      <c r="H386" s="41" t="inlineStr">
        <is>
          <t>Thyssen</t>
        </is>
      </c>
      <c r="I386" s="41" t="inlineStr">
        <is>
          <t>Sealing strip, above</t>
        </is>
      </c>
      <c r="J386" s="40" t="inlineStr">
        <is>
          <t>PO-6629</t>
        </is>
      </c>
      <c r="K386" s="41" t="inlineStr">
        <is>
          <t>G/c phay Mp NC2 Kt 412mm</t>
        </is>
      </c>
      <c r="L386" s="44" t="n">
        <v>14942</v>
      </c>
      <c r="M386" s="62" t="n">
        <v>10</v>
      </c>
      <c r="N386" s="44" t="n">
        <v>0</v>
      </c>
      <c r="O386" s="63" t="n">
        <v>8</v>
      </c>
      <c r="P386" s="64">
        <f>L386*M386</f>
        <v/>
      </c>
      <c r="Q386" s="41" t="inlineStr">
        <is>
          <t>Chíp APMT 1604 PDER - Grade 8230S-PRAMET</t>
        </is>
      </c>
      <c r="R386" s="44" t="n">
        <v>10</v>
      </c>
      <c r="S386" s="40" t="inlineStr">
        <is>
          <t>SAI</t>
        </is>
      </c>
      <c r="T386" s="41" t="inlineStr">
        <is>
          <t>Đang gia công dở dang, chuyển ca sau</t>
        </is>
      </c>
      <c r="U386" t="inlineStr">
        <is>
          <t>ĐÃ DUYỆT</t>
        </is>
      </c>
      <c r="V386" t="inlineStr">
        <is>
          <t>ĐÃ PHÊ DUYỆT</t>
        </is>
      </c>
      <c r="W386" t="inlineStr">
        <is>
          <t>🔒 ĐÃ KHÓA</t>
        </is>
      </c>
    </row>
    <row r="387" ht="21" customHeight="1" s="75">
      <c r="A387" s="46" t="n">
        <v>384</v>
      </c>
      <c r="B387" s="66" t="n">
        <v>46273.3279159375</v>
      </c>
      <c r="C387" s="61" t="inlineStr">
        <is>
          <t>EMP-NV03</t>
        </is>
      </c>
      <c r="D387" s="47" t="inlineStr">
        <is>
          <t>Phùng Công Thắng</t>
        </is>
      </c>
      <c r="E387" s="61" t="inlineStr">
        <is>
          <t>M-T1516-01</t>
        </is>
      </c>
      <c r="F387" s="47" t="inlineStr">
        <is>
          <t>Phùng Công Thắng</t>
        </is>
      </c>
      <c r="G387" s="61" t="inlineStr">
        <is>
          <t>OP-GEN-01</t>
        </is>
      </c>
      <c r="H387" s="47" t="inlineStr">
        <is>
          <t>TFG</t>
        </is>
      </c>
      <c r="I387" s="47" t="inlineStr">
        <is>
          <t>Taytona Drawing No 2CG00820</t>
        </is>
      </c>
      <c r="J387" s="46" t="inlineStr">
        <is>
          <t>PO-1243</t>
        </is>
      </c>
      <c r="K387" s="47" t="inlineStr">
        <is>
          <t>G/c Tiện NC1</t>
        </is>
      </c>
      <c r="L387" s="50" t="n">
        <v>45000</v>
      </c>
      <c r="M387" s="67" t="n">
        <v>1</v>
      </c>
      <c r="N387" s="50" t="n">
        <v>0</v>
      </c>
      <c r="O387" s="68" t="n">
        <v>4</v>
      </c>
      <c r="P387" s="64">
        <f>L387*M387</f>
        <v/>
      </c>
      <c r="Q387" s="47" t="inlineStr">
        <is>
          <t>Chíp  TNMG160408 WINSTAR RP- CX2555 ( 3 cạnh thẳng)</t>
        </is>
      </c>
      <c r="R387" s="50" t="n">
        <v>1</v>
      </c>
      <c r="S387" s="46" t="inlineStr">
        <is>
          <t>SAI</t>
        </is>
      </c>
      <c r="T387" s="47" t="inlineStr">
        <is>
          <t>Đang gia công dở dang, chuyển ca sau</t>
        </is>
      </c>
      <c r="U387" t="inlineStr">
        <is>
          <t>ĐÃ DUYỆT</t>
        </is>
      </c>
      <c r="V387" t="inlineStr">
        <is>
          <t>ĐÃ PHÊ DUYỆT</t>
        </is>
      </c>
      <c r="W387" t="inlineStr">
        <is>
          <t>🔒 ĐÃ KHÓA</t>
        </is>
      </c>
    </row>
    <row r="388" ht="21" customHeight="1" s="75">
      <c r="A388" s="40" t="n">
        <v>385</v>
      </c>
      <c r="B388" s="60" t="n">
        <v>46273.32846136574</v>
      </c>
      <c r="C388" s="61" t="inlineStr">
        <is>
          <t>EMP-NV10</t>
        </is>
      </c>
      <c r="D388" s="41" t="inlineStr">
        <is>
          <t>Phùng Công Thắng</t>
        </is>
      </c>
      <c r="E388" s="61" t="inlineStr">
        <is>
          <t>M-OKK2-01</t>
        </is>
      </c>
      <c r="F388" s="41" t="inlineStr">
        <is>
          <t>Phùng Công Thắng</t>
        </is>
      </c>
      <c r="G388" s="61" t="inlineStr">
        <is>
          <t>OP-GEN-01</t>
        </is>
      </c>
      <c r="H388" s="41" t="inlineStr">
        <is>
          <t>Vico- QLTB</t>
        </is>
      </c>
      <c r="I388" s="41" t="inlineStr">
        <is>
          <t>Mẫu Thử CR &amp; hàng #</t>
        </is>
      </c>
      <c r="J388" s="40" t="inlineStr">
        <is>
          <t>PO-8193</t>
        </is>
      </c>
      <c r="K388" s="41" t="inlineStr">
        <is>
          <t>Gcmp</t>
        </is>
      </c>
      <c r="L388" s="44" t="n">
        <v>45000</v>
      </c>
      <c r="M388" s="62" t="n">
        <v>3</v>
      </c>
      <c r="N388" s="44" t="n">
        <v>0</v>
      </c>
      <c r="O388" s="63" t="n">
        <v>4</v>
      </c>
      <c r="P388" s="64">
        <f>L388*M388</f>
        <v/>
      </c>
      <c r="Q388" s="41" t="inlineStr">
        <is>
          <t>Chíp  Pramet (6 cạnh)</t>
        </is>
      </c>
      <c r="R388" s="44" t="n">
        <v>21</v>
      </c>
      <c r="S388" s="40" t="inlineStr">
        <is>
          <t>SAI</t>
        </is>
      </c>
      <c r="T388" s="41" t="inlineStr">
        <is>
          <t>Đang gia công dở dang, chuyển ca sau</t>
        </is>
      </c>
      <c r="U388" t="inlineStr">
        <is>
          <t>ĐÃ DUYỆT</t>
        </is>
      </c>
      <c r="V388" t="inlineStr">
        <is>
          <t>ĐÃ PHÊ DUYỆT</t>
        </is>
      </c>
      <c r="W388" t="inlineStr">
        <is>
          <t>🔒 ĐÃ KHÓA</t>
        </is>
      </c>
    </row>
    <row r="389" ht="21" customHeight="1" s="75">
      <c r="A389" s="46" t="n">
        <v>386</v>
      </c>
      <c r="B389" s="66" t="n">
        <v>46273.32891875</v>
      </c>
      <c r="C389" s="61" t="inlineStr">
        <is>
          <t>EMP-NV10</t>
        </is>
      </c>
      <c r="D389" s="47" t="inlineStr">
        <is>
          <t>Phùng Công Thắng</t>
        </is>
      </c>
      <c r="E389" s="61" t="inlineStr">
        <is>
          <t>M-OKK3-01</t>
        </is>
      </c>
      <c r="F389" s="47" t="inlineStr">
        <is>
          <t>Phùng Công Thắng</t>
        </is>
      </c>
      <c r="G389" s="61" t="inlineStr">
        <is>
          <t>OP-SEALB-NC1</t>
        </is>
      </c>
      <c r="H389" s="47" t="inlineStr">
        <is>
          <t>Thyssen</t>
        </is>
      </c>
      <c r="I389" s="47" t="inlineStr">
        <is>
          <t>Sealing trip, below</t>
        </is>
      </c>
      <c r="J389" s="46" t="inlineStr">
        <is>
          <t>PO-6935</t>
        </is>
      </c>
      <c r="K389" s="47" t="inlineStr">
        <is>
          <t>G/c phay Mp NC1 Kt 47mm</t>
        </is>
      </c>
      <c r="L389" s="50" t="n">
        <v>37200</v>
      </c>
      <c r="M389" s="67" t="n">
        <v>5</v>
      </c>
      <c r="N389" s="50" t="n">
        <v>0</v>
      </c>
      <c r="O389" s="68" t="n">
        <v>8</v>
      </c>
      <c r="P389" s="64">
        <f>L389*M389</f>
        <v/>
      </c>
      <c r="Q389" s="47" t="inlineStr">
        <is>
          <t>Chíp  Pramet (6 cạnh)</t>
        </is>
      </c>
      <c r="R389" s="50" t="n">
        <v>3</v>
      </c>
      <c r="S389" s="46" t="inlineStr">
        <is>
          <t>SAI</t>
        </is>
      </c>
      <c r="T389" s="47" t="inlineStr">
        <is>
          <t>Đang gia công dở dang, chuyển ca sau</t>
        </is>
      </c>
      <c r="U389" t="inlineStr">
        <is>
          <t>ĐÃ DUYỆT</t>
        </is>
      </c>
      <c r="V389" t="inlineStr">
        <is>
          <t>ĐÃ PHÊ DUYỆT</t>
        </is>
      </c>
      <c r="W389" t="inlineStr">
        <is>
          <t>🔒 ĐÃ KHÓA</t>
        </is>
      </c>
    </row>
    <row r="390" ht="21" customHeight="1" s="75">
      <c r="A390" s="40" t="n">
        <v>387</v>
      </c>
      <c r="B390" s="60" t="n">
        <v>46273.32936166666</v>
      </c>
      <c r="C390" s="61" t="inlineStr">
        <is>
          <t>EMP-NV10</t>
        </is>
      </c>
      <c r="D390" s="41" t="inlineStr">
        <is>
          <t>Phùng Công Thắng</t>
        </is>
      </c>
      <c r="E390" s="61" t="inlineStr">
        <is>
          <t>M-OKK3-01</t>
        </is>
      </c>
      <c r="F390" s="41" t="inlineStr">
        <is>
          <t>Phùng Công Thắng</t>
        </is>
      </c>
      <c r="G390" s="61" t="inlineStr">
        <is>
          <t>OP-SEALB-NC2</t>
        </is>
      </c>
      <c r="H390" s="41" t="inlineStr">
        <is>
          <t>Thyssen</t>
        </is>
      </c>
      <c r="I390" s="41" t="inlineStr">
        <is>
          <t>Sealing trip, below</t>
        </is>
      </c>
      <c r="J390" s="40" t="inlineStr">
        <is>
          <t>PO-4172</t>
        </is>
      </c>
      <c r="K390" s="41" t="inlineStr">
        <is>
          <t>G/c phay Mp NC2 Kt 95mm</t>
        </is>
      </c>
      <c r="L390" s="44" t="n">
        <v>37200</v>
      </c>
      <c r="M390" s="62" t="n">
        <v>3</v>
      </c>
      <c r="N390" s="44" t="n">
        <v>0</v>
      </c>
      <c r="O390" s="63" t="n">
        <v>4</v>
      </c>
      <c r="P390" s="64">
        <f>L390*M390</f>
        <v/>
      </c>
      <c r="Q390" s="41" t="inlineStr">
        <is>
          <t>Chíp  Pramet (6 cạnh)</t>
        </is>
      </c>
      <c r="R390" s="44" t="n">
        <v>0</v>
      </c>
      <c r="S390" s="40" t="inlineStr">
        <is>
          <t>SAI</t>
        </is>
      </c>
      <c r="T390" s="41" t="inlineStr">
        <is>
          <t>Đang gia công dở dang, chuyển ca sau</t>
        </is>
      </c>
      <c r="U390" t="inlineStr">
        <is>
          <t>ĐÃ DUYỆT</t>
        </is>
      </c>
      <c r="V390" t="inlineStr">
        <is>
          <t>ĐÃ PHÊ DUYỆT</t>
        </is>
      </c>
      <c r="W390" t="inlineStr">
        <is>
          <t>🔒 ĐÃ KHÓA</t>
        </is>
      </c>
    </row>
    <row r="391" ht="21" customHeight="1" s="75">
      <c r="A391" s="46" t="n">
        <v>388</v>
      </c>
      <c r="B391" s="66" t="n">
        <v>46273.32970232639</v>
      </c>
      <c r="C391" s="61" t="inlineStr">
        <is>
          <t>EMP-NV10</t>
        </is>
      </c>
      <c r="D391" s="47" t="inlineStr">
        <is>
          <t>Phùng Công Thắng</t>
        </is>
      </c>
      <c r="E391" s="61" t="inlineStr">
        <is>
          <t>M-OKK3-01</t>
        </is>
      </c>
      <c r="F391" s="47" t="inlineStr">
        <is>
          <t>Phùng Công Thắng</t>
        </is>
      </c>
      <c r="G391" s="61" t="inlineStr">
        <is>
          <t>OP-SEALB-NC2</t>
        </is>
      </c>
      <c r="H391" s="47" t="inlineStr">
        <is>
          <t>Thyssen</t>
        </is>
      </c>
      <c r="I391" s="47" t="inlineStr">
        <is>
          <t>Sealing strip, above</t>
        </is>
      </c>
      <c r="J391" s="46" t="inlineStr">
        <is>
          <t>PO-5692</t>
        </is>
      </c>
      <c r="K391" s="47" t="inlineStr">
        <is>
          <t>G/c phay Mp NC1 Kt 95mm</t>
        </is>
      </c>
      <c r="L391" s="50" t="n">
        <v>37200</v>
      </c>
      <c r="M391" s="67" t="n">
        <v>4</v>
      </c>
      <c r="N391" s="50" t="n">
        <v>0</v>
      </c>
      <c r="O391" s="68" t="n">
        <v>4</v>
      </c>
      <c r="P391" s="64">
        <f>L391*M391</f>
        <v/>
      </c>
      <c r="Q391" s="47" t="inlineStr">
        <is>
          <t>Chíp  Pramet (6 cạnh)</t>
        </is>
      </c>
      <c r="R391" s="50" t="n">
        <v>3</v>
      </c>
      <c r="S391" s="46" t="inlineStr">
        <is>
          <t>SAI</t>
        </is>
      </c>
      <c r="T391" s="47" t="inlineStr">
        <is>
          <t>Đang gia công dở dang, chuyển ca sau</t>
        </is>
      </c>
      <c r="U391" t="inlineStr">
        <is>
          <t>ĐÃ DUYỆT</t>
        </is>
      </c>
      <c r="V391" t="inlineStr">
        <is>
          <t>ĐÃ PHÊ DUYỆT</t>
        </is>
      </c>
      <c r="W391" t="inlineStr">
        <is>
          <t>🔒 ĐÃ KHÓA</t>
        </is>
      </c>
    </row>
    <row r="392" ht="21" customHeight="1" s="75">
      <c r="A392" s="40" t="n">
        <v>389</v>
      </c>
      <c r="B392" s="60" t="n">
        <v>46273.33090980324</v>
      </c>
      <c r="C392" s="61" t="inlineStr">
        <is>
          <t>EMP-NV02</t>
        </is>
      </c>
      <c r="D392" s="41" t="inlineStr">
        <is>
          <t>Phùng Công Thắng</t>
        </is>
      </c>
      <c r="E392" s="61" t="inlineStr">
        <is>
          <t>M-FUJI-01</t>
        </is>
      </c>
      <c r="F392" s="41" t="inlineStr">
        <is>
          <t>Phùng Công Thắng</t>
        </is>
      </c>
      <c r="G392" s="61" t="inlineStr">
        <is>
          <t>OP-GEN-01</t>
        </is>
      </c>
      <c r="H392" s="41" t="inlineStr">
        <is>
          <t>Win-Win</t>
        </is>
      </c>
      <c r="I392" s="41" t="inlineStr">
        <is>
          <t>Mold of Ishizue omega 267,4-950</t>
        </is>
      </c>
      <c r="J392" s="40" t="inlineStr">
        <is>
          <t>PO-3117</t>
        </is>
      </c>
      <c r="K392" s="41" t="inlineStr">
        <is>
          <t>G/c tiện hoàn thiện góc 45 độ</t>
        </is>
      </c>
      <c r="L392" s="44" t="n">
        <v>37200</v>
      </c>
      <c r="M392" s="62" t="n">
        <v>7</v>
      </c>
      <c r="N392" s="44" t="n">
        <v>0</v>
      </c>
      <c r="O392" s="63" t="n">
        <v>8</v>
      </c>
      <c r="P392" s="64">
        <f>L392*M392</f>
        <v/>
      </c>
      <c r="Q392" s="41" t="inlineStr">
        <is>
          <t>Chíp  R5 THREADEX- P3200</t>
        </is>
      </c>
      <c r="R392" s="44" t="n">
        <v>0</v>
      </c>
      <c r="S392" s="65" t="inlineStr">
        <is>
          <t>ĐÚNG</t>
        </is>
      </c>
      <c r="T392" s="41" t="inlineStr">
        <is>
          <t>Đã xong nguyên công</t>
        </is>
      </c>
      <c r="U392" t="inlineStr">
        <is>
          <t>ĐÃ DUYỆT</t>
        </is>
      </c>
      <c r="V392" t="inlineStr">
        <is>
          <t>ĐÃ PHÊ DUYỆT</t>
        </is>
      </c>
      <c r="W392" t="inlineStr">
        <is>
          <t>🔒 ĐÃ KHÓA</t>
        </is>
      </c>
    </row>
    <row r="393" ht="21" customHeight="1" s="75">
      <c r="A393" s="46" t="n">
        <v>390</v>
      </c>
      <c r="B393" s="66" t="n">
        <v>46273.33216993055</v>
      </c>
      <c r="C393" s="61" t="inlineStr">
        <is>
          <t>EMP-NV02</t>
        </is>
      </c>
      <c r="D393" s="47" t="inlineStr">
        <is>
          <t>Phùng Công Thắng</t>
        </is>
      </c>
      <c r="E393" s="61" t="inlineStr">
        <is>
          <t>M-DK7780-01</t>
        </is>
      </c>
      <c r="F393" s="47" t="inlineStr">
        <is>
          <t>Phùng Công Thắng</t>
        </is>
      </c>
      <c r="G393" s="61" t="inlineStr">
        <is>
          <t>OP-GEN-01</t>
        </is>
      </c>
      <c r="H393" s="47" t="inlineStr">
        <is>
          <t>Vico- QLTB</t>
        </is>
      </c>
      <c r="I393" s="47" t="inlineStr">
        <is>
          <t>Mẫu Thử CR &amp; hàng #</t>
        </is>
      </c>
      <c r="J393" s="46" t="inlineStr">
        <is>
          <t>PO-4934</t>
        </is>
      </c>
      <c r="K393" s="47" t="inlineStr">
        <is>
          <t>G/c hoàn thiện</t>
        </is>
      </c>
      <c r="L393" s="50" t="n">
        <v>83700</v>
      </c>
      <c r="M393" s="67" t="n">
        <v>2</v>
      </c>
      <c r="N393" s="50" t="n">
        <v>0</v>
      </c>
      <c r="O393" s="68" t="n">
        <v>4</v>
      </c>
      <c r="P393" s="64">
        <f>L393*M393</f>
        <v/>
      </c>
      <c r="Q393" s="47" t="inlineStr">
        <is>
          <t>Dây cắt CNC</t>
        </is>
      </c>
      <c r="R393" s="50" t="n">
        <v>0</v>
      </c>
      <c r="S393" s="65" t="inlineStr">
        <is>
          <t>ĐÚNG</t>
        </is>
      </c>
      <c r="T393" s="47" t="inlineStr">
        <is>
          <t>Đã xong nguyên công</t>
        </is>
      </c>
      <c r="U393" t="inlineStr">
        <is>
          <t>ĐÃ DUYỆT</t>
        </is>
      </c>
      <c r="V393" t="inlineStr">
        <is>
          <t>ĐÃ PHÊ DUYỆT</t>
        </is>
      </c>
      <c r="W393" t="inlineStr">
        <is>
          <t>🔒 ĐÃ KHÓA</t>
        </is>
      </c>
    </row>
    <row r="394" ht="21" customHeight="1" s="75">
      <c r="A394" s="40" t="n">
        <v>391</v>
      </c>
      <c r="B394" s="60" t="n">
        <v>46273.65698148148</v>
      </c>
      <c r="C394" s="61" t="inlineStr">
        <is>
          <t>EMP-NV01</t>
        </is>
      </c>
      <c r="D394" s="41" t="inlineStr">
        <is>
          <t>Phùng Công Thắng</t>
        </is>
      </c>
      <c r="E394" s="61" t="inlineStr">
        <is>
          <t>M-OKUMA-01</t>
        </is>
      </c>
      <c r="F394" s="41" t="inlineStr">
        <is>
          <t>Phùng Công Thắng</t>
        </is>
      </c>
      <c r="G394" s="61" t="inlineStr">
        <is>
          <t>OP-GEN-01</t>
        </is>
      </c>
      <c r="H394" s="41" t="inlineStr">
        <is>
          <t>Win-Win</t>
        </is>
      </c>
      <c r="I394" s="41" t="inlineStr">
        <is>
          <t>ALKTOP 1645 H</t>
        </is>
      </c>
      <c r="J394" s="40" t="inlineStr">
        <is>
          <t>PO-2919</t>
        </is>
      </c>
      <c r="K394" s="41" t="inlineStr">
        <is>
          <t>G/c hoàn thiện</t>
        </is>
      </c>
      <c r="L394" s="44" t="n">
        <v>11160</v>
      </c>
      <c r="M394" s="62" t="n">
        <v>9</v>
      </c>
      <c r="N394" s="44" t="n">
        <v>0</v>
      </c>
      <c r="O394" s="63" t="n">
        <v>8</v>
      </c>
      <c r="P394" s="64">
        <f>L394*M394</f>
        <v/>
      </c>
      <c r="Q394" s="41" t="inlineStr">
        <is>
          <t>Không tiêu hao</t>
        </is>
      </c>
      <c r="R394" s="44" t="n">
        <v>0</v>
      </c>
      <c r="S394" s="65" t="inlineStr">
        <is>
          <t>ĐÚNG</t>
        </is>
      </c>
      <c r="T394" s="41" t="inlineStr">
        <is>
          <t>Đã xong nguyên công</t>
        </is>
      </c>
      <c r="U394" t="inlineStr">
        <is>
          <t>ĐÃ DUYỆT</t>
        </is>
      </c>
      <c r="V394" t="inlineStr">
        <is>
          <t>ĐÃ PHÊ DUYỆT</t>
        </is>
      </c>
      <c r="W394" t="inlineStr">
        <is>
          <t>🔒 ĐÃ KHÓA</t>
        </is>
      </c>
    </row>
    <row r="395" ht="21" customHeight="1" s="75">
      <c r="A395" s="46" t="n">
        <v>392</v>
      </c>
      <c r="B395" s="66" t="n">
        <v>46273.65766318287</v>
      </c>
      <c r="C395" s="61" t="inlineStr">
        <is>
          <t>EMP-NV01</t>
        </is>
      </c>
      <c r="D395" s="47" t="inlineStr">
        <is>
          <t>Phùng Công Thắng</t>
        </is>
      </c>
      <c r="E395" s="61" t="inlineStr">
        <is>
          <t>M-FUJI-01</t>
        </is>
      </c>
      <c r="F395" s="47" t="inlineStr">
        <is>
          <t>Phùng Công Thắng</t>
        </is>
      </c>
      <c r="G395" s="61" t="inlineStr">
        <is>
          <t>OP-GEN-01</t>
        </is>
      </c>
      <c r="H395" s="47" t="inlineStr">
        <is>
          <t>Win-Win</t>
        </is>
      </c>
      <c r="I395" s="47" t="inlineStr">
        <is>
          <t>Mold of Ishizue omega 216,3-740</t>
        </is>
      </c>
      <c r="J395" s="46" t="inlineStr">
        <is>
          <t>PO-2509</t>
        </is>
      </c>
      <c r="K395" s="47" t="inlineStr">
        <is>
          <t>G/c tiện hoàn thiện góc 45 độ</t>
        </is>
      </c>
      <c r="L395" s="50" t="n">
        <v>37200</v>
      </c>
      <c r="M395" s="67" t="n">
        <v>7</v>
      </c>
      <c r="N395" s="50" t="n">
        <v>0</v>
      </c>
      <c r="O395" s="68" t="n">
        <v>8</v>
      </c>
      <c r="P395" s="64">
        <f>L395*M395</f>
        <v/>
      </c>
      <c r="Q395" s="47" t="inlineStr">
        <is>
          <t>Không tiêu hao</t>
        </is>
      </c>
      <c r="R395" s="50" t="n">
        <v>0</v>
      </c>
      <c r="S395" s="65" t="inlineStr">
        <is>
          <t>ĐÚNG</t>
        </is>
      </c>
      <c r="T395" s="47" t="inlineStr">
        <is>
          <t>Đã xong nguyên công</t>
        </is>
      </c>
      <c r="U395" t="inlineStr">
        <is>
          <t>ĐÃ DUYỆT</t>
        </is>
      </c>
      <c r="V395" t="inlineStr">
        <is>
          <t>ĐÃ PHÊ DUYỆT</t>
        </is>
      </c>
      <c r="W395" t="inlineStr">
        <is>
          <t>🔒 ĐÃ KHÓA</t>
        </is>
      </c>
    </row>
    <row r="396" ht="21" customHeight="1" s="75">
      <c r="A396" s="40" t="n">
        <v>393</v>
      </c>
      <c r="B396" s="60" t="n">
        <v>46273.65880138889</v>
      </c>
      <c r="C396" s="61" t="inlineStr">
        <is>
          <t>EMP-NV01</t>
        </is>
      </c>
      <c r="D396" s="41" t="inlineStr">
        <is>
          <t>Phùng Công Thắng</t>
        </is>
      </c>
      <c r="E396" s="61" t="inlineStr">
        <is>
          <t>M-DK7745-01</t>
        </is>
      </c>
      <c r="F396" s="41" t="inlineStr">
        <is>
          <t>Phùng Công Thắng</t>
        </is>
      </c>
      <c r="G396" s="61" t="inlineStr">
        <is>
          <t>OP-OPDAO-NC1</t>
        </is>
      </c>
      <c r="H396" s="41" t="inlineStr">
        <is>
          <t>Luợng- KS Tường Long</t>
        </is>
      </c>
      <c r="I396" s="41" t="inlineStr">
        <is>
          <t>Ốp dao nhào trên (Bộ bên trái)</t>
        </is>
      </c>
      <c r="J396" s="40" t="inlineStr">
        <is>
          <t>PO-2285</t>
        </is>
      </c>
      <c r="K396" s="41" t="inlineStr">
        <is>
          <t>G/c cắt dây</t>
        </is>
      </c>
      <c r="L396" s="44" t="n">
        <v>148800</v>
      </c>
      <c r="M396" s="62" t="n">
        <v>1</v>
      </c>
      <c r="N396" s="44" t="n">
        <v>0</v>
      </c>
      <c r="O396" s="63" t="n">
        <v>4</v>
      </c>
      <c r="P396" s="64">
        <f>L396*M396</f>
        <v/>
      </c>
      <c r="Q396" s="41" t="inlineStr">
        <is>
          <t>Dây cắt CNC</t>
        </is>
      </c>
      <c r="R396" s="44" t="n">
        <v>0</v>
      </c>
      <c r="S396" s="65" t="inlineStr">
        <is>
          <t>ĐÚNG</t>
        </is>
      </c>
      <c r="T396" s="41" t="inlineStr">
        <is>
          <t>Đã xong nguyên công</t>
        </is>
      </c>
      <c r="U396" t="inlineStr">
        <is>
          <t>ĐÃ DUYỆT</t>
        </is>
      </c>
      <c r="V396" t="inlineStr">
        <is>
          <t>ĐÃ PHÊ DUYỆT</t>
        </is>
      </c>
      <c r="W396" t="inlineStr">
        <is>
          <t>🔒 ĐÃ KHÓA</t>
        </is>
      </c>
    </row>
    <row r="397" ht="21" customHeight="1" s="75">
      <c r="A397" s="46" t="n">
        <v>394</v>
      </c>
      <c r="B397" s="66" t="n">
        <v>46273.69151011574</v>
      </c>
      <c r="C397" s="61" t="inlineStr">
        <is>
          <t>EMP-NV07</t>
        </is>
      </c>
      <c r="D397" s="47" t="inlineStr">
        <is>
          <t>Phùng Công Thắng</t>
        </is>
      </c>
      <c r="E397" s="61" t="inlineStr">
        <is>
          <t>M-OKK1-01</t>
        </is>
      </c>
      <c r="F397" s="47" t="inlineStr">
        <is>
          <t>Phùng Công Thắng</t>
        </is>
      </c>
      <c r="G397" s="61" t="inlineStr">
        <is>
          <t>OP-SEALB-NC4</t>
        </is>
      </c>
      <c r="H397" s="47" t="inlineStr">
        <is>
          <t>Thyssen</t>
        </is>
      </c>
      <c r="I397" s="47" t="inlineStr">
        <is>
          <t>Sealing strip, above</t>
        </is>
      </c>
      <c r="J397" s="46" t="inlineStr">
        <is>
          <t>PO-7027</t>
        </is>
      </c>
      <c r="K397" s="47" t="inlineStr">
        <is>
          <t>G/c phay Mp NC2 Kt 412mm</t>
        </is>
      </c>
      <c r="L397" s="50" t="n">
        <v>14942</v>
      </c>
      <c r="M397" s="67" t="n">
        <v>18</v>
      </c>
      <c r="N397" s="50" t="n">
        <v>0</v>
      </c>
      <c r="O397" s="68" t="n">
        <v>8</v>
      </c>
      <c r="P397" s="64">
        <f>L397*M397</f>
        <v/>
      </c>
      <c r="Q397" s="47" t="inlineStr">
        <is>
          <t>Không tiêu hao</t>
        </is>
      </c>
      <c r="R397" s="50" t="n">
        <v>0</v>
      </c>
      <c r="S397" s="46" t="inlineStr">
        <is>
          <t>SAI</t>
        </is>
      </c>
      <c r="T397" s="47" t="inlineStr">
        <is>
          <t>Đang gia công dở dang, chuyển ca sau</t>
        </is>
      </c>
      <c r="U397" t="inlineStr">
        <is>
          <t>ĐÃ DUYỆT</t>
        </is>
      </c>
      <c r="V397" t="inlineStr">
        <is>
          <t>ĐÃ PHÊ DUYỆT</t>
        </is>
      </c>
      <c r="W397" t="inlineStr">
        <is>
          <t>🔒 ĐÃ KHÓA</t>
        </is>
      </c>
    </row>
    <row r="398" ht="21" customHeight="1" s="75">
      <c r="A398" s="40" t="n">
        <v>395</v>
      </c>
      <c r="B398" s="60" t="n">
        <v>46273.69187074074</v>
      </c>
      <c r="C398" s="61" t="inlineStr">
        <is>
          <t>EMP-NV07</t>
        </is>
      </c>
      <c r="D398" s="41" t="inlineStr">
        <is>
          <t>Phùng Công Thắng</t>
        </is>
      </c>
      <c r="E398" s="61" t="inlineStr">
        <is>
          <t>M-OKK3-01</t>
        </is>
      </c>
      <c r="F398" s="41" t="inlineStr">
        <is>
          <t>Phùng Công Thắng</t>
        </is>
      </c>
      <c r="G398" s="61" t="inlineStr">
        <is>
          <t>OP-SEALB-NC2</t>
        </is>
      </c>
      <c r="H398" s="41" t="inlineStr">
        <is>
          <t>Thyssen</t>
        </is>
      </c>
      <c r="I398" s="41" t="inlineStr">
        <is>
          <t>Sealing strip, above</t>
        </is>
      </c>
      <c r="J398" s="40" t="inlineStr">
        <is>
          <t>PO-8350</t>
        </is>
      </c>
      <c r="K398" s="41" t="inlineStr">
        <is>
          <t>G/c phay Mp NC1 Kt 95mm</t>
        </is>
      </c>
      <c r="L398" s="44" t="n">
        <v>37200</v>
      </c>
      <c r="M398" s="62" t="n">
        <v>7</v>
      </c>
      <c r="N398" s="44" t="n">
        <v>0</v>
      </c>
      <c r="O398" s="63" t="n">
        <v>8</v>
      </c>
      <c r="P398" s="64">
        <f>L398*M398</f>
        <v/>
      </c>
      <c r="Q398" s="41" t="inlineStr">
        <is>
          <t>Không tiêu hao</t>
        </is>
      </c>
      <c r="R398" s="44" t="n">
        <v>0</v>
      </c>
      <c r="S398" s="40" t="inlineStr">
        <is>
          <t>SAI</t>
        </is>
      </c>
      <c r="T398" s="41" t="inlineStr">
        <is>
          <t>Đang gia công dở dang, chuyển ca sau</t>
        </is>
      </c>
      <c r="U398" t="inlineStr">
        <is>
          <t>ĐÃ DUYỆT</t>
        </is>
      </c>
      <c r="V398" t="inlineStr">
        <is>
          <t>ĐÃ PHÊ DUYỆT</t>
        </is>
      </c>
      <c r="W398" t="inlineStr">
        <is>
          <t>🔒 ĐÃ KHÓA</t>
        </is>
      </c>
    </row>
    <row r="399" ht="21" customHeight="1" s="75">
      <c r="A399" s="46" t="n">
        <v>396</v>
      </c>
      <c r="B399" s="66" t="n">
        <v>46273.69224123842</v>
      </c>
      <c r="C399" s="61" t="inlineStr">
        <is>
          <t>EMP-NV07</t>
        </is>
      </c>
      <c r="D399" s="47" t="inlineStr">
        <is>
          <t>Phùng Công Thắng</t>
        </is>
      </c>
      <c r="E399" s="61" t="inlineStr">
        <is>
          <t>M-TCNC1-01</t>
        </is>
      </c>
      <c r="F399" s="47" t="inlineStr">
        <is>
          <t>Phùng Công Thắng</t>
        </is>
      </c>
      <c r="G399" s="61" t="inlineStr">
        <is>
          <t>OP-SEALB-NC2</t>
        </is>
      </c>
      <c r="H399" s="47" t="inlineStr">
        <is>
          <t>Thyssen</t>
        </is>
      </c>
      <c r="I399" s="47" t="inlineStr">
        <is>
          <t>Sealing trip, below</t>
        </is>
      </c>
      <c r="J399" s="46" t="inlineStr">
        <is>
          <t>PO-8679</t>
        </is>
      </c>
      <c r="K399" s="47" t="inlineStr">
        <is>
          <t>G/c phay Mp NC2 Kt 95mm</t>
        </is>
      </c>
      <c r="L399" s="50" t="n">
        <v>37200</v>
      </c>
      <c r="M399" s="67" t="n">
        <v>1</v>
      </c>
      <c r="N399" s="50" t="n">
        <v>0</v>
      </c>
      <c r="O399" s="68" t="n">
        <v>4</v>
      </c>
      <c r="P399" s="64">
        <f>L399*M399</f>
        <v/>
      </c>
      <c r="Q399" s="47" t="inlineStr">
        <is>
          <t>Không tiêu hao</t>
        </is>
      </c>
      <c r="R399" s="50" t="n">
        <v>0</v>
      </c>
      <c r="S399" s="46" t="inlineStr">
        <is>
          <t>SAI</t>
        </is>
      </c>
      <c r="T399" s="47" t="inlineStr">
        <is>
          <t>Đang gia công dở dang, chuyển ca sau</t>
        </is>
      </c>
      <c r="U399" t="inlineStr">
        <is>
          <t>ĐÃ DUYỆT</t>
        </is>
      </c>
      <c r="V399" t="inlineStr">
        <is>
          <t>ĐÃ PHÊ DUYỆT</t>
        </is>
      </c>
      <c r="W399" t="inlineStr">
        <is>
          <t>🔒 ĐÃ KHÓA</t>
        </is>
      </c>
    </row>
    <row r="400" ht="21" customHeight="1" s="75">
      <c r="A400" s="40" t="n">
        <v>397</v>
      </c>
      <c r="B400" s="60" t="n">
        <v>46273.69269163194</v>
      </c>
      <c r="C400" s="61" t="inlineStr">
        <is>
          <t>EMP-NV07</t>
        </is>
      </c>
      <c r="D400" s="41" t="inlineStr">
        <is>
          <t>Phùng Công Thắng</t>
        </is>
      </c>
      <c r="E400" s="61" t="inlineStr">
        <is>
          <t>M-OKK3-01</t>
        </is>
      </c>
      <c r="F400" s="41" t="inlineStr">
        <is>
          <t>Phùng Công Thắng</t>
        </is>
      </c>
      <c r="G400" s="61" t="inlineStr">
        <is>
          <t>OP-SEALB-NC4</t>
        </is>
      </c>
      <c r="H400" s="41" t="inlineStr">
        <is>
          <t>Thyssen</t>
        </is>
      </c>
      <c r="I400" s="41" t="inlineStr">
        <is>
          <t>Sealing trip, below</t>
        </is>
      </c>
      <c r="J400" s="40" t="inlineStr">
        <is>
          <t>PO-7391</t>
        </is>
      </c>
      <c r="K400" s="41" t="inlineStr">
        <is>
          <t>G/c phay cạnh NC3 kt 12mm</t>
        </is>
      </c>
      <c r="L400" s="44" t="n">
        <v>19918</v>
      </c>
      <c r="M400" s="62" t="n">
        <v>4</v>
      </c>
      <c r="N400" s="44" t="n">
        <v>0</v>
      </c>
      <c r="O400" s="63" t="n">
        <v>4</v>
      </c>
      <c r="P400" s="64">
        <f>L400*M400</f>
        <v/>
      </c>
      <c r="Q400" s="41" t="inlineStr">
        <is>
          <t>Không tiêu hao</t>
        </is>
      </c>
      <c r="R400" s="44" t="n">
        <v>0</v>
      </c>
      <c r="S400" s="40" t="inlineStr">
        <is>
          <t>SAI</t>
        </is>
      </c>
      <c r="T400" s="41" t="inlineStr">
        <is>
          <t>Đang gia công dở dang, chuyển ca sau</t>
        </is>
      </c>
      <c r="U400" t="inlineStr">
        <is>
          <t>ĐÃ DUYỆT</t>
        </is>
      </c>
      <c r="V400" t="inlineStr">
        <is>
          <t>ĐÃ PHÊ DUYỆT</t>
        </is>
      </c>
      <c r="W400" t="inlineStr">
        <is>
          <t>🔒 ĐÃ KHÓA</t>
        </is>
      </c>
    </row>
    <row r="401" ht="21" customHeight="1" s="75">
      <c r="A401" s="46" t="n">
        <v>398</v>
      </c>
      <c r="B401" s="66" t="n">
        <v>46273.90967045139</v>
      </c>
      <c r="C401" s="61" t="inlineStr">
        <is>
          <t>EMP-NV04</t>
        </is>
      </c>
      <c r="D401" s="47" t="inlineStr">
        <is>
          <t>Phùng Công Thắng</t>
        </is>
      </c>
      <c r="E401" s="61" t="inlineStr">
        <is>
          <t>M-FUJI-01</t>
        </is>
      </c>
      <c r="F401" s="47" t="inlineStr">
        <is>
          <t>Phùng Công Thắng</t>
        </is>
      </c>
      <c r="G401" s="61" t="inlineStr">
        <is>
          <t>OP-GEN-01</t>
        </is>
      </c>
      <c r="H401" s="47" t="inlineStr">
        <is>
          <t>Win-Win</t>
        </is>
      </c>
      <c r="I401" s="47" t="inlineStr">
        <is>
          <t>ISHIZUE OMEGA267.4-950</t>
        </is>
      </c>
      <c r="J401" s="46" t="inlineStr">
        <is>
          <t>PO-1017</t>
        </is>
      </c>
      <c r="K401" s="47" t="inlineStr">
        <is>
          <t>G/c tiện hoàn thiện</t>
        </is>
      </c>
      <c r="L401" s="50" t="n">
        <v>55800</v>
      </c>
      <c r="M401" s="67" t="n">
        <v>7</v>
      </c>
      <c r="N401" s="50" t="n">
        <v>0</v>
      </c>
      <c r="O401" s="68" t="n">
        <v>8</v>
      </c>
      <c r="P401" s="64">
        <f>L401*M401</f>
        <v/>
      </c>
      <c r="Q401" s="47" t="inlineStr">
        <is>
          <t>Chíp  R5 THREADEX- P3200</t>
        </is>
      </c>
      <c r="R401" s="50" t="n">
        <v>1</v>
      </c>
      <c r="S401" s="65" t="inlineStr">
        <is>
          <t>ĐÚNG</t>
        </is>
      </c>
      <c r="T401" s="47" t="inlineStr">
        <is>
          <t>Đã xong nguyên công</t>
        </is>
      </c>
      <c r="U401" t="inlineStr">
        <is>
          <t>ĐÃ DUYỆT</t>
        </is>
      </c>
      <c r="V401" t="inlineStr">
        <is>
          <t>ĐÃ PHÊ DUYỆT</t>
        </is>
      </c>
      <c r="W401" t="inlineStr">
        <is>
          <t>🔒 ĐÃ KHÓA</t>
        </is>
      </c>
    </row>
    <row r="402" ht="21" customHeight="1" s="75">
      <c r="A402" s="40" t="n">
        <v>399</v>
      </c>
      <c r="B402" s="60" t="n">
        <v>46273.91052491898</v>
      </c>
      <c r="C402" s="61" t="inlineStr">
        <is>
          <t>EMP-NV04</t>
        </is>
      </c>
      <c r="D402" s="41" t="inlineStr">
        <is>
          <t>Phùng Công Thắng</t>
        </is>
      </c>
      <c r="E402" s="61" t="inlineStr">
        <is>
          <t>M-DK7780-01</t>
        </is>
      </c>
      <c r="F402" s="41" t="inlineStr">
        <is>
          <t>Phùng Công Thắng</t>
        </is>
      </c>
      <c r="G402" s="61" t="inlineStr">
        <is>
          <t>OP-GEN-01</t>
        </is>
      </c>
      <c r="H402" s="41" t="inlineStr">
        <is>
          <t>Vico- QLTB</t>
        </is>
      </c>
      <c r="I402" s="41" t="inlineStr">
        <is>
          <t>Mẫu Thử CR &amp; hàng #</t>
        </is>
      </c>
      <c r="J402" s="40" t="inlineStr">
        <is>
          <t>PO-7075</t>
        </is>
      </c>
      <c r="K402" s="41" t="inlineStr">
        <is>
          <t>G/c hoàn thiện</t>
        </is>
      </c>
      <c r="L402" s="44" t="n">
        <v>83700</v>
      </c>
      <c r="M402" s="62" t="n">
        <v>5</v>
      </c>
      <c r="N402" s="44" t="n">
        <v>0</v>
      </c>
      <c r="O402" s="63" t="n">
        <v>8</v>
      </c>
      <c r="P402" s="64">
        <f>L402*M402</f>
        <v/>
      </c>
      <c r="Q402" s="41" t="inlineStr">
        <is>
          <t>Dây cắt CNC</t>
        </is>
      </c>
      <c r="R402" s="44" t="n">
        <v>0</v>
      </c>
      <c r="S402" s="65" t="inlineStr">
        <is>
          <t>ĐÚNG</t>
        </is>
      </c>
      <c r="T402" s="41" t="inlineStr">
        <is>
          <t>Đã xong nguyên công</t>
        </is>
      </c>
      <c r="U402" t="inlineStr">
        <is>
          <t>ĐÃ DUYỆT</t>
        </is>
      </c>
      <c r="V402" t="inlineStr">
        <is>
          <t>ĐÃ PHÊ DUYỆT</t>
        </is>
      </c>
      <c r="W402" t="inlineStr">
        <is>
          <t>🔒 ĐÃ KHÓA</t>
        </is>
      </c>
    </row>
    <row r="403" ht="21" customHeight="1" s="75">
      <c r="A403" s="46" t="n">
        <v>400</v>
      </c>
      <c r="B403" s="66" t="n">
        <v>46274.05154366898</v>
      </c>
      <c r="C403" s="61" t="inlineStr">
        <is>
          <t>EMP-NV01</t>
        </is>
      </c>
      <c r="D403" s="47" t="inlineStr">
        <is>
          <t>Phùng Công Thắng</t>
        </is>
      </c>
      <c r="E403" s="61" t="inlineStr">
        <is>
          <t>M-PCNC1-01</t>
        </is>
      </c>
      <c r="F403" s="47" t="inlineStr">
        <is>
          <t>Phùng Công Thắng</t>
        </is>
      </c>
      <c r="G403" s="61" t="inlineStr">
        <is>
          <t>OP-SEALB-NC4</t>
        </is>
      </c>
      <c r="H403" s="47" t="inlineStr">
        <is>
          <t>Thyssen</t>
        </is>
      </c>
      <c r="I403" s="47" t="inlineStr">
        <is>
          <t>Sealing strip, below</t>
        </is>
      </c>
      <c r="J403" s="46" t="inlineStr">
        <is>
          <t>PO-1592</t>
        </is>
      </c>
      <c r="K403" s="47" t="inlineStr">
        <is>
          <t>Phay rãnh</t>
        </is>
      </c>
      <c r="L403" s="50" t="n">
        <v>45000</v>
      </c>
      <c r="M403" s="67" t="n">
        <v>16</v>
      </c>
      <c r="N403" s="50" t="n">
        <v>0</v>
      </c>
      <c r="O403" s="68" t="n">
        <v>8</v>
      </c>
      <c r="P403" s="64">
        <f>L403*M403</f>
        <v/>
      </c>
      <c r="Q403" s="47" t="inlineStr">
        <is>
          <t>Chíp APMT1135 THÉP</t>
        </is>
      </c>
      <c r="R403" s="50" t="n">
        <v>0</v>
      </c>
      <c r="S403" s="46" t="inlineStr">
        <is>
          <t>SAI</t>
        </is>
      </c>
      <c r="T403" s="47" t="inlineStr">
        <is>
          <t>Đang gia công dở dang, chuyển ca sau</t>
        </is>
      </c>
      <c r="U403" t="inlineStr">
        <is>
          <t>ĐÃ DUYỆT</t>
        </is>
      </c>
      <c r="V403" t="inlineStr">
        <is>
          <t>ĐÃ PHÊ DUYỆT</t>
        </is>
      </c>
      <c r="W403" t="inlineStr">
        <is>
          <t>🔒 ĐÃ KHÓA</t>
        </is>
      </c>
    </row>
    <row r="404" ht="21" customHeight="1" s="75">
      <c r="A404" s="40" t="n">
        <v>401</v>
      </c>
      <c r="B404" s="60" t="n">
        <v>46274.05197908565</v>
      </c>
      <c r="C404" s="61" t="inlineStr">
        <is>
          <t>EMP-NV01</t>
        </is>
      </c>
      <c r="D404" s="41" t="inlineStr">
        <is>
          <t>Phùng Công Thắng</t>
        </is>
      </c>
      <c r="E404" s="61" t="inlineStr">
        <is>
          <t>M-TCNC1-01</t>
        </is>
      </c>
      <c r="F404" s="41" t="inlineStr">
        <is>
          <t>Phùng Công Thắng</t>
        </is>
      </c>
      <c r="G404" s="61" t="inlineStr">
        <is>
          <t>OP-SEALB-NC2</t>
        </is>
      </c>
      <c r="H404" s="41" t="inlineStr">
        <is>
          <t>Thyssen</t>
        </is>
      </c>
      <c r="I404" s="41" t="inlineStr">
        <is>
          <t>Sealing strip, above</t>
        </is>
      </c>
      <c r="J404" s="40" t="inlineStr">
        <is>
          <t>PO-8499</t>
        </is>
      </c>
      <c r="K404" s="41" t="inlineStr">
        <is>
          <t>G/c phay Mp NC1 Kt 95mm</t>
        </is>
      </c>
      <c r="L404" s="44" t="n">
        <v>37200</v>
      </c>
      <c r="M404" s="62" t="n">
        <v>9</v>
      </c>
      <c r="N404" s="44" t="n">
        <v>0</v>
      </c>
      <c r="O404" s="63" t="n">
        <v>8</v>
      </c>
      <c r="P404" s="64">
        <f>L404*M404</f>
        <v/>
      </c>
      <c r="Q404" s="41" t="inlineStr">
        <is>
          <t>Chíp APMT 1604 PDTR - LT30-PVD - LAMINA</t>
        </is>
      </c>
      <c r="R404" s="44" t="n">
        <v>0</v>
      </c>
      <c r="S404" s="40" t="inlineStr">
        <is>
          <t>SAI</t>
        </is>
      </c>
      <c r="T404" s="41" t="inlineStr">
        <is>
          <t>Đang gia công dở dang, chuyển ca sau</t>
        </is>
      </c>
      <c r="U404" t="inlineStr">
        <is>
          <t>ĐÃ DUYỆT</t>
        </is>
      </c>
      <c r="V404" t="inlineStr">
        <is>
          <t>ĐÃ PHÊ DUYỆT</t>
        </is>
      </c>
      <c r="W404" t="inlineStr">
        <is>
          <t>🔒 ĐÃ KHÓA</t>
        </is>
      </c>
    </row>
    <row r="405" ht="21" customHeight="1" s="75">
      <c r="A405" s="46" t="n">
        <v>402</v>
      </c>
      <c r="B405" s="66" t="n">
        <v>46274.1179425</v>
      </c>
      <c r="C405" s="61" t="inlineStr">
        <is>
          <t>EMP-NV01</t>
        </is>
      </c>
      <c r="D405" s="47" t="inlineStr">
        <is>
          <t>Phùng Công Thắng</t>
        </is>
      </c>
      <c r="E405" s="61" t="inlineStr">
        <is>
          <t>M-FUJI-01</t>
        </is>
      </c>
      <c r="F405" s="47" t="inlineStr">
        <is>
          <t>Phùng Công Thắng</t>
        </is>
      </c>
      <c r="G405" s="61" t="inlineStr">
        <is>
          <t>OP-GEN-01</t>
        </is>
      </c>
      <c r="H405" s="47" t="inlineStr">
        <is>
          <t>Win-Win</t>
        </is>
      </c>
      <c r="I405" s="47" t="inlineStr">
        <is>
          <t>ISHIZUE OMEGA216.3-740</t>
        </is>
      </c>
      <c r="J405" s="46" t="inlineStr">
        <is>
          <t>PO-8089</t>
        </is>
      </c>
      <c r="K405" s="47" t="inlineStr">
        <is>
          <t>G/c tiện hoàn thiện</t>
        </is>
      </c>
      <c r="L405" s="50" t="n">
        <v>55800</v>
      </c>
      <c r="M405" s="67" t="n">
        <v>11</v>
      </c>
      <c r="N405" s="50" t="n">
        <v>0</v>
      </c>
      <c r="O405" s="68" t="n">
        <v>8</v>
      </c>
      <c r="P405" s="64">
        <f>L405*M405</f>
        <v/>
      </c>
      <c r="Q405" s="47" t="inlineStr">
        <is>
          <t>Không tiêu hao</t>
        </is>
      </c>
      <c r="R405" s="50" t="n">
        <v>0</v>
      </c>
      <c r="S405" s="65" t="inlineStr">
        <is>
          <t>ĐÚNG</t>
        </is>
      </c>
      <c r="T405" s="47" t="inlineStr">
        <is>
          <t>Đã xong nguyên công</t>
        </is>
      </c>
      <c r="U405" t="inlineStr">
        <is>
          <t>ĐÃ DUYỆT</t>
        </is>
      </c>
      <c r="V405" t="inlineStr">
        <is>
          <t>ĐÃ PHÊ DUYỆT</t>
        </is>
      </c>
      <c r="W405" t="inlineStr">
        <is>
          <t>🔒 ĐÃ KHÓA</t>
        </is>
      </c>
    </row>
    <row r="406" ht="21" customHeight="1" s="75">
      <c r="A406" s="40" t="n">
        <v>403</v>
      </c>
      <c r="B406" s="60" t="n">
        <v>46274.11840263889</v>
      </c>
      <c r="C406" s="61" t="inlineStr">
        <is>
          <t>EMP-NV01</t>
        </is>
      </c>
      <c r="D406" s="41" t="inlineStr">
        <is>
          <t>Phùng Công Thắng</t>
        </is>
      </c>
      <c r="E406" s="61" t="inlineStr">
        <is>
          <t>M-DK7745-01</t>
        </is>
      </c>
      <c r="F406" s="41" t="inlineStr">
        <is>
          <t>Phùng Công Thắng</t>
        </is>
      </c>
      <c r="G406" s="61" t="inlineStr">
        <is>
          <t>OP-GEN-01</t>
        </is>
      </c>
      <c r="H406" s="41" t="inlineStr">
        <is>
          <t>Vico- QLTB</t>
        </is>
      </c>
      <c r="I406" s="41" t="inlineStr">
        <is>
          <t>Mẫu Thử CR &amp; hàng #</t>
        </is>
      </c>
      <c r="J406" s="40" t="inlineStr">
        <is>
          <t>PO-3973</t>
        </is>
      </c>
      <c r="K406" s="41" t="inlineStr">
        <is>
          <t>G/c hoàn thiện</t>
        </is>
      </c>
      <c r="L406" s="44" t="n">
        <v>83700</v>
      </c>
      <c r="M406" s="62" t="n">
        <v>5</v>
      </c>
      <c r="N406" s="44" t="n">
        <v>0</v>
      </c>
      <c r="O406" s="63" t="n">
        <v>8</v>
      </c>
      <c r="P406" s="64">
        <f>L406*M406</f>
        <v/>
      </c>
      <c r="Q406" s="41" t="inlineStr">
        <is>
          <t>Dây cắt CNC</t>
        </is>
      </c>
      <c r="R406" s="44" t="n">
        <v>0</v>
      </c>
      <c r="S406" s="65" t="inlineStr">
        <is>
          <t>ĐÚNG</t>
        </is>
      </c>
      <c r="T406" s="41" t="inlineStr">
        <is>
          <t>Đã xong nguyên công</t>
        </is>
      </c>
      <c r="U406" t="inlineStr">
        <is>
          <t>ĐÃ DUYỆT</t>
        </is>
      </c>
      <c r="V406" t="inlineStr">
        <is>
          <t>ĐÃ PHÊ DUYỆT</t>
        </is>
      </c>
      <c r="W406" t="inlineStr">
        <is>
          <t>🔒 ĐÃ KHÓA</t>
        </is>
      </c>
    </row>
    <row r="407" ht="21" customHeight="1" s="75">
      <c r="A407" s="46" t="n">
        <v>404</v>
      </c>
      <c r="B407" s="66" t="n">
        <v>46274.29831012731</v>
      </c>
      <c r="C407" s="61" t="inlineStr">
        <is>
          <t>EMP-NV07</t>
        </is>
      </c>
      <c r="D407" s="47" t="inlineStr">
        <is>
          <t>Phùng Công Thắng</t>
        </is>
      </c>
      <c r="E407" s="61" t="inlineStr">
        <is>
          <t>M-OKK1-01</t>
        </is>
      </c>
      <c r="F407" s="47" t="inlineStr">
        <is>
          <t>Phùng Công Thắng</t>
        </is>
      </c>
      <c r="G407" s="61" t="inlineStr">
        <is>
          <t>OP-SEALB-NC4</t>
        </is>
      </c>
      <c r="H407" s="47" t="inlineStr">
        <is>
          <t>Thyssen</t>
        </is>
      </c>
      <c r="I407" s="47" t="inlineStr">
        <is>
          <t>Sealing strip, above</t>
        </is>
      </c>
      <c r="J407" s="46" t="inlineStr">
        <is>
          <t>PO-9377</t>
        </is>
      </c>
      <c r="K407" s="47" t="inlineStr">
        <is>
          <t>G/c phay Mp NC2 Kt 412mm</t>
        </is>
      </c>
      <c r="L407" s="50" t="n">
        <v>14942</v>
      </c>
      <c r="M407" s="67" t="n">
        <v>19</v>
      </c>
      <c r="N407" s="50" t="n">
        <v>0</v>
      </c>
      <c r="O407" s="68" t="n">
        <v>8</v>
      </c>
      <c r="P407" s="64">
        <f>L407*M407</f>
        <v/>
      </c>
      <c r="Q407" s="47" t="inlineStr">
        <is>
          <t>Không tiêu hao</t>
        </is>
      </c>
      <c r="R407" s="50" t="n">
        <v>0</v>
      </c>
      <c r="S407" s="46" t="inlineStr">
        <is>
          <t>SAI</t>
        </is>
      </c>
      <c r="T407" s="47" t="inlineStr">
        <is>
          <t>Đang gia công dở dang, chuyển ca sau</t>
        </is>
      </c>
      <c r="U407" t="inlineStr">
        <is>
          <t>ĐÃ DUYỆT</t>
        </is>
      </c>
      <c r="V407" t="inlineStr">
        <is>
          <t>ĐÃ PHÊ DUYỆT</t>
        </is>
      </c>
      <c r="W407" t="inlineStr">
        <is>
          <t>🔒 ĐÃ KHÓA</t>
        </is>
      </c>
    </row>
    <row r="408" ht="21" customHeight="1" s="75">
      <c r="A408" s="40" t="n">
        <v>405</v>
      </c>
      <c r="B408" s="60" t="n">
        <v>46274.29868987269</v>
      </c>
      <c r="C408" s="61" t="inlineStr">
        <is>
          <t>EMP-NV07</t>
        </is>
      </c>
      <c r="D408" s="41" t="inlineStr">
        <is>
          <t>Phùng Công Thắng</t>
        </is>
      </c>
      <c r="E408" s="61" t="inlineStr">
        <is>
          <t>M-OKK3-01</t>
        </is>
      </c>
      <c r="F408" s="41" t="inlineStr">
        <is>
          <t>Phùng Công Thắng</t>
        </is>
      </c>
      <c r="G408" s="61" t="inlineStr">
        <is>
          <t>OP-SEALB-NC2</t>
        </is>
      </c>
      <c r="H408" s="41" t="inlineStr">
        <is>
          <t>Thyssen</t>
        </is>
      </c>
      <c r="I408" s="41" t="inlineStr">
        <is>
          <t>Sealing strip, above</t>
        </is>
      </c>
      <c r="J408" s="40" t="inlineStr">
        <is>
          <t>PO-8328</t>
        </is>
      </c>
      <c r="K408" s="41" t="inlineStr">
        <is>
          <t>G/c phay Mp NC1 Kt 95mm</t>
        </is>
      </c>
      <c r="L408" s="44" t="n">
        <v>37200</v>
      </c>
      <c r="M408" s="62" t="n">
        <v>10</v>
      </c>
      <c r="N408" s="44" t="n">
        <v>0</v>
      </c>
      <c r="O408" s="63" t="n">
        <v>8</v>
      </c>
      <c r="P408" s="64">
        <f>L408*M408</f>
        <v/>
      </c>
      <c r="Q408" s="41" t="inlineStr">
        <is>
          <t>Không tiêu hao</t>
        </is>
      </c>
      <c r="R408" s="44" t="n">
        <v>0</v>
      </c>
      <c r="S408" s="40" t="inlineStr">
        <is>
          <t>SAI</t>
        </is>
      </c>
      <c r="T408" s="41" t="inlineStr">
        <is>
          <t>Đang gia công dở dang, chuyển ca sau</t>
        </is>
      </c>
      <c r="U408" t="inlineStr">
        <is>
          <t>ĐÃ DUYỆT</t>
        </is>
      </c>
      <c r="V408" t="inlineStr">
        <is>
          <t>ĐÃ PHÊ DUYỆT</t>
        </is>
      </c>
      <c r="W408" t="inlineStr">
        <is>
          <t>🔒 ĐÃ KHÓA</t>
        </is>
      </c>
    </row>
    <row r="409" ht="21" customHeight="1" s="75">
      <c r="A409" s="46" t="n">
        <v>406</v>
      </c>
      <c r="B409" s="66" t="n">
        <v>46274.29894082176</v>
      </c>
      <c r="C409" s="61" t="inlineStr">
        <is>
          <t>EMP-NV07</t>
        </is>
      </c>
      <c r="D409" s="47" t="inlineStr">
        <is>
          <t>Phùng Công Thắng</t>
        </is>
      </c>
      <c r="E409" s="61" t="inlineStr">
        <is>
          <t>M-OKK3-01</t>
        </is>
      </c>
      <c r="F409" s="47" t="inlineStr">
        <is>
          <t>Phùng Công Thắng</t>
        </is>
      </c>
      <c r="G409" s="61" t="inlineStr">
        <is>
          <t>OP-SEALB-NC2</t>
        </is>
      </c>
      <c r="H409" s="47" t="inlineStr">
        <is>
          <t>Thyssen</t>
        </is>
      </c>
      <c r="I409" s="47" t="inlineStr">
        <is>
          <t>Sealing trip, below</t>
        </is>
      </c>
      <c r="J409" s="46" t="inlineStr">
        <is>
          <t>PO-6913</t>
        </is>
      </c>
      <c r="K409" s="47" t="inlineStr">
        <is>
          <t>G/c phay Mp NC2 Kt 95mm</t>
        </is>
      </c>
      <c r="L409" s="50" t="n">
        <v>37200</v>
      </c>
      <c r="M409" s="67" t="n">
        <v>2</v>
      </c>
      <c r="N409" s="50" t="n">
        <v>0</v>
      </c>
      <c r="O409" s="68" t="n">
        <v>4</v>
      </c>
      <c r="P409" s="64">
        <f>L409*M409</f>
        <v/>
      </c>
      <c r="Q409" s="47" t="inlineStr">
        <is>
          <t>Không tiêu hao</t>
        </is>
      </c>
      <c r="R409" s="50" t="n">
        <v>0</v>
      </c>
      <c r="S409" s="46" t="inlineStr">
        <is>
          <t>SAI</t>
        </is>
      </c>
      <c r="T409" s="47" t="inlineStr">
        <is>
          <t>Đang gia công dở dang, chuyển ca sau</t>
        </is>
      </c>
      <c r="U409" t="inlineStr">
        <is>
          <t>ĐÃ DUYỆT</t>
        </is>
      </c>
      <c r="V409" t="inlineStr">
        <is>
          <t>ĐÃ PHÊ DUYỆT</t>
        </is>
      </c>
      <c r="W409" t="inlineStr">
        <is>
          <t>🔒 ĐÃ KHÓA</t>
        </is>
      </c>
    </row>
  </sheetData>
  <mergeCells count="2">
    <mergeCell ref="A1:T1"/>
    <mergeCell ref="A2:T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style="75" min="1" max="1"/>
    <col width="19" customWidth="1" style="75" min="2" max="2"/>
    <col width="14" customWidth="1" style="75" min="3" max="3"/>
    <col width="27" customWidth="1" style="75" min="4" max="4"/>
    <col width="37" customWidth="1" style="75" min="5" max="5"/>
    <col width="28" customWidth="1" style="75" min="6" max="6"/>
    <col width="14" customWidth="1" style="75" min="7" max="7"/>
    <col width="25" customWidth="1" style="75" min="8" max="8"/>
    <col width="36" customWidth="1" style="75" min="9" max="9"/>
    <col width="22" customWidth="1" style="75" min="10" max="10"/>
    <col width="19" customWidth="1" style="75" min="11" max="11"/>
    <col width="60" customWidth="1" style="75" min="12" max="12"/>
  </cols>
  <sheetData>
    <row r="1" ht="27.95" customHeight="1" s="75">
      <c r="A1" s="74" t="inlineStr">
        <is>
          <t>SỔ TRUY XUẤT NGUỒN GỐC &amp; BÀN GIAO BÁN THÀNH PHẨM (BTP) CƠ KHÍ</t>
        </is>
      </c>
    </row>
    <row r="2" ht="18" customHeight="1" s="75">
      <c r="A2" s="76" t="inlineStr">
        <is>
          <t>Phân xưởng Cơ khí | Truy xuất chuỗi: Đúc phôi -&gt; Nhiệt luyện &lt;-&gt; Gia công nội bộ &lt;-&gt; Gia công ngoài (Sub-con) &lt;-&gt; Hoàn thiện</t>
        </is>
      </c>
    </row>
    <row r="3" ht="30" customHeight="1" s="75">
      <c r="A3" s="21" t="inlineStr">
        <is>
          <t>STT</t>
        </is>
      </c>
      <c r="B3" s="21" t="inlineStr">
        <is>
          <t>Ngày Luân Chuyển</t>
        </is>
      </c>
      <c r="C3" s="21" t="inlineStr">
        <is>
          <t>Mã PO / LSX</t>
        </is>
      </c>
      <c r="D3" s="21" t="inlineStr">
        <is>
          <t>Khách Hàng</t>
        </is>
      </c>
      <c r="E3" s="21" t="inlineStr">
        <is>
          <t>Tên Chi Tiết / Quy Cách</t>
        </is>
      </c>
      <c r="F3" s="21" t="inlineStr">
        <is>
          <t>Loại Luân Chuyển</t>
        </is>
      </c>
      <c r="G3" s="21" t="inlineStr">
        <is>
          <t>SL Bàn Giao</t>
        </is>
      </c>
      <c r="H3" s="21" t="inlineStr">
        <is>
          <t>Khâu Chuyển Đi (Nguồn)</t>
        </is>
      </c>
      <c r="I3" s="21" t="inlineStr">
        <is>
          <t>Khâu Tiếp Nhận (Đích)</t>
        </is>
      </c>
      <c r="J3" s="21" t="inlineStr">
        <is>
          <t>Số Phiếu / Biên Bản</t>
        </is>
      </c>
      <c r="K3" s="21" t="inlineStr">
        <is>
          <t>Người Bàn Giao</t>
        </is>
      </c>
      <c r="L3" s="21" t="inlineStr">
        <is>
          <t>Tình Trạng Kỹ Thuật / Ngoại Quan</t>
        </is>
      </c>
    </row>
    <row r="4" ht="23.1" customHeight="1" s="75">
      <c r="A4" s="5" t="n">
        <v>1</v>
      </c>
      <c r="B4" s="33" t="n">
        <v>46249</v>
      </c>
      <c r="C4" s="3" t="inlineStr">
        <is>
          <t>PO-2026-001</t>
        </is>
      </c>
      <c r="D4" s="4" t="inlineStr">
        <is>
          <t>Win-Win</t>
        </is>
      </c>
      <c r="E4" s="4" t="inlineStr">
        <is>
          <t>Trục Khuỷu Động Cơ Φ250</t>
        </is>
      </c>
      <c r="F4" s="20" t="inlineStr">
        <is>
          <t>Nội bộ -&gt; Hoàn thiện</t>
        </is>
      </c>
      <c r="G4" s="5" t="n">
        <v>500</v>
      </c>
      <c r="H4" s="4" t="inlineStr">
        <is>
          <t>Xưởng Gia Công Cơ Khí</t>
        </is>
      </c>
      <c r="I4" s="4" t="inlineStr">
        <is>
          <t>Bộ phận Hoàn Thiện</t>
        </is>
      </c>
      <c r="J4" s="3" t="inlineStr">
        <is>
          <t>BB-BG-01</t>
        </is>
      </c>
      <c r="K4" s="4" t="inlineStr">
        <is>
          <t>Nguyễn Văn A</t>
        </is>
      </c>
      <c r="L4" s="4" t="inlineStr">
        <is>
          <t>Bàn giao BTP đợt 1 sang lắp ráp</t>
        </is>
      </c>
    </row>
    <row r="5" ht="23.1" customHeight="1" s="75">
      <c r="A5" s="5" t="n">
        <v>2</v>
      </c>
      <c r="B5" s="33" t="n">
        <v>46252</v>
      </c>
      <c r="C5" s="3" t="inlineStr">
        <is>
          <t>PO-2026-002</t>
        </is>
      </c>
      <c r="D5" s="4" t="inlineStr">
        <is>
          <t>UCC</t>
        </is>
      </c>
      <c r="E5" s="4" t="inlineStr">
        <is>
          <t>Khuôn gá xích POWER</t>
        </is>
      </c>
      <c r="F5" s="3" t="inlineStr">
        <is>
          <t>Nội bộ -&gt; Nhiệt luyện</t>
        </is>
      </c>
      <c r="G5" s="5" t="n">
        <v>200</v>
      </c>
      <c r="H5" s="4" t="inlineStr">
        <is>
          <t>Xưởng Gia Công Cơ Khí</t>
        </is>
      </c>
      <c r="I5" s="4" t="inlineStr">
        <is>
          <t>Phân xưởng Nhiệt Luyện</t>
        </is>
      </c>
      <c r="J5" s="3" t="inlineStr">
        <is>
          <t>BB-BG-02</t>
        </is>
      </c>
      <c r="K5" s="4" t="inlineStr">
        <is>
          <t>Trần Văn B</t>
        </is>
      </c>
      <c r="L5" s="4" t="inlineStr">
        <is>
          <t>Phay thô xong, chuyển tôi thể tích</t>
        </is>
      </c>
    </row>
    <row r="6" ht="23.1" customHeight="1" s="75">
      <c r="A6" s="5" t="n">
        <v>3</v>
      </c>
      <c r="B6" s="33" t="n">
        <v>46254</v>
      </c>
      <c r="C6" s="3" t="inlineStr">
        <is>
          <t>PO-5999</t>
        </is>
      </c>
      <c r="D6" s="4" t="inlineStr">
        <is>
          <t>Win-Win</t>
        </is>
      </c>
      <c r="E6" s="4" t="inlineStr">
        <is>
          <t>Cánh xoắn vít đùn ISHIZUE 355Dw900</t>
        </is>
      </c>
      <c r="F6" s="38" t="inlineStr">
        <is>
          <t>Xuất GIA CÔNG NGOÀI</t>
        </is>
      </c>
      <c r="G6" s="5" t="n">
        <v>30</v>
      </c>
      <c r="H6" s="4" t="inlineStr">
        <is>
          <t>Xưởng Gia Công Cơ Khí</t>
        </is>
      </c>
      <c r="I6" s="4" t="inlineStr">
        <is>
          <t>Xưởng cơ khí Hoàng Mai (Vệ tinh)</t>
        </is>
      </c>
      <c r="J6" s="3" t="inlineStr">
        <is>
          <t>BB-SUB-01</t>
        </is>
      </c>
      <c r="K6" s="4" t="inlineStr">
        <is>
          <t>Vũ Tiến Thuận</t>
        </is>
      </c>
      <c r="L6" s="4" t="inlineStr">
        <is>
          <t>Xuất phôi đúc đi tiện thô NC1 do máy FUJI quá tải</t>
        </is>
      </c>
    </row>
    <row r="7" ht="23.1" customHeight="1" s="75">
      <c r="A7" s="5" t="n">
        <v>4</v>
      </c>
      <c r="B7" s="33" t="n">
        <v>46256</v>
      </c>
      <c r="C7" s="3" t="inlineStr">
        <is>
          <t>PO-2026-002</t>
        </is>
      </c>
      <c r="D7" s="4" t="inlineStr">
        <is>
          <t>UCC</t>
        </is>
      </c>
      <c r="E7" s="4" t="inlineStr">
        <is>
          <t>Khuôn gá xích POWER</t>
        </is>
      </c>
      <c r="F7" s="3" t="inlineStr">
        <is>
          <t>Nhiệt luyện -&gt; Gia công</t>
        </is>
      </c>
      <c r="G7" s="5" t="n">
        <v>200</v>
      </c>
      <c r="H7" s="4" t="inlineStr">
        <is>
          <t>Phân xưởng Nhiệt Luyện</t>
        </is>
      </c>
      <c r="I7" s="4" t="inlineStr">
        <is>
          <t>Xưởng Gia Công Cơ Khí</t>
        </is>
      </c>
      <c r="J7" s="3" t="inlineStr">
        <is>
          <t>BB-BG-03</t>
        </is>
      </c>
      <c r="K7" s="4" t="inlineStr">
        <is>
          <t>Trần Văn B</t>
        </is>
      </c>
      <c r="L7" s="4" t="inlineStr">
        <is>
          <t>Đã tôi đạt 58 HRC, nhận về mài phẳng tinh</t>
        </is>
      </c>
    </row>
    <row r="8" ht="23.1" customHeight="1" s="75">
      <c r="A8" s="5" t="n">
        <v>5</v>
      </c>
      <c r="B8" s="33" t="n">
        <v>46258</v>
      </c>
      <c r="C8" s="3" t="inlineStr">
        <is>
          <t>PO-3733</t>
        </is>
      </c>
      <c r="D8" s="4" t="inlineStr">
        <is>
          <t>Win-Win</t>
        </is>
      </c>
      <c r="E8" s="4" t="inlineStr">
        <is>
          <t>Cánh xoắn vít đùn ISHIZUE 318Dw800</t>
        </is>
      </c>
      <c r="F8" s="38" t="inlineStr">
        <is>
          <t>Xuất GIA CÔNG NGOÀI</t>
        </is>
      </c>
      <c r="G8" s="5" t="n">
        <v>45</v>
      </c>
      <c r="H8" s="4" t="inlineStr">
        <is>
          <t>Xưởng Gia Công Cơ Khí</t>
        </is>
      </c>
      <c r="I8" s="4" t="inlineStr">
        <is>
          <t>Công ty Cơ khí Tân Phát (Vệ tinh)</t>
        </is>
      </c>
      <c r="J8" s="3" t="inlineStr">
        <is>
          <t>BB-SUB-02</t>
        </is>
      </c>
      <c r="K8" s="4" t="inlineStr">
        <is>
          <t>Phạm Văn Tráng</t>
        </is>
      </c>
      <c r="L8" s="4" t="inlineStr">
        <is>
          <t>Xuất phôi tiện thô NC1 để kịp deadline</t>
        </is>
      </c>
    </row>
    <row r="9" ht="23.1" customHeight="1" s="75">
      <c r="A9" s="5" t="n">
        <v>6</v>
      </c>
      <c r="B9" s="33" t="n">
        <v>46259</v>
      </c>
      <c r="C9" s="3" t="inlineStr">
        <is>
          <t>PO-4545</t>
        </is>
      </c>
      <c r="D9" s="4" t="inlineStr">
        <is>
          <t>Luợng- KS Tường Long</t>
        </is>
      </c>
      <c r="E9" s="4" t="inlineStr">
        <is>
          <t>Ốp dao nhào trên (Bộ bên trái)</t>
        </is>
      </c>
      <c r="F9" s="20" t="inlineStr">
        <is>
          <t>Nội bộ -&gt; Hoàn thiện</t>
        </is>
      </c>
      <c r="G9" s="5" t="n">
        <v>2</v>
      </c>
      <c r="H9" s="4" t="inlineStr">
        <is>
          <t>Xưởng Gia Công Cơ Khí</t>
        </is>
      </c>
      <c r="I9" s="4" t="inlineStr">
        <is>
          <t>Bộ phận Hoàn Thiện</t>
        </is>
      </c>
      <c r="J9" s="3" t="inlineStr">
        <is>
          <t>BB-BG-04</t>
        </is>
      </c>
      <c r="K9" s="4" t="inlineStr">
        <is>
          <t>Phạm Văn Tráng</t>
        </is>
      </c>
      <c r="L9" s="4" t="inlineStr">
        <is>
          <t>Cắt dây hoàn tất, chuyển mài vát &amp; hoàn thiện</t>
        </is>
      </c>
    </row>
    <row r="10" ht="23.1" customHeight="1" s="75">
      <c r="A10" s="5" t="n">
        <v>7</v>
      </c>
      <c r="B10" s="33" t="n">
        <v>46260</v>
      </c>
      <c r="C10" s="3" t="inlineStr">
        <is>
          <t>PO-3275</t>
        </is>
      </c>
      <c r="D10" s="4" t="inlineStr">
        <is>
          <t>Thyssen</t>
        </is>
      </c>
      <c r="E10" s="4" t="inlineStr">
        <is>
          <t>Sealing trip, below</t>
        </is>
      </c>
      <c r="F10" s="20" t="inlineStr">
        <is>
          <t>Nội bộ -&gt; Hoàn thiện</t>
        </is>
      </c>
      <c r="G10" s="5" t="n">
        <v>55</v>
      </c>
      <c r="H10" s="4" t="inlineStr">
        <is>
          <t>Xưởng Gia Công Cơ Khí</t>
        </is>
      </c>
      <c r="I10" s="4" t="inlineStr">
        <is>
          <t>Bộ phận Hoàn Thiện</t>
        </is>
      </c>
      <c r="J10" s="3" t="inlineStr">
        <is>
          <t>BB-BG-05</t>
        </is>
      </c>
      <c r="K10" s="4" t="inlineStr">
        <is>
          <t>Phùng Công Thắng</t>
        </is>
      </c>
      <c r="L10" s="4" t="inlineStr">
        <is>
          <t>Khoan lỗ hoàn tất, chuyển tẩy bavia</t>
        </is>
      </c>
    </row>
    <row r="11" ht="23.1" customHeight="1" s="75">
      <c r="A11" s="5" t="n">
        <v>8</v>
      </c>
      <c r="B11" s="33" t="n">
        <v>46261</v>
      </c>
      <c r="C11" s="3" t="inlineStr">
        <is>
          <t>PO-5999</t>
        </is>
      </c>
      <c r="D11" s="4" t="inlineStr">
        <is>
          <t>Win-Win</t>
        </is>
      </c>
      <c r="E11" s="4" t="inlineStr">
        <is>
          <t>Cánh xoắn vít đùn ISHIZUE 355Dw900</t>
        </is>
      </c>
      <c r="F11" s="39" t="inlineStr">
        <is>
          <t>Thu hồi từ GIA CÔNG NGOÀI</t>
        </is>
      </c>
      <c r="G11" s="5" t="n">
        <v>30</v>
      </c>
      <c r="H11" s="4" t="inlineStr">
        <is>
          <t>Xưởng cơ khí Hoàng Mai</t>
        </is>
      </c>
      <c r="I11" s="4" t="inlineStr">
        <is>
          <t>Xưởng Gia Công Cơ Khí</t>
        </is>
      </c>
      <c r="J11" s="3" t="inlineStr">
        <is>
          <t>BB-REC-01</t>
        </is>
      </c>
      <c r="K11" s="4" t="inlineStr">
        <is>
          <t>KCS / Nghiệm thu</t>
        </is>
      </c>
      <c r="L11" s="4" t="inlineStr">
        <is>
          <t>Đã tiện thô đạt kích thước, chuyển máy FUJI tiện tinh NC3</t>
        </is>
      </c>
    </row>
    <row r="12" ht="23.1" customHeight="1" s="75">
      <c r="A12" s="5" t="n">
        <v>9</v>
      </c>
      <c r="B12" s="33" t="n">
        <v>46262</v>
      </c>
      <c r="C12" s="3" t="inlineStr">
        <is>
          <t>PO-1602</t>
        </is>
      </c>
      <c r="D12" s="4" t="inlineStr">
        <is>
          <t>Hà Song Hải - XM Hạ Long</t>
        </is>
      </c>
      <c r="E12" s="4" t="inlineStr">
        <is>
          <t>Thanh đập đá vôi (2240x510x145)</t>
        </is>
      </c>
      <c r="F12" s="3" t="inlineStr">
        <is>
          <t>Nội bộ -&gt; Nhiệt luyện</t>
        </is>
      </c>
      <c r="G12" s="5" t="n">
        <v>1</v>
      </c>
      <c r="H12" s="4" t="inlineStr">
        <is>
          <t>Xưởng Gia Công Cơ Khí</t>
        </is>
      </c>
      <c r="I12" s="4" t="inlineStr">
        <is>
          <t>Phân xưởng Nhiệt Luyện</t>
        </is>
      </c>
      <c r="J12" s="3" t="inlineStr">
        <is>
          <t>BB-BG-06</t>
        </is>
      </c>
      <c r="K12" s="4" t="inlineStr">
        <is>
          <t>Phùng Đình Hùng</t>
        </is>
      </c>
      <c r="L12" s="4" t="inlineStr">
        <is>
          <t>Phay xong rãnh, chuyển tôi cao tần</t>
        </is>
      </c>
    </row>
    <row r="13" ht="23.1" customHeight="1" s="75">
      <c r="A13" s="5" t="n">
        <v>10</v>
      </c>
      <c r="B13" s="33" t="n">
        <v>46263</v>
      </c>
      <c r="C13" s="3" t="inlineStr">
        <is>
          <t>PO-8134</t>
        </is>
      </c>
      <c r="D13" s="4" t="inlineStr">
        <is>
          <t>Hải- Vinh Quảng Ninh</t>
        </is>
      </c>
      <c r="E13" s="4" t="inlineStr">
        <is>
          <t>Bộ rulo máy nghiền: Thân rô to</t>
        </is>
      </c>
      <c r="F13" s="20" t="inlineStr">
        <is>
          <t>Nội bộ -&gt; Hoàn thiện</t>
        </is>
      </c>
      <c r="G13" s="5" t="n">
        <v>15</v>
      </c>
      <c r="H13" s="4" t="inlineStr">
        <is>
          <t>Xưởng Gia Công Cơ Khí</t>
        </is>
      </c>
      <c r="I13" s="4" t="inlineStr">
        <is>
          <t>Bộ phận Hoàn Thiện</t>
        </is>
      </c>
      <c r="J13" s="3" t="inlineStr">
        <is>
          <t>BB-BG-07</t>
        </is>
      </c>
      <c r="K13" s="4" t="inlineStr">
        <is>
          <t>Vũ Tiến Thuận</t>
        </is>
      </c>
      <c r="L13" s="4" t="inlineStr">
        <is>
          <t>Hoàn tất NC9 khoan taro, chuyển lắp cụm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style="75" min="1" max="1"/>
    <col width="11" customWidth="1" style="75" min="2" max="2"/>
    <col width="25" customWidth="1" style="75" min="3" max="3"/>
    <col width="22" customWidth="1" style="75" min="4" max="4"/>
    <col width="53" customWidth="1" style="75" min="5" max="5"/>
    <col width="83" customWidth="1" style="75" min="6" max="9"/>
    <col width="157" customWidth="1" style="75" min="10" max="10"/>
    <col width="30" customWidth="1" style="75" min="11" max="11"/>
  </cols>
  <sheetData>
    <row r="1" ht="27.95" customHeight="1" s="75">
      <c r="A1" s="74" t="inlineStr">
        <is>
          <t>BẢNG TỔNG HỢP LƯƠNG KHOÁN THEO CÔNG NHÂN &amp; THEO DÕI NĂNG SUẤT</t>
        </is>
      </c>
    </row>
    <row r="2" ht="18" customHeight="1" s="75">
      <c r="A2" s="76" t="inlineStr">
        <is>
          <t>Kỳ Lương:</t>
        </is>
      </c>
      <c r="B2" t="inlineStr">
        <is>
          <t>Tháng 08/2026</t>
        </is>
      </c>
      <c r="C2" t="inlineStr">
        <is>
          <t>Từ Ngày:</t>
        </is>
      </c>
      <c r="D2" t="inlineStr">
        <is>
          <t>2026-08-01</t>
        </is>
      </c>
      <c r="E2" t="inlineStr">
        <is>
          <t>Đến Ngày:</t>
        </is>
      </c>
      <c r="F2" t="inlineStr">
        <is>
          <t>2026-08-31</t>
        </is>
      </c>
      <c r="G2" t="inlineStr">
        <is>
          <t>Trạng Thái Kỳ:</t>
        </is>
      </c>
      <c r="H2" t="inlineStr">
        <is>
          <t>ĐÃ KHÓA SỔ</t>
        </is>
      </c>
    </row>
    <row r="3" ht="30" customHeight="1" s="75">
      <c r="A3" s="2" t="inlineStr">
        <is>
          <t>STT</t>
        </is>
      </c>
      <c r="B3" s="2" t="inlineStr">
        <is>
          <t>Mã NV</t>
        </is>
      </c>
      <c r="C3" s="2" t="inlineStr">
        <is>
          <t>Họ Và Tên Thợ Gia Công</t>
        </is>
      </c>
      <c r="D3" s="2" t="inlineStr">
        <is>
          <t>Máy Vận Hành Chính</t>
        </is>
      </c>
      <c r="E3" s="2" t="inlineStr">
        <is>
          <t>Số Ca Làm Việc</t>
        </is>
      </c>
      <c r="F3" s="2" t="inlineStr">
        <is>
          <t>Tổng Giờ Chạy Máy (h)</t>
        </is>
      </c>
      <c r="G3" s="2" t="inlineStr">
        <is>
          <t>Tổng SL Đạt (OK)</t>
        </is>
      </c>
      <c r="H3" s="2" t="inlineStr">
        <is>
          <t>Tổng SL Hỏng (NG)</t>
        </is>
      </c>
      <c r="I3" s="2" t="inlineStr">
        <is>
          <t>Tổng Tiền Khoán (VNĐ)</t>
        </is>
      </c>
      <c r="J3" s="2" t="inlineStr">
        <is>
          <t>Trừ Phạt Phế Phẩm/Dao</t>
        </is>
      </c>
      <c r="K3" s="2" t="inlineStr">
        <is>
          <t>LƯƠNG KHOÁN THỰC LĨNH (VNĐ)</t>
        </is>
      </c>
    </row>
    <row r="4" ht="24" customHeight="1" s="75">
      <c r="A4" s="40" t="inlineStr">
        <is>
          <t>STT</t>
        </is>
      </c>
      <c r="B4" s="40" t="inlineStr">
        <is>
          <t>Mã NV</t>
        </is>
      </c>
      <c r="C4" s="41" t="inlineStr">
        <is>
          <t>Họ Và Tên Thợ Gia Công</t>
        </is>
      </c>
      <c r="D4" s="41" t="inlineStr">
        <is>
          <t>Vị Trí / Máy Đảm Nhiệm</t>
        </is>
      </c>
      <c r="E4" s="42" t="inlineStr">
        <is>
          <t>Số Ca Làm Việc</t>
        </is>
      </c>
      <c r="F4" s="43" t="inlineStr">
        <is>
          <t>Tổng Giờ Máy (h)</t>
        </is>
      </c>
      <c r="G4" s="44" t="inlineStr">
        <is>
          <t>Tổng SL Đạt (OK)</t>
        </is>
      </c>
      <c r="H4" s="44" t="inlineStr">
        <is>
          <t>Tổng SL Hỏng (NG)</t>
        </is>
      </c>
      <c r="I4" s="44" t="inlineStr">
        <is>
          <t>Tiền khoán phát sinh ban đầu</t>
        </is>
      </c>
      <c r="J4" s="44" t="inlineStr">
        <is>
          <t>Tiền đủ điều kiện sau KCS</t>
        </is>
      </c>
      <c r="K4" s="45" t="inlineStr">
        <is>
          <t>Tiền không được hưởng do lỗi thợ</t>
        </is>
      </c>
      <c r="L4" t="inlineStr">
        <is>
          <t>Lương thực lĩnh đã khóa</t>
        </is>
      </c>
      <c r="M4" t="inlineStr">
        <is>
          <t>Trạng Thái Chốt Lương</t>
        </is>
      </c>
      <c r="N4" t="inlineStr">
        <is>
          <t>Ký Nhận</t>
        </is>
      </c>
    </row>
    <row r="5" ht="24" customHeight="1" s="75">
      <c r="A5" s="46" t="n">
        <v>1</v>
      </c>
      <c r="B5" s="46" t="inlineStr">
        <is>
          <t>NV01</t>
        </is>
      </c>
      <c r="C5" s="47" t="inlineStr">
        <is>
          <t>Hoàng Ngọc Hà</t>
        </is>
      </c>
      <c r="D5" s="47" t="inlineStr">
        <is>
          <t>M01 - Máy tiện FUJI</t>
        </is>
      </c>
      <c r="E5" s="48" t="n">
        <v>0</v>
      </c>
      <c r="F5" s="49" t="n">
        <v>0</v>
      </c>
      <c r="G5" s="50" t="n">
        <v>0</v>
      </c>
      <c r="H5" s="50" t="n">
        <v>0</v>
      </c>
      <c r="I5" s="50" t="n">
        <v>0</v>
      </c>
      <c r="J5" s="50" t="n">
        <v>0</v>
      </c>
      <c r="K5" s="45" t="n">
        <v>0</v>
      </c>
      <c r="L5" t="n">
        <v>0</v>
      </c>
      <c r="M5" t="inlineStr">
        <is>
          <t>Đã chốt lương kỳ này</t>
        </is>
      </c>
      <c r="N5" t="inlineStr">
        <is>
          <t>Quản đốc Trần Đức Minh</t>
        </is>
      </c>
    </row>
    <row r="6" ht="24" customHeight="1" s="75">
      <c r="A6" s="40" t="n">
        <v>2</v>
      </c>
      <c r="B6" s="40" t="inlineStr">
        <is>
          <t>NV02</t>
        </is>
      </c>
      <c r="C6" s="41" t="inlineStr">
        <is>
          <t>Nguyễn Trung Đông</t>
        </is>
      </c>
      <c r="D6" s="41" t="inlineStr">
        <is>
          <t>M02 - Máy tiện OKUMA</t>
        </is>
      </c>
      <c r="E6" s="42" t="n">
        <v>4</v>
      </c>
      <c r="F6" s="43" t="n">
        <v>32</v>
      </c>
      <c r="G6" s="44" t="n">
        <v>70</v>
      </c>
      <c r="H6" s="44" t="n">
        <v>1</v>
      </c>
      <c r="I6" s="44" t="n">
        <v>2450000</v>
      </c>
      <c r="J6" s="44" t="n">
        <v>2450000</v>
      </c>
      <c r="K6" s="45" t="n">
        <v>0</v>
      </c>
      <c r="L6" t="n">
        <v>2450000</v>
      </c>
      <c r="M6" t="inlineStr">
        <is>
          <t>Đã chốt lương kỳ này</t>
        </is>
      </c>
      <c r="N6" t="inlineStr">
        <is>
          <t>Quản đốc Trần Đức Minh</t>
        </is>
      </c>
    </row>
    <row r="7" ht="24" customHeight="1" s="75">
      <c r="A7" s="46" t="n">
        <v>3</v>
      </c>
      <c r="B7" s="46" t="inlineStr">
        <is>
          <t>NV03</t>
        </is>
      </c>
      <c r="C7" s="47" t="inlineStr">
        <is>
          <t>Phùng Đình Hùng</t>
        </is>
      </c>
      <c r="D7" s="47" t="inlineStr">
        <is>
          <t>M03 - Máy tiện CNC1</t>
        </is>
      </c>
      <c r="E7" s="48" t="n">
        <v>1</v>
      </c>
      <c r="F7" s="49" t="n">
        <v>8</v>
      </c>
      <c r="G7" s="50" t="n">
        <v>10</v>
      </c>
      <c r="H7" s="50" t="n">
        <v>0</v>
      </c>
      <c r="I7" s="50" t="n">
        <v>350000</v>
      </c>
      <c r="J7" s="50" t="n">
        <v>350000</v>
      </c>
      <c r="K7" s="45" t="n">
        <v>0</v>
      </c>
      <c r="L7" t="n">
        <v>350000</v>
      </c>
      <c r="M7" t="inlineStr">
        <is>
          <t>Đã chốt lương kỳ này</t>
        </is>
      </c>
      <c r="N7" t="inlineStr">
        <is>
          <t>Quản đốc Trần Đức Minh</t>
        </is>
      </c>
    </row>
    <row r="8" ht="24" customHeight="1" s="75">
      <c r="A8" s="40" t="n">
        <v>4</v>
      </c>
      <c r="B8" s="40" t="inlineStr">
        <is>
          <t>NV04</t>
        </is>
      </c>
      <c r="C8" s="41" t="inlineStr">
        <is>
          <t>Vũ Tiến Thuận</t>
        </is>
      </c>
      <c r="D8" s="41" t="inlineStr">
        <is>
          <t>M04 - Máy tiện CNC2</t>
        </is>
      </c>
      <c r="E8" s="42" t="n">
        <v>10</v>
      </c>
      <c r="F8" s="43" t="n">
        <v>80</v>
      </c>
      <c r="G8" s="44" t="n">
        <v>160</v>
      </c>
      <c r="H8" s="44" t="n">
        <v>2</v>
      </c>
      <c r="I8" s="44" t="n">
        <v>6600000</v>
      </c>
      <c r="J8" s="44" t="n">
        <v>4400000</v>
      </c>
      <c r="K8" s="45" t="n">
        <v>2200000</v>
      </c>
      <c r="L8" t="n">
        <v>4400000</v>
      </c>
      <c r="M8" t="inlineStr">
        <is>
          <t>Đã chốt lương kỳ này</t>
        </is>
      </c>
      <c r="N8" t="inlineStr">
        <is>
          <t>Quản đốc Trần Đức Minh</t>
        </is>
      </c>
    </row>
    <row r="9" ht="24" customHeight="1" s="75">
      <c r="A9" s="46" t="n">
        <v>5</v>
      </c>
      <c r="B9" s="46" t="inlineStr">
        <is>
          <t>NV05</t>
        </is>
      </c>
      <c r="C9" s="47" t="inlineStr">
        <is>
          <t>Nguyễn Mạnh Hà</t>
        </is>
      </c>
      <c r="D9" s="47" t="inlineStr">
        <is>
          <t>M05 - Máy tiện T630</t>
        </is>
      </c>
      <c r="E9" s="48" t="n">
        <v>0</v>
      </c>
      <c r="F9" s="49" t="n">
        <v>0</v>
      </c>
      <c r="G9" s="50" t="n">
        <v>0</v>
      </c>
      <c r="H9" s="50" t="n">
        <v>0</v>
      </c>
      <c r="I9" s="50" t="n">
        <v>0</v>
      </c>
      <c r="J9" s="50" t="n">
        <v>0</v>
      </c>
      <c r="K9" s="45" t="n">
        <v>0</v>
      </c>
      <c r="L9" t="n">
        <v>0</v>
      </c>
      <c r="M9" t="inlineStr">
        <is>
          <t>Đã chốt lương kỳ này</t>
        </is>
      </c>
      <c r="N9" t="inlineStr">
        <is>
          <t>Quản đốc Trần Đức Minh</t>
        </is>
      </c>
    </row>
    <row r="10" ht="24" customHeight="1" s="75">
      <c r="A10" s="40" t="n">
        <v>6</v>
      </c>
      <c r="B10" s="40" t="inlineStr">
        <is>
          <t>NV06</t>
        </is>
      </c>
      <c r="C10" s="41" t="inlineStr">
        <is>
          <t>Nguyễn Văn Thanh</t>
        </is>
      </c>
      <c r="D10" s="41" t="inlineStr">
        <is>
          <t>M06 - Máy tiện T1516</t>
        </is>
      </c>
      <c r="E10" s="42" t="n">
        <v>15</v>
      </c>
      <c r="F10" s="43" t="n">
        <v>120</v>
      </c>
      <c r="G10" s="44" t="n">
        <v>275</v>
      </c>
      <c r="H10" s="44" t="n">
        <v>2</v>
      </c>
      <c r="I10" s="44" t="n">
        <v>11025000</v>
      </c>
      <c r="J10" s="44" t="n">
        <v>9625000</v>
      </c>
      <c r="K10" s="45" t="n">
        <v>1400000</v>
      </c>
      <c r="L10" t="n">
        <v>9625000</v>
      </c>
      <c r="M10" t="inlineStr">
        <is>
          <t>Đã chốt lương kỳ này</t>
        </is>
      </c>
      <c r="N10" t="inlineStr">
        <is>
          <t>Quản đốc Trần Đức Minh</t>
        </is>
      </c>
    </row>
    <row r="11" ht="24" customHeight="1" s="75">
      <c r="A11" s="46" t="n">
        <v>7</v>
      </c>
      <c r="B11" s="46" t="inlineStr">
        <is>
          <t>NV07</t>
        </is>
      </c>
      <c r="C11" s="47" t="inlineStr">
        <is>
          <t>Phùng Gia Phúc</t>
        </is>
      </c>
      <c r="D11" s="47" t="inlineStr">
        <is>
          <t>M07 - Máy Phay OKK1</t>
        </is>
      </c>
      <c r="E11" s="48" t="n">
        <v>14</v>
      </c>
      <c r="F11" s="49" t="n">
        <v>112</v>
      </c>
      <c r="G11" s="50" t="n">
        <v>260</v>
      </c>
      <c r="H11" s="50" t="n">
        <v>2</v>
      </c>
      <c r="I11" s="50" t="n">
        <v>10802600</v>
      </c>
      <c r="J11" s="50" t="n">
        <v>9402600</v>
      </c>
      <c r="K11" s="45" t="n">
        <v>1400000</v>
      </c>
      <c r="L11" t="n">
        <v>9402600</v>
      </c>
      <c r="M11" t="inlineStr">
        <is>
          <t>Đã chốt lương kỳ này</t>
        </is>
      </c>
      <c r="N11" t="inlineStr">
        <is>
          <t>Quản đốc Trần Đức Minh</t>
        </is>
      </c>
    </row>
    <row r="12" ht="24" customHeight="1" s="75">
      <c r="A12" s="40" t="n">
        <v>8</v>
      </c>
      <c r="B12" s="40" t="inlineStr">
        <is>
          <t>NV08</t>
        </is>
      </c>
      <c r="C12" s="41" t="inlineStr">
        <is>
          <t>Trần Văn Dũng</t>
        </is>
      </c>
      <c r="D12" s="41" t="inlineStr">
        <is>
          <t>M08 - Máy Phay OKK2</t>
        </is>
      </c>
      <c r="E12" s="42" t="n">
        <v>12</v>
      </c>
      <c r="F12" s="43" t="n">
        <v>96</v>
      </c>
      <c r="G12" s="44" t="n">
        <v>180</v>
      </c>
      <c r="H12" s="44" t="n">
        <v>2</v>
      </c>
      <c r="I12" s="44" t="n">
        <v>7800000</v>
      </c>
      <c r="J12" s="44" t="n">
        <v>5400000</v>
      </c>
      <c r="K12" s="45" t="n">
        <v>2400000</v>
      </c>
      <c r="L12" t="n">
        <v>5400000</v>
      </c>
      <c r="M12" t="inlineStr">
        <is>
          <t>Đã chốt lương kỳ này</t>
        </is>
      </c>
      <c r="N12" t="inlineStr">
        <is>
          <t>Quản đốc Trần Đức Minh</t>
        </is>
      </c>
    </row>
    <row r="13" ht="24" customHeight="1" s="75">
      <c r="A13" s="46" t="n">
        <v>9</v>
      </c>
      <c r="B13" s="46" t="inlineStr">
        <is>
          <t>NV09</t>
        </is>
      </c>
      <c r="C13" s="47" t="inlineStr">
        <is>
          <t>Trần Đăng Ninh</t>
        </is>
      </c>
      <c r="D13" s="47" t="inlineStr">
        <is>
          <t>M09 - Máy Phay OKK3</t>
        </is>
      </c>
      <c r="E13" s="48" t="n">
        <v>0</v>
      </c>
      <c r="F13" s="49" t="n">
        <v>0</v>
      </c>
      <c r="G13" s="50" t="n">
        <v>0</v>
      </c>
      <c r="H13" s="50" t="n">
        <v>0</v>
      </c>
      <c r="I13" s="50" t="n">
        <v>0</v>
      </c>
      <c r="J13" s="50" t="n">
        <v>0</v>
      </c>
      <c r="K13" s="45" t="n">
        <v>0</v>
      </c>
      <c r="L13" t="n">
        <v>0</v>
      </c>
      <c r="M13" t="inlineStr">
        <is>
          <t>Đã chốt lương kỳ này</t>
        </is>
      </c>
      <c r="N13" t="inlineStr">
        <is>
          <t>Quản đốc Trần Đức Minh</t>
        </is>
      </c>
    </row>
    <row r="14" ht="24" customHeight="1" s="75">
      <c r="A14" s="40" t="n">
        <v>10</v>
      </c>
      <c r="B14" s="40" t="inlineStr">
        <is>
          <t>NV10</t>
        </is>
      </c>
      <c r="C14" s="41" t="inlineStr">
        <is>
          <t>Phạm Văn Tráng</t>
        </is>
      </c>
      <c r="D14" s="41" t="inlineStr">
        <is>
          <t>M10 - Máy Phay CNC1</t>
        </is>
      </c>
      <c r="E14" s="42" t="n">
        <v>14</v>
      </c>
      <c r="F14" s="43" t="n">
        <v>112</v>
      </c>
      <c r="G14" s="44" t="n">
        <v>210</v>
      </c>
      <c r="H14" s="44" t="n">
        <v>2</v>
      </c>
      <c r="I14" s="44" t="n">
        <v>9200000</v>
      </c>
      <c r="J14" s="44" t="n">
        <v>6800000</v>
      </c>
      <c r="K14" s="45" t="n">
        <v>2400000</v>
      </c>
      <c r="L14" t="n">
        <v>6800000</v>
      </c>
      <c r="M14" t="inlineStr">
        <is>
          <t>Đã chốt lương kỳ này</t>
        </is>
      </c>
      <c r="N14" t="inlineStr">
        <is>
          <t>Quản đốc Trần Đức Minh</t>
        </is>
      </c>
    </row>
    <row r="15" ht="24" customHeight="1" s="75">
      <c r="A15" s="46" t="n">
        <v>11</v>
      </c>
      <c r="B15" s="46" t="inlineStr">
        <is>
          <t>NV11</t>
        </is>
      </c>
      <c r="C15" s="47" t="inlineStr">
        <is>
          <t>Phùng Công Thắng</t>
        </is>
      </c>
      <c r="D15" s="47" t="inlineStr">
        <is>
          <t>M11 - Máy Phay CNC2</t>
        </is>
      </c>
      <c r="E15" s="48" t="n">
        <v>24</v>
      </c>
      <c r="F15" s="49" t="n">
        <v>192</v>
      </c>
      <c r="G15" s="50" t="n">
        <v>452</v>
      </c>
      <c r="H15" s="50" t="n">
        <v>3</v>
      </c>
      <c r="I15" s="50" t="n">
        <v>18620000</v>
      </c>
      <c r="J15" s="50" t="n">
        <v>15820000</v>
      </c>
      <c r="K15" s="45" t="n">
        <v>2800000</v>
      </c>
      <c r="L15" t="n">
        <v>15820000</v>
      </c>
      <c r="M15" t="inlineStr">
        <is>
          <t>Đã chốt lương kỳ này</t>
        </is>
      </c>
      <c r="N15" t="inlineStr">
        <is>
          <t>Quản đốc Trần Đức Minh</t>
        </is>
      </c>
    </row>
    <row r="16" ht="24.95" customHeight="1" s="75">
      <c r="A16" s="79" t="n">
        <v>12</v>
      </c>
      <c r="B16" t="inlineStr">
        <is>
          <t>NV12</t>
        </is>
      </c>
      <c r="C16" t="inlineStr">
        <is>
          <t>Phạm Ngọc Sam</t>
        </is>
      </c>
      <c r="D16" t="inlineStr">
        <is>
          <t>M12 - Máy Phay OIGO</t>
        </is>
      </c>
      <c r="E16" s="14" t="n">
        <v>2</v>
      </c>
      <c r="F16" s="51" t="n">
        <v>16</v>
      </c>
      <c r="G16" s="15" t="n">
        <v>17</v>
      </c>
      <c r="H16" s="15" t="n">
        <v>0</v>
      </c>
      <c r="I16" s="15" t="n">
        <v>595000</v>
      </c>
      <c r="J16" s="15" t="n">
        <v>595000</v>
      </c>
      <c r="K16" s="15" t="n">
        <v>0</v>
      </c>
      <c r="L16" t="n">
        <v>595000</v>
      </c>
      <c r="M16" t="inlineStr">
        <is>
          <t>Đã chốt lương kỳ này</t>
        </is>
      </c>
      <c r="N16" t="inlineStr">
        <is>
          <t>Quản đốc Trần Đức Minh</t>
        </is>
      </c>
    </row>
    <row r="17">
      <c r="A17" t="n">
        <v>13</v>
      </c>
      <c r="B17" t="inlineStr">
        <is>
          <t>NV13</t>
        </is>
      </c>
      <c r="C17" t="inlineStr">
        <is>
          <t>Trần Văn Quỳnh</t>
        </is>
      </c>
      <c r="D17" t="inlineStr">
        <is>
          <t>M13 - Máy Phay YM</t>
        </is>
      </c>
      <c r="E17" t="n">
        <v>11</v>
      </c>
      <c r="F17" t="n">
        <v>88</v>
      </c>
      <c r="G17" t="n">
        <v>165</v>
      </c>
      <c r="H17" t="n">
        <v>1</v>
      </c>
      <c r="I17" t="n">
        <v>6706392</v>
      </c>
      <c r="J17" t="n">
        <v>5326392</v>
      </c>
      <c r="K17" t="n">
        <v>1380000</v>
      </c>
      <c r="L17" t="n">
        <v>5326392</v>
      </c>
      <c r="M17" t="inlineStr">
        <is>
          <t>Đã chốt lương kỳ này</t>
        </is>
      </c>
      <c r="N17" t="inlineStr">
        <is>
          <t>Quản đốc Trần Đức Minh</t>
        </is>
      </c>
    </row>
    <row r="18">
      <c r="A18" t="n">
        <v>14</v>
      </c>
      <c r="B18" t="inlineStr">
        <is>
          <t>NV14</t>
        </is>
      </c>
      <c r="C18" t="inlineStr">
        <is>
          <t>Đinh Văn Nhận</t>
        </is>
      </c>
      <c r="D18" t="inlineStr">
        <is>
          <t>M15 - Máy Khoan cần Yoshida</t>
        </is>
      </c>
      <c r="E18" t="n">
        <v>12</v>
      </c>
      <c r="F18" t="n">
        <v>96</v>
      </c>
      <c r="G18" t="n">
        <v>180</v>
      </c>
      <c r="H18" t="n">
        <v>2</v>
      </c>
      <c r="I18" t="n">
        <v>8800000</v>
      </c>
      <c r="J18" t="n">
        <v>6400000</v>
      </c>
      <c r="K18" t="n">
        <v>2400000</v>
      </c>
      <c r="L18" t="n">
        <v>6400000</v>
      </c>
      <c r="M18" t="inlineStr">
        <is>
          <t>Đã chốt lương kỳ này</t>
        </is>
      </c>
      <c r="N18" t="inlineStr">
        <is>
          <t>Quản đốc Trần Đức Minh</t>
        </is>
      </c>
    </row>
    <row r="19">
      <c r="A19" t="n">
        <v>15</v>
      </c>
      <c r="B19" t="inlineStr">
        <is>
          <t>NV15</t>
        </is>
      </c>
      <c r="C19" t="inlineStr">
        <is>
          <t>Đặng Ngọc Long</t>
        </is>
      </c>
      <c r="D19" t="inlineStr">
        <is>
          <t>M16 - Máy Cắt Dây DK7745</t>
        </is>
      </c>
      <c r="E19" t="n">
        <v>3</v>
      </c>
      <c r="F19" t="n">
        <v>24</v>
      </c>
      <c r="G19" t="n">
        <v>50</v>
      </c>
      <c r="H19" t="n">
        <v>0</v>
      </c>
      <c r="I19" t="n">
        <v>1750000</v>
      </c>
      <c r="J19" t="n">
        <v>1750000</v>
      </c>
      <c r="K19" t="n">
        <v>0</v>
      </c>
      <c r="L19" t="n">
        <v>1750000</v>
      </c>
      <c r="M19" t="inlineStr">
        <is>
          <t>Đã chốt lương kỳ này</t>
        </is>
      </c>
      <c r="N19" t="inlineStr">
        <is>
          <t>Quản đốc Trần Đức Minh</t>
        </is>
      </c>
    </row>
    <row r="20">
      <c r="A20" t="inlineStr">
        <is>
          <t>TỔNG CỘNG QUỸ LƯƠNG KHOÁN (15 THỢ)</t>
        </is>
      </c>
      <c r="E20" t="n">
        <v>122</v>
      </c>
      <c r="F20" t="n">
        <v>976</v>
      </c>
      <c r="G20" t="n">
        <v>2029</v>
      </c>
      <c r="H20" t="n">
        <v>17</v>
      </c>
      <c r="I20" t="n">
        <v>84698992</v>
      </c>
      <c r="J20" t="n">
        <v>68318992</v>
      </c>
      <c r="K20" t="n">
        <v>16380000</v>
      </c>
      <c r="L20" t="n">
        <v>68318992</v>
      </c>
      <c r="M20" t="inlineStr">
        <is>
          <t>KHỚP 100% QUY CHUẨN 3 CẤP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style="75" min="1" max="1"/>
    <col width="27" customWidth="1" style="75" min="2" max="2"/>
    <col width="11" customWidth="1" style="75" min="3" max="3"/>
    <col width="30" customWidth="1" style="75" min="4" max="4"/>
    <col width="55" customWidth="1" style="75" min="5" max="5"/>
    <col width="26" customWidth="1" style="75" min="6" max="6"/>
    <col width="11" customWidth="1" style="75" min="7" max="7"/>
    <col width="50" customWidth="1" style="75" min="8" max="8"/>
    <col width="29" customWidth="1" style="75" min="9" max="9"/>
    <col width="38" customWidth="1" style="75" min="10" max="10"/>
    <col width="23" customWidth="1" style="75" min="11" max="11"/>
  </cols>
  <sheetData>
    <row r="1" ht="27.95" customHeight="1" s="75">
      <c r="A1" s="74" t="inlineStr">
        <is>
          <t>DANH MỤC MASTER DATA: KHÁCH HÀNG, ĐƠN GIÁ GIỜ MÁY &amp; ĐƠN VỊ GIA CÔNG NGOÀI</t>
        </is>
      </c>
    </row>
    <row r="3" ht="16.5" customHeight="1" s="75">
      <c r="A3" s="1" t="inlineStr">
        <is>
          <t>DANH SÁCH KHÁCH HÀNG</t>
        </is>
      </c>
      <c r="D3" s="1" t="inlineStr">
        <is>
          <t>BẢNG ĐƠN GIÁ GIỜ MÁY NỘI BỘ</t>
        </is>
      </c>
      <c r="H3" s="1" t="inlineStr">
        <is>
          <t>DANH BẠ ĐƠN VỊ VỆ TINH GIA CÔNG NGOÀI (SUB-CON)</t>
        </is>
      </c>
    </row>
    <row r="4">
      <c r="A4" s="52" t="inlineStr">
        <is>
          <t>Mã KH</t>
        </is>
      </c>
      <c r="B4" s="53" t="inlineStr">
        <is>
          <t>Tên Đối Tác / Khách Hàng</t>
        </is>
      </c>
      <c r="D4" s="54" t="inlineStr">
        <is>
          <t>STT</t>
        </is>
      </c>
      <c r="E4" s="55" t="inlineStr">
        <is>
          <t>Dòng Máy / Thiết Bị</t>
        </is>
      </c>
      <c r="F4" s="56" t="inlineStr">
        <is>
          <t>Đơn Giá Giờ Máy (VNĐ/h)</t>
        </is>
      </c>
      <c r="H4" s="57" t="inlineStr">
        <is>
          <t>Mã Vệ Tinh</t>
        </is>
      </c>
      <c r="I4" s="58" t="inlineStr">
        <is>
          <t>Tên Doanh Nghiệp Vệ Tinh</t>
        </is>
      </c>
      <c r="J4" s="58" t="inlineStr">
        <is>
          <t>Năng Lực Gia Công Mạnh</t>
        </is>
      </c>
      <c r="K4" s="57" t="inlineStr">
        <is>
          <t>Đánh Giá Uy Tín KCS</t>
        </is>
      </c>
    </row>
    <row r="5">
      <c r="A5" s="3" t="inlineStr">
        <is>
          <t>KH01</t>
        </is>
      </c>
      <c r="B5" s="4" t="inlineStr">
        <is>
          <t>Thyssen</t>
        </is>
      </c>
      <c r="D5" s="3" t="n">
        <v>1</v>
      </c>
      <c r="E5" s="4" t="inlineStr">
        <is>
          <t>Máy tiện Tiện T1516 / T1517 / T1522 (Tiện đứng nặng)</t>
        </is>
      </c>
      <c r="F5" s="6" t="n">
        <v>320000</v>
      </c>
      <c r="H5" s="3" t="inlineStr">
        <is>
          <t>SUB-01</t>
        </is>
      </c>
      <c r="I5" s="4" t="inlineStr">
        <is>
          <t>Xưởng cơ khí Hoàng Mai</t>
        </is>
      </c>
      <c r="J5" s="4" t="inlineStr">
        <is>
          <t>Tiện CNC đường kính lớn Ø300 - Ø800</t>
        </is>
      </c>
      <c r="K5" s="3" t="inlineStr">
        <is>
          <t>Hạng A (Rất tốt)</t>
        </is>
      </c>
    </row>
    <row r="6">
      <c r="A6" s="3" t="inlineStr">
        <is>
          <t>KH02</t>
        </is>
      </c>
      <c r="B6" s="4" t="inlineStr">
        <is>
          <t>Win-Win</t>
        </is>
      </c>
      <c r="D6" s="3" t="n">
        <v>2</v>
      </c>
      <c r="E6" s="4" t="inlineStr">
        <is>
          <t>Máy Phay OIGO / Phay giường hạng nặng</t>
        </is>
      </c>
      <c r="F6" s="6" t="n">
        <v>280000</v>
      </c>
      <c r="H6" s="3" t="inlineStr">
        <is>
          <t>SUB-02</t>
        </is>
      </c>
      <c r="I6" s="4" t="inlineStr">
        <is>
          <t>Công ty Cơ khí Tân Phát</t>
        </is>
      </c>
      <c r="J6" s="4" t="inlineStr">
        <is>
          <t>Tiện CNC cánh xoắn vít đùn</t>
        </is>
      </c>
      <c r="K6" s="3" t="inlineStr">
        <is>
          <t>Hạng A (Rất tốt)</t>
        </is>
      </c>
    </row>
    <row r="7">
      <c r="A7" s="3" t="inlineStr">
        <is>
          <t>KH03</t>
        </is>
      </c>
      <c r="B7" s="4" t="inlineStr">
        <is>
          <t>Vico- QLTB</t>
        </is>
      </c>
      <c r="D7" s="3" t="n">
        <v>3</v>
      </c>
      <c r="E7" s="4" t="inlineStr">
        <is>
          <t>Máy Phay OKK1 / OKK2 / OKK3 (Phay CNC)</t>
        </is>
      </c>
      <c r="F7" s="6" t="n">
        <v>250000</v>
      </c>
      <c r="H7" s="3" t="inlineStr">
        <is>
          <t>SUB-03</t>
        </is>
      </c>
      <c r="I7" s="4" t="inlineStr">
        <is>
          <t>Xưởng Phay Giường Đức Long</t>
        </is>
      </c>
      <c r="J7" s="4" t="inlineStr">
        <is>
          <t>Phay giường phôi đúc nặng đến 5 tấn</t>
        </is>
      </c>
      <c r="K7" s="3" t="inlineStr">
        <is>
          <t>Hạng B (Đạt yêu cầu)</t>
        </is>
      </c>
    </row>
    <row r="8">
      <c r="A8" s="3" t="inlineStr">
        <is>
          <t>KH04</t>
        </is>
      </c>
      <c r="B8" s="4" t="inlineStr">
        <is>
          <t>Luợng- KS Tường Long</t>
        </is>
      </c>
      <c r="D8" s="3" t="n">
        <v>4</v>
      </c>
      <c r="E8" s="4" t="inlineStr">
        <is>
          <t>Máy Phay CNC1 / CNC2</t>
        </is>
      </c>
      <c r="F8" s="6" t="n">
        <v>220000</v>
      </c>
      <c r="H8" s="3" t="inlineStr">
        <is>
          <t>SUB-04</t>
        </is>
      </c>
      <c r="I8" s="4" t="inlineStr">
        <is>
          <t>Cắt dây CNC Nam Định</t>
        </is>
      </c>
      <c r="J8" s="4" t="inlineStr">
        <is>
          <t>Cắt dây Molypden độ dày đến 400mm</t>
        </is>
      </c>
      <c r="K8" s="3" t="inlineStr">
        <is>
          <t>Hạng A (Rất tốt)</t>
        </is>
      </c>
    </row>
    <row r="9">
      <c r="A9" s="3" t="inlineStr">
        <is>
          <t>KH05</t>
        </is>
      </c>
      <c r="B9" s="4" t="inlineStr">
        <is>
          <t>Molycop</t>
        </is>
      </c>
      <c r="D9" s="3" t="n">
        <v>5</v>
      </c>
      <c r="E9" s="4" t="inlineStr">
        <is>
          <t>Máy tiện FUJI / OKUMA / T630 / CNC1</t>
        </is>
      </c>
      <c r="F9" s="6" t="n">
        <v>220000</v>
      </c>
      <c r="H9" s="3" t="inlineStr">
        <is>
          <t>SUB-05</t>
        </is>
      </c>
      <c r="I9" s="4" t="inlineStr">
        <is>
          <t>Cơ khí Chính xác An Phát</t>
        </is>
      </c>
      <c r="J9" s="4" t="inlineStr">
        <is>
          <t>Phay CNC 3-4 trục, làm hốc khuôn</t>
        </is>
      </c>
      <c r="K9" s="3" t="inlineStr">
        <is>
          <t>Hạng A (Rất tốt)</t>
        </is>
      </c>
    </row>
    <row r="10">
      <c r="A10" s="3" t="inlineStr">
        <is>
          <t>KH06</t>
        </is>
      </c>
      <c r="B10" s="4" t="inlineStr">
        <is>
          <t>Hà Song Hải - XM Hạ Long</t>
        </is>
      </c>
      <c r="D10" s="3" t="n">
        <v>6</v>
      </c>
      <c r="E10" s="4" t="inlineStr">
        <is>
          <t>Máy Cắt Dây DK7745 / DK7780 / Podatech</t>
        </is>
      </c>
      <c r="F10" s="6" t="n">
        <v>110000</v>
      </c>
    </row>
    <row r="11">
      <c r="A11" s="3" t="inlineStr">
        <is>
          <t>KH07</t>
        </is>
      </c>
      <c r="B11" s="4" t="inlineStr">
        <is>
          <t>Hải- Vinh Quảng Ninh</t>
        </is>
      </c>
      <c r="D11" s="3" t="n">
        <v>7</v>
      </c>
      <c r="E11" s="4" t="inlineStr">
        <is>
          <t>Máy Khoan cần Yoshida</t>
        </is>
      </c>
      <c r="F11" s="6" t="n">
        <v>130000</v>
      </c>
    </row>
    <row r="12">
      <c r="A12" s="3" t="inlineStr">
        <is>
          <t>KH08</t>
        </is>
      </c>
      <c r="B12" s="4" t="inlineStr">
        <is>
          <t>TFG</t>
        </is>
      </c>
    </row>
    <row r="13">
      <c r="A13" s="3" t="inlineStr">
        <is>
          <t>KH09</t>
        </is>
      </c>
      <c r="B13" s="4" t="inlineStr">
        <is>
          <t>UCC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2026-09-09T16:56:20Z</dcterms:created>
  <dcterms:modified xsi:type="dcterms:W3CDTF">2026-09-14T11:02:24Z</dcterms:modified>
  <cp:lastModifiedBy>Hoang Ha</cp:lastModifiedBy>
</cp:coreProperties>
</file>