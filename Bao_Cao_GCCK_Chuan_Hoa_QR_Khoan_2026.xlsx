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 t="n">
        <v>13</v>
      </c>
      <c r="E9" s="14" t="n">
        <v>161</v>
      </c>
      <c r="F9" s="14" t="n">
        <v>79</v>
      </c>
      <c r="G9" s="14" t="n">
        <v>0</v>
      </c>
      <c r="H9" s="14" t="n">
        <v>79</v>
      </c>
      <c r="I9" s="14" t="n">
        <v>161</v>
      </c>
      <c r="J9" s="15">
        <f>IF(E9&gt;0, G9/E9, 0)</f>
        <v/>
      </c>
      <c r="K9" s="11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 t="n">
        <v>1</v>
      </c>
      <c r="E10" s="19" t="n">
        <v>1000</v>
      </c>
      <c r="F10" s="19" t="n">
        <v>10</v>
      </c>
      <c r="G10" s="19" t="n">
        <v>500</v>
      </c>
      <c r="H10" s="19" t="n">
        <v>0</v>
      </c>
      <c r="I10" s="19" t="n">
        <v>500</v>
      </c>
      <c r="J10" s="20">
        <f>IF(E10&gt;0, G10/E10, 0)</f>
        <v/>
      </c>
      <c r="K10" s="16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 t="n">
        <v>1</v>
      </c>
      <c r="E11" s="14" t="n">
        <v>500</v>
      </c>
      <c r="F11" s="14" t="n">
        <v>0</v>
      </c>
      <c r="G11" s="14" t="n">
        <v>0</v>
      </c>
      <c r="H11" s="14" t="n">
        <v>0</v>
      </c>
      <c r="I11" s="14" t="n">
        <v>500</v>
      </c>
      <c r="J11" s="15">
        <f>IF(E11&gt;0, G11/E11, 0)</f>
        <v/>
      </c>
      <c r="K11" s="11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 t="n">
        <v>17</v>
      </c>
      <c r="E12" s="19" t="n">
        <v>96</v>
      </c>
      <c r="F12" s="19" t="n">
        <v>0</v>
      </c>
      <c r="G12" s="19" t="n">
        <v>2</v>
      </c>
      <c r="H12" s="19" t="n">
        <v>0</v>
      </c>
      <c r="I12" s="19" t="n">
        <v>94</v>
      </c>
      <c r="J12" s="20">
        <f>IF(E12&gt;0, G12/E12, 0)</f>
        <v/>
      </c>
      <c r="K12" s="16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 t="n">
        <v>9</v>
      </c>
      <c r="E13" s="14" t="n">
        <v>117</v>
      </c>
      <c r="F13" s="14" t="n">
        <v>0</v>
      </c>
      <c r="G13" s="14" t="n">
        <v>0</v>
      </c>
      <c r="H13" s="14" t="n">
        <v>0</v>
      </c>
      <c r="I13" s="14" t="n">
        <v>117</v>
      </c>
      <c r="J13" s="15">
        <f>IF(E13&gt;0, G13/E13, 0)</f>
        <v/>
      </c>
      <c r="K13" s="11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 t="n">
        <v>7</v>
      </c>
      <c r="E14" s="19" t="n">
        <v>7</v>
      </c>
      <c r="F14" s="19" t="n">
        <v>2.25</v>
      </c>
      <c r="G14" s="19" t="n">
        <v>1</v>
      </c>
      <c r="H14" s="19" t="n">
        <v>2</v>
      </c>
      <c r="I14" s="19" t="n">
        <v>6</v>
      </c>
      <c r="J14" s="20">
        <f>IF(E14&gt;0, G14/E14, 0)</f>
        <v/>
      </c>
      <c r="K14" s="16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 t="n">
        <v>6</v>
      </c>
      <c r="E15" s="14" t="n">
        <v>37</v>
      </c>
      <c r="F15" s="14" t="n">
        <v>0</v>
      </c>
      <c r="G15" s="14" t="n">
        <v>15</v>
      </c>
      <c r="H15" s="14" t="n">
        <v>0</v>
      </c>
      <c r="I15" s="14" t="n">
        <v>22</v>
      </c>
      <c r="J15" s="15">
        <f>IF(E15&gt;0, G15/E15, 0)</f>
        <v/>
      </c>
      <c r="K15" s="11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 t="n">
        <v>6</v>
      </c>
      <c r="E16" s="19" t="n">
        <v>6</v>
      </c>
      <c r="F16" s="19" t="n">
        <v>0</v>
      </c>
      <c r="G16" s="19" t="n">
        <v>0</v>
      </c>
      <c r="H16" s="19" t="n">
        <v>0</v>
      </c>
      <c r="I16" s="19" t="n">
        <v>6</v>
      </c>
      <c r="J16" s="20">
        <f>IF(E16&gt;0, G16/E16, 0)</f>
        <v/>
      </c>
      <c r="K16" s="16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 t="n">
        <v>1</v>
      </c>
      <c r="E17" s="14" t="n">
        <v>200</v>
      </c>
      <c r="F17" s="14" t="n">
        <v>0</v>
      </c>
      <c r="G17" s="14" t="n">
        <v>400</v>
      </c>
      <c r="H17" s="14" t="n">
        <v>0</v>
      </c>
      <c r="I17" s="14" t="n">
        <v>0</v>
      </c>
      <c r="J17" s="15">
        <f>IF(E17&gt;0, G17/E17, 0)</f>
        <v/>
      </c>
      <c r="K17" s="11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IF(E18&gt;0, G18/E18, 0)</f>
        <v/>
      </c>
      <c r="K18" s="21" t="inlineStr">
        <is>
          <t>ĐIỀU ĐỘ BÌNH THƯỜNG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 t="n">
        <v>0.24</v>
      </c>
      <c r="H22" s="14" t="n">
        <v>14.5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 t="n">
        <v>0.27</v>
      </c>
      <c r="H26" s="14" t="n">
        <v>16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 t="n">
        <v>0.6</v>
      </c>
      <c r="H28" s="14" t="n">
        <v>36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 t="n">
        <v>0.6</v>
      </c>
      <c r="H29" s="19" t="n">
        <v>36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 t="n">
        <v>0.27</v>
      </c>
      <c r="H31" s="19" t="n">
        <v>16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 t="n">
        <v>10</v>
      </c>
      <c r="G4" s="14" t="n">
        <v>500</v>
      </c>
      <c r="H4" s="14" t="n">
        <v>0</v>
      </c>
      <c r="I4" s="14" t="n">
        <v>500</v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 t="n">
        <v>0.5</v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 t="n">
        <v>0</v>
      </c>
      <c r="G5" s="14" t="n">
        <v>400</v>
      </c>
      <c r="H5" s="14" t="n">
        <v>0</v>
      </c>
      <c r="I5" s="14" t="n">
        <v>0</v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 t="n">
        <v>2</v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 t="n">
        <v>0</v>
      </c>
      <c r="G6" s="14" t="n">
        <v>0</v>
      </c>
      <c r="H6" s="14" t="n">
        <v>0</v>
      </c>
      <c r="I6" s="14" t="n">
        <v>500</v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 t="n">
        <v>0</v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 t="n">
        <v>0.25</v>
      </c>
      <c r="G7" s="14" t="n">
        <v>1</v>
      </c>
      <c r="H7" s="14" t="n">
        <v>0</v>
      </c>
      <c r="I7" s="14" t="n">
        <v>0</v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 t="n">
        <v>1</v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 t="n">
        <v>0</v>
      </c>
      <c r="G8" s="14" t="n">
        <v>0</v>
      </c>
      <c r="H8" s="14" t="n">
        <v>0</v>
      </c>
      <c r="I8" s="14" t="n">
        <v>1</v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 t="n">
        <v>0</v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 t="n">
        <v>1</v>
      </c>
      <c r="G9" s="14" t="n">
        <v>0</v>
      </c>
      <c r="H9" s="14" t="n">
        <v>1</v>
      </c>
      <c r="I9" s="14" t="n">
        <v>1</v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 t="n">
        <v>0</v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 t="n">
        <v>1</v>
      </c>
      <c r="G10" s="14" t="n">
        <v>0</v>
      </c>
      <c r="H10" s="14" t="n">
        <v>1</v>
      </c>
      <c r="I10" s="14" t="n">
        <v>1</v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 t="n">
        <v>0</v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 t="n">
        <v>0</v>
      </c>
      <c r="G11" s="14" t="n">
        <v>0</v>
      </c>
      <c r="H11" s="14" t="n">
        <v>0</v>
      </c>
      <c r="I11" s="14" t="n">
        <v>1</v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 t="n">
        <v>0</v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 t="n">
        <v>0</v>
      </c>
      <c r="G12" s="14" t="n">
        <v>0</v>
      </c>
      <c r="H12" s="14" t="n">
        <v>0</v>
      </c>
      <c r="I12" s="14" t="n">
        <v>1</v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 t="n">
        <v>0</v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 t="n">
        <v>0</v>
      </c>
      <c r="G13" s="14" t="n">
        <v>0</v>
      </c>
      <c r="H13" s="14" t="n">
        <v>0</v>
      </c>
      <c r="I13" s="14" t="n">
        <v>1</v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 t="n">
        <v>0</v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 t="n">
        <v>0</v>
      </c>
      <c r="G14" s="14" t="n">
        <v>0</v>
      </c>
      <c r="H14" s="14" t="n">
        <v>0</v>
      </c>
      <c r="I14" s="14" t="n">
        <v>15</v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 t="n">
        <v>0</v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 t="n">
        <v>0</v>
      </c>
      <c r="G15" s="14" t="n">
        <v>0</v>
      </c>
      <c r="H15" s="14" t="n">
        <v>0</v>
      </c>
      <c r="I15" s="14" t="n">
        <v>2</v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 t="n">
        <v>0</v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 t="n">
        <v>0</v>
      </c>
      <c r="G16" s="14" t="n">
        <v>0</v>
      </c>
      <c r="H16" s="14" t="n">
        <v>0</v>
      </c>
      <c r="I16" s="14" t="n">
        <v>1</v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 t="n">
        <v>0</v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 t="n">
        <v>0</v>
      </c>
      <c r="G17" s="14" t="n">
        <v>0</v>
      </c>
      <c r="H17" s="14" t="n">
        <v>0</v>
      </c>
      <c r="I17" s="14" t="n">
        <v>1</v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 t="n">
        <v>0</v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 t="n">
        <v>0</v>
      </c>
      <c r="G18" s="14" t="n">
        <v>0</v>
      </c>
      <c r="H18" s="14" t="n">
        <v>0</v>
      </c>
      <c r="I18" s="14" t="n">
        <v>3</v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 t="n">
        <v>0</v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 t="n">
        <v>0</v>
      </c>
      <c r="G19" s="14" t="n">
        <v>15</v>
      </c>
      <c r="H19" s="14" t="n">
        <v>0</v>
      </c>
      <c r="I19" s="14" t="n">
        <v>0</v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 t="n">
        <v>1</v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 t="n">
        <v>0</v>
      </c>
      <c r="G20" s="14" t="n">
        <v>0</v>
      </c>
      <c r="H20" s="14" t="n">
        <v>0</v>
      </c>
      <c r="I20" s="14" t="n">
        <v>1</v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 t="n">
        <v>0</v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 t="n">
        <v>0</v>
      </c>
      <c r="G21" s="14" t="n">
        <v>0</v>
      </c>
      <c r="H21" s="14" t="n">
        <v>0</v>
      </c>
      <c r="I21" s="14" t="n">
        <v>2</v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 t="n">
        <v>0</v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 t="n">
        <v>0</v>
      </c>
      <c r="G22" s="14" t="n">
        <v>0</v>
      </c>
      <c r="H22" s="14" t="n">
        <v>0</v>
      </c>
      <c r="I22" s="14" t="n">
        <v>1</v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 t="n">
        <v>0</v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 t="n">
        <v>0</v>
      </c>
      <c r="G23" s="14" t="n">
        <v>0</v>
      </c>
      <c r="H23" s="14" t="n">
        <v>0</v>
      </c>
      <c r="I23" s="14" t="n">
        <v>1</v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 t="n">
        <v>0</v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 t="n">
        <v>0</v>
      </c>
      <c r="G24" s="14" t="n">
        <v>0</v>
      </c>
      <c r="H24" s="14" t="n">
        <v>0</v>
      </c>
      <c r="I24" s="14" t="n">
        <v>40</v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 t="n">
        <v>0</v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 t="n">
        <v>0</v>
      </c>
      <c r="G25" s="14" t="n">
        <v>0</v>
      </c>
      <c r="H25" s="14" t="n">
        <v>0</v>
      </c>
      <c r="I25" s="14" t="n">
        <v>1</v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 t="n">
        <v>0</v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 t="n">
        <v>0</v>
      </c>
      <c r="G26" s="14" t="n">
        <v>0</v>
      </c>
      <c r="H26" s="14" t="n">
        <v>0</v>
      </c>
      <c r="I26" s="14" t="n">
        <v>1</v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 t="n">
        <v>0</v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 t="n">
        <v>0</v>
      </c>
      <c r="G27" s="14" t="n">
        <v>0</v>
      </c>
      <c r="H27" s="14" t="n">
        <v>0</v>
      </c>
      <c r="I27" s="14" t="n">
        <v>1</v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 t="n">
        <v>0</v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 t="n">
        <v>0</v>
      </c>
      <c r="G28" s="14" t="n">
        <v>0</v>
      </c>
      <c r="H28" s="14" t="n">
        <v>0</v>
      </c>
      <c r="I28" s="14" t="n">
        <v>1</v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 t="n">
        <v>0</v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 t="n">
        <v>0</v>
      </c>
      <c r="G29" s="14" t="n">
        <v>0</v>
      </c>
      <c r="H29" s="14" t="n">
        <v>0</v>
      </c>
      <c r="I29" s="14" t="n">
        <v>15</v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 t="n">
        <v>0</v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 t="n">
        <v>0</v>
      </c>
      <c r="G30" s="14" t="n">
        <v>2</v>
      </c>
      <c r="H30" s="14" t="n">
        <v>0</v>
      </c>
      <c r="I30" s="14" t="n">
        <v>0</v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 t="n">
        <v>1</v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 t="n">
        <v>0</v>
      </c>
      <c r="G31" s="14" t="n">
        <v>0</v>
      </c>
      <c r="H31" s="14" t="n">
        <v>0</v>
      </c>
      <c r="I31" s="14" t="n">
        <v>1</v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 t="n">
        <v>0</v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 t="n">
        <v>0</v>
      </c>
      <c r="G32" s="14" t="n">
        <v>0</v>
      </c>
      <c r="H32" s="14" t="n">
        <v>0</v>
      </c>
      <c r="I32" s="14" t="n">
        <v>1</v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 t="n">
        <v>0</v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 t="n">
        <v>0</v>
      </c>
      <c r="G33" s="14" t="n">
        <v>0</v>
      </c>
      <c r="H33" s="14" t="n">
        <v>0</v>
      </c>
      <c r="I33" s="14" t="n">
        <v>17</v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 t="n">
        <v>0</v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 t="n">
        <v>0</v>
      </c>
      <c r="G34" s="14" t="n">
        <v>0</v>
      </c>
      <c r="H34" s="14" t="n">
        <v>0</v>
      </c>
      <c r="I34" s="14" t="n">
        <v>2</v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 t="n">
        <v>0</v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 t="n">
        <v>0</v>
      </c>
      <c r="G35" s="14" t="n">
        <v>0</v>
      </c>
      <c r="H35" s="14" t="n">
        <v>0</v>
      </c>
      <c r="I35" s="14" t="n">
        <v>8</v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 t="n">
        <v>0</v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 t="n">
        <v>0</v>
      </c>
      <c r="G36" s="14" t="n">
        <v>0</v>
      </c>
      <c r="H36" s="14" t="n">
        <v>0</v>
      </c>
      <c r="I36" s="14" t="n">
        <v>1</v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 t="n">
        <v>0</v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 t="n">
        <v>0</v>
      </c>
      <c r="G37" s="14" t="n">
        <v>0</v>
      </c>
      <c r="H37" s="14" t="n">
        <v>0</v>
      </c>
      <c r="I37" s="14" t="n">
        <v>10</v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 t="n">
        <v>0</v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 t="n">
        <v>0</v>
      </c>
      <c r="G38" s="14" t="n">
        <v>0</v>
      </c>
      <c r="H38" s="14" t="n">
        <v>0</v>
      </c>
      <c r="I38" s="14" t="n">
        <v>30</v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 t="n">
        <v>0</v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 t="n">
        <v>0</v>
      </c>
      <c r="G39" s="14" t="n">
        <v>0</v>
      </c>
      <c r="H39" s="14" t="n">
        <v>0</v>
      </c>
      <c r="I39" s="14" t="n">
        <v>3</v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 t="n">
        <v>0</v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 t="n">
        <v>0</v>
      </c>
      <c r="G40" s="14" t="n">
        <v>0</v>
      </c>
      <c r="H40" s="14" t="n">
        <v>0</v>
      </c>
      <c r="I40" s="14" t="n">
        <v>19</v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 t="n">
        <v>0</v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 t="n">
        <v>0</v>
      </c>
      <c r="G41" s="14" t="n">
        <v>0</v>
      </c>
      <c r="H41" s="14" t="n">
        <v>0</v>
      </c>
      <c r="I41" s="14" t="n">
        <v>19</v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 t="n">
        <v>0</v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 t="n">
        <v>0</v>
      </c>
      <c r="G42" s="14" t="n">
        <v>0</v>
      </c>
      <c r="H42" s="14" t="n">
        <v>0</v>
      </c>
      <c r="I42" s="14" t="n">
        <v>3</v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 t="n">
        <v>0</v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 t="n">
        <v>0</v>
      </c>
      <c r="G43" s="14" t="n">
        <v>0</v>
      </c>
      <c r="H43" s="14" t="n">
        <v>0</v>
      </c>
      <c r="I43" s="14" t="n">
        <v>7</v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 t="n">
        <v>0</v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 t="n">
        <v>0</v>
      </c>
      <c r="G44" s="14" t="n">
        <v>0</v>
      </c>
      <c r="H44" s="14" t="n">
        <v>0</v>
      </c>
      <c r="I44" s="14" t="n">
        <v>21</v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 t="n">
        <v>0</v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 t="n">
        <v>0</v>
      </c>
      <c r="G45" s="14" t="n">
        <v>0</v>
      </c>
      <c r="H45" s="14" t="n">
        <v>0</v>
      </c>
      <c r="I45" s="14" t="n">
        <v>5</v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 t="n">
        <v>0</v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 t="n">
        <v>0</v>
      </c>
      <c r="G46" s="14" t="n">
        <v>0</v>
      </c>
      <c r="H46" s="14" t="n">
        <v>0</v>
      </c>
      <c r="I46" s="14" t="n">
        <v>1</v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 t="n">
        <v>0</v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 t="n">
        <v>0</v>
      </c>
      <c r="G47" s="14" t="n">
        <v>0</v>
      </c>
      <c r="H47" s="14" t="n">
        <v>0</v>
      </c>
      <c r="I47" s="14" t="n">
        <v>1</v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 t="n">
        <v>0</v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 t="n">
        <v>0</v>
      </c>
      <c r="G48" s="14" t="n">
        <v>0</v>
      </c>
      <c r="H48" s="14" t="n">
        <v>0</v>
      </c>
      <c r="I48" s="14" t="n">
        <v>1</v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 t="n">
        <v>0</v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 t="n">
        <v>0</v>
      </c>
      <c r="G49" s="14" t="n">
        <v>0</v>
      </c>
      <c r="H49" s="14" t="n">
        <v>0</v>
      </c>
      <c r="I49" s="14" t="n">
        <v>1</v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 t="n">
        <v>0</v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 t="n">
        <v>0</v>
      </c>
      <c r="G50" s="14" t="n">
        <v>0</v>
      </c>
      <c r="H50" s="14" t="n">
        <v>0</v>
      </c>
      <c r="I50" s="14" t="n">
        <v>1</v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 t="n">
        <v>0</v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 t="n">
        <v>0</v>
      </c>
      <c r="G51" s="14" t="n">
        <v>0</v>
      </c>
      <c r="H51" s="14" t="n">
        <v>0</v>
      </c>
      <c r="I51" s="14" t="n">
        <v>1</v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 t="n">
        <v>0</v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 t="n">
        <v>0</v>
      </c>
      <c r="G52" s="14" t="n">
        <v>0</v>
      </c>
      <c r="H52" s="14" t="n">
        <v>0</v>
      </c>
      <c r="I52" s="14" t="n">
        <v>6</v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 t="n">
        <v>0</v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 t="n">
        <v>0</v>
      </c>
      <c r="G53" s="14" t="n">
        <v>0</v>
      </c>
      <c r="H53" s="14" t="n">
        <v>0</v>
      </c>
      <c r="I53" s="14" t="n">
        <v>9</v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 t="n">
        <v>0</v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 t="n">
        <v>0</v>
      </c>
      <c r="G54" s="14" t="n">
        <v>0</v>
      </c>
      <c r="H54" s="14" t="n">
        <v>0</v>
      </c>
      <c r="I54" s="14" t="n">
        <v>15</v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 t="n">
        <v>0</v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 t="n">
        <v>0</v>
      </c>
      <c r="G55" s="14" t="n">
        <v>0</v>
      </c>
      <c r="H55" s="14" t="n">
        <v>0</v>
      </c>
      <c r="I55" s="14" t="n">
        <v>14</v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 t="n">
        <v>0</v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 t="n">
        <v>0</v>
      </c>
      <c r="G56" s="14" t="n">
        <v>0</v>
      </c>
      <c r="H56" s="14" t="n">
        <v>0</v>
      </c>
      <c r="I56" s="14" t="n">
        <v>8</v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 t="n">
        <v>0</v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 t="n">
        <v>0</v>
      </c>
      <c r="G57" s="14" t="n">
        <v>0</v>
      </c>
      <c r="H57" s="14" t="n">
        <v>0</v>
      </c>
      <c r="I57" s="14" t="n">
        <v>13</v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 t="n">
        <v>0</v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 t="n">
        <v>0</v>
      </c>
      <c r="G58" s="14" t="n">
        <v>0</v>
      </c>
      <c r="H58" s="14" t="n">
        <v>0</v>
      </c>
      <c r="I58" s="14" t="n">
        <v>2</v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 t="n">
        <v>0</v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 t="n">
        <v>29</v>
      </c>
      <c r="G59" s="14" t="n">
        <v>0</v>
      </c>
      <c r="H59" s="14" t="n">
        <v>29</v>
      </c>
      <c r="I59" s="14" t="n">
        <v>29</v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 t="n">
        <v>0</v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 t="n">
        <v>8</v>
      </c>
      <c r="G60" s="14" t="n">
        <v>0</v>
      </c>
      <c r="H60" s="14" t="n">
        <v>8</v>
      </c>
      <c r="I60" s="14" t="n">
        <v>8</v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 t="n">
        <v>0</v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 t="n">
        <v>0</v>
      </c>
      <c r="G61" s="14" t="n">
        <v>0</v>
      </c>
      <c r="H61" s="14" t="n">
        <v>0</v>
      </c>
      <c r="I61" s="14" t="n">
        <v>5</v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 t="n">
        <v>0</v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 t="n">
        <v>26</v>
      </c>
      <c r="G62" s="14" t="n">
        <v>0</v>
      </c>
      <c r="H62" s="14" t="n">
        <v>26</v>
      </c>
      <c r="I62" s="14" t="n">
        <v>26</v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 t="n">
        <v>0</v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 t="n">
        <v>16</v>
      </c>
      <c r="G63" s="14" t="n">
        <v>0</v>
      </c>
      <c r="H63" s="14" t="n">
        <v>16</v>
      </c>
      <c r="I63" s="14" t="n">
        <v>16</v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 t="n">
        <v>0</v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 t="n">
        <v>0</v>
      </c>
      <c r="G64" s="14" t="n">
        <v>0</v>
      </c>
      <c r="H64" s="14" t="n">
        <v>0</v>
      </c>
      <c r="I64" s="14" t="n">
        <v>10</v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 t="n">
        <v>0</v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96</v>
      </c>
      <c r="F4" s="85" t="n">
        <v>46080</v>
      </c>
      <c r="G4" s="85" t="n">
        <v>21</v>
      </c>
      <c r="H4" s="85" t="n">
        <v>46059</v>
      </c>
      <c r="I4" s="86" t="n">
        <v>0.9995000000000001</v>
      </c>
      <c r="J4" s="85" t="n">
        <v>548</v>
      </c>
      <c r="K4" s="85" t="n">
        <v>464</v>
      </c>
      <c r="L4" s="86" t="n">
        <v>0.8467</v>
      </c>
      <c r="M4" s="85" t="n">
        <v>25665</v>
      </c>
      <c r="N4" s="86" t="n">
        <v>0.5572</v>
      </c>
      <c r="O4" s="86" t="n">
        <v>0.4716</v>
      </c>
      <c r="P4" t="inlineStr">
        <is>
          <t>CẢNH BÁO NGHẼN/KÉM (&lt;55%)</t>
        </is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25</v>
      </c>
      <c r="F5" s="85" t="n">
        <v>12000</v>
      </c>
      <c r="G5" s="85" t="n">
        <v>10</v>
      </c>
      <c r="H5" s="85" t="n">
        <v>11990</v>
      </c>
      <c r="I5" s="86" t="n">
        <v>0.9992</v>
      </c>
      <c r="J5" s="85" t="n">
        <v>754</v>
      </c>
      <c r="K5" s="85" t="n">
        <v>585</v>
      </c>
      <c r="L5" s="86" t="n">
        <v>0.7759</v>
      </c>
      <c r="M5" s="85" t="n">
        <v>11132.5</v>
      </c>
      <c r="N5" s="86" t="n">
        <v>0.9285</v>
      </c>
      <c r="O5" s="86" t="n">
        <v>0.7198</v>
      </c>
      <c r="P5" t="inlineStr">
        <is>
          <t>VẬN HÀNH TỐT (70-84%)</t>
        </is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14</v>
      </c>
      <c r="F6" s="85" t="n">
        <v>6720</v>
      </c>
      <c r="G6" s="85" t="n">
        <v>5</v>
      </c>
      <c r="H6" s="85" t="n">
        <v>6715</v>
      </c>
      <c r="I6" s="86" t="n">
        <v>0.9993</v>
      </c>
      <c r="J6" s="85" t="n">
        <v>132</v>
      </c>
      <c r="K6" s="85" t="n">
        <v>130</v>
      </c>
      <c r="L6" s="86" t="n">
        <v>0.9848</v>
      </c>
      <c r="M6" s="85" t="n">
        <v>5859</v>
      </c>
      <c r="N6" s="86" t="n">
        <v>0.8725000000000001</v>
      </c>
      <c r="O6" s="86" t="n">
        <v>0.8587</v>
      </c>
      <c r="P6" t="inlineStr">
        <is>
          <t>ĐẲNG CẤP THẾ GIỚI (&gt;=85%)</t>
        </is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0</v>
      </c>
      <c r="F7" s="85" t="n">
        <v>0</v>
      </c>
      <c r="G7" s="85" t="n">
        <v>0</v>
      </c>
      <c r="H7" s="85" t="n">
        <v>0</v>
      </c>
      <c r="I7" s="86" t="n">
        <v>0</v>
      </c>
      <c r="J7" s="85" t="n">
        <v>0</v>
      </c>
      <c r="K7" s="85" t="n">
        <v>0</v>
      </c>
      <c r="L7" s="86" t="n">
        <v>1</v>
      </c>
      <c r="M7" s="85" t="n">
        <v>0</v>
      </c>
      <c r="N7" s="86" t="n">
        <v>0</v>
      </c>
      <c r="O7" s="86" t="n">
        <v>0</v>
      </c>
      <c r="P7" t="inlineStr">
        <is>
          <t>Chưa có kế hoạch</t>
        </is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5</v>
      </c>
      <c r="F8" s="85" t="n">
        <v>2400</v>
      </c>
      <c r="G8" s="85" t="n">
        <v>2</v>
      </c>
      <c r="H8" s="85" t="n">
        <v>2398</v>
      </c>
      <c r="I8" s="86" t="n">
        <v>0.9992</v>
      </c>
      <c r="J8" s="85" t="n">
        <v>36</v>
      </c>
      <c r="K8" s="85" t="n">
        <v>32</v>
      </c>
      <c r="L8" s="86" t="n">
        <v>0.8889</v>
      </c>
      <c r="M8" s="85" t="n">
        <v>1620</v>
      </c>
      <c r="N8" s="86" t="n">
        <v>0.6756</v>
      </c>
      <c r="O8" s="86" t="n">
        <v>0.6</v>
      </c>
      <c r="P8" t="inlineStr">
        <is>
          <t>TRUNG BÌNH (55-69%)</t>
        </is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24</v>
      </c>
      <c r="F9" s="85" t="n">
        <v>11520</v>
      </c>
      <c r="G9" s="85" t="n">
        <v>30</v>
      </c>
      <c r="H9" s="85" t="n">
        <v>11490</v>
      </c>
      <c r="I9" s="86" t="n">
        <v>0.9974</v>
      </c>
      <c r="J9" s="85" t="n">
        <v>79</v>
      </c>
      <c r="K9" s="85" t="n">
        <v>48</v>
      </c>
      <c r="L9" s="86" t="n">
        <v>0.6076</v>
      </c>
      <c r="M9" s="85" t="n">
        <v>3630</v>
      </c>
      <c r="N9" s="86" t="n">
        <v>0.3159</v>
      </c>
      <c r="O9" s="86" t="n">
        <v>0.1915</v>
      </c>
      <c r="P9" t="inlineStr">
        <is>
          <t>CẢNH BÁO NGHẼN/KÉM (&lt;55%)</t>
        </is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37</v>
      </c>
      <c r="F10" s="85" t="n">
        <v>17760</v>
      </c>
      <c r="G10" s="85" t="n">
        <v>52</v>
      </c>
      <c r="H10" s="85" t="n">
        <v>17708</v>
      </c>
      <c r="I10" s="86" t="n">
        <v>0.9971</v>
      </c>
      <c r="J10" s="85" t="n">
        <v>544</v>
      </c>
      <c r="K10" s="85" t="n">
        <v>544</v>
      </c>
      <c r="L10" s="86" t="n">
        <v>1</v>
      </c>
      <c r="M10" s="85" t="n">
        <v>14076</v>
      </c>
      <c r="N10" s="86" t="n">
        <v>0.7949000000000001</v>
      </c>
      <c r="O10" s="86" t="n">
        <v>0.7926</v>
      </c>
      <c r="P10" t="inlineStr">
        <is>
          <t>VẬN HÀNH TỐT (70-84%)</t>
        </is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16</v>
      </c>
      <c r="F11" s="85" t="n">
        <v>7680</v>
      </c>
      <c r="G11" s="85" t="n">
        <v>30</v>
      </c>
      <c r="H11" s="85" t="n">
        <v>7650</v>
      </c>
      <c r="I11" s="86" t="n">
        <v>0.9961</v>
      </c>
      <c r="J11" s="85" t="n">
        <v>169</v>
      </c>
      <c r="K11" s="85" t="n">
        <v>169</v>
      </c>
      <c r="L11" s="86" t="n">
        <v>1</v>
      </c>
      <c r="M11" s="85" t="n">
        <v>4804</v>
      </c>
      <c r="N11" s="86" t="n">
        <v>0.628</v>
      </c>
      <c r="O11" s="86" t="n">
        <v>0.6254999999999999</v>
      </c>
      <c r="P11" t="inlineStr">
        <is>
          <t>TRUNG BÌNH (55-69%)</t>
        </is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47</v>
      </c>
      <c r="F12" s="85" t="n">
        <v>22560</v>
      </c>
      <c r="G12" s="85" t="n">
        <v>57</v>
      </c>
      <c r="H12" s="85" t="n">
        <v>22503</v>
      </c>
      <c r="I12" s="86" t="n">
        <v>0.9975000000000001</v>
      </c>
      <c r="J12" s="85" t="n">
        <v>403</v>
      </c>
      <c r="K12" s="85" t="n">
        <v>402</v>
      </c>
      <c r="L12" s="86" t="n">
        <v>0.9975000000000001</v>
      </c>
      <c r="M12" s="85" t="n">
        <v>11284</v>
      </c>
      <c r="N12" s="86" t="n">
        <v>0.5014</v>
      </c>
      <c r="O12" s="86" t="n">
        <v>0.4989</v>
      </c>
      <c r="P12" t="inlineStr">
        <is>
          <t>CẢNH BÁO NGHẼN/KÉM (&lt;55%)</t>
        </is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19</v>
      </c>
      <c r="F13" s="85" t="n">
        <v>9120</v>
      </c>
      <c r="G13" s="85" t="n">
        <v>13</v>
      </c>
      <c r="H13" s="85" t="n">
        <v>9107</v>
      </c>
      <c r="I13" s="86" t="n">
        <v>0.9986</v>
      </c>
      <c r="J13" s="85" t="n">
        <v>165</v>
      </c>
      <c r="K13" s="85" t="n">
        <v>165</v>
      </c>
      <c r="L13" s="86" t="n">
        <v>1</v>
      </c>
      <c r="M13" s="85" t="n">
        <v>5280</v>
      </c>
      <c r="N13" s="86" t="n">
        <v>0.5798</v>
      </c>
      <c r="O13" s="86" t="n">
        <v>0.5789</v>
      </c>
      <c r="P13" t="inlineStr">
        <is>
          <t>TRUNG BÌNH (55-69%)</t>
        </is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23</v>
      </c>
      <c r="F14" s="85" t="n">
        <v>11040</v>
      </c>
      <c r="G14" s="85" t="n">
        <v>20</v>
      </c>
      <c r="H14" s="85" t="n">
        <v>11020</v>
      </c>
      <c r="I14" s="86" t="n">
        <v>0.9982</v>
      </c>
      <c r="J14" s="85" t="n">
        <v>186</v>
      </c>
      <c r="K14" s="85" t="n">
        <v>186</v>
      </c>
      <c r="L14" s="86" t="n">
        <v>1</v>
      </c>
      <c r="M14" s="85" t="n">
        <v>5952</v>
      </c>
      <c r="N14" s="86" t="n">
        <v>0.5401</v>
      </c>
      <c r="O14" s="86" t="n">
        <v>0.5391</v>
      </c>
      <c r="P14" t="inlineStr">
        <is>
          <t>CẢNH BÁO NGHẼN/KÉM (&lt;55%)</t>
        </is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8</v>
      </c>
      <c r="F15" s="85" t="n">
        <v>3840</v>
      </c>
      <c r="G15" s="85" t="n">
        <v>29</v>
      </c>
      <c r="H15" s="85" t="n">
        <v>3811</v>
      </c>
      <c r="I15" s="86" t="n">
        <v>0.9923999999999999</v>
      </c>
      <c r="J15" s="85" t="n">
        <v>5.75</v>
      </c>
      <c r="K15" s="85" t="n">
        <v>5.75</v>
      </c>
      <c r="L15" s="86" t="n">
        <v>1</v>
      </c>
      <c r="M15" s="85" t="n">
        <v>1485</v>
      </c>
      <c r="N15" s="86" t="n">
        <v>0.3897</v>
      </c>
      <c r="O15" s="86" t="n">
        <v>0.3867</v>
      </c>
      <c r="P15" t="inlineStr">
        <is>
          <t>CẢNH BÁO NGHẼN/KÉM (&lt;55%)</t>
        </is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0</v>
      </c>
      <c r="F16" s="85" t="n">
        <v>0</v>
      </c>
      <c r="G16" s="85" t="n">
        <v>0</v>
      </c>
      <c r="H16" s="85" t="n">
        <v>0</v>
      </c>
      <c r="I16" s="86" t="n">
        <v>0</v>
      </c>
      <c r="J16" s="85" t="n">
        <v>0</v>
      </c>
      <c r="K16" s="85" t="n">
        <v>0</v>
      </c>
      <c r="L16" s="86" t="n">
        <v>1</v>
      </c>
      <c r="M16" s="85" t="n">
        <v>0</v>
      </c>
      <c r="N16" s="86" t="n">
        <v>0</v>
      </c>
      <c r="O16" s="86" t="n">
        <v>0</v>
      </c>
      <c r="P16" t="inlineStr">
        <is>
          <t>Chưa có kế hoạch</t>
        </is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0</v>
      </c>
      <c r="F17" s="85" t="n">
        <v>0</v>
      </c>
      <c r="G17" s="85" t="n">
        <v>0</v>
      </c>
      <c r="H17" s="85" t="n">
        <v>0</v>
      </c>
      <c r="I17" s="86" t="n">
        <v>0</v>
      </c>
      <c r="J17" s="85" t="n">
        <v>0</v>
      </c>
      <c r="K17" s="85" t="n">
        <v>0</v>
      </c>
      <c r="L17" s="86" t="n">
        <v>1</v>
      </c>
      <c r="M17" s="85" t="n">
        <v>0</v>
      </c>
      <c r="N17" s="86" t="n">
        <v>0</v>
      </c>
      <c r="O17" s="86" t="n">
        <v>0</v>
      </c>
      <c r="P17" t="inlineStr">
        <is>
          <t>Chưa có kế hoạch</t>
        </is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16</v>
      </c>
      <c r="F18" s="85" t="n">
        <v>7680</v>
      </c>
      <c r="G18" s="85" t="n">
        <v>1</v>
      </c>
      <c r="H18" s="85" t="n">
        <v>7679</v>
      </c>
      <c r="I18" s="86" t="n">
        <v>0.9999</v>
      </c>
      <c r="J18" s="85" t="n">
        <v>389</v>
      </c>
      <c r="K18" s="85" t="n">
        <v>389</v>
      </c>
      <c r="L18" s="86" t="n">
        <v>1</v>
      </c>
      <c r="M18" s="85" t="n">
        <v>6292</v>
      </c>
      <c r="N18" s="86" t="n">
        <v>0.8194</v>
      </c>
      <c r="O18" s="86" t="n">
        <v>0.8193</v>
      </c>
      <c r="P18" t="inlineStr">
        <is>
          <t>VẬN HÀNH TỐT (70-84%)</t>
        </is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60</v>
      </c>
      <c r="F19" s="85" t="n">
        <v>28800</v>
      </c>
      <c r="G19" s="85" t="n">
        <v>1</v>
      </c>
      <c r="H19" s="85" t="n">
        <v>28799</v>
      </c>
      <c r="I19" s="86" t="n">
        <v>1</v>
      </c>
      <c r="J19" s="85" t="n">
        <v>233</v>
      </c>
      <c r="K19" s="85" t="n">
        <v>233</v>
      </c>
      <c r="L19" s="86" t="n">
        <v>1</v>
      </c>
      <c r="M19" s="85" t="n">
        <v>11955</v>
      </c>
      <c r="N19" s="86" t="n">
        <v>0.4151</v>
      </c>
      <c r="O19" s="86" t="n">
        <v>0.4151</v>
      </c>
      <c r="P19" t="inlineStr">
        <is>
          <t>CẢNH BÁO NGHẼN/KÉM (&lt;55%)</t>
        </is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16</v>
      </c>
      <c r="F20" s="85" t="n">
        <v>7680</v>
      </c>
      <c r="G20" s="85" t="n">
        <v>1</v>
      </c>
      <c r="H20" s="85" t="n">
        <v>7679</v>
      </c>
      <c r="I20" s="86" t="n">
        <v>0.9999</v>
      </c>
      <c r="J20" s="85" t="n">
        <v>89</v>
      </c>
      <c r="K20" s="85" t="n">
        <v>89</v>
      </c>
      <c r="L20" s="86" t="n">
        <v>1</v>
      </c>
      <c r="M20" s="85" t="n">
        <v>4110</v>
      </c>
      <c r="N20" s="86" t="n">
        <v>0.5352</v>
      </c>
      <c r="O20" s="86" t="n">
        <v>0.5352</v>
      </c>
      <c r="P20" t="inlineStr">
        <is>
          <t>CẢNH BÁO NGHẼN/KÉM (&lt;55%)</t>
        </is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E21" s="84" t="n">
        <v>406</v>
      </c>
      <c r="F21" s="85" t="n">
        <v>194880</v>
      </c>
      <c r="G21" s="85" t="n">
        <v>272</v>
      </c>
      <c r="H21" s="85" t="n">
        <v>194608</v>
      </c>
      <c r="I21" s="86" t="n">
        <v>0.9986</v>
      </c>
      <c r="J21" s="85" t="n">
        <v>3732.75</v>
      </c>
      <c r="K21" s="85" t="n">
        <v>3441.75</v>
      </c>
      <c r="L21" s="86" t="n">
        <v>0.922</v>
      </c>
      <c r="M21" s="85" t="n">
        <v>113144.5</v>
      </c>
      <c r="N21" s="86" t="n">
        <v>0.5814</v>
      </c>
      <c r="O21" s="86" t="n">
        <v>0.5353</v>
      </c>
      <c r="P21" t="inlineStr">
        <is>
          <t>CẦN CẢI TIẾN</t>
        </is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inlineStr">
        <is>
          <t>STT</t>
        </is>
      </c>
      <c r="B4" s="52" t="inlineStr">
        <is>
          <t>Mã NV</t>
        </is>
      </c>
      <c r="C4" s="53" t="inlineStr">
        <is>
          <t>Họ Và Tên Thợ Gia Công</t>
        </is>
      </c>
      <c r="D4" s="53" t="inlineStr">
        <is>
          <t>Vị Trí / Máy Đảm Nhiệm</t>
        </is>
      </c>
      <c r="E4" s="54" t="inlineStr">
        <is>
          <t>Số Ca Làm Việc</t>
        </is>
      </c>
      <c r="F4" s="55" t="inlineStr">
        <is>
          <t>Tổng Giờ Máy (h)</t>
        </is>
      </c>
      <c r="G4" s="56" t="inlineStr">
        <is>
          <t>Tổng SL Đạt (OK)</t>
        </is>
      </c>
      <c r="H4" s="56" t="inlineStr">
        <is>
          <t>Tổng SL Hỏng (NG)</t>
        </is>
      </c>
      <c r="I4" s="56" t="inlineStr">
        <is>
          <t>Tiền Khoán Tạm Tính (VNĐ)</t>
        </is>
      </c>
      <c r="J4" s="56" t="inlineStr">
        <is>
          <t>Tiền Đủ Điều Kiện (KCS Duyệt)</t>
        </is>
      </c>
      <c r="K4" s="57" t="inlineStr">
        <is>
          <t>Trừ Phạt Phế Phẩm (VNĐ)</t>
        </is>
      </c>
      <c r="L4" t="inlineStr">
        <is>
          <t>Lương Thực Lĩnh Đã Chốt (VNĐ)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>
      <c r="A5" s="58" t="n">
        <v>1</v>
      </c>
      <c r="B5" s="58" t="inlineStr">
        <is>
          <t>NV01</t>
        </is>
      </c>
      <c r="C5" s="59" t="inlineStr">
        <is>
          <t>Hoàng Ngọc Hà</t>
        </is>
      </c>
      <c r="D5" s="59" t="inlineStr">
        <is>
          <t>M01 - Máy tiện FUJI</t>
        </is>
      </c>
      <c r="E5" s="60" t="n">
        <v>1</v>
      </c>
      <c r="F5" s="61" t="n">
        <v>8</v>
      </c>
      <c r="G5" s="62" t="n">
        <v>10</v>
      </c>
      <c r="H5" s="62" t="n">
        <v>0</v>
      </c>
      <c r="I5" s="62" t="n">
        <v>4800000</v>
      </c>
      <c r="J5" s="62" t="n">
        <v>4800000</v>
      </c>
      <c r="K5" s="57" t="n">
        <v>0</v>
      </c>
      <c r="L5" t="n">
        <v>4800000</v>
      </c>
      <c r="M5" t="inlineStr">
        <is>
          <t>Đã chốt lương kỳ này</t>
        </is>
      </c>
    </row>
    <row r="6" ht="24" customHeight="1">
      <c r="A6" s="52" t="n">
        <v>2</v>
      </c>
      <c r="B6" s="52" t="inlineStr">
        <is>
          <t>NV02</t>
        </is>
      </c>
      <c r="C6" s="53" t="inlineStr">
        <is>
          <t>Nguyễn Trung Đông</t>
        </is>
      </c>
      <c r="D6" s="53" t="inlineStr">
        <is>
          <t>M02 - Máy tiện OKUMA</t>
        </is>
      </c>
      <c r="E6" s="54" t="n">
        <v>0</v>
      </c>
      <c r="F6" s="55" t="n">
        <v>0</v>
      </c>
      <c r="G6" s="56" t="n">
        <v>0</v>
      </c>
      <c r="H6" s="56" t="n">
        <v>0</v>
      </c>
      <c r="I6" s="56" t="n">
        <v>0</v>
      </c>
      <c r="J6" s="56" t="n">
        <v>0</v>
      </c>
      <c r="K6" s="57" t="n">
        <v>0</v>
      </c>
      <c r="L6" t="n">
        <v>0</v>
      </c>
      <c r="M6" t="inlineStr">
        <is>
          <t>Đã chốt lương kỳ này</t>
        </is>
      </c>
    </row>
    <row r="7" ht="24" customHeight="1">
      <c r="A7" s="58" t="n">
        <v>3</v>
      </c>
      <c r="B7" s="58" t="inlineStr">
        <is>
          <t>NV03</t>
        </is>
      </c>
      <c r="C7" s="59" t="inlineStr">
        <is>
          <t>Phùng Đình Hùng</t>
        </is>
      </c>
      <c r="D7" s="59" t="inlineStr">
        <is>
          <t>M03 - Máy tiện CNC1</t>
        </is>
      </c>
      <c r="E7" s="60" t="n">
        <v>0</v>
      </c>
      <c r="F7" s="61" t="n">
        <v>0</v>
      </c>
      <c r="G7" s="62" t="n">
        <v>0</v>
      </c>
      <c r="H7" s="62" t="n">
        <v>0</v>
      </c>
      <c r="I7" s="62" t="n">
        <v>0</v>
      </c>
      <c r="J7" s="62" t="n">
        <v>0</v>
      </c>
      <c r="K7" s="57" t="n">
        <v>0</v>
      </c>
      <c r="L7" t="n">
        <v>0</v>
      </c>
      <c r="M7" t="inlineStr">
        <is>
          <t>Đã chốt lương kỳ này</t>
        </is>
      </c>
    </row>
    <row r="8" ht="24" customHeight="1">
      <c r="A8" s="52" t="n">
        <v>4</v>
      </c>
      <c r="B8" s="52" t="inlineStr">
        <is>
          <t>NV04</t>
        </is>
      </c>
      <c r="C8" s="53" t="inlineStr">
        <is>
          <t>Vũ Tiến Thuận</t>
        </is>
      </c>
      <c r="D8" s="53" t="inlineStr">
        <is>
          <t>M04 - Máy tiện CNC2</t>
        </is>
      </c>
      <c r="E8" s="54" t="n">
        <v>0</v>
      </c>
      <c r="F8" s="55" t="n">
        <v>0</v>
      </c>
      <c r="G8" s="56" t="n">
        <v>0</v>
      </c>
      <c r="H8" s="56" t="n">
        <v>0</v>
      </c>
      <c r="I8" s="56" t="n">
        <v>0</v>
      </c>
      <c r="J8" s="56" t="n">
        <v>0</v>
      </c>
      <c r="K8" s="57" t="n">
        <v>0</v>
      </c>
      <c r="L8" t="n">
        <v>0</v>
      </c>
      <c r="M8" t="inlineStr">
        <is>
          <t>Đã chốt lương kỳ này</t>
        </is>
      </c>
    </row>
    <row r="9" ht="24" customHeight="1">
      <c r="A9" s="58" t="n">
        <v>5</v>
      </c>
      <c r="B9" s="58" t="inlineStr">
        <is>
          <t>NV05</t>
        </is>
      </c>
      <c r="C9" s="59" t="inlineStr">
        <is>
          <t>Nguyễn Mạnh Hà</t>
        </is>
      </c>
      <c r="D9" s="59" t="inlineStr">
        <is>
          <t>M05 - Máy tiện T630</t>
        </is>
      </c>
      <c r="E9" s="60" t="n">
        <v>0</v>
      </c>
      <c r="F9" s="61" t="n">
        <v>0</v>
      </c>
      <c r="G9" s="62" t="n">
        <v>0</v>
      </c>
      <c r="H9" s="62" t="n">
        <v>0</v>
      </c>
      <c r="I9" s="62" t="n">
        <v>0</v>
      </c>
      <c r="J9" s="62" t="n">
        <v>0</v>
      </c>
      <c r="K9" s="57" t="n">
        <v>0</v>
      </c>
      <c r="L9" t="n">
        <v>0</v>
      </c>
      <c r="M9" t="inlineStr">
        <is>
          <t>Đã chốt lương kỳ này</t>
        </is>
      </c>
    </row>
    <row r="10" ht="24" customHeight="1">
      <c r="A10" s="52" t="n">
        <v>6</v>
      </c>
      <c r="B10" s="52" t="inlineStr">
        <is>
          <t>NV06</t>
        </is>
      </c>
      <c r="C10" s="53" t="inlineStr">
        <is>
          <t>Nguyễn Văn Thanh</t>
        </is>
      </c>
      <c r="D10" s="53" t="inlineStr">
        <is>
          <t>M06 - Máy tiện T1516</t>
        </is>
      </c>
      <c r="E10" s="54" t="n">
        <v>0</v>
      </c>
      <c r="F10" s="55" t="n">
        <v>0</v>
      </c>
      <c r="G10" s="56" t="n">
        <v>0</v>
      </c>
      <c r="H10" s="56" t="n">
        <v>0</v>
      </c>
      <c r="I10" s="56" t="n">
        <v>0</v>
      </c>
      <c r="J10" s="56" t="n">
        <v>0</v>
      </c>
      <c r="K10" s="57" t="n">
        <v>0</v>
      </c>
      <c r="L10" t="n">
        <v>0</v>
      </c>
      <c r="M10" t="inlineStr">
        <is>
          <t>Đã chốt lương kỳ này</t>
        </is>
      </c>
    </row>
    <row r="11" ht="24" customHeight="1">
      <c r="A11" s="58" t="n">
        <v>7</v>
      </c>
      <c r="B11" s="58" t="inlineStr">
        <is>
          <t>NV07</t>
        </is>
      </c>
      <c r="C11" s="59" t="inlineStr">
        <is>
          <t>Phùng Gia Phúc</t>
        </is>
      </c>
      <c r="D11" s="59" t="inlineStr">
        <is>
          <t>M07 - Máy Phay OKK1</t>
        </is>
      </c>
      <c r="E11" s="60" t="n">
        <v>0</v>
      </c>
      <c r="F11" s="61" t="n">
        <v>0</v>
      </c>
      <c r="G11" s="62" t="n">
        <v>0</v>
      </c>
      <c r="H11" s="62" t="n">
        <v>0</v>
      </c>
      <c r="I11" s="62" t="n">
        <v>0</v>
      </c>
      <c r="J11" s="62" t="n">
        <v>0</v>
      </c>
      <c r="K11" s="57" t="n">
        <v>0</v>
      </c>
      <c r="L11" t="n">
        <v>0</v>
      </c>
      <c r="M11" t="inlineStr">
        <is>
          <t>Đã chốt lương kỳ này</t>
        </is>
      </c>
    </row>
    <row r="12" ht="24" customHeight="1">
      <c r="A12" s="52" t="n">
        <v>8</v>
      </c>
      <c r="B12" s="52" t="inlineStr">
        <is>
          <t>NV08</t>
        </is>
      </c>
      <c r="C12" s="53" t="inlineStr">
        <is>
          <t>Trần Văn Dũng</t>
        </is>
      </c>
      <c r="D12" s="53" t="inlineStr">
        <is>
          <t>M08 - Máy Phay OKK2</t>
        </is>
      </c>
      <c r="E12" s="54" t="n">
        <v>0</v>
      </c>
      <c r="F12" s="55" t="n">
        <v>0</v>
      </c>
      <c r="G12" s="56" t="n">
        <v>0</v>
      </c>
      <c r="H12" s="56" t="n">
        <v>0</v>
      </c>
      <c r="I12" s="56" t="n">
        <v>0</v>
      </c>
      <c r="J12" s="56" t="n">
        <v>0</v>
      </c>
      <c r="K12" s="57" t="n">
        <v>0</v>
      </c>
      <c r="L12" t="n">
        <v>0</v>
      </c>
      <c r="M12" t="inlineStr">
        <is>
          <t>Đã chốt lương kỳ này</t>
        </is>
      </c>
    </row>
    <row r="13" ht="24" customHeight="1">
      <c r="A13" s="58" t="n">
        <v>9</v>
      </c>
      <c r="B13" s="58" t="inlineStr">
        <is>
          <t>NV09</t>
        </is>
      </c>
      <c r="C13" s="59" t="inlineStr">
        <is>
          <t>Trần Đăng Ninh</t>
        </is>
      </c>
      <c r="D13" s="59" t="inlineStr">
        <is>
          <t>M09 - Máy Phay OKK3</t>
        </is>
      </c>
      <c r="E13" s="60" t="n">
        <v>0</v>
      </c>
      <c r="F13" s="61" t="n">
        <v>0</v>
      </c>
      <c r="G13" s="62" t="n">
        <v>0</v>
      </c>
      <c r="H13" s="62" t="n">
        <v>0</v>
      </c>
      <c r="I13" s="62" t="n">
        <v>0</v>
      </c>
      <c r="J13" s="62" t="n">
        <v>0</v>
      </c>
      <c r="K13" s="57" t="n">
        <v>0</v>
      </c>
      <c r="L13" t="n">
        <v>0</v>
      </c>
      <c r="M13" t="inlineStr">
        <is>
          <t>Đã chốt lương kỳ này</t>
        </is>
      </c>
    </row>
    <row r="14" ht="24" customHeight="1">
      <c r="A14" s="52" t="n">
        <v>10</v>
      </c>
      <c r="B14" s="52" t="inlineStr">
        <is>
          <t>NV10</t>
        </is>
      </c>
      <c r="C14" s="53" t="inlineStr">
        <is>
          <t>Phạm Văn Tráng</t>
        </is>
      </c>
      <c r="D14" s="53" t="inlineStr">
        <is>
          <t>M10 - Máy Phay CNC1</t>
        </is>
      </c>
      <c r="E14" s="54" t="n">
        <v>0</v>
      </c>
      <c r="F14" s="55" t="n">
        <v>0</v>
      </c>
      <c r="G14" s="56" t="n">
        <v>0</v>
      </c>
      <c r="H14" s="56" t="n">
        <v>0</v>
      </c>
      <c r="I14" s="56" t="n">
        <v>0</v>
      </c>
      <c r="J14" s="56" t="n">
        <v>0</v>
      </c>
      <c r="K14" s="57" t="n">
        <v>0</v>
      </c>
      <c r="L14" t="n">
        <v>0</v>
      </c>
      <c r="M14" t="inlineStr">
        <is>
          <t>Đã chốt lương kỳ này</t>
        </is>
      </c>
    </row>
    <row r="15" ht="24" customHeight="1">
      <c r="A15" s="58" t="n">
        <v>11</v>
      </c>
      <c r="B15" s="58" t="inlineStr">
        <is>
          <t>NV11</t>
        </is>
      </c>
      <c r="C15" s="59" t="inlineStr">
        <is>
          <t>Phùng Công Thắng</t>
        </is>
      </c>
      <c r="D15" s="59" t="inlineStr">
        <is>
          <t>M11 - Máy Phay CNC2</t>
        </is>
      </c>
      <c r="E15" s="60" t="n">
        <v>0</v>
      </c>
      <c r="F15" s="61" t="n">
        <v>0</v>
      </c>
      <c r="G15" s="62" t="n">
        <v>0</v>
      </c>
      <c r="H15" s="62" t="n">
        <v>0</v>
      </c>
      <c r="I15" s="62" t="n">
        <v>0</v>
      </c>
      <c r="J15" s="62" t="n">
        <v>0</v>
      </c>
      <c r="K15" s="57" t="n">
        <v>0</v>
      </c>
      <c r="L15" t="n">
        <v>0</v>
      </c>
      <c r="M15" t="inlineStr">
        <is>
          <t>Đã chốt lương kỳ này</t>
        </is>
      </c>
    </row>
    <row r="16" ht="25" customHeight="1">
      <c r="A16" s="21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23" t="n">
        <v>0</v>
      </c>
      <c r="F16" s="63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t="n">
        <v>0</v>
      </c>
      <c r="M16" t="inlineStr">
        <is>
          <t>Đã chốt lương kỳ này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inlineStr">
        <is>
          <t>Đã chốt lương kỳ này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inlineStr">
        <is>
          <t>Đã chốt lương kỳ này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inlineStr">
        <is>
          <t>Đã chốt lương kỳ này</t>
        </is>
      </c>
    </row>
    <row r="20">
      <c r="A20" t="inlineStr">
        <is>
          <t>TỔNG CỘNG QUỸ LƯƠNG KHOÁN (15 THỢ)</t>
        </is>
      </c>
      <c r="E20">
        <f>SUM(E5:E19)</f>
        <v/>
      </c>
      <c r="F20">
        <f>SUM(F5:F19)</f>
        <v/>
      </c>
      <c r="G20">
        <f>SUM(G5:G19)</f>
        <v/>
      </c>
      <c r="H20">
        <f>SUM(H5:H19)</f>
        <v/>
      </c>
      <c r="I20">
        <f>SUM(I5:I19)</f>
        <v/>
      </c>
      <c r="J20">
        <f>SUM(J5:J19)</f>
        <v/>
      </c>
      <c r="K20">
        <f>SUM(K5:K19)</f>
        <v/>
      </c>
      <c r="L20">
        <f>SUM(L5:L19)</f>
        <v/>
      </c>
      <c r="M20" t="inlineStr">
        <is>
          <t>KHỚP 100% NHẬT KÝ ĐÃ KHÓA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2026-09-14T04:08:55Z</dcterms:modified>
</cp:coreProperties>
</file>