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 t="n">
        <v>5</v>
      </c>
      <c r="E9" s="14" t="n">
        <v>450</v>
      </c>
      <c r="F9" s="14" t="n">
        <v>390</v>
      </c>
      <c r="G9" s="14" t="n">
        <v>350</v>
      </c>
      <c r="H9" s="14" t="n">
        <v>40</v>
      </c>
      <c r="I9" s="14" t="n">
        <v>100</v>
      </c>
      <c r="J9" s="15">
        <f>G9/E9</f>
        <v/>
      </c>
      <c r="K9" s="11" t="inlineStr">
        <is>
          <t>Xong xưởng - Chờ chuyển</t>
        </is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 t="n">
        <v>12</v>
      </c>
      <c r="E10" s="19" t="n">
        <v>1200</v>
      </c>
      <c r="F10" s="19" t="n">
        <v>850</v>
      </c>
      <c r="G10" s="19" t="n">
        <v>750</v>
      </c>
      <c r="H10" s="19" t="n">
        <v>100</v>
      </c>
      <c r="I10" s="19" t="n">
        <v>450</v>
      </c>
      <c r="J10" s="20">
        <f>G10/E10</f>
        <v/>
      </c>
      <c r="K10" s="16" t="inlineStr">
        <is>
          <t>Xong xưởng - Chờ chuyển</t>
        </is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 t="n">
        <v>6</v>
      </c>
      <c r="E11" s="14" t="n">
        <v>500</v>
      </c>
      <c r="F11" s="14" t="n">
        <v>410</v>
      </c>
      <c r="G11" s="14" t="n">
        <v>380</v>
      </c>
      <c r="H11" s="14" t="n">
        <v>30</v>
      </c>
      <c r="I11" s="14" t="n">
        <v>120</v>
      </c>
      <c r="J11" s="15">
        <f>G11/E11</f>
        <v/>
      </c>
      <c r="K11" s="11" t="inlineStr">
        <is>
          <t>Xong xưởng - Chờ chuyển</t>
        </is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 t="n">
        <v>4</v>
      </c>
      <c r="E12" s="19" t="n">
        <v>380</v>
      </c>
      <c r="F12" s="19" t="n">
        <v>310</v>
      </c>
      <c r="G12" s="19" t="n">
        <v>280</v>
      </c>
      <c r="H12" s="19" t="n">
        <v>30</v>
      </c>
      <c r="I12" s="19" t="n">
        <v>100</v>
      </c>
      <c r="J12" s="20">
        <f>G12/E12</f>
        <v/>
      </c>
      <c r="K12" s="16" t="inlineStr">
        <is>
          <t>Xong xưởng - Chờ chuyển</t>
        </is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 t="n">
        <v>2</v>
      </c>
      <c r="E13" s="14" t="n">
        <v>200</v>
      </c>
      <c r="F13" s="14" t="n">
        <v>180</v>
      </c>
      <c r="G13" s="14" t="n">
        <v>160</v>
      </c>
      <c r="H13" s="14" t="n">
        <v>20</v>
      </c>
      <c r="I13" s="14" t="n">
        <v>40</v>
      </c>
      <c r="J13" s="15">
        <f>G13/E13</f>
        <v/>
      </c>
      <c r="K13" s="11" t="inlineStr">
        <is>
          <t>Xong xưởng - Chờ chuyển</t>
        </is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 t="n">
        <v>15</v>
      </c>
      <c r="E14" s="19" t="n">
        <v>1450</v>
      </c>
      <c r="F14" s="19" t="n">
        <v>980</v>
      </c>
      <c r="G14" s="19" t="n">
        <v>890</v>
      </c>
      <c r="H14" s="19" t="n">
        <v>90</v>
      </c>
      <c r="I14" s="19" t="n">
        <v>560</v>
      </c>
      <c r="J14" s="20">
        <f>G14/E14</f>
        <v/>
      </c>
      <c r="K14" s="16" t="inlineStr">
        <is>
          <t>Xong xưởng - Chờ chuyển</t>
        </is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 t="n">
        <v>7</v>
      </c>
      <c r="E15" s="14" t="n">
        <v>720</v>
      </c>
      <c r="F15" s="14" t="n">
        <v>510</v>
      </c>
      <c r="G15" s="14" t="n">
        <v>460</v>
      </c>
      <c r="H15" s="14" t="n">
        <v>50</v>
      </c>
      <c r="I15" s="14" t="n">
        <v>260</v>
      </c>
      <c r="J15" s="15">
        <f>G15/E15</f>
        <v/>
      </c>
      <c r="K15" s="11" t="inlineStr">
        <is>
          <t>Xong xưởng - Chờ chuyển</t>
        </is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 t="n">
        <v>2</v>
      </c>
      <c r="E16" s="19" t="n">
        <v>180</v>
      </c>
      <c r="F16" s="19" t="n">
        <v>150</v>
      </c>
      <c r="G16" s="19" t="n">
        <v>140</v>
      </c>
      <c r="H16" s="19" t="n">
        <v>10</v>
      </c>
      <c r="I16" s="19" t="n">
        <v>40</v>
      </c>
      <c r="J16" s="20">
        <f>G16/E16</f>
        <v/>
      </c>
      <c r="K16" s="16" t="inlineStr">
        <is>
          <t>Xong xưởng - Chờ chuyển</t>
        </is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 t="n">
        <v>8</v>
      </c>
      <c r="E17" s="14" t="n">
        <v>850</v>
      </c>
      <c r="F17" s="14" t="n">
        <v>620</v>
      </c>
      <c r="G17" s="14" t="n">
        <v>550</v>
      </c>
      <c r="H17" s="14" t="n">
        <v>70</v>
      </c>
      <c r="I17" s="14" t="n">
        <v>300</v>
      </c>
      <c r="J17" s="15">
        <f>G17/E17</f>
        <v/>
      </c>
      <c r="K17" s="11" t="inlineStr">
        <is>
          <t>Xong xưởng - Chờ chuyển</t>
        </is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G18/E18</f>
        <v/>
      </c>
      <c r="K18" s="21" t="inlineStr">
        <is>
          <t>ĐIỀU ĐỘ BÌNH THƯỜNG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>
        <f>H22/60</f>
        <v/>
      </c>
      <c r="H22" s="14" t="n">
        <v>45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>
        <f>H26/60</f>
        <v/>
      </c>
      <c r="H26" s="14" t="n">
        <v>20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>
        <f>H28/60</f>
        <v/>
      </c>
      <c r="H28" s="14" t="n">
        <v>60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>
        <f>H29/60</f>
        <v/>
      </c>
      <c r="H29" s="19" t="n">
        <v>60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>
        <f>H31/60</f>
        <v/>
      </c>
      <c r="H31" s="19" t="n">
        <v>45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>
        <f>SUMIFS('07_Quet_Ma_Nhat_Ky_Ca'!$M:$M, '07_Quet_Ma_Nhat_Ky_Ca'!$J:$J, B4, '07_Quet_Ma_Nhat_Ky_Ca'!$S:$S, "ĐÚNG")</f>
        <v/>
      </c>
      <c r="G4" s="14">
        <f>SUMIFS('09_Truy_Xuat_BTP_Luan_Chuyen'!$G:$G, '09_Truy_Xuat_BTP_Luan_Chuyen'!$C:$C, B4)</f>
        <v/>
      </c>
      <c r="H4" s="14">
        <f>MAX(0, F4-G4)</f>
        <v/>
      </c>
      <c r="I4" s="14">
        <f>MAX(0, E4-G4)</f>
        <v/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>
        <f>IF(E4=0, 0, G4/E4)</f>
        <v/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>
        <f>SUMIFS('07_Quet_Ma_Nhat_Ky_Ca'!$M:$M, '07_Quet_Ma_Nhat_Ky_Ca'!$J:$J, B5, '07_Quet_Ma_Nhat_Ky_Ca'!$S:$S, "ĐÚNG")</f>
        <v/>
      </c>
      <c r="G5" s="14">
        <f>SUMIFS('09_Truy_Xuat_BTP_Luan_Chuyen'!$G:$G, '09_Truy_Xuat_BTP_Luan_Chuyen'!$C:$C, B5)</f>
        <v/>
      </c>
      <c r="H5" s="14">
        <f>MAX(0, F5-G5)</f>
        <v/>
      </c>
      <c r="I5" s="14">
        <f>MAX(0, E5-G5)</f>
        <v/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>
        <f>IF(E5=0, 0, G5/E5)</f>
        <v/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>
        <f>SUMIFS('07_Quet_Ma_Nhat_Ky_Ca'!$M:$M, '07_Quet_Ma_Nhat_Ky_Ca'!$J:$J, B6, '07_Quet_Ma_Nhat_Ky_Ca'!$S:$S, "ĐÚNG")</f>
        <v/>
      </c>
      <c r="G6" s="14">
        <f>SUMIFS('09_Truy_Xuat_BTP_Luan_Chuyen'!$G:$G, '09_Truy_Xuat_BTP_Luan_Chuyen'!$C:$C, B6)</f>
        <v/>
      </c>
      <c r="H6" s="14">
        <f>MAX(0, F6-G6)</f>
        <v/>
      </c>
      <c r="I6" s="14">
        <f>MAX(0, E6-G6)</f>
        <v/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>
        <f>IF(E6=0, 0, G6/E6)</f>
        <v/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>
        <f>SUMIFS('07_Quet_Ma_Nhat_Ky_Ca'!$M:$M, '07_Quet_Ma_Nhat_Ky_Ca'!$J:$J, B7, '07_Quet_Ma_Nhat_Ky_Ca'!$S:$S, "ĐÚNG")</f>
        <v/>
      </c>
      <c r="G7" s="14">
        <f>SUMIFS('09_Truy_Xuat_BTP_Luan_Chuyen'!$G:$G, '09_Truy_Xuat_BTP_Luan_Chuyen'!$C:$C, B7)</f>
        <v/>
      </c>
      <c r="H7" s="14">
        <f>MAX(0, F7-G7)</f>
        <v/>
      </c>
      <c r="I7" s="14">
        <f>MAX(0, E7-G7)</f>
        <v/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>
        <f>IF(E7=0, 0, G7/E7)</f>
        <v/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>
        <f>SUMIFS('07_Quet_Ma_Nhat_Ky_Ca'!$M:$M, '07_Quet_Ma_Nhat_Ky_Ca'!$J:$J, B8, '07_Quet_Ma_Nhat_Ky_Ca'!$S:$S, "ĐÚNG")</f>
        <v/>
      </c>
      <c r="G8" s="14">
        <f>SUMIFS('09_Truy_Xuat_BTP_Luan_Chuyen'!$G:$G, '09_Truy_Xuat_BTP_Luan_Chuyen'!$C:$C, B8)</f>
        <v/>
      </c>
      <c r="H8" s="14">
        <f>MAX(0, F8-G8)</f>
        <v/>
      </c>
      <c r="I8" s="14">
        <f>MAX(0, E8-G8)</f>
        <v/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>
        <f>IF(E8=0, 0, G8/E8)</f>
        <v/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>
        <f>SUMIFS('07_Quet_Ma_Nhat_Ky_Ca'!$M:$M, '07_Quet_Ma_Nhat_Ky_Ca'!$J:$J, B9, '07_Quet_Ma_Nhat_Ky_Ca'!$S:$S, "ĐÚNG")</f>
        <v/>
      </c>
      <c r="G9" s="14">
        <f>SUMIFS('09_Truy_Xuat_BTP_Luan_Chuyen'!$G:$G, '09_Truy_Xuat_BTP_Luan_Chuyen'!$C:$C, B9)</f>
        <v/>
      </c>
      <c r="H9" s="14">
        <f>MAX(0, F9-G9)</f>
        <v/>
      </c>
      <c r="I9" s="14">
        <f>MAX(0, E9-G9)</f>
        <v/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>
        <f>IF(E9=0, 0, G9/E9)</f>
        <v/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>
        <f>SUMIFS('07_Quet_Ma_Nhat_Ky_Ca'!$M:$M, '07_Quet_Ma_Nhat_Ky_Ca'!$J:$J, B10, '07_Quet_Ma_Nhat_Ky_Ca'!$S:$S, "ĐÚNG")</f>
        <v/>
      </c>
      <c r="G10" s="14">
        <f>SUMIFS('09_Truy_Xuat_BTP_Luan_Chuyen'!$G:$G, '09_Truy_Xuat_BTP_Luan_Chuyen'!$C:$C, B10)</f>
        <v/>
      </c>
      <c r="H10" s="14">
        <f>MAX(0, F10-G10)</f>
        <v/>
      </c>
      <c r="I10" s="14">
        <f>MAX(0, E10-G10)</f>
        <v/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>
        <f>IF(E10=0, 0, G10/E10)</f>
        <v/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>
        <f>SUMIFS('07_Quet_Ma_Nhat_Ky_Ca'!$M:$M, '07_Quet_Ma_Nhat_Ky_Ca'!$J:$J, B11, '07_Quet_Ma_Nhat_Ky_Ca'!$S:$S, "ĐÚNG")</f>
        <v/>
      </c>
      <c r="G11" s="14">
        <f>SUMIFS('09_Truy_Xuat_BTP_Luan_Chuyen'!$G:$G, '09_Truy_Xuat_BTP_Luan_Chuyen'!$C:$C, B11)</f>
        <v/>
      </c>
      <c r="H11" s="14">
        <f>MAX(0, F11-G11)</f>
        <v/>
      </c>
      <c r="I11" s="14">
        <f>MAX(0, E11-G11)</f>
        <v/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>
        <f>IF(E11=0, 0, G11/E11)</f>
        <v/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>
        <f>SUMIFS('07_Quet_Ma_Nhat_Ky_Ca'!$M:$M, '07_Quet_Ma_Nhat_Ky_Ca'!$J:$J, B12, '07_Quet_Ma_Nhat_Ky_Ca'!$S:$S, "ĐÚNG")</f>
        <v/>
      </c>
      <c r="G12" s="14">
        <f>SUMIFS('09_Truy_Xuat_BTP_Luan_Chuyen'!$G:$G, '09_Truy_Xuat_BTP_Luan_Chuyen'!$C:$C, B12)</f>
        <v/>
      </c>
      <c r="H12" s="14">
        <f>MAX(0, F12-G12)</f>
        <v/>
      </c>
      <c r="I12" s="14">
        <f>MAX(0, E12-G12)</f>
        <v/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>
        <f>IF(E12=0, 0, G12/E12)</f>
        <v/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>
        <f>SUMIFS('07_Quet_Ma_Nhat_Ky_Ca'!$M:$M, '07_Quet_Ma_Nhat_Ky_Ca'!$J:$J, B13, '07_Quet_Ma_Nhat_Ky_Ca'!$S:$S, "ĐÚNG")</f>
        <v/>
      </c>
      <c r="G13" s="14">
        <f>SUMIFS('09_Truy_Xuat_BTP_Luan_Chuyen'!$G:$G, '09_Truy_Xuat_BTP_Luan_Chuyen'!$C:$C, B13)</f>
        <v/>
      </c>
      <c r="H13" s="14">
        <f>MAX(0, F13-G13)</f>
        <v/>
      </c>
      <c r="I13" s="14">
        <f>MAX(0, E13-G13)</f>
        <v/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>
        <f>IF(E13=0, 0, G13/E13)</f>
        <v/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>
        <f>SUMIFS('07_Quet_Ma_Nhat_Ky_Ca'!$M:$M, '07_Quet_Ma_Nhat_Ky_Ca'!$J:$J, B14, '07_Quet_Ma_Nhat_Ky_Ca'!$S:$S, "ĐÚNG")</f>
        <v/>
      </c>
      <c r="G14" s="14">
        <f>SUMIFS('09_Truy_Xuat_BTP_Luan_Chuyen'!$G:$G, '09_Truy_Xuat_BTP_Luan_Chuyen'!$C:$C, B14)</f>
        <v/>
      </c>
      <c r="H14" s="14">
        <f>MAX(0, F14-G14)</f>
        <v/>
      </c>
      <c r="I14" s="14">
        <f>MAX(0, E14-G14)</f>
        <v/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>
        <f>IF(E14=0, 0, G14/E14)</f>
        <v/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>
        <f>SUMIFS('07_Quet_Ma_Nhat_Ky_Ca'!$M:$M, '07_Quet_Ma_Nhat_Ky_Ca'!$J:$J, B15, '07_Quet_Ma_Nhat_Ky_Ca'!$S:$S, "ĐÚNG")</f>
        <v/>
      </c>
      <c r="G15" s="14">
        <f>SUMIFS('09_Truy_Xuat_BTP_Luan_Chuyen'!$G:$G, '09_Truy_Xuat_BTP_Luan_Chuyen'!$C:$C, B15)</f>
        <v/>
      </c>
      <c r="H15" s="14">
        <f>MAX(0, F15-G15)</f>
        <v/>
      </c>
      <c r="I15" s="14">
        <f>MAX(0, E15-G15)</f>
        <v/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>
        <f>IF(E15=0, 0, G15/E15)</f>
        <v/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>
        <f>SUMIFS('07_Quet_Ma_Nhat_Ky_Ca'!$M:$M, '07_Quet_Ma_Nhat_Ky_Ca'!$J:$J, B16, '07_Quet_Ma_Nhat_Ky_Ca'!$S:$S, "ĐÚNG")</f>
        <v/>
      </c>
      <c r="G16" s="14">
        <f>SUMIFS('09_Truy_Xuat_BTP_Luan_Chuyen'!$G:$G, '09_Truy_Xuat_BTP_Luan_Chuyen'!$C:$C, B16)</f>
        <v/>
      </c>
      <c r="H16" s="14">
        <f>MAX(0, F16-G16)</f>
        <v/>
      </c>
      <c r="I16" s="14">
        <f>MAX(0, E16-G16)</f>
        <v/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>
        <f>IF(E16=0, 0, G16/E16)</f>
        <v/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>
        <f>SUMIFS('07_Quet_Ma_Nhat_Ky_Ca'!$M:$M, '07_Quet_Ma_Nhat_Ky_Ca'!$J:$J, B17, '07_Quet_Ma_Nhat_Ky_Ca'!$S:$S, "ĐÚNG")</f>
        <v/>
      </c>
      <c r="G17" s="14">
        <f>SUMIFS('09_Truy_Xuat_BTP_Luan_Chuyen'!$G:$G, '09_Truy_Xuat_BTP_Luan_Chuyen'!$C:$C, B17)</f>
        <v/>
      </c>
      <c r="H17" s="14">
        <f>MAX(0, F17-G17)</f>
        <v/>
      </c>
      <c r="I17" s="14">
        <f>MAX(0, E17-G17)</f>
        <v/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>
        <f>IF(E17=0, 0, G17/E17)</f>
        <v/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>
        <f>SUMIFS('07_Quet_Ma_Nhat_Ky_Ca'!$M:$M, '07_Quet_Ma_Nhat_Ky_Ca'!$J:$J, B18, '07_Quet_Ma_Nhat_Ky_Ca'!$S:$S, "ĐÚNG")</f>
        <v/>
      </c>
      <c r="G18" s="14">
        <f>SUMIFS('09_Truy_Xuat_BTP_Luan_Chuyen'!$G:$G, '09_Truy_Xuat_BTP_Luan_Chuyen'!$C:$C, B18)</f>
        <v/>
      </c>
      <c r="H18" s="14">
        <f>MAX(0, F18-G18)</f>
        <v/>
      </c>
      <c r="I18" s="14">
        <f>MAX(0, E18-G18)</f>
        <v/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>
        <f>IF(E18=0, 0, G18/E18)</f>
        <v/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>
        <f>SUMIFS('07_Quet_Ma_Nhat_Ky_Ca'!$M:$M, '07_Quet_Ma_Nhat_Ky_Ca'!$J:$J, B19, '07_Quet_Ma_Nhat_Ky_Ca'!$S:$S, "ĐÚNG")</f>
        <v/>
      </c>
      <c r="G19" s="14">
        <f>SUMIFS('09_Truy_Xuat_BTP_Luan_Chuyen'!$G:$G, '09_Truy_Xuat_BTP_Luan_Chuyen'!$C:$C, B19)</f>
        <v/>
      </c>
      <c r="H19" s="14">
        <f>MAX(0, F19-G19)</f>
        <v/>
      </c>
      <c r="I19" s="14">
        <f>MAX(0, E19-G19)</f>
        <v/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>
        <f>IF(E19=0, 0, G19/E19)</f>
        <v/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>
        <f>SUMIFS('07_Quet_Ma_Nhat_Ky_Ca'!$M:$M, '07_Quet_Ma_Nhat_Ky_Ca'!$J:$J, B20, '07_Quet_Ma_Nhat_Ky_Ca'!$S:$S, "ĐÚNG")</f>
        <v/>
      </c>
      <c r="G20" s="14">
        <f>SUMIFS('09_Truy_Xuat_BTP_Luan_Chuyen'!$G:$G, '09_Truy_Xuat_BTP_Luan_Chuyen'!$C:$C, B20)</f>
        <v/>
      </c>
      <c r="H20" s="14">
        <f>MAX(0, F20-G20)</f>
        <v/>
      </c>
      <c r="I20" s="14">
        <f>MAX(0, E20-G20)</f>
        <v/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>
        <f>IF(E20=0, 0, G20/E20)</f>
        <v/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>
        <f>SUMIFS('07_Quet_Ma_Nhat_Ky_Ca'!$M:$M, '07_Quet_Ma_Nhat_Ky_Ca'!$J:$J, B21, '07_Quet_Ma_Nhat_Ky_Ca'!$S:$S, "ĐÚNG")</f>
        <v/>
      </c>
      <c r="G21" s="14">
        <f>SUMIFS('09_Truy_Xuat_BTP_Luan_Chuyen'!$G:$G, '09_Truy_Xuat_BTP_Luan_Chuyen'!$C:$C, B21)</f>
        <v/>
      </c>
      <c r="H21" s="14">
        <f>MAX(0, F21-G21)</f>
        <v/>
      </c>
      <c r="I21" s="14">
        <f>MAX(0, E21-G21)</f>
        <v/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>
        <f>IF(E21=0, 0, G21/E21)</f>
        <v/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>
        <f>SUMIFS('07_Quet_Ma_Nhat_Ky_Ca'!$M:$M, '07_Quet_Ma_Nhat_Ky_Ca'!$J:$J, B22, '07_Quet_Ma_Nhat_Ky_Ca'!$S:$S, "ĐÚNG")</f>
        <v/>
      </c>
      <c r="G22" s="14">
        <f>SUMIFS('09_Truy_Xuat_BTP_Luan_Chuyen'!$G:$G, '09_Truy_Xuat_BTP_Luan_Chuyen'!$C:$C, B22)</f>
        <v/>
      </c>
      <c r="H22" s="14">
        <f>MAX(0, F22-G22)</f>
        <v/>
      </c>
      <c r="I22" s="14">
        <f>MAX(0, E22-G22)</f>
        <v/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>
        <f>IF(E22=0, 0, G22/E22)</f>
        <v/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>
        <f>SUMIFS('07_Quet_Ma_Nhat_Ky_Ca'!$M:$M, '07_Quet_Ma_Nhat_Ky_Ca'!$J:$J, B23, '07_Quet_Ma_Nhat_Ky_Ca'!$S:$S, "ĐÚNG")</f>
        <v/>
      </c>
      <c r="G23" s="14">
        <f>SUMIFS('09_Truy_Xuat_BTP_Luan_Chuyen'!$G:$G, '09_Truy_Xuat_BTP_Luan_Chuyen'!$C:$C, B23)</f>
        <v/>
      </c>
      <c r="H23" s="14">
        <f>MAX(0, F23-G23)</f>
        <v/>
      </c>
      <c r="I23" s="14">
        <f>MAX(0, E23-G23)</f>
        <v/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>
        <f>IF(E23=0, 0, G23/E23)</f>
        <v/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>
        <f>SUMIFS('07_Quet_Ma_Nhat_Ky_Ca'!$M:$M, '07_Quet_Ma_Nhat_Ky_Ca'!$J:$J, B24, '07_Quet_Ma_Nhat_Ky_Ca'!$S:$S, "ĐÚNG")</f>
        <v/>
      </c>
      <c r="G24" s="14">
        <f>SUMIFS('09_Truy_Xuat_BTP_Luan_Chuyen'!$G:$G, '09_Truy_Xuat_BTP_Luan_Chuyen'!$C:$C, B24)</f>
        <v/>
      </c>
      <c r="H24" s="14">
        <f>MAX(0, F24-G24)</f>
        <v/>
      </c>
      <c r="I24" s="14">
        <f>MAX(0, E24-G24)</f>
        <v/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>
        <f>IF(E24=0, 0, G24/E24)</f>
        <v/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>
        <f>SUMIFS('07_Quet_Ma_Nhat_Ky_Ca'!$M:$M, '07_Quet_Ma_Nhat_Ky_Ca'!$J:$J, B25, '07_Quet_Ma_Nhat_Ky_Ca'!$S:$S, "ĐÚNG")</f>
        <v/>
      </c>
      <c r="G25" s="14">
        <f>SUMIFS('09_Truy_Xuat_BTP_Luan_Chuyen'!$G:$G, '09_Truy_Xuat_BTP_Luan_Chuyen'!$C:$C, B25)</f>
        <v/>
      </c>
      <c r="H25" s="14">
        <f>MAX(0, F25-G25)</f>
        <v/>
      </c>
      <c r="I25" s="14">
        <f>MAX(0, E25-G25)</f>
        <v/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>
        <f>IF(E25=0, 0, G25/E25)</f>
        <v/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>
        <f>SUMIFS('07_Quet_Ma_Nhat_Ky_Ca'!$M:$M, '07_Quet_Ma_Nhat_Ky_Ca'!$J:$J, B26, '07_Quet_Ma_Nhat_Ky_Ca'!$S:$S, "ĐÚNG")</f>
        <v/>
      </c>
      <c r="G26" s="14">
        <f>SUMIFS('09_Truy_Xuat_BTP_Luan_Chuyen'!$G:$G, '09_Truy_Xuat_BTP_Luan_Chuyen'!$C:$C, B26)</f>
        <v/>
      </c>
      <c r="H26" s="14">
        <f>MAX(0, F26-G26)</f>
        <v/>
      </c>
      <c r="I26" s="14">
        <f>MAX(0, E26-G26)</f>
        <v/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>
        <f>IF(E26=0, 0, G26/E26)</f>
        <v/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>
        <f>SUMIFS('07_Quet_Ma_Nhat_Ky_Ca'!$M:$M, '07_Quet_Ma_Nhat_Ky_Ca'!$J:$J, B27, '07_Quet_Ma_Nhat_Ky_Ca'!$S:$S, "ĐÚNG")</f>
        <v/>
      </c>
      <c r="G27" s="14">
        <f>SUMIFS('09_Truy_Xuat_BTP_Luan_Chuyen'!$G:$G, '09_Truy_Xuat_BTP_Luan_Chuyen'!$C:$C, B27)</f>
        <v/>
      </c>
      <c r="H27" s="14">
        <f>MAX(0, F27-G27)</f>
        <v/>
      </c>
      <c r="I27" s="14">
        <f>MAX(0, E27-G27)</f>
        <v/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>
        <f>IF(E27=0, 0, G27/E27)</f>
        <v/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>
        <f>SUMIFS('07_Quet_Ma_Nhat_Ky_Ca'!$M:$M, '07_Quet_Ma_Nhat_Ky_Ca'!$J:$J, B28, '07_Quet_Ma_Nhat_Ky_Ca'!$S:$S, "ĐÚNG")</f>
        <v/>
      </c>
      <c r="G28" s="14">
        <f>SUMIFS('09_Truy_Xuat_BTP_Luan_Chuyen'!$G:$G, '09_Truy_Xuat_BTP_Luan_Chuyen'!$C:$C, B28)</f>
        <v/>
      </c>
      <c r="H28" s="14">
        <f>MAX(0, F28-G28)</f>
        <v/>
      </c>
      <c r="I28" s="14">
        <f>MAX(0, E28-G28)</f>
        <v/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>
        <f>IF(E28=0, 0, G28/E28)</f>
        <v/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>
        <f>SUMIFS('07_Quet_Ma_Nhat_Ky_Ca'!$M:$M, '07_Quet_Ma_Nhat_Ky_Ca'!$J:$J, B29, '07_Quet_Ma_Nhat_Ky_Ca'!$S:$S, "ĐÚNG")</f>
        <v/>
      </c>
      <c r="G29" s="14">
        <f>SUMIFS('09_Truy_Xuat_BTP_Luan_Chuyen'!$G:$G, '09_Truy_Xuat_BTP_Luan_Chuyen'!$C:$C, B29)</f>
        <v/>
      </c>
      <c r="H29" s="14">
        <f>MAX(0, F29-G29)</f>
        <v/>
      </c>
      <c r="I29" s="14">
        <f>MAX(0, E29-G29)</f>
        <v/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>
        <f>IF(E29=0, 0, G29/E29)</f>
        <v/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>
        <f>SUMIFS('07_Quet_Ma_Nhat_Ky_Ca'!$M:$M, '07_Quet_Ma_Nhat_Ky_Ca'!$J:$J, B30, '07_Quet_Ma_Nhat_Ky_Ca'!$S:$S, "ĐÚNG")</f>
        <v/>
      </c>
      <c r="G30" s="14">
        <f>SUMIFS('09_Truy_Xuat_BTP_Luan_Chuyen'!$G:$G, '09_Truy_Xuat_BTP_Luan_Chuyen'!$C:$C, B30)</f>
        <v/>
      </c>
      <c r="H30" s="14">
        <f>MAX(0, F30-G30)</f>
        <v/>
      </c>
      <c r="I30" s="14">
        <f>MAX(0, E30-G30)</f>
        <v/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>
        <f>IF(E30=0, 0, G30/E30)</f>
        <v/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>
        <f>SUMIFS('07_Quet_Ma_Nhat_Ky_Ca'!$M:$M, '07_Quet_Ma_Nhat_Ky_Ca'!$J:$J, B31, '07_Quet_Ma_Nhat_Ky_Ca'!$S:$S, "ĐÚNG")</f>
        <v/>
      </c>
      <c r="G31" s="14">
        <f>SUMIFS('09_Truy_Xuat_BTP_Luan_Chuyen'!$G:$G, '09_Truy_Xuat_BTP_Luan_Chuyen'!$C:$C, B31)</f>
        <v/>
      </c>
      <c r="H31" s="14">
        <f>MAX(0, F31-G31)</f>
        <v/>
      </c>
      <c r="I31" s="14">
        <f>MAX(0, E31-G31)</f>
        <v/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>
        <f>IF(E31=0, 0, G31/E31)</f>
        <v/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>
        <f>SUMIFS('07_Quet_Ma_Nhat_Ky_Ca'!$M:$M, '07_Quet_Ma_Nhat_Ky_Ca'!$J:$J, B32, '07_Quet_Ma_Nhat_Ky_Ca'!$S:$S, "ĐÚNG")</f>
        <v/>
      </c>
      <c r="G32" s="14">
        <f>SUMIFS('09_Truy_Xuat_BTP_Luan_Chuyen'!$G:$G, '09_Truy_Xuat_BTP_Luan_Chuyen'!$C:$C, B32)</f>
        <v/>
      </c>
      <c r="H32" s="14">
        <f>MAX(0, F32-G32)</f>
        <v/>
      </c>
      <c r="I32" s="14">
        <f>MAX(0, E32-G32)</f>
        <v/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>
        <f>IF(E32=0, 0, G32/E32)</f>
        <v/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>
        <f>SUMIFS('07_Quet_Ma_Nhat_Ky_Ca'!$M:$M, '07_Quet_Ma_Nhat_Ky_Ca'!$J:$J, B33, '07_Quet_Ma_Nhat_Ky_Ca'!$S:$S, "ĐÚNG")</f>
        <v/>
      </c>
      <c r="G33" s="14">
        <f>SUMIFS('09_Truy_Xuat_BTP_Luan_Chuyen'!$G:$G, '09_Truy_Xuat_BTP_Luan_Chuyen'!$C:$C, B33)</f>
        <v/>
      </c>
      <c r="H33" s="14">
        <f>MAX(0, F33-G33)</f>
        <v/>
      </c>
      <c r="I33" s="14">
        <f>MAX(0, E33-G33)</f>
        <v/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>
        <f>IF(E33=0, 0, G33/E33)</f>
        <v/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>
        <f>SUMIFS('07_Quet_Ma_Nhat_Ky_Ca'!$M:$M, '07_Quet_Ma_Nhat_Ky_Ca'!$J:$J, B34, '07_Quet_Ma_Nhat_Ky_Ca'!$S:$S, "ĐÚNG")</f>
        <v/>
      </c>
      <c r="G34" s="14">
        <f>SUMIFS('09_Truy_Xuat_BTP_Luan_Chuyen'!$G:$G, '09_Truy_Xuat_BTP_Luan_Chuyen'!$C:$C, B34)</f>
        <v/>
      </c>
      <c r="H34" s="14">
        <f>MAX(0, F34-G34)</f>
        <v/>
      </c>
      <c r="I34" s="14">
        <f>MAX(0, E34-G34)</f>
        <v/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>
        <f>IF(E34=0, 0, G34/E34)</f>
        <v/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>
        <f>SUMIFS('07_Quet_Ma_Nhat_Ky_Ca'!$M:$M, '07_Quet_Ma_Nhat_Ky_Ca'!$J:$J, B35, '07_Quet_Ma_Nhat_Ky_Ca'!$S:$S, "ĐÚNG")</f>
        <v/>
      </c>
      <c r="G35" s="14">
        <f>SUMIFS('09_Truy_Xuat_BTP_Luan_Chuyen'!$G:$G, '09_Truy_Xuat_BTP_Luan_Chuyen'!$C:$C, B35)</f>
        <v/>
      </c>
      <c r="H35" s="14">
        <f>MAX(0, F35-G35)</f>
        <v/>
      </c>
      <c r="I35" s="14">
        <f>MAX(0, E35-G35)</f>
        <v/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>
        <f>IF(E35=0, 0, G35/E35)</f>
        <v/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>
        <f>SUMIFS('07_Quet_Ma_Nhat_Ky_Ca'!$M:$M, '07_Quet_Ma_Nhat_Ky_Ca'!$J:$J, B36, '07_Quet_Ma_Nhat_Ky_Ca'!$S:$S, "ĐÚNG")</f>
        <v/>
      </c>
      <c r="G36" s="14">
        <f>SUMIFS('09_Truy_Xuat_BTP_Luan_Chuyen'!$G:$G, '09_Truy_Xuat_BTP_Luan_Chuyen'!$C:$C, B36)</f>
        <v/>
      </c>
      <c r="H36" s="14">
        <f>MAX(0, F36-G36)</f>
        <v/>
      </c>
      <c r="I36" s="14">
        <f>MAX(0, E36-G36)</f>
        <v/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>
        <f>IF(E36=0, 0, G36/E36)</f>
        <v/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>
        <f>SUMIFS('07_Quet_Ma_Nhat_Ky_Ca'!$M:$M, '07_Quet_Ma_Nhat_Ky_Ca'!$J:$J, B37, '07_Quet_Ma_Nhat_Ky_Ca'!$S:$S, "ĐÚNG")</f>
        <v/>
      </c>
      <c r="G37" s="14">
        <f>SUMIFS('09_Truy_Xuat_BTP_Luan_Chuyen'!$G:$G, '09_Truy_Xuat_BTP_Luan_Chuyen'!$C:$C, B37)</f>
        <v/>
      </c>
      <c r="H37" s="14">
        <f>MAX(0, F37-G37)</f>
        <v/>
      </c>
      <c r="I37" s="14">
        <f>MAX(0, E37-G37)</f>
        <v/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>
        <f>IF(E37=0, 0, G37/E37)</f>
        <v/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>
        <f>SUMIFS('07_Quet_Ma_Nhat_Ky_Ca'!$M:$M, '07_Quet_Ma_Nhat_Ky_Ca'!$J:$J, B38, '07_Quet_Ma_Nhat_Ky_Ca'!$S:$S, "ĐÚNG")</f>
        <v/>
      </c>
      <c r="G38" s="14">
        <f>SUMIFS('09_Truy_Xuat_BTP_Luan_Chuyen'!$G:$G, '09_Truy_Xuat_BTP_Luan_Chuyen'!$C:$C, B38)</f>
        <v/>
      </c>
      <c r="H38" s="14">
        <f>MAX(0, F38-G38)</f>
        <v/>
      </c>
      <c r="I38" s="14">
        <f>MAX(0, E38-G38)</f>
        <v/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>
        <f>IF(E38=0, 0, G38/E38)</f>
        <v/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>
        <f>SUMIFS('07_Quet_Ma_Nhat_Ky_Ca'!$M:$M, '07_Quet_Ma_Nhat_Ky_Ca'!$J:$J, B39, '07_Quet_Ma_Nhat_Ky_Ca'!$S:$S, "ĐÚNG")</f>
        <v/>
      </c>
      <c r="G39" s="14">
        <f>SUMIFS('09_Truy_Xuat_BTP_Luan_Chuyen'!$G:$G, '09_Truy_Xuat_BTP_Luan_Chuyen'!$C:$C, B39)</f>
        <v/>
      </c>
      <c r="H39" s="14">
        <f>MAX(0, F39-G39)</f>
        <v/>
      </c>
      <c r="I39" s="14">
        <f>MAX(0, E39-G39)</f>
        <v/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>
        <f>IF(E39=0, 0, G39/E39)</f>
        <v/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>
        <f>SUMIFS('07_Quet_Ma_Nhat_Ky_Ca'!$M:$M, '07_Quet_Ma_Nhat_Ky_Ca'!$J:$J, B40, '07_Quet_Ma_Nhat_Ky_Ca'!$S:$S, "ĐÚNG")</f>
        <v/>
      </c>
      <c r="G40" s="14">
        <f>SUMIFS('09_Truy_Xuat_BTP_Luan_Chuyen'!$G:$G, '09_Truy_Xuat_BTP_Luan_Chuyen'!$C:$C, B40)</f>
        <v/>
      </c>
      <c r="H40" s="14">
        <f>MAX(0, F40-G40)</f>
        <v/>
      </c>
      <c r="I40" s="14">
        <f>MAX(0, E40-G40)</f>
        <v/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>
        <f>IF(E40=0, 0, G40/E40)</f>
        <v/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>
        <f>SUMIFS('07_Quet_Ma_Nhat_Ky_Ca'!$M:$M, '07_Quet_Ma_Nhat_Ky_Ca'!$J:$J, B41, '07_Quet_Ma_Nhat_Ky_Ca'!$S:$S, "ĐÚNG")</f>
        <v/>
      </c>
      <c r="G41" s="14">
        <f>SUMIFS('09_Truy_Xuat_BTP_Luan_Chuyen'!$G:$G, '09_Truy_Xuat_BTP_Luan_Chuyen'!$C:$C, B41)</f>
        <v/>
      </c>
      <c r="H41" s="14">
        <f>MAX(0, F41-G41)</f>
        <v/>
      </c>
      <c r="I41" s="14">
        <f>MAX(0, E41-G41)</f>
        <v/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>
        <f>IF(E41=0, 0, G41/E41)</f>
        <v/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>
        <f>SUMIFS('07_Quet_Ma_Nhat_Ky_Ca'!$M:$M, '07_Quet_Ma_Nhat_Ky_Ca'!$J:$J, B42, '07_Quet_Ma_Nhat_Ky_Ca'!$S:$S, "ĐÚNG")</f>
        <v/>
      </c>
      <c r="G42" s="14">
        <f>SUMIFS('09_Truy_Xuat_BTP_Luan_Chuyen'!$G:$G, '09_Truy_Xuat_BTP_Luan_Chuyen'!$C:$C, B42)</f>
        <v/>
      </c>
      <c r="H42" s="14">
        <f>MAX(0, F42-G42)</f>
        <v/>
      </c>
      <c r="I42" s="14">
        <f>MAX(0, E42-G42)</f>
        <v/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>
        <f>IF(E42=0, 0, G42/E42)</f>
        <v/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>
        <f>SUMIFS('07_Quet_Ma_Nhat_Ky_Ca'!$M:$M, '07_Quet_Ma_Nhat_Ky_Ca'!$J:$J, B43, '07_Quet_Ma_Nhat_Ky_Ca'!$S:$S, "ĐÚNG")</f>
        <v/>
      </c>
      <c r="G43" s="14">
        <f>SUMIFS('09_Truy_Xuat_BTP_Luan_Chuyen'!$G:$G, '09_Truy_Xuat_BTP_Luan_Chuyen'!$C:$C, B43)</f>
        <v/>
      </c>
      <c r="H43" s="14">
        <f>MAX(0, F43-G43)</f>
        <v/>
      </c>
      <c r="I43" s="14">
        <f>MAX(0, E43-G43)</f>
        <v/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>
        <f>IF(E43=0, 0, G43/E43)</f>
        <v/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>
        <f>SUMIFS('07_Quet_Ma_Nhat_Ky_Ca'!$M:$M, '07_Quet_Ma_Nhat_Ky_Ca'!$J:$J, B44, '07_Quet_Ma_Nhat_Ky_Ca'!$S:$S, "ĐÚNG")</f>
        <v/>
      </c>
      <c r="G44" s="14">
        <f>SUMIFS('09_Truy_Xuat_BTP_Luan_Chuyen'!$G:$G, '09_Truy_Xuat_BTP_Luan_Chuyen'!$C:$C, B44)</f>
        <v/>
      </c>
      <c r="H44" s="14">
        <f>MAX(0, F44-G44)</f>
        <v/>
      </c>
      <c r="I44" s="14">
        <f>MAX(0, E44-G44)</f>
        <v/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>
        <f>IF(E44=0, 0, G44/E44)</f>
        <v/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>
        <f>SUMIFS('07_Quet_Ma_Nhat_Ky_Ca'!$M:$M, '07_Quet_Ma_Nhat_Ky_Ca'!$J:$J, B45, '07_Quet_Ma_Nhat_Ky_Ca'!$S:$S, "ĐÚNG")</f>
        <v/>
      </c>
      <c r="G45" s="14">
        <f>SUMIFS('09_Truy_Xuat_BTP_Luan_Chuyen'!$G:$G, '09_Truy_Xuat_BTP_Luan_Chuyen'!$C:$C, B45)</f>
        <v/>
      </c>
      <c r="H45" s="14">
        <f>MAX(0, F45-G45)</f>
        <v/>
      </c>
      <c r="I45" s="14">
        <f>MAX(0, E45-G45)</f>
        <v/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>
        <f>IF(E45=0, 0, G45/E45)</f>
        <v/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>
        <f>SUMIFS('07_Quet_Ma_Nhat_Ky_Ca'!$M:$M, '07_Quet_Ma_Nhat_Ky_Ca'!$J:$J, B46, '07_Quet_Ma_Nhat_Ky_Ca'!$S:$S, "ĐÚNG")</f>
        <v/>
      </c>
      <c r="G46" s="14">
        <f>SUMIFS('09_Truy_Xuat_BTP_Luan_Chuyen'!$G:$G, '09_Truy_Xuat_BTP_Luan_Chuyen'!$C:$C, B46)</f>
        <v/>
      </c>
      <c r="H46" s="14">
        <f>MAX(0, F46-G46)</f>
        <v/>
      </c>
      <c r="I46" s="14">
        <f>MAX(0, E46-G46)</f>
        <v/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>
        <f>IF(E46=0, 0, G46/E46)</f>
        <v/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>
        <f>SUMIFS('07_Quet_Ma_Nhat_Ky_Ca'!$M:$M, '07_Quet_Ma_Nhat_Ky_Ca'!$J:$J, B47, '07_Quet_Ma_Nhat_Ky_Ca'!$S:$S, "ĐÚNG")</f>
        <v/>
      </c>
      <c r="G47" s="14">
        <f>SUMIFS('09_Truy_Xuat_BTP_Luan_Chuyen'!$G:$G, '09_Truy_Xuat_BTP_Luan_Chuyen'!$C:$C, B47)</f>
        <v/>
      </c>
      <c r="H47" s="14">
        <f>MAX(0, F47-G47)</f>
        <v/>
      </c>
      <c r="I47" s="14">
        <f>MAX(0, E47-G47)</f>
        <v/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>
        <f>IF(E47=0, 0, G47/E47)</f>
        <v/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>
        <f>SUMIFS('07_Quet_Ma_Nhat_Ky_Ca'!$M:$M, '07_Quet_Ma_Nhat_Ky_Ca'!$J:$J, B48, '07_Quet_Ma_Nhat_Ky_Ca'!$S:$S, "ĐÚNG")</f>
        <v/>
      </c>
      <c r="G48" s="14">
        <f>SUMIFS('09_Truy_Xuat_BTP_Luan_Chuyen'!$G:$G, '09_Truy_Xuat_BTP_Luan_Chuyen'!$C:$C, B48)</f>
        <v/>
      </c>
      <c r="H48" s="14">
        <f>MAX(0, F48-G48)</f>
        <v/>
      </c>
      <c r="I48" s="14">
        <f>MAX(0, E48-G48)</f>
        <v/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>
        <f>IF(E48=0, 0, G48/E48)</f>
        <v/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>
        <f>SUMIFS('07_Quet_Ma_Nhat_Ky_Ca'!$M:$M, '07_Quet_Ma_Nhat_Ky_Ca'!$J:$J, B49, '07_Quet_Ma_Nhat_Ky_Ca'!$S:$S, "ĐÚNG")</f>
        <v/>
      </c>
      <c r="G49" s="14">
        <f>SUMIFS('09_Truy_Xuat_BTP_Luan_Chuyen'!$G:$G, '09_Truy_Xuat_BTP_Luan_Chuyen'!$C:$C, B49)</f>
        <v/>
      </c>
      <c r="H49" s="14">
        <f>MAX(0, F49-G49)</f>
        <v/>
      </c>
      <c r="I49" s="14">
        <f>MAX(0, E49-G49)</f>
        <v/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>
        <f>IF(E49=0, 0, G49/E49)</f>
        <v/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>
        <f>SUMIFS('07_Quet_Ma_Nhat_Ky_Ca'!$M:$M, '07_Quet_Ma_Nhat_Ky_Ca'!$J:$J, B50, '07_Quet_Ma_Nhat_Ky_Ca'!$S:$S, "ĐÚNG")</f>
        <v/>
      </c>
      <c r="G50" s="14">
        <f>SUMIFS('09_Truy_Xuat_BTP_Luan_Chuyen'!$G:$G, '09_Truy_Xuat_BTP_Luan_Chuyen'!$C:$C, B50)</f>
        <v/>
      </c>
      <c r="H50" s="14">
        <f>MAX(0, F50-G50)</f>
        <v/>
      </c>
      <c r="I50" s="14">
        <f>MAX(0, E50-G50)</f>
        <v/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>
        <f>IF(E50=0, 0, G50/E50)</f>
        <v/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>
        <f>SUMIFS('07_Quet_Ma_Nhat_Ky_Ca'!$M:$M, '07_Quet_Ma_Nhat_Ky_Ca'!$J:$J, B51, '07_Quet_Ma_Nhat_Ky_Ca'!$S:$S, "ĐÚNG")</f>
        <v/>
      </c>
      <c r="G51" s="14">
        <f>SUMIFS('09_Truy_Xuat_BTP_Luan_Chuyen'!$G:$G, '09_Truy_Xuat_BTP_Luan_Chuyen'!$C:$C, B51)</f>
        <v/>
      </c>
      <c r="H51" s="14">
        <f>MAX(0, F51-G51)</f>
        <v/>
      </c>
      <c r="I51" s="14">
        <f>MAX(0, E51-G51)</f>
        <v/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>
        <f>IF(E51=0, 0, G51/E51)</f>
        <v/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>
        <f>SUMIFS('07_Quet_Ma_Nhat_Ky_Ca'!$M:$M, '07_Quet_Ma_Nhat_Ky_Ca'!$J:$J, B52, '07_Quet_Ma_Nhat_Ky_Ca'!$S:$S, "ĐÚNG")</f>
        <v/>
      </c>
      <c r="G52" s="14">
        <f>SUMIFS('09_Truy_Xuat_BTP_Luan_Chuyen'!$G:$G, '09_Truy_Xuat_BTP_Luan_Chuyen'!$C:$C, B52)</f>
        <v/>
      </c>
      <c r="H52" s="14">
        <f>MAX(0, F52-G52)</f>
        <v/>
      </c>
      <c r="I52" s="14">
        <f>MAX(0, E52-G52)</f>
        <v/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>
        <f>IF(E52=0, 0, G52/E52)</f>
        <v/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>
        <f>SUMIFS('07_Quet_Ma_Nhat_Ky_Ca'!$M:$M, '07_Quet_Ma_Nhat_Ky_Ca'!$J:$J, B53, '07_Quet_Ma_Nhat_Ky_Ca'!$S:$S, "ĐÚNG")</f>
        <v/>
      </c>
      <c r="G53" s="14">
        <f>SUMIFS('09_Truy_Xuat_BTP_Luan_Chuyen'!$G:$G, '09_Truy_Xuat_BTP_Luan_Chuyen'!$C:$C, B53)</f>
        <v/>
      </c>
      <c r="H53" s="14">
        <f>MAX(0, F53-G53)</f>
        <v/>
      </c>
      <c r="I53" s="14">
        <f>MAX(0, E53-G53)</f>
        <v/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>
        <f>IF(E53=0, 0, G53/E53)</f>
        <v/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>
        <f>SUMIFS('07_Quet_Ma_Nhat_Ky_Ca'!$M:$M, '07_Quet_Ma_Nhat_Ky_Ca'!$J:$J, B54, '07_Quet_Ma_Nhat_Ky_Ca'!$S:$S, "ĐÚNG")</f>
        <v/>
      </c>
      <c r="G54" s="14">
        <f>SUMIFS('09_Truy_Xuat_BTP_Luan_Chuyen'!$G:$G, '09_Truy_Xuat_BTP_Luan_Chuyen'!$C:$C, B54)</f>
        <v/>
      </c>
      <c r="H54" s="14">
        <f>MAX(0, F54-G54)</f>
        <v/>
      </c>
      <c r="I54" s="14">
        <f>MAX(0, E54-G54)</f>
        <v/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>
        <f>IF(E54=0, 0, G54/E54)</f>
        <v/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>
        <f>SUMIFS('07_Quet_Ma_Nhat_Ky_Ca'!$M:$M, '07_Quet_Ma_Nhat_Ky_Ca'!$J:$J, B55, '07_Quet_Ma_Nhat_Ky_Ca'!$S:$S, "ĐÚNG")</f>
        <v/>
      </c>
      <c r="G55" s="14">
        <f>SUMIFS('09_Truy_Xuat_BTP_Luan_Chuyen'!$G:$G, '09_Truy_Xuat_BTP_Luan_Chuyen'!$C:$C, B55)</f>
        <v/>
      </c>
      <c r="H55" s="14">
        <f>MAX(0, F55-G55)</f>
        <v/>
      </c>
      <c r="I55" s="14">
        <f>MAX(0, E55-G55)</f>
        <v/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>
        <f>IF(E55=0, 0, G55/E55)</f>
        <v/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>
        <f>SUMIFS('07_Quet_Ma_Nhat_Ky_Ca'!$M:$M, '07_Quet_Ma_Nhat_Ky_Ca'!$J:$J, B56, '07_Quet_Ma_Nhat_Ky_Ca'!$S:$S, "ĐÚNG")</f>
        <v/>
      </c>
      <c r="G56" s="14">
        <f>SUMIFS('09_Truy_Xuat_BTP_Luan_Chuyen'!$G:$G, '09_Truy_Xuat_BTP_Luan_Chuyen'!$C:$C, B56)</f>
        <v/>
      </c>
      <c r="H56" s="14">
        <f>MAX(0, F56-G56)</f>
        <v/>
      </c>
      <c r="I56" s="14">
        <f>MAX(0, E56-G56)</f>
        <v/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>
        <f>IF(E56=0, 0, G56/E56)</f>
        <v/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>
        <f>SUMIFS('07_Quet_Ma_Nhat_Ky_Ca'!$M:$M, '07_Quet_Ma_Nhat_Ky_Ca'!$J:$J, B57, '07_Quet_Ma_Nhat_Ky_Ca'!$S:$S, "ĐÚNG")</f>
        <v/>
      </c>
      <c r="G57" s="14">
        <f>SUMIFS('09_Truy_Xuat_BTP_Luan_Chuyen'!$G:$G, '09_Truy_Xuat_BTP_Luan_Chuyen'!$C:$C, B57)</f>
        <v/>
      </c>
      <c r="H57" s="14">
        <f>MAX(0, F57-G57)</f>
        <v/>
      </c>
      <c r="I57" s="14">
        <f>MAX(0, E57-G57)</f>
        <v/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>
        <f>IF(E57=0, 0, G57/E57)</f>
        <v/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>
        <f>SUMIFS('07_Quet_Ma_Nhat_Ky_Ca'!$M:$M, '07_Quet_Ma_Nhat_Ky_Ca'!$J:$J, B58, '07_Quet_Ma_Nhat_Ky_Ca'!$S:$S, "ĐÚNG")</f>
        <v/>
      </c>
      <c r="G58" s="14">
        <f>SUMIFS('09_Truy_Xuat_BTP_Luan_Chuyen'!$G:$G, '09_Truy_Xuat_BTP_Luan_Chuyen'!$C:$C, B58)</f>
        <v/>
      </c>
      <c r="H58" s="14">
        <f>MAX(0, F58-G58)</f>
        <v/>
      </c>
      <c r="I58" s="14">
        <f>MAX(0, E58-G58)</f>
        <v/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>
        <f>IF(E58=0, 0, G58/E58)</f>
        <v/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>
        <f>SUMIFS('07_Quet_Ma_Nhat_Ky_Ca'!$M:$M, '07_Quet_Ma_Nhat_Ky_Ca'!$J:$J, B59, '07_Quet_Ma_Nhat_Ky_Ca'!$S:$S, "ĐÚNG")</f>
        <v/>
      </c>
      <c r="G59" s="14">
        <f>SUMIFS('09_Truy_Xuat_BTP_Luan_Chuyen'!$G:$G, '09_Truy_Xuat_BTP_Luan_Chuyen'!$C:$C, B59)</f>
        <v/>
      </c>
      <c r="H59" s="14">
        <f>MAX(0, F59-G59)</f>
        <v/>
      </c>
      <c r="I59" s="14">
        <f>MAX(0, E59-G59)</f>
        <v/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>
        <f>IF(E59=0, 0, G59/E59)</f>
        <v/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>
        <f>SUMIFS('07_Quet_Ma_Nhat_Ky_Ca'!$M:$M, '07_Quet_Ma_Nhat_Ky_Ca'!$J:$J, B60, '07_Quet_Ma_Nhat_Ky_Ca'!$S:$S, "ĐÚNG")</f>
        <v/>
      </c>
      <c r="G60" s="14">
        <f>SUMIFS('09_Truy_Xuat_BTP_Luan_Chuyen'!$G:$G, '09_Truy_Xuat_BTP_Luan_Chuyen'!$C:$C, B60)</f>
        <v/>
      </c>
      <c r="H60" s="14">
        <f>MAX(0, F60-G60)</f>
        <v/>
      </c>
      <c r="I60" s="14">
        <f>MAX(0, E60-G60)</f>
        <v/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>
        <f>IF(E60=0, 0, G60/E60)</f>
        <v/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>
        <f>SUMIFS('07_Quet_Ma_Nhat_Ky_Ca'!$M:$M, '07_Quet_Ma_Nhat_Ky_Ca'!$J:$J, B61, '07_Quet_Ma_Nhat_Ky_Ca'!$S:$S, "ĐÚNG")</f>
        <v/>
      </c>
      <c r="G61" s="14">
        <f>SUMIFS('09_Truy_Xuat_BTP_Luan_Chuyen'!$G:$G, '09_Truy_Xuat_BTP_Luan_Chuyen'!$C:$C, B61)</f>
        <v/>
      </c>
      <c r="H61" s="14">
        <f>MAX(0, F61-G61)</f>
        <v/>
      </c>
      <c r="I61" s="14">
        <f>MAX(0, E61-G61)</f>
        <v/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>
        <f>IF(E61=0, 0, G61/E61)</f>
        <v/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>
        <f>SUMIFS('07_Quet_Ma_Nhat_Ky_Ca'!$M:$M, '07_Quet_Ma_Nhat_Ky_Ca'!$J:$J, B62, '07_Quet_Ma_Nhat_Ky_Ca'!$S:$S, "ĐÚNG")</f>
        <v/>
      </c>
      <c r="G62" s="14">
        <f>SUMIFS('09_Truy_Xuat_BTP_Luan_Chuyen'!$G:$G, '09_Truy_Xuat_BTP_Luan_Chuyen'!$C:$C, B62)</f>
        <v/>
      </c>
      <c r="H62" s="14">
        <f>MAX(0, F62-G62)</f>
        <v/>
      </c>
      <c r="I62" s="14">
        <f>MAX(0, E62-G62)</f>
        <v/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>
        <f>IF(E62=0, 0, G62/E62)</f>
        <v/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>
        <f>SUMIFS('07_Quet_Ma_Nhat_Ky_Ca'!$M:$M, '07_Quet_Ma_Nhat_Ky_Ca'!$J:$J, B63, '07_Quet_Ma_Nhat_Ky_Ca'!$S:$S, "ĐÚNG")</f>
        <v/>
      </c>
      <c r="G63" s="14">
        <f>SUMIFS('09_Truy_Xuat_BTP_Luan_Chuyen'!$G:$G, '09_Truy_Xuat_BTP_Luan_Chuyen'!$C:$C, B63)</f>
        <v/>
      </c>
      <c r="H63" s="14">
        <f>MAX(0, F63-G63)</f>
        <v/>
      </c>
      <c r="I63" s="14">
        <f>MAX(0, E63-G63)</f>
        <v/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>
        <f>IF(E63=0, 0, G63/E63)</f>
        <v/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>
        <f>SUMIFS('07_Quet_Ma_Nhat_Ky_Ca'!$M:$M, '07_Quet_Ma_Nhat_Ky_Ca'!$J:$J, B64, '07_Quet_Ma_Nhat_Ky_Ca'!$S:$S, "ĐÚNG")</f>
        <v/>
      </c>
      <c r="G64" s="14">
        <f>SUMIFS('09_Truy_Xuat_BTP_Luan_Chuyen'!$G:$G, '09_Truy_Xuat_BTP_Luan_Chuyen'!$C:$C, B64)</f>
        <v/>
      </c>
      <c r="H64" s="14">
        <f>MAX(0, F64-G64)</f>
        <v/>
      </c>
      <c r="I64" s="14">
        <f>MAX(0, E64-G64)</f>
        <v/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>
        <f>IF(E64=0, 0, G64/E64)</f>
        <v/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2</v>
      </c>
      <c r="F4" s="85" t="n">
        <v>960</v>
      </c>
      <c r="G4" s="85" t="n">
        <v>0</v>
      </c>
      <c r="H4" s="85" t="n">
        <v>900</v>
      </c>
      <c r="I4" s="86" t="n">
        <v>0.9379999999999999</v>
      </c>
      <c r="J4" s="85" t="n">
        <v>20</v>
      </c>
      <c r="K4" s="85" t="n">
        <v>20</v>
      </c>
      <c r="L4" s="86" t="n">
        <v>1</v>
      </c>
      <c r="M4" s="85" t="n">
        <v>850</v>
      </c>
      <c r="N4" s="86" t="n">
        <v>0.944</v>
      </c>
      <c r="O4" s="86" t="n">
        <v>0.885</v>
      </c>
      <c r="P4" t="inlineStr">
        <is>
          <t>ĐẲNG CẤP THẾ GIỚI (&gt;=85%)</t>
        </is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</v>
      </c>
      <c r="F5" s="85" t="n">
        <v>960</v>
      </c>
      <c r="G5" s="85" t="n">
        <v>0</v>
      </c>
      <c r="H5" s="85" t="n">
        <v>900</v>
      </c>
      <c r="I5" s="86" t="n">
        <v>0.9379999999999999</v>
      </c>
      <c r="J5" s="85" t="n">
        <v>25</v>
      </c>
      <c r="K5" s="85" t="n">
        <v>25</v>
      </c>
      <c r="L5" s="86" t="n">
        <v>1</v>
      </c>
      <c r="M5" s="85" t="n">
        <v>840</v>
      </c>
      <c r="N5" s="86" t="n">
        <v>0.9330000000000001</v>
      </c>
      <c r="O5" s="86" t="n">
        <v>0.875</v>
      </c>
      <c r="P5" t="inlineStr">
        <is>
          <t>ĐẲNG CẤP THẾ GIỚI (&gt;=85%)</t>
        </is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2</v>
      </c>
      <c r="F6" s="85" t="n">
        <v>960</v>
      </c>
      <c r="G6" s="85" t="n">
        <v>0</v>
      </c>
      <c r="H6" s="85" t="n">
        <v>900</v>
      </c>
      <c r="I6" s="86" t="n">
        <v>0.9379999999999999</v>
      </c>
      <c r="J6" s="85" t="n">
        <v>30</v>
      </c>
      <c r="K6" s="85" t="n">
        <v>29</v>
      </c>
      <c r="L6" s="86" t="n">
        <v>0.967</v>
      </c>
      <c r="M6" s="85" t="n">
        <v>860</v>
      </c>
      <c r="N6" s="86" t="n">
        <v>0.956</v>
      </c>
      <c r="O6" s="86" t="n">
        <v>0.867</v>
      </c>
      <c r="P6" t="inlineStr">
        <is>
          <t>ĐẲNG CẤP THẾ GIỚI (&gt;=85%)</t>
        </is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2</v>
      </c>
      <c r="F7" s="85" t="n">
        <v>960</v>
      </c>
      <c r="G7" s="85" t="n">
        <v>0</v>
      </c>
      <c r="H7" s="85" t="n">
        <v>900</v>
      </c>
      <c r="I7" s="86" t="n">
        <v>0.9379999999999999</v>
      </c>
      <c r="J7" s="85" t="n">
        <v>28</v>
      </c>
      <c r="K7" s="85" t="n">
        <v>28</v>
      </c>
      <c r="L7" s="86" t="n">
        <v>1</v>
      </c>
      <c r="M7" s="85" t="n">
        <v>820</v>
      </c>
      <c r="N7" s="86" t="n">
        <v>0.911</v>
      </c>
      <c r="O7" s="86" t="n">
        <v>0.854</v>
      </c>
      <c r="P7" t="inlineStr">
        <is>
          <t>ĐẲNG CẤP THẾ GIỚI (&gt;=85%)</t>
        </is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1.5</v>
      </c>
      <c r="F8" s="85" t="n">
        <v>720</v>
      </c>
      <c r="G8" s="85" t="n">
        <v>30</v>
      </c>
      <c r="H8" s="85" t="n">
        <v>645</v>
      </c>
      <c r="I8" s="86" t="n">
        <v>0.896</v>
      </c>
      <c r="J8" s="85" t="n">
        <v>12</v>
      </c>
      <c r="K8" s="85" t="n">
        <v>12</v>
      </c>
      <c r="L8" s="86" t="n">
        <v>1</v>
      </c>
      <c r="M8" s="85" t="n">
        <v>580</v>
      </c>
      <c r="N8" s="86" t="n">
        <v>0.899</v>
      </c>
      <c r="O8" s="86" t="n">
        <v>0.805</v>
      </c>
      <c r="P8" t="inlineStr">
        <is>
          <t>VẬN HÀNH TỐT (70-84%)</t>
        </is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</v>
      </c>
      <c r="F9" s="85" t="n">
        <v>960</v>
      </c>
      <c r="G9" s="85" t="n">
        <v>0</v>
      </c>
      <c r="H9" s="85" t="n">
        <v>900</v>
      </c>
      <c r="I9" s="86" t="n">
        <v>0.9379999999999999</v>
      </c>
      <c r="J9" s="85" t="n">
        <v>8</v>
      </c>
      <c r="K9" s="85" t="n">
        <v>8</v>
      </c>
      <c r="L9" s="86" t="n">
        <v>1</v>
      </c>
      <c r="M9" s="85" t="n">
        <v>800</v>
      </c>
      <c r="N9" s="86" t="n">
        <v>0.889</v>
      </c>
      <c r="O9" s="86" t="n">
        <v>0.834</v>
      </c>
      <c r="P9" t="inlineStr">
        <is>
          <t>VẬN HÀNH TỐT (70-84%)</t>
        </is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2</v>
      </c>
      <c r="F10" s="85" t="n">
        <v>960</v>
      </c>
      <c r="G10" s="85" t="n">
        <v>0</v>
      </c>
      <c r="H10" s="85" t="n">
        <v>900</v>
      </c>
      <c r="I10" s="86" t="n">
        <v>0.9379999999999999</v>
      </c>
      <c r="J10" s="85" t="n">
        <v>24</v>
      </c>
      <c r="K10" s="85" t="n">
        <v>24</v>
      </c>
      <c r="L10" s="86" t="n">
        <v>1</v>
      </c>
      <c r="M10" s="85" t="n">
        <v>850</v>
      </c>
      <c r="N10" s="86" t="n">
        <v>0.944</v>
      </c>
      <c r="O10" s="86" t="n">
        <v>0.885</v>
      </c>
      <c r="P10" t="inlineStr">
        <is>
          <t>ĐẲNG CẤP THẾ GIỚI (&gt;=85%)</t>
        </is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2</v>
      </c>
      <c r="F11" s="85" t="n">
        <v>960</v>
      </c>
      <c r="G11" s="85" t="n">
        <v>0</v>
      </c>
      <c r="H11" s="85" t="n">
        <v>900</v>
      </c>
      <c r="I11" s="86" t="n">
        <v>0.9379999999999999</v>
      </c>
      <c r="J11" s="85" t="n">
        <v>22</v>
      </c>
      <c r="K11" s="85" t="n">
        <v>22</v>
      </c>
      <c r="L11" s="86" t="n">
        <v>1</v>
      </c>
      <c r="M11" s="85" t="n">
        <v>840</v>
      </c>
      <c r="N11" s="86" t="n">
        <v>0.9330000000000001</v>
      </c>
      <c r="O11" s="86" t="n">
        <v>0.875</v>
      </c>
      <c r="P11" t="inlineStr">
        <is>
          <t>ĐẲNG CẤP THẾ GIỚI (&gt;=85%)</t>
        </is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2</v>
      </c>
      <c r="F12" s="85" t="n">
        <v>960</v>
      </c>
      <c r="G12" s="85" t="n">
        <v>0</v>
      </c>
      <c r="H12" s="85" t="n">
        <v>900</v>
      </c>
      <c r="I12" s="86" t="n">
        <v>0.9379999999999999</v>
      </c>
      <c r="J12" s="85" t="n">
        <v>26</v>
      </c>
      <c r="K12" s="85" t="n">
        <v>26</v>
      </c>
      <c r="L12" s="86" t="n">
        <v>1</v>
      </c>
      <c r="M12" s="85" t="n">
        <v>860</v>
      </c>
      <c r="N12" s="86" t="n">
        <v>0.956</v>
      </c>
      <c r="O12" s="86" t="n">
        <v>0.897</v>
      </c>
      <c r="P12" t="inlineStr">
        <is>
          <t>ĐẲNG CẤP THẾ GIỚI (&gt;=85%)</t>
        </is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2</v>
      </c>
      <c r="F13" s="85" t="n">
        <v>960</v>
      </c>
      <c r="G13" s="85" t="n">
        <v>0</v>
      </c>
      <c r="H13" s="85" t="n">
        <v>900</v>
      </c>
      <c r="I13" s="86" t="n">
        <v>0.9379999999999999</v>
      </c>
      <c r="J13" s="85" t="n">
        <v>20</v>
      </c>
      <c r="K13" s="85" t="n">
        <v>20</v>
      </c>
      <c r="L13" s="86" t="n">
        <v>1</v>
      </c>
      <c r="M13" s="85" t="n">
        <v>800</v>
      </c>
      <c r="N13" s="86" t="n">
        <v>0.889</v>
      </c>
      <c r="O13" s="86" t="n">
        <v>0.834</v>
      </c>
      <c r="P13" t="inlineStr">
        <is>
          <t>VẬN HÀNH TỐT (70-84%)</t>
        </is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</v>
      </c>
      <c r="F14" s="85" t="n">
        <v>960</v>
      </c>
      <c r="G14" s="85" t="n">
        <v>0</v>
      </c>
      <c r="H14" s="85" t="n">
        <v>900</v>
      </c>
      <c r="I14" s="86" t="n">
        <v>0.9379999999999999</v>
      </c>
      <c r="J14" s="85" t="n">
        <v>22</v>
      </c>
      <c r="K14" s="85" t="n">
        <v>21</v>
      </c>
      <c r="L14" s="86" t="n">
        <v>0.955</v>
      </c>
      <c r="M14" s="85" t="n">
        <v>810</v>
      </c>
      <c r="N14" s="86" t="n">
        <v>0.9</v>
      </c>
      <c r="O14" s="86" t="n">
        <v>0.806</v>
      </c>
      <c r="P14" t="inlineStr">
        <is>
          <t>VẬN HÀNH TỐT (70-84%)</t>
        </is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2</v>
      </c>
      <c r="F15" s="85" t="n">
        <v>960</v>
      </c>
      <c r="G15" s="85" t="n">
        <v>45</v>
      </c>
      <c r="H15" s="85" t="n">
        <v>855</v>
      </c>
      <c r="I15" s="86" t="n">
        <v>0.891</v>
      </c>
      <c r="J15" s="85" t="n">
        <v>10</v>
      </c>
      <c r="K15" s="85" t="n">
        <v>10</v>
      </c>
      <c r="L15" s="86" t="n">
        <v>1</v>
      </c>
      <c r="M15" s="85" t="n">
        <v>780</v>
      </c>
      <c r="N15" s="86" t="n">
        <v>0.912</v>
      </c>
      <c r="O15" s="86" t="n">
        <v>0.8129999999999999</v>
      </c>
      <c r="P15" t="inlineStr">
        <is>
          <t>VẬN HÀNH TỐT (70-84%)</t>
        </is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1.5</v>
      </c>
      <c r="F16" s="85" t="n">
        <v>720</v>
      </c>
      <c r="G16" s="85" t="n">
        <v>0</v>
      </c>
      <c r="H16" s="85" t="n">
        <v>675</v>
      </c>
      <c r="I16" s="86" t="n">
        <v>0.9379999999999999</v>
      </c>
      <c r="J16" s="85" t="n">
        <v>15</v>
      </c>
      <c r="K16" s="85" t="n">
        <v>15</v>
      </c>
      <c r="L16" s="86" t="n">
        <v>1</v>
      </c>
      <c r="M16" s="85" t="n">
        <v>590</v>
      </c>
      <c r="N16" s="86" t="n">
        <v>0.874</v>
      </c>
      <c r="O16" s="86" t="n">
        <v>0.82</v>
      </c>
      <c r="P16" t="inlineStr">
        <is>
          <t>VẬN HÀNH TỐT (70-84%)</t>
        </is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2</v>
      </c>
      <c r="F17" s="85" t="n">
        <v>960</v>
      </c>
      <c r="G17" s="85" t="n">
        <v>0</v>
      </c>
      <c r="H17" s="85" t="n">
        <v>900</v>
      </c>
      <c r="I17" s="86" t="n">
        <v>0.9379999999999999</v>
      </c>
      <c r="J17" s="85" t="n">
        <v>50</v>
      </c>
      <c r="K17" s="85" t="n">
        <v>50</v>
      </c>
      <c r="L17" s="86" t="n">
        <v>1</v>
      </c>
      <c r="M17" s="85" t="n">
        <v>850</v>
      </c>
      <c r="N17" s="86" t="n">
        <v>0.944</v>
      </c>
      <c r="O17" s="86" t="n">
        <v>0.885</v>
      </c>
      <c r="P17" t="inlineStr">
        <is>
          <t>ĐẲNG CẤP THẾ GIỚI (&gt;=85%)</t>
        </is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2</v>
      </c>
      <c r="F18" s="85" t="n">
        <v>960</v>
      </c>
      <c r="G18" s="85" t="n">
        <v>20</v>
      </c>
      <c r="H18" s="85" t="n">
        <v>880</v>
      </c>
      <c r="I18" s="86" t="n">
        <v>0.917</v>
      </c>
      <c r="J18" s="85" t="n">
        <v>35</v>
      </c>
      <c r="K18" s="85" t="n">
        <v>34</v>
      </c>
      <c r="L18" s="86" t="n">
        <v>0.971</v>
      </c>
      <c r="M18" s="85" t="n">
        <v>800</v>
      </c>
      <c r="N18" s="86" t="n">
        <v>0.909</v>
      </c>
      <c r="O18" s="86" t="n">
        <v>0.8100000000000001</v>
      </c>
      <c r="P18" t="inlineStr">
        <is>
          <t>VẬN HÀNH TỐT (70-84%)</t>
        </is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2.5</v>
      </c>
      <c r="F19" s="85" t="n">
        <v>1200</v>
      </c>
      <c r="G19" s="85" t="n">
        <v>0</v>
      </c>
      <c r="H19" s="85" t="n">
        <v>1125</v>
      </c>
      <c r="I19" s="86" t="n">
        <v>0.9379999999999999</v>
      </c>
      <c r="J19" s="85" t="n">
        <v>14</v>
      </c>
      <c r="K19" s="85" t="n">
        <v>14</v>
      </c>
      <c r="L19" s="86" t="n">
        <v>1</v>
      </c>
      <c r="M19" s="85" t="n">
        <v>1050</v>
      </c>
      <c r="N19" s="86" t="n">
        <v>0.9330000000000001</v>
      </c>
      <c r="O19" s="86" t="n">
        <v>0.875</v>
      </c>
      <c r="P19" t="inlineStr">
        <is>
          <t>ĐẲNG CẤP THẾ GIỚI (&gt;=85%)</t>
        </is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1.5</v>
      </c>
      <c r="F20" s="85" t="n">
        <v>720</v>
      </c>
      <c r="G20" s="85" t="n">
        <v>0</v>
      </c>
      <c r="H20" s="85" t="n">
        <v>675</v>
      </c>
      <c r="I20" s="86" t="n">
        <v>0.9379999999999999</v>
      </c>
      <c r="J20" s="85" t="n">
        <v>18</v>
      </c>
      <c r="K20" s="85" t="n">
        <v>18</v>
      </c>
      <c r="L20" s="86" t="n">
        <v>1</v>
      </c>
      <c r="M20" s="85" t="n">
        <v>580</v>
      </c>
      <c r="N20" s="86" t="n">
        <v>0.859</v>
      </c>
      <c r="O20" s="86" t="n">
        <v>0.806</v>
      </c>
      <c r="P20" t="inlineStr">
        <is>
          <t>VẬN HÀNH TỐT (70-84%)</t>
        </is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E21" s="84" t="n">
        <v>33.5</v>
      </c>
      <c r="F21" s="85" t="n">
        <v>16080</v>
      </c>
      <c r="G21" s="85" t="n">
        <v>95</v>
      </c>
      <c r="H21" s="85" t="n">
        <v>14985</v>
      </c>
      <c r="I21" s="86" t="n">
        <v>0.9320000000000001</v>
      </c>
      <c r="J21" s="85" t="n">
        <v>377</v>
      </c>
      <c r="K21" s="85" t="n">
        <v>374</v>
      </c>
      <c r="L21" s="86" t="n">
        <v>0.992</v>
      </c>
      <c r="M21" s="85" t="n">
        <v>13760</v>
      </c>
      <c r="N21" s="86">
        <f>MIN(1.0, M21/H21)</f>
        <v/>
      </c>
      <c r="O21" s="86">
        <f>MIN(1.0, I21*L21*N21)</f>
        <v/>
      </c>
      <c r="P21" t="inlineStr">
        <is>
          <t>VẬN HÀNH TỐT (70-84%)</t>
        </is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inlineStr">
        <is>
          <t>STT</t>
        </is>
      </c>
      <c r="B4" s="52" t="inlineStr">
        <is>
          <t>Mã NV</t>
        </is>
      </c>
      <c r="C4" s="53" t="inlineStr">
        <is>
          <t>Họ Và Tên Thợ Gia Công</t>
        </is>
      </c>
      <c r="D4" s="53" t="inlineStr">
        <is>
          <t>Vị Trí / Máy Đảm Nhiệm</t>
        </is>
      </c>
      <c r="E4" s="54" t="inlineStr">
        <is>
          <t>Số Ca Làm Việc</t>
        </is>
      </c>
      <c r="F4" s="55" t="inlineStr">
        <is>
          <t>Tổng Giờ Máy (h)</t>
        </is>
      </c>
      <c r="G4" s="56" t="inlineStr">
        <is>
          <t>Tổng SL Đạt (OK)</t>
        </is>
      </c>
      <c r="H4" s="56" t="inlineStr">
        <is>
          <t>Tổng SL Hỏng (NG)</t>
        </is>
      </c>
      <c r="I4" s="56" t="inlineStr">
        <is>
          <t>Tiền Khoán Tạm Tính (VNĐ)</t>
        </is>
      </c>
      <c r="J4" s="56" t="inlineStr">
        <is>
          <t>Tiền Đủ Điều Kiện (KCS Duyệt)</t>
        </is>
      </c>
      <c r="K4" s="57" t="inlineStr">
        <is>
          <t>Trừ Phạt Phế Phẩm (VNĐ)</t>
        </is>
      </c>
      <c r="L4" t="inlineStr">
        <is>
          <t>Lương Thực Lĩnh Đã Chốt (VNĐ)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>
      <c r="A5" s="58" t="n">
        <v>1</v>
      </c>
      <c r="B5" s="58" t="inlineStr">
        <is>
          <t>NV01</t>
        </is>
      </c>
      <c r="C5" s="59" t="inlineStr">
        <is>
          <t>Hoàng Ngọc Hà</t>
        </is>
      </c>
      <c r="D5" s="59" t="inlineStr">
        <is>
          <t>M01 - Máy tiện FUJI</t>
        </is>
      </c>
      <c r="E5" s="60" t="n">
        <v>10</v>
      </c>
      <c r="F5" s="61" t="n">
        <v>80</v>
      </c>
      <c r="G5" s="62" t="n">
        <v>160</v>
      </c>
      <c r="H5" s="62" t="n">
        <v>1</v>
      </c>
      <c r="I5" s="62" t="n">
        <v>5600000</v>
      </c>
      <c r="J5" s="62" t="n">
        <v>5600000</v>
      </c>
      <c r="K5" s="57" t="n">
        <v>0</v>
      </c>
      <c r="L5" t="n">
        <v>5600000</v>
      </c>
      <c r="M5" t="inlineStr">
        <is>
          <t>Đã chốt lương kỳ này</t>
        </is>
      </c>
    </row>
    <row r="6" ht="24" customHeight="1">
      <c r="A6" s="52" t="n">
        <v>2</v>
      </c>
      <c r="B6" s="52" t="inlineStr">
        <is>
          <t>NV02</t>
        </is>
      </c>
      <c r="C6" s="53" t="inlineStr">
        <is>
          <t>Nguyễn Trung Đông</t>
        </is>
      </c>
      <c r="D6" s="53" t="inlineStr">
        <is>
          <t>M02 - Máy tiện OKUMA</t>
        </is>
      </c>
      <c r="E6" s="54" t="n">
        <v>10</v>
      </c>
      <c r="F6" s="55" t="n">
        <v>80</v>
      </c>
      <c r="G6" s="56" t="n">
        <v>160</v>
      </c>
      <c r="H6" s="56" t="n">
        <v>1</v>
      </c>
      <c r="I6" s="56" t="n">
        <v>5600000</v>
      </c>
      <c r="J6" s="56" t="n">
        <v>5600000</v>
      </c>
      <c r="K6" s="57" t="n">
        <v>0</v>
      </c>
      <c r="L6" t="n">
        <v>5600000</v>
      </c>
      <c r="M6" t="inlineStr">
        <is>
          <t>Đã chốt lương kỳ này</t>
        </is>
      </c>
    </row>
    <row r="7" ht="24" customHeight="1">
      <c r="A7" s="58" t="n">
        <v>3</v>
      </c>
      <c r="B7" s="58" t="inlineStr">
        <is>
          <t>NV03</t>
        </is>
      </c>
      <c r="C7" s="59" t="inlineStr">
        <is>
          <t>Phùng Đình Hùng</t>
        </is>
      </c>
      <c r="D7" s="59" t="inlineStr">
        <is>
          <t>M03 - Máy tiện CNC1</t>
        </is>
      </c>
      <c r="E7" s="60" t="n">
        <v>10</v>
      </c>
      <c r="F7" s="61" t="n">
        <v>80</v>
      </c>
      <c r="G7" s="62" t="n">
        <v>160</v>
      </c>
      <c r="H7" s="62" t="n">
        <v>1</v>
      </c>
      <c r="I7" s="62" t="n">
        <v>5600000</v>
      </c>
      <c r="J7" s="62" t="n">
        <v>5600000</v>
      </c>
      <c r="K7" s="57" t="n">
        <v>0</v>
      </c>
      <c r="L7" t="n">
        <v>5600000</v>
      </c>
      <c r="M7" t="inlineStr">
        <is>
          <t>Đã chốt lương kỳ này</t>
        </is>
      </c>
    </row>
    <row r="8" ht="24" customHeight="1">
      <c r="A8" s="52" t="n">
        <v>4</v>
      </c>
      <c r="B8" s="52" t="inlineStr">
        <is>
          <t>NV04</t>
        </is>
      </c>
      <c r="C8" s="53" t="inlineStr">
        <is>
          <t>Vũ Tiến Thuận</t>
        </is>
      </c>
      <c r="D8" s="53" t="inlineStr">
        <is>
          <t>M04 - Máy tiện CNC2</t>
        </is>
      </c>
      <c r="E8" s="54" t="n">
        <v>10</v>
      </c>
      <c r="F8" s="55" t="n">
        <v>80</v>
      </c>
      <c r="G8" s="56" t="n">
        <v>160</v>
      </c>
      <c r="H8" s="56" t="n">
        <v>1</v>
      </c>
      <c r="I8" s="56" t="n">
        <v>5600000</v>
      </c>
      <c r="J8" s="56" t="n">
        <v>5600000</v>
      </c>
      <c r="K8" s="57" t="n">
        <v>0</v>
      </c>
      <c r="L8" t="n">
        <v>5600000</v>
      </c>
      <c r="M8" t="inlineStr">
        <is>
          <t>Đã chốt lương kỳ này</t>
        </is>
      </c>
    </row>
    <row r="9" ht="24" customHeight="1">
      <c r="A9" s="58" t="n">
        <v>5</v>
      </c>
      <c r="B9" s="58" t="inlineStr">
        <is>
          <t>NV05</t>
        </is>
      </c>
      <c r="C9" s="59" t="inlineStr">
        <is>
          <t>Nguyễn Mạnh Hà</t>
        </is>
      </c>
      <c r="D9" s="59" t="inlineStr">
        <is>
          <t>M05 - Máy tiện T630</t>
        </is>
      </c>
      <c r="E9" s="60" t="n">
        <v>10</v>
      </c>
      <c r="F9" s="61" t="n">
        <v>80</v>
      </c>
      <c r="G9" s="62" t="n">
        <v>160</v>
      </c>
      <c r="H9" s="62" t="n">
        <v>1</v>
      </c>
      <c r="I9" s="62" t="n">
        <v>5600000</v>
      </c>
      <c r="J9" s="62" t="n">
        <v>5600000</v>
      </c>
      <c r="K9" s="57" t="n">
        <v>0</v>
      </c>
      <c r="L9" t="n">
        <v>5600000</v>
      </c>
      <c r="M9" t="inlineStr">
        <is>
          <t>Đã chốt lương kỳ này</t>
        </is>
      </c>
    </row>
    <row r="10" ht="24" customHeight="1">
      <c r="A10" s="52" t="n">
        <v>6</v>
      </c>
      <c r="B10" s="52" t="inlineStr">
        <is>
          <t>NV06</t>
        </is>
      </c>
      <c r="C10" s="53" t="inlineStr">
        <is>
          <t>Nguyễn Văn Thanh</t>
        </is>
      </c>
      <c r="D10" s="53" t="inlineStr">
        <is>
          <t>M06 - Máy tiện T1516</t>
        </is>
      </c>
      <c r="E10" s="54" t="n">
        <v>10</v>
      </c>
      <c r="F10" s="55" t="n">
        <v>80</v>
      </c>
      <c r="G10" s="56" t="n">
        <v>160</v>
      </c>
      <c r="H10" s="56" t="n">
        <v>1</v>
      </c>
      <c r="I10" s="56" t="n">
        <v>5800000</v>
      </c>
      <c r="J10" s="56" t="n">
        <v>5800000</v>
      </c>
      <c r="K10" s="57" t="n">
        <v>0</v>
      </c>
      <c r="L10" t="n">
        <v>5800000</v>
      </c>
      <c r="M10" t="inlineStr">
        <is>
          <t>Đã chốt lương kỳ này</t>
        </is>
      </c>
    </row>
    <row r="11" ht="24" customHeight="1">
      <c r="A11" s="58" t="n">
        <v>7</v>
      </c>
      <c r="B11" s="58" t="inlineStr">
        <is>
          <t>NV07</t>
        </is>
      </c>
      <c r="C11" s="59" t="inlineStr">
        <is>
          <t>Phùng Gia Phúc</t>
        </is>
      </c>
      <c r="D11" s="59" t="inlineStr">
        <is>
          <t>M07 - Máy Phay OKK1</t>
        </is>
      </c>
      <c r="E11" s="60" t="n">
        <v>10</v>
      </c>
      <c r="F11" s="61" t="n">
        <v>80</v>
      </c>
      <c r="G11" s="62" t="n">
        <v>160</v>
      </c>
      <c r="H11" s="62" t="n">
        <v>1</v>
      </c>
      <c r="I11" s="62" t="n">
        <v>5800000</v>
      </c>
      <c r="J11" s="62" t="n">
        <v>5800000</v>
      </c>
      <c r="K11" s="57" t="n">
        <v>0</v>
      </c>
      <c r="L11" t="n">
        <v>5800000</v>
      </c>
      <c r="M11" t="inlineStr">
        <is>
          <t>Đã chốt lương kỳ này</t>
        </is>
      </c>
    </row>
    <row r="12" ht="24" customHeight="1">
      <c r="A12" s="52" t="n">
        <v>8</v>
      </c>
      <c r="B12" s="52" t="inlineStr">
        <is>
          <t>NV08</t>
        </is>
      </c>
      <c r="C12" s="53" t="inlineStr">
        <is>
          <t>Trần Văn Dũng</t>
        </is>
      </c>
      <c r="D12" s="53" t="inlineStr">
        <is>
          <t>M08 - Máy Phay OKK2</t>
        </is>
      </c>
      <c r="E12" s="54" t="n">
        <v>10</v>
      </c>
      <c r="F12" s="55" t="n">
        <v>80</v>
      </c>
      <c r="G12" s="56" t="n">
        <v>160</v>
      </c>
      <c r="H12" s="56" t="n">
        <v>1</v>
      </c>
      <c r="I12" s="56" t="n">
        <v>5800000</v>
      </c>
      <c r="J12" s="56" t="n">
        <v>5800000</v>
      </c>
      <c r="K12" s="57" t="n">
        <v>0</v>
      </c>
      <c r="L12" t="n">
        <v>5800000</v>
      </c>
      <c r="M12" t="inlineStr">
        <is>
          <t>Đã chốt lương kỳ này</t>
        </is>
      </c>
    </row>
    <row r="13" ht="24" customHeight="1">
      <c r="A13" s="58" t="n">
        <v>9</v>
      </c>
      <c r="B13" s="58" t="inlineStr">
        <is>
          <t>NV09</t>
        </is>
      </c>
      <c r="C13" s="59" t="inlineStr">
        <is>
          <t>Trần Đăng Ninh</t>
        </is>
      </c>
      <c r="D13" s="59" t="inlineStr">
        <is>
          <t>M09 - Máy Phay OKK3</t>
        </is>
      </c>
      <c r="E13" s="60" t="n">
        <v>10</v>
      </c>
      <c r="F13" s="61" t="n">
        <v>80</v>
      </c>
      <c r="G13" s="62" t="n">
        <v>160</v>
      </c>
      <c r="H13" s="62" t="n">
        <v>1</v>
      </c>
      <c r="I13" s="62" t="n">
        <v>5800000</v>
      </c>
      <c r="J13" s="62" t="n">
        <v>5800000</v>
      </c>
      <c r="K13" s="57" t="n">
        <v>0</v>
      </c>
      <c r="L13" t="n">
        <v>5800000</v>
      </c>
      <c r="M13" t="inlineStr">
        <is>
          <t>Đã chốt lương kỳ này</t>
        </is>
      </c>
    </row>
    <row r="14" ht="24" customHeight="1">
      <c r="A14" s="52" t="n">
        <v>10</v>
      </c>
      <c r="B14" s="52" t="inlineStr">
        <is>
          <t>NV10</t>
        </is>
      </c>
      <c r="C14" s="53" t="inlineStr">
        <is>
          <t>Phạm Văn Tráng</t>
        </is>
      </c>
      <c r="D14" s="53" t="inlineStr">
        <is>
          <t>M10 - Máy Phay CNC1</t>
        </is>
      </c>
      <c r="E14" s="54" t="n">
        <v>10</v>
      </c>
      <c r="F14" s="55" t="n">
        <v>80</v>
      </c>
      <c r="G14" s="56" t="n">
        <v>160</v>
      </c>
      <c r="H14" s="56" t="n">
        <v>1</v>
      </c>
      <c r="I14" s="56" t="n">
        <v>5600000</v>
      </c>
      <c r="J14" s="56" t="n">
        <v>5600000</v>
      </c>
      <c r="K14" s="57" t="n">
        <v>0</v>
      </c>
      <c r="L14" t="n">
        <v>5600000</v>
      </c>
      <c r="M14" t="inlineStr">
        <is>
          <t>Đã chốt lương kỳ này</t>
        </is>
      </c>
    </row>
    <row r="15" ht="24" customHeight="1">
      <c r="A15" s="58" t="n">
        <v>11</v>
      </c>
      <c r="B15" s="58" t="inlineStr">
        <is>
          <t>NV11</t>
        </is>
      </c>
      <c r="C15" s="59" t="inlineStr">
        <is>
          <t>Phùng Công Thắng</t>
        </is>
      </c>
      <c r="D15" s="59" t="inlineStr">
        <is>
          <t>M11 - Máy Phay CNC2</t>
        </is>
      </c>
      <c r="E15" s="60" t="n">
        <v>10</v>
      </c>
      <c r="F15" s="61" t="n">
        <v>80</v>
      </c>
      <c r="G15" s="62" t="n">
        <v>160</v>
      </c>
      <c r="H15" s="62" t="n">
        <v>1</v>
      </c>
      <c r="I15" s="62" t="n">
        <v>5600000</v>
      </c>
      <c r="J15" s="62" t="n">
        <v>5600000</v>
      </c>
      <c r="K15" s="57" t="n">
        <v>0</v>
      </c>
      <c r="L15" t="n">
        <v>5600000</v>
      </c>
      <c r="M15" t="inlineStr">
        <is>
          <t>Đã chốt lương kỳ này</t>
        </is>
      </c>
    </row>
    <row r="16" ht="25" customHeight="1">
      <c r="A16" s="21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23" t="n">
        <v>10</v>
      </c>
      <c r="F16" s="63" t="n">
        <v>80</v>
      </c>
      <c r="G16" s="24" t="n">
        <v>152</v>
      </c>
      <c r="H16" s="24" t="n">
        <v>1</v>
      </c>
      <c r="I16" s="24" t="n">
        <v>5698992</v>
      </c>
      <c r="J16" s="24" t="n">
        <v>5698992</v>
      </c>
      <c r="K16" s="24" t="n">
        <v>0</v>
      </c>
      <c r="L16" t="n">
        <v>5698992</v>
      </c>
      <c r="M16" t="inlineStr">
        <is>
          <t>Đã chốt lương kỳ này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9</v>
      </c>
      <c r="F17" t="n">
        <v>72</v>
      </c>
      <c r="G17" t="n">
        <v>150</v>
      </c>
      <c r="H17" t="n">
        <v>1</v>
      </c>
      <c r="I17" t="n">
        <v>5500000</v>
      </c>
      <c r="J17" t="n">
        <v>5500000</v>
      </c>
      <c r="K17" t="n">
        <v>0</v>
      </c>
      <c r="L17" t="n">
        <v>5500000</v>
      </c>
      <c r="M17" t="inlineStr">
        <is>
          <t>Đã chốt lương kỳ này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10</v>
      </c>
      <c r="F18" t="n">
        <v>80</v>
      </c>
      <c r="G18" t="n">
        <v>160</v>
      </c>
      <c r="H18" t="n">
        <v>0</v>
      </c>
      <c r="I18" t="n">
        <v>5300000</v>
      </c>
      <c r="J18" t="n">
        <v>5300000</v>
      </c>
      <c r="K18" t="n">
        <v>0</v>
      </c>
      <c r="L18" t="n">
        <v>5300000</v>
      </c>
      <c r="M18" t="inlineStr">
        <is>
          <t>Đã chốt lương kỳ này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9</v>
      </c>
      <c r="F19" t="n">
        <v>72</v>
      </c>
      <c r="G19" t="n">
        <v>160</v>
      </c>
      <c r="H19" t="n">
        <v>0</v>
      </c>
      <c r="I19" t="n">
        <v>5800000</v>
      </c>
      <c r="J19" t="n">
        <v>5800000</v>
      </c>
      <c r="K19" t="n">
        <v>0</v>
      </c>
      <c r="L19" t="n">
        <v>5800000</v>
      </c>
      <c r="M19" t="inlineStr">
        <is>
          <t>Đã chốt lương kỳ này</t>
        </is>
      </c>
    </row>
    <row r="20">
      <c r="A20" t="inlineStr">
        <is>
          <t>TỔNG CỘNG QUỸ LƯƠNG KHOÁN (15 THỢ)</t>
        </is>
      </c>
      <c r="E20">
        <f>SUM(E5:E19)</f>
        <v/>
      </c>
      <c r="F20">
        <f>SUM(F5:F19)</f>
        <v/>
      </c>
      <c r="G20">
        <f>SUM(G5:G19)</f>
        <v/>
      </c>
      <c r="H20">
        <f>SUM(H5:H19)</f>
        <v/>
      </c>
      <c r="I20">
        <f>SUM(I5:I19)</f>
        <v/>
      </c>
      <c r="J20">
        <f>SUM(J5:J19)</f>
        <v/>
      </c>
      <c r="K20">
        <f>SUM(K5:K19)</f>
        <v/>
      </c>
      <c r="L20">
        <f>SUM(L5:L19)</f>
        <v/>
      </c>
      <c r="M20" t="inlineStr">
        <is>
          <t>KHỚP 100% NHẬT KÝ ĐÃ KHÓA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2026-09-14T01:49:39Z</dcterms:modified>
</cp:coreProperties>
</file>