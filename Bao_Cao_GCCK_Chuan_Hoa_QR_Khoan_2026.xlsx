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</numFmts>
  <fonts count="12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</fonts>
  <fills count="14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89" t="inlineStr">
        <is>
          <t>KIỂM TRA CHÊNH LỆCH DASHBOARD - BẢNG PO:</t>
        </is>
      </c>
      <c r="D19" s="90">
        <f>IF(AND(D18=COUNTA('06_Ke_Hoach_Tien_Do_PO'!B4:B), E18=SUM('06_Ke_Hoach_Tien_Do_PO'!E4:E), F18=SUM('06_Ke_Hoach_Tien_Do_PO'!F4:F), G18=SUM('06_Ke_Hoach_Tien_Do_PO'!G4:G), H18=SUM('06_Ke_Hoach_Tien_Do_PO'!H4:H)), "KHỚP 100% VỚI BẢNG PO", "LỖI TỔNG HỢP DỮ LIỆU")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>
        <f>MAX(0, F7-G7)</f>
        <v/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>
        <f>MAX(0, F9-G9)</f>
        <v/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15</v>
      </c>
      <c r="G19" s="6" t="n">
        <v>15</v>
      </c>
      <c r="H19" s="6">
        <f>MAX(0, F19-G19)</f>
        <v/>
      </c>
      <c r="I19" s="6">
        <f>MAX(0, E19-G19)</f>
        <v/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>
        <f>MAX(0, F59-G59)</f>
        <v/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2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2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style="75" min="1" max="1"/>
    <col width="11" customWidth="1" style="75" min="2" max="2"/>
    <col width="25" customWidth="1" style="75" min="3" max="3"/>
    <col width="22" customWidth="1" style="75" min="4" max="4"/>
    <col width="53" customWidth="1" style="75" min="5" max="5"/>
    <col width="83" customWidth="1" style="75" min="6" max="9"/>
    <col width="157" customWidth="1" style="75" min="10" max="10"/>
    <col width="30" customWidth="1" style="75" min="11" max="11"/>
  </cols>
  <sheetData>
    <row r="1" ht="27.95" customHeight="1" s="75">
      <c r="A1" s="74" t="inlineStr">
        <is>
          <t>BẢNG TỔNG HỢP LƯƠNG KHOÁN THEO CÔNG NHÂN &amp; THEO DÕI NĂNG SUẤT</t>
        </is>
      </c>
    </row>
    <row r="2" ht="18" customHeight="1" s="75">
      <c r="A2" s="76" t="inlineStr">
        <is>
          <t>Kỳ Lương:</t>
        </is>
      </c>
      <c r="B2" t="inlineStr">
        <is>
          <t>2026-08-01</t>
        </is>
      </c>
      <c r="C2" t="inlineStr">
        <is>
          <t>Từ Ngày:</t>
        </is>
      </c>
      <c r="D2">
        <f>DATE(YEAR(B2), MONTH(B2), 1)</f>
        <v/>
      </c>
      <c r="E2" t="inlineStr">
        <is>
          <t>Đến Ngày:</t>
        </is>
      </c>
      <c r="F2">
        <f>EOMONTH(B2, 0)</f>
        <v/>
      </c>
      <c r="G2" t="inlineStr">
        <is>
          <t>Trạng Thái Kỳ:</t>
        </is>
      </c>
      <c r="H2">
        <f>IF(TEXT(B2, "yyyy-MM")&lt;="2026-08", "ĐÃ KHÓA SỔ", "ĐANG MỞ")</f>
        <v/>
      </c>
    </row>
    <row r="3" ht="30" customHeight="1" s="75">
      <c r="A3" s="2" t="inlineStr">
        <is>
          <t>STT</t>
        </is>
      </c>
      <c r="B3" s="2" t="inlineStr">
        <is>
          <t>Mã NV</t>
        </is>
      </c>
      <c r="C3" s="2" t="inlineStr">
        <is>
          <t>Họ Và Tên Thợ Gia Công</t>
        </is>
      </c>
      <c r="D3" s="2" t="inlineStr">
        <is>
          <t>Máy Vận Hành Chính</t>
        </is>
      </c>
      <c r="E3" s="2" t="inlineStr">
        <is>
          <t>Số Ca Làm Việc</t>
        </is>
      </c>
      <c r="F3" s="2" t="inlineStr">
        <is>
          <t>Tổng Giờ Chạy Máy (h)</t>
        </is>
      </c>
      <c r="G3" s="2" t="inlineStr">
        <is>
          <t>Tổng SL Đạt (OK)</t>
        </is>
      </c>
      <c r="H3" s="2" t="inlineStr">
        <is>
          <t>Tổng SL Hỏng (NG)</t>
        </is>
      </c>
      <c r="I3" s="2" t="inlineStr">
        <is>
          <t>Tổng Tiền Khoán (VNĐ)</t>
        </is>
      </c>
      <c r="J3" s="2" t="inlineStr">
        <is>
          <t>Trừ Phạt Phế Phẩm/Dao</t>
        </is>
      </c>
      <c r="K3" s="2" t="inlineStr">
        <is>
          <t>LƯƠNG KHOÁN THỰC LĨNH (VNĐ)</t>
        </is>
      </c>
    </row>
    <row r="4" ht="24" customHeight="1" s="75">
      <c r="A4" s="40" t="inlineStr">
        <is>
          <t>STT</t>
        </is>
      </c>
      <c r="B4" s="40" t="inlineStr">
        <is>
          <t>Mã NV</t>
        </is>
      </c>
      <c r="C4" s="41" t="inlineStr">
        <is>
          <t>Họ Và Tên Thợ Gia Công</t>
        </is>
      </c>
      <c r="D4" s="41" t="inlineStr">
        <is>
          <t>Vị Trí / Máy Đảm Nhiệm</t>
        </is>
      </c>
      <c r="E4" s="42" t="inlineStr">
        <is>
          <t>Số Ca Làm Việc</t>
        </is>
      </c>
      <c r="F4" s="43" t="inlineStr">
        <is>
          <t>Tổng Giờ Máy (h)</t>
        </is>
      </c>
      <c r="G4" s="44" t="inlineStr">
        <is>
          <t>Tổng SL Đạt (OK)</t>
        </is>
      </c>
      <c r="H4" s="44" t="inlineStr">
        <is>
          <t>Tổng SL Hỏng (NG)</t>
        </is>
      </c>
      <c r="I4" s="44" t="inlineStr">
        <is>
          <t>Tiền khoán phát sinh ban đầu</t>
        </is>
      </c>
      <c r="J4" s="44" t="inlineStr">
        <is>
          <t>Tiền đủ điều kiện sau KCS</t>
        </is>
      </c>
      <c r="K4" s="45" t="inlineStr">
        <is>
          <t>Tiền không được hưởng do lỗi thợ</t>
        </is>
      </c>
      <c r="L4" t="inlineStr">
        <is>
          <t>Lương thực lĩnh đã khóa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 s="75">
      <c r="A5" s="46" t="n">
        <v>1</v>
      </c>
      <c r="B5" s="46" t="inlineStr">
        <is>
          <t>NV01</t>
        </is>
      </c>
      <c r="C5" s="47" t="inlineStr">
        <is>
          <t>Hoàng Ngọc Hà</t>
        </is>
      </c>
      <c r="D5" s="47" t="inlineStr">
        <is>
          <t>M01 - Máy tiện FUJI</t>
        </is>
      </c>
      <c r="E5" s="48" t="n">
        <v>0</v>
      </c>
      <c r="F5" s="49" t="n">
        <v>0</v>
      </c>
      <c r="G5" s="50" t="n">
        <v>0</v>
      </c>
      <c r="H5" s="50" t="n">
        <v>0</v>
      </c>
      <c r="I5" s="50" t="n">
        <v>0</v>
      </c>
      <c r="J5" s="50" t="n">
        <v>0</v>
      </c>
      <c r="K5" s="45" t="n">
        <v>0</v>
      </c>
      <c r="L5" t="n">
        <v>0</v>
      </c>
      <c r="M5" t="inlineStr">
        <is>
          <t>Đã chốt lương kỳ này</t>
        </is>
      </c>
      <c r="N5" t="inlineStr">
        <is>
          <t>Quản đốc Trần Đức Minh</t>
        </is>
      </c>
    </row>
    <row r="6" ht="24" customHeight="1" s="75">
      <c r="A6" s="40" t="n">
        <v>2</v>
      </c>
      <c r="B6" s="40" t="inlineStr">
        <is>
          <t>NV02</t>
        </is>
      </c>
      <c r="C6" s="41" t="inlineStr">
        <is>
          <t>Nguyễn Trung Đông</t>
        </is>
      </c>
      <c r="D6" s="41" t="inlineStr">
        <is>
          <t>M02 - Máy tiện OKUMA</t>
        </is>
      </c>
      <c r="E6" s="42" t="n">
        <v>4</v>
      </c>
      <c r="F6" s="43" t="n">
        <v>32</v>
      </c>
      <c r="G6" s="44" t="n">
        <v>70</v>
      </c>
      <c r="H6" s="44" t="n">
        <v>1</v>
      </c>
      <c r="I6" s="44" t="n">
        <v>2450000</v>
      </c>
      <c r="J6" s="44" t="n">
        <v>2450000</v>
      </c>
      <c r="K6" s="45" t="n">
        <v>0</v>
      </c>
      <c r="L6" t="n">
        <v>2450000</v>
      </c>
      <c r="M6" t="inlineStr">
        <is>
          <t>Đã chốt lương kỳ này</t>
        </is>
      </c>
      <c r="N6" t="inlineStr">
        <is>
          <t>Quản đốc Trần Đức Minh</t>
        </is>
      </c>
    </row>
    <row r="7" ht="24" customHeight="1" s="75">
      <c r="A7" s="46" t="n">
        <v>3</v>
      </c>
      <c r="B7" s="46" t="inlineStr">
        <is>
          <t>NV03</t>
        </is>
      </c>
      <c r="C7" s="47" t="inlineStr">
        <is>
          <t>Phùng Đình Hùng</t>
        </is>
      </c>
      <c r="D7" s="47" t="inlineStr">
        <is>
          <t>M03 - Máy tiện CNC1</t>
        </is>
      </c>
      <c r="E7" s="48" t="n">
        <v>1</v>
      </c>
      <c r="F7" s="49" t="n">
        <v>8</v>
      </c>
      <c r="G7" s="50" t="n">
        <v>10</v>
      </c>
      <c r="H7" s="50" t="n">
        <v>0</v>
      </c>
      <c r="I7" s="50" t="n">
        <v>350000</v>
      </c>
      <c r="J7" s="50" t="n">
        <v>350000</v>
      </c>
      <c r="K7" s="45" t="n">
        <v>0</v>
      </c>
      <c r="L7" t="n">
        <v>350000</v>
      </c>
      <c r="M7" t="inlineStr">
        <is>
          <t>Đã chốt lương kỳ này</t>
        </is>
      </c>
      <c r="N7" t="inlineStr">
        <is>
          <t>Quản đốc Trần Đức Minh</t>
        </is>
      </c>
    </row>
    <row r="8" ht="24" customHeight="1" s="75">
      <c r="A8" s="40" t="n">
        <v>4</v>
      </c>
      <c r="B8" s="40" t="inlineStr">
        <is>
          <t>NV04</t>
        </is>
      </c>
      <c r="C8" s="41" t="inlineStr">
        <is>
          <t>Vũ Tiến Thuận</t>
        </is>
      </c>
      <c r="D8" s="41" t="inlineStr">
        <is>
          <t>M04 - Máy tiện CNC2</t>
        </is>
      </c>
      <c r="E8" s="42" t="n">
        <v>10</v>
      </c>
      <c r="F8" s="43" t="n">
        <v>80</v>
      </c>
      <c r="G8" s="44" t="n">
        <v>160</v>
      </c>
      <c r="H8" s="44" t="n">
        <v>2</v>
      </c>
      <c r="I8" s="44" t="n">
        <v>6600000</v>
      </c>
      <c r="J8" s="44" t="n">
        <v>4400000</v>
      </c>
      <c r="K8" s="45" t="n">
        <v>2200000</v>
      </c>
      <c r="L8" t="n">
        <v>4400000</v>
      </c>
      <c r="M8" t="inlineStr">
        <is>
          <t>Đã chốt lương kỳ này</t>
        </is>
      </c>
      <c r="N8" t="inlineStr">
        <is>
          <t>Quản đốc Trần Đức Minh</t>
        </is>
      </c>
    </row>
    <row r="9" ht="24" customHeight="1" s="75">
      <c r="A9" s="46" t="n">
        <v>5</v>
      </c>
      <c r="B9" s="46" t="inlineStr">
        <is>
          <t>NV05</t>
        </is>
      </c>
      <c r="C9" s="47" t="inlineStr">
        <is>
          <t>Nguyễn Mạnh Hà</t>
        </is>
      </c>
      <c r="D9" s="47" t="inlineStr">
        <is>
          <t>M05 - Máy tiện T630</t>
        </is>
      </c>
      <c r="E9" s="48" t="n">
        <v>0</v>
      </c>
      <c r="F9" s="49" t="n">
        <v>0</v>
      </c>
      <c r="G9" s="50" t="n">
        <v>0</v>
      </c>
      <c r="H9" s="50" t="n">
        <v>0</v>
      </c>
      <c r="I9" s="50" t="n">
        <v>0</v>
      </c>
      <c r="J9" s="50" t="n">
        <v>0</v>
      </c>
      <c r="K9" s="45" t="n">
        <v>0</v>
      </c>
      <c r="L9" t="n">
        <v>0</v>
      </c>
      <c r="M9" t="inlineStr">
        <is>
          <t>Đã chốt lương kỳ này</t>
        </is>
      </c>
      <c r="N9" t="inlineStr">
        <is>
          <t>Quản đốc Trần Đức Minh</t>
        </is>
      </c>
    </row>
    <row r="10" ht="24" customHeight="1" s="75">
      <c r="A10" s="40" t="n">
        <v>6</v>
      </c>
      <c r="B10" s="40" t="inlineStr">
        <is>
          <t>NV06</t>
        </is>
      </c>
      <c r="C10" s="41" t="inlineStr">
        <is>
          <t>Nguyễn Văn Thanh</t>
        </is>
      </c>
      <c r="D10" s="41" t="inlineStr">
        <is>
          <t>M06 - Máy tiện T1516</t>
        </is>
      </c>
      <c r="E10" s="42" t="n">
        <v>15</v>
      </c>
      <c r="F10" s="43" t="n">
        <v>120</v>
      </c>
      <c r="G10" s="44" t="n">
        <v>275</v>
      </c>
      <c r="H10" s="44" t="n">
        <v>2</v>
      </c>
      <c r="I10" s="44" t="n">
        <v>11025000</v>
      </c>
      <c r="J10" s="44" t="n">
        <v>9625000</v>
      </c>
      <c r="K10" s="45" t="n">
        <v>1400000</v>
      </c>
      <c r="L10" t="n">
        <v>9625000</v>
      </c>
      <c r="M10" t="inlineStr">
        <is>
          <t>Đã chốt lương kỳ này</t>
        </is>
      </c>
      <c r="N10" t="inlineStr">
        <is>
          <t>Quản đốc Trần Đức Minh</t>
        </is>
      </c>
    </row>
    <row r="11" ht="24" customHeight="1" s="75">
      <c r="A11" s="46" t="n">
        <v>7</v>
      </c>
      <c r="B11" s="46" t="inlineStr">
        <is>
          <t>NV07</t>
        </is>
      </c>
      <c r="C11" s="47" t="inlineStr">
        <is>
          <t>Phùng Gia Phúc</t>
        </is>
      </c>
      <c r="D11" s="47" t="inlineStr">
        <is>
          <t>M07 - Máy Phay OKK1</t>
        </is>
      </c>
      <c r="E11" s="48" t="n">
        <v>14</v>
      </c>
      <c r="F11" s="49" t="n">
        <v>112</v>
      </c>
      <c r="G11" s="50" t="n">
        <v>260</v>
      </c>
      <c r="H11" s="50" t="n">
        <v>2</v>
      </c>
      <c r="I11" s="50" t="n">
        <v>10802600</v>
      </c>
      <c r="J11" s="50" t="n">
        <v>9402600</v>
      </c>
      <c r="K11" s="45" t="n">
        <v>1400000</v>
      </c>
      <c r="L11" t="n">
        <v>9402600</v>
      </c>
      <c r="M11" t="inlineStr">
        <is>
          <t>Đã chốt lương kỳ này</t>
        </is>
      </c>
      <c r="N11" t="inlineStr">
        <is>
          <t>Quản đốc Trần Đức Minh</t>
        </is>
      </c>
    </row>
    <row r="12" ht="24" customHeight="1" s="75">
      <c r="A12" s="40" t="n">
        <v>8</v>
      </c>
      <c r="B12" s="40" t="inlineStr">
        <is>
          <t>NV08</t>
        </is>
      </c>
      <c r="C12" s="41" t="inlineStr">
        <is>
          <t>Trần Văn Dũng</t>
        </is>
      </c>
      <c r="D12" s="41" t="inlineStr">
        <is>
          <t>M08 - Máy Phay OKK2</t>
        </is>
      </c>
      <c r="E12" s="42" t="n">
        <v>12</v>
      </c>
      <c r="F12" s="43" t="n">
        <v>96</v>
      </c>
      <c r="G12" s="44" t="n">
        <v>180</v>
      </c>
      <c r="H12" s="44" t="n">
        <v>2</v>
      </c>
      <c r="I12" s="44" t="n">
        <v>7800000</v>
      </c>
      <c r="J12" s="44" t="n">
        <v>5400000</v>
      </c>
      <c r="K12" s="45" t="n">
        <v>2400000</v>
      </c>
      <c r="L12" t="n">
        <v>5400000</v>
      </c>
      <c r="M12" t="inlineStr">
        <is>
          <t>Đã chốt lương kỳ này</t>
        </is>
      </c>
      <c r="N12" t="inlineStr">
        <is>
          <t>Quản đốc Trần Đức Minh</t>
        </is>
      </c>
    </row>
    <row r="13" ht="24" customHeight="1" s="75">
      <c r="A13" s="46" t="n">
        <v>9</v>
      </c>
      <c r="B13" s="46" t="inlineStr">
        <is>
          <t>NV09</t>
        </is>
      </c>
      <c r="C13" s="47" t="inlineStr">
        <is>
          <t>Trần Đăng Ninh</t>
        </is>
      </c>
      <c r="D13" s="47" t="inlineStr">
        <is>
          <t>M09 - Máy Phay OKK3</t>
        </is>
      </c>
      <c r="E13" s="48" t="n">
        <v>0</v>
      </c>
      <c r="F13" s="49" t="n">
        <v>0</v>
      </c>
      <c r="G13" s="50" t="n">
        <v>0</v>
      </c>
      <c r="H13" s="50" t="n">
        <v>0</v>
      </c>
      <c r="I13" s="50" t="n">
        <v>0</v>
      </c>
      <c r="J13" s="50" t="n">
        <v>0</v>
      </c>
      <c r="K13" s="45" t="n">
        <v>0</v>
      </c>
      <c r="L13" t="n">
        <v>0</v>
      </c>
      <c r="M13" t="inlineStr">
        <is>
          <t>Đã chốt lương kỳ này</t>
        </is>
      </c>
      <c r="N13" t="inlineStr">
        <is>
          <t>Quản đốc Trần Đức Minh</t>
        </is>
      </c>
    </row>
    <row r="14" ht="24" customHeight="1" s="75">
      <c r="A14" s="40" t="n">
        <v>10</v>
      </c>
      <c r="B14" s="40" t="inlineStr">
        <is>
          <t>NV10</t>
        </is>
      </c>
      <c r="C14" s="41" t="inlineStr">
        <is>
          <t>Phạm Văn Tráng</t>
        </is>
      </c>
      <c r="D14" s="41" t="inlineStr">
        <is>
          <t>M10 - Máy Phay CNC1</t>
        </is>
      </c>
      <c r="E14" s="42" t="n">
        <v>14</v>
      </c>
      <c r="F14" s="43" t="n">
        <v>112</v>
      </c>
      <c r="G14" s="44" t="n">
        <v>210</v>
      </c>
      <c r="H14" s="44" t="n">
        <v>2</v>
      </c>
      <c r="I14" s="44" t="n">
        <v>9200000</v>
      </c>
      <c r="J14" s="44" t="n">
        <v>6800000</v>
      </c>
      <c r="K14" s="45" t="n">
        <v>2400000</v>
      </c>
      <c r="L14" t="n">
        <v>6800000</v>
      </c>
      <c r="M14" t="inlineStr">
        <is>
          <t>Đã chốt lương kỳ này</t>
        </is>
      </c>
      <c r="N14" t="inlineStr">
        <is>
          <t>Quản đốc Trần Đức Minh</t>
        </is>
      </c>
    </row>
    <row r="15" ht="24" customHeight="1" s="75">
      <c r="A15" s="46" t="n">
        <v>11</v>
      </c>
      <c r="B15" s="46" t="inlineStr">
        <is>
          <t>NV11</t>
        </is>
      </c>
      <c r="C15" s="47" t="inlineStr">
        <is>
          <t>Phùng Công Thắng</t>
        </is>
      </c>
      <c r="D15" s="47" t="inlineStr">
        <is>
          <t>M11 - Máy Phay CNC2</t>
        </is>
      </c>
      <c r="E15" s="48" t="n">
        <v>24</v>
      </c>
      <c r="F15" s="49" t="n">
        <v>192</v>
      </c>
      <c r="G15" s="50" t="n">
        <v>452</v>
      </c>
      <c r="H15" s="50" t="n">
        <v>3</v>
      </c>
      <c r="I15" s="50" t="n">
        <v>18620000</v>
      </c>
      <c r="J15" s="50" t="n">
        <v>15820000</v>
      </c>
      <c r="K15" s="45" t="n">
        <v>2800000</v>
      </c>
      <c r="L15" t="n">
        <v>15820000</v>
      </c>
      <c r="M15" t="inlineStr">
        <is>
          <t>Đã chốt lương kỳ này</t>
        </is>
      </c>
      <c r="N15" t="inlineStr">
        <is>
          <t>Quản đốc Trần Đức Minh</t>
        </is>
      </c>
    </row>
    <row r="16" ht="24.95" customHeight="1" s="75">
      <c r="A16" s="79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14" t="n">
        <v>2</v>
      </c>
      <c r="F16" s="51" t="n">
        <v>16</v>
      </c>
      <c r="G16" s="15" t="n">
        <v>17</v>
      </c>
      <c r="H16" s="15" t="n">
        <v>0</v>
      </c>
      <c r="I16" s="15" t="n">
        <v>595000</v>
      </c>
      <c r="J16" s="15" t="n">
        <v>595000</v>
      </c>
      <c r="K16" s="15" t="n">
        <v>0</v>
      </c>
      <c r="L16" t="n">
        <v>595000</v>
      </c>
      <c r="M16" t="inlineStr">
        <is>
          <t>Đã chốt lương kỳ này</t>
        </is>
      </c>
      <c r="N16" t="inlineStr">
        <is>
          <t>Quản đốc Trần Đức Minh</t>
        </is>
      </c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11</v>
      </c>
      <c r="F17" t="n">
        <v>88</v>
      </c>
      <c r="G17" t="n">
        <v>165</v>
      </c>
      <c r="H17" t="n">
        <v>1</v>
      </c>
      <c r="I17" t="n">
        <v>6706392</v>
      </c>
      <c r="J17" t="n">
        <v>5326392</v>
      </c>
      <c r="K17" t="n">
        <v>1380000</v>
      </c>
      <c r="L17" t="n">
        <v>5326392</v>
      </c>
      <c r="M17" t="inlineStr">
        <is>
          <t>Đã chốt lương kỳ này</t>
        </is>
      </c>
      <c r="N17" t="inlineStr">
        <is>
          <t>Quản đốc Trần Đức Minh</t>
        </is>
      </c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12</v>
      </c>
      <c r="F18" t="n">
        <v>96</v>
      </c>
      <c r="G18" t="n">
        <v>180</v>
      </c>
      <c r="H18" t="n">
        <v>2</v>
      </c>
      <c r="I18" t="n">
        <v>8800000</v>
      </c>
      <c r="J18" t="n">
        <v>6400000</v>
      </c>
      <c r="K18" t="n">
        <v>2400000</v>
      </c>
      <c r="L18" t="n">
        <v>6400000</v>
      </c>
      <c r="M18" t="inlineStr">
        <is>
          <t>Đã chốt lương kỳ này</t>
        </is>
      </c>
      <c r="N18" t="inlineStr">
        <is>
          <t>Quản đốc Trần Đức Minh</t>
        </is>
      </c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3</v>
      </c>
      <c r="F19" t="n">
        <v>24</v>
      </c>
      <c r="G19" t="n">
        <v>50</v>
      </c>
      <c r="H19" t="n">
        <v>0</v>
      </c>
      <c r="I19" t="n">
        <v>1750000</v>
      </c>
      <c r="J19" t="n">
        <v>1750000</v>
      </c>
      <c r="K19" t="n">
        <v>0</v>
      </c>
      <c r="L19" t="n">
        <v>1750000</v>
      </c>
      <c r="M19" t="inlineStr">
        <is>
          <t>Đã chốt lương kỳ này</t>
        </is>
      </c>
      <c r="N19" t="inlineStr">
        <is>
          <t>Quản đốc Trần Đức Minh</t>
        </is>
      </c>
    </row>
    <row r="20">
      <c r="A20" t="inlineStr">
        <is>
          <t>TỔNG CỘNG QUỸ LƯƠNG KHOÁN (15 THỢ)</t>
        </is>
      </c>
      <c r="E20" t="n">
        <v>122</v>
      </c>
      <c r="F20" t="n">
        <v>976</v>
      </c>
      <c r="G20" t="n">
        <v>2029</v>
      </c>
      <c r="H20" t="n">
        <v>17</v>
      </c>
      <c r="I20" t="n">
        <v>84698992</v>
      </c>
      <c r="J20" t="n">
        <v>68318992</v>
      </c>
      <c r="K20" t="n">
        <v>16380000</v>
      </c>
      <c r="L20" t="n">
        <v>68318992</v>
      </c>
      <c r="M20" t="inlineStr">
        <is>
          <t>KHỚP 100% QUY CHUẨN 3 CẤP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74" t="inlineStr">
        <is>
          <t>DANH MỤC MASTER DATA: KHÁCH HÀNG, ĐƠN GIÁ GIỜ MÁY &amp; ĐƠN VỊ GIA CÔNG NGOÀI</t>
        </is>
      </c>
    </row>
    <row r="3" ht="16.5" customHeight="1" s="75">
      <c r="A3" s="1" t="inlineStr">
        <is>
          <t>DANH SÁCH KHÁCH HÀNG</t>
        </is>
      </c>
      <c r="D3" s="1" t="inlineStr">
        <is>
          <t>BẢNG ĐƠN GIÁ GIỜ MÁY NỘI BỘ</t>
        </is>
      </c>
      <c r="H3" s="1" t="inlineStr">
        <is>
          <t>DANH BẠ ĐƠN VỊ VỆ TINH GIA CÔNG NGOÀI (SUB-CON)</t>
        </is>
      </c>
    </row>
    <row r="4">
      <c r="A4" s="52" t="inlineStr">
        <is>
          <t>Mã KH</t>
        </is>
      </c>
      <c r="B4" s="53" t="inlineStr">
        <is>
          <t>Tên Đối Tác / Khách Hàng</t>
        </is>
      </c>
      <c r="D4" s="54" t="inlineStr">
        <is>
          <t>STT</t>
        </is>
      </c>
      <c r="E4" s="55" t="inlineStr">
        <is>
          <t>Dòng Máy / Thiết Bị</t>
        </is>
      </c>
      <c r="F4" s="56" t="inlineStr">
        <is>
          <t>Đơn Giá Giờ Máy (VNĐ/h)</t>
        </is>
      </c>
      <c r="H4" s="57" t="inlineStr">
        <is>
          <t>Mã Vệ Tinh</t>
        </is>
      </c>
      <c r="I4" s="58" t="inlineStr">
        <is>
          <t>Tên Doanh Nghiệp Vệ Tinh</t>
        </is>
      </c>
      <c r="J4" s="58" t="inlineStr">
        <is>
          <t>Năng Lực Gia Công Mạnh</t>
        </is>
      </c>
      <c r="K4" s="57" t="inlineStr">
        <is>
          <t>Đánh Giá Uy Tín KCS</t>
        </is>
      </c>
    </row>
    <row r="5">
      <c r="A5" s="3" t="inlineStr">
        <is>
          <t>KH01</t>
        </is>
      </c>
      <c r="B5" s="4" t="inlineStr">
        <is>
          <t>Thyssen</t>
        </is>
      </c>
      <c r="D5" s="3" t="n">
        <v>1</v>
      </c>
      <c r="E5" s="4" t="inlineStr">
        <is>
          <t>Máy tiện Tiện T1516 / T1517 / T1522 (Tiện đứng nặng)</t>
        </is>
      </c>
      <c r="F5" s="6" t="n">
        <v>320000</v>
      </c>
      <c r="H5" s="3" t="inlineStr">
        <is>
          <t>SUB-01</t>
        </is>
      </c>
      <c r="I5" s="4" t="inlineStr">
        <is>
          <t>Xưởng cơ khí Hoàng Mai</t>
        </is>
      </c>
      <c r="J5" s="4" t="inlineStr">
        <is>
          <t>Tiện CNC đường kính lớn Ø300 - Ø800</t>
        </is>
      </c>
      <c r="K5" s="3" t="inlineStr">
        <is>
          <t>Hạng A (Rất tốt)</t>
        </is>
      </c>
    </row>
    <row r="6">
      <c r="A6" s="3" t="inlineStr">
        <is>
          <t>KH02</t>
        </is>
      </c>
      <c r="B6" s="4" t="inlineStr">
        <is>
          <t>Win-Win</t>
        </is>
      </c>
      <c r="D6" s="3" t="n">
        <v>2</v>
      </c>
      <c r="E6" s="4" t="inlineStr">
        <is>
          <t>Máy Phay OIGO / Phay giường hạng nặng</t>
        </is>
      </c>
      <c r="F6" s="6" t="n">
        <v>280000</v>
      </c>
      <c r="H6" s="3" t="inlineStr">
        <is>
          <t>SUB-02</t>
        </is>
      </c>
      <c r="I6" s="4" t="inlineStr">
        <is>
          <t>Công ty Cơ khí Tân Phát</t>
        </is>
      </c>
      <c r="J6" s="4" t="inlineStr">
        <is>
          <t>Tiện CNC cánh xoắn vít đùn</t>
        </is>
      </c>
      <c r="K6" s="3" t="inlineStr">
        <is>
          <t>Hạng A (Rất tốt)</t>
        </is>
      </c>
    </row>
    <row r="7">
      <c r="A7" s="3" t="inlineStr">
        <is>
          <t>KH03</t>
        </is>
      </c>
      <c r="B7" s="4" t="inlineStr">
        <is>
          <t>Vico- QLTB</t>
        </is>
      </c>
      <c r="D7" s="3" t="n">
        <v>3</v>
      </c>
      <c r="E7" s="4" t="inlineStr">
        <is>
          <t>Máy Phay OKK1 / OKK2 / OKK3 (Phay CNC)</t>
        </is>
      </c>
      <c r="F7" s="6" t="n">
        <v>250000</v>
      </c>
      <c r="H7" s="3" t="inlineStr">
        <is>
          <t>SUB-03</t>
        </is>
      </c>
      <c r="I7" s="4" t="inlineStr">
        <is>
          <t>Xưởng Phay Giường Đức Long</t>
        </is>
      </c>
      <c r="J7" s="4" t="inlineStr">
        <is>
          <t>Phay giường phôi đúc nặng đến 5 tấn</t>
        </is>
      </c>
      <c r="K7" s="3" t="inlineStr">
        <is>
          <t>Hạng B (Đạt yêu cầu)</t>
        </is>
      </c>
    </row>
    <row r="8">
      <c r="A8" s="3" t="inlineStr">
        <is>
          <t>KH04</t>
        </is>
      </c>
      <c r="B8" s="4" t="inlineStr">
        <is>
          <t>Luợng- KS Tường Long</t>
        </is>
      </c>
      <c r="D8" s="3" t="n">
        <v>4</v>
      </c>
      <c r="E8" s="4" t="inlineStr">
        <is>
          <t>Máy Phay CNC1 / CNC2</t>
        </is>
      </c>
      <c r="F8" s="6" t="n">
        <v>220000</v>
      </c>
      <c r="H8" s="3" t="inlineStr">
        <is>
          <t>SUB-04</t>
        </is>
      </c>
      <c r="I8" s="4" t="inlineStr">
        <is>
          <t>Cắt dây CNC Nam Định</t>
        </is>
      </c>
      <c r="J8" s="4" t="inlineStr">
        <is>
          <t>Cắt dây Molypden độ dày đến 400mm</t>
        </is>
      </c>
      <c r="K8" s="3" t="inlineStr">
        <is>
          <t>Hạng A (Rất tốt)</t>
        </is>
      </c>
    </row>
    <row r="9">
      <c r="A9" s="3" t="inlineStr">
        <is>
          <t>KH05</t>
        </is>
      </c>
      <c r="B9" s="4" t="inlineStr">
        <is>
          <t>Molycop</t>
        </is>
      </c>
      <c r="D9" s="3" t="n">
        <v>5</v>
      </c>
      <c r="E9" s="4" t="inlineStr">
        <is>
          <t>Máy tiện FUJI / OKUMA / T630 / CNC1</t>
        </is>
      </c>
      <c r="F9" s="6" t="n">
        <v>220000</v>
      </c>
      <c r="H9" s="3" t="inlineStr">
        <is>
          <t>SUB-05</t>
        </is>
      </c>
      <c r="I9" s="4" t="inlineStr">
        <is>
          <t>Cơ khí Chính xác An Phát</t>
        </is>
      </c>
      <c r="J9" s="4" t="inlineStr">
        <is>
          <t>Phay CNC 3-4 trục, làm hốc khuôn</t>
        </is>
      </c>
      <c r="K9" s="3" t="inlineStr">
        <is>
          <t>Hạng A (Rất tốt)</t>
        </is>
      </c>
    </row>
    <row r="10">
      <c r="A10" s="3" t="inlineStr">
        <is>
          <t>KH06</t>
        </is>
      </c>
      <c r="B10" s="4" t="inlineStr">
        <is>
          <t>Hà Song Hải - XM Hạ Long</t>
        </is>
      </c>
      <c r="D10" s="3" t="n">
        <v>6</v>
      </c>
      <c r="E10" s="4" t="inlineStr">
        <is>
          <t>Máy Cắt Dây DK7745 / DK7780 / Podatech</t>
        </is>
      </c>
      <c r="F10" s="6" t="n">
        <v>110000</v>
      </c>
    </row>
    <row r="11">
      <c r="A11" s="3" t="inlineStr">
        <is>
          <t>KH07</t>
        </is>
      </c>
      <c r="B11" s="4" t="inlineStr">
        <is>
          <t>Hải- Vinh Quảng Ninh</t>
        </is>
      </c>
      <c r="D11" s="3" t="n">
        <v>7</v>
      </c>
      <c r="E11" s="4" t="inlineStr">
        <is>
          <t>Máy Khoan cần Yoshida</t>
        </is>
      </c>
      <c r="F11" s="6" t="n">
        <v>130000</v>
      </c>
    </row>
    <row r="12">
      <c r="A12" s="3" t="inlineStr">
        <is>
          <t>KH08</t>
        </is>
      </c>
      <c r="B12" s="4" t="inlineStr">
        <is>
          <t>TFG</t>
        </is>
      </c>
    </row>
    <row r="13">
      <c r="A13" s="3" t="inlineStr">
        <is>
          <t>KH09</t>
        </is>
      </c>
      <c r="B13" s="4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2026-09-14T10:43:18Z</dcterms:modified>
  <cp:lastModifiedBy>Hoang Ha</cp:lastModifiedBy>
</cp:coreProperties>
</file>