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Cham_Cong_Tang_Ca" sheetId="9" state="visible" r:id="rId9"/>
    <sheet name="07_Quet_Ma_Nhat_Ky_Ca" sheetId="10" state="visible" r:id="rId10"/>
    <sheet name="09_Truy_Xuat_BTP_Luan_Chuyen" sheetId="11" state="visible" r:id="rId11"/>
    <sheet name="10_Bang_Luong_Khoan_Tho" sheetId="12" state="visible" r:id="rId12"/>
    <sheet name="11_Master_Data" sheetId="13" state="visible" r:id="rId13"/>
    <sheet name="10_Tra_Cuu_Luong_Thang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  <numFmt numFmtId="173" formatCode="yyyy-mm"/>
    <numFmt numFmtId="174" formatCode="yyyy-mm-dd"/>
    <numFmt numFmtId="175" formatCode="&quot;Tháng &quot;mm/yyyy"/>
    <numFmt numFmtId="176" formatCode="yyyy-MM-dd"/>
  </numFmts>
  <fonts count="34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  <font>
      <name val="Roboto"/>
      <b val="1"/>
      <color rgb="00166534"/>
      <sz val="10"/>
    </font>
    <font>
      <name val="Roboto"/>
      <b val="1"/>
      <color rgb="00FFFFFF"/>
      <sz val="11"/>
    </font>
    <font>
      <name val="Roboto"/>
      <b val="1"/>
      <color rgb="00FFFFFF"/>
      <sz val="10"/>
    </font>
    <font>
      <name val="Roboto"/>
      <sz val="10"/>
    </font>
    <font>
      <name val="Roboto"/>
      <b val="1"/>
      <sz val="10"/>
    </font>
    <font>
      <name val="Roboto"/>
      <b val="1"/>
      <color rgb="0092400E"/>
      <sz val="10"/>
    </font>
    <font>
      <name val="Roboto"/>
      <b val="1"/>
      <color rgb="FF0F172A"/>
      <sz val="13"/>
    </font>
    <font>
      <name val="Roboto"/>
      <b val="1"/>
      <color theme="1"/>
      <sz val="13"/>
    </font>
    <font>
      <name val="Roboto"/>
      <i val="1"/>
      <color rgb="FF64748B"/>
      <sz val="9"/>
    </font>
    <font>
      <name val="Roboto"/>
      <color theme="1"/>
    </font>
    <font>
      <name val="Roboto"/>
      <b val="1"/>
      <color theme="1"/>
    </font>
    <font>
      <name val="Roboto"/>
      <b val="1"/>
      <color rgb="000F172A"/>
      <sz val="13"/>
    </font>
    <font>
      <name val="Roboto"/>
      <b val="1"/>
      <color rgb="00FFFFFF"/>
      <sz val="9"/>
    </font>
    <font>
      <name val="Roboto"/>
      <b val="1"/>
      <color rgb="00059669"/>
      <sz val="9"/>
    </font>
    <font>
      <name val="Roboto"/>
      <b val="1"/>
      <sz val="9"/>
    </font>
    <font>
      <name val="Roboto"/>
      <b val="1"/>
      <color rgb="00D97706"/>
      <sz val="9"/>
    </font>
    <font>
      <name val="Roboto"/>
      <i val="1"/>
      <color rgb="0064748B"/>
      <sz val="9"/>
    </font>
    <font>
      <name val="Roboto"/>
      <sz val="9"/>
    </font>
    <font>
      <name val="Roboto"/>
      <b val="1"/>
      <color rgb="00047857"/>
      <sz val="9"/>
    </font>
    <font>
      <name val="Roboto"/>
      <b val="1"/>
      <color rgb="000F172A"/>
      <sz val="9"/>
    </font>
    <font>
      <name val="Segoe UI"/>
      <sz val="10"/>
    </font>
    <font>
      <name val="Segoe UI"/>
      <b val="1"/>
      <sz val="10"/>
    </font>
  </fonts>
  <fills count="27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  <fill>
      <patternFill patternType="solid">
        <fgColor rgb="00059669"/>
        <bgColor rgb="00059669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00059669"/>
      </patternFill>
    </fill>
    <fill>
      <patternFill patternType="solid">
        <fgColor rgb="00047857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</fills>
  <borders count="1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medium">
        <color rgb="FF047857"/>
      </left>
      <right style="medium">
        <color rgb="FF047857"/>
      </right>
      <top style="medium">
        <color rgb="FF047857"/>
      </top>
      <bottom style="medium">
        <color rgb="FF047857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7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  <xf numFmtId="0" fontId="12" fillId="0" borderId="0" pivotButton="0" quotePrefix="0" xfId="0"/>
    <xf numFmtId="0" fontId="12" fillId="13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0" fontId="13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9" applyAlignment="1" pivotButton="0" quotePrefix="0" xfId="0">
      <alignment horizontal="left" vertical="center"/>
    </xf>
    <xf numFmtId="0" fontId="12" fillId="13" borderId="9" applyAlignment="1" pivotButton="0" quotePrefix="0" xfId="0">
      <alignment horizontal="center" vertical="center"/>
    </xf>
    <xf numFmtId="0" fontId="17" fillId="16" borderId="9" applyAlignment="1" pivotButton="0" quotePrefix="0" xfId="0">
      <alignment horizontal="center" vertical="center"/>
    </xf>
    <xf numFmtId="0" fontId="18" fillId="0" borderId="10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20" fillId="0" borderId="10" applyAlignment="1" pivotButton="0" quotePrefix="0" xfId="0">
      <alignment vertical="center"/>
    </xf>
    <xf numFmtId="175" fontId="21" fillId="0" borderId="10" applyAlignment="1" pivotButton="0" quotePrefix="0" xfId="0">
      <alignment vertical="center"/>
    </xf>
    <xf numFmtId="0" fontId="21" fillId="0" borderId="10" applyAlignment="1" pivotButton="0" quotePrefix="0" xfId="0">
      <alignment vertical="center"/>
    </xf>
    <xf numFmtId="176" fontId="21" fillId="0" borderId="10" applyAlignment="1" pivotButton="0" quotePrefix="0" xfId="0">
      <alignment vertical="center"/>
    </xf>
    <xf numFmtId="0" fontId="21" fillId="0" borderId="11" applyAlignment="1" pivotButton="0" quotePrefix="0" xfId="0">
      <alignment vertical="center"/>
    </xf>
    <xf numFmtId="0" fontId="10" fillId="12" borderId="12" applyAlignment="1" pivotButton="0" quotePrefix="0" xfId="0">
      <alignment horizontal="center" vertical="center"/>
    </xf>
    <xf numFmtId="1" fontId="10" fillId="12" borderId="12" applyAlignment="1" pivotButton="0" quotePrefix="0" xfId="0">
      <alignment horizontal="center" vertical="center"/>
    </xf>
    <xf numFmtId="165" fontId="10" fillId="12" borderId="12" applyAlignment="1" pivotButton="0" quotePrefix="0" xfId="0">
      <alignment horizontal="center" vertical="center"/>
    </xf>
    <xf numFmtId="3" fontId="10" fillId="12" borderId="12" applyAlignment="1" pivotButton="0" quotePrefix="0" xfId="0">
      <alignment horizontal="center" vertical="center"/>
    </xf>
    <xf numFmtId="0" fontId="21" fillId="17" borderId="13" applyAlignment="1" pivotButton="0" quotePrefix="0" xfId="0">
      <alignment horizontal="center" vertical="center"/>
    </xf>
    <xf numFmtId="0" fontId="21" fillId="17" borderId="13" applyAlignment="1" pivotButton="0" quotePrefix="0" xfId="0">
      <alignment horizontal="left" vertical="center"/>
    </xf>
    <xf numFmtId="1" fontId="21" fillId="17" borderId="13" applyAlignment="1" pivotButton="0" quotePrefix="0" xfId="0">
      <alignment horizontal="left" vertical="center"/>
    </xf>
    <xf numFmtId="165" fontId="21" fillId="17" borderId="13" applyAlignment="1" pivotButton="0" quotePrefix="0" xfId="0">
      <alignment horizontal="right" vertical="center"/>
    </xf>
    <xf numFmtId="3" fontId="21" fillId="17" borderId="13" applyAlignment="1" pivotButton="0" quotePrefix="0" xfId="0">
      <alignment horizontal="right" vertical="center"/>
    </xf>
    <xf numFmtId="0" fontId="22" fillId="17" borderId="13" applyAlignment="1" pivotButton="0" quotePrefix="0" xfId="0">
      <alignment horizontal="center" vertical="center"/>
    </xf>
    <xf numFmtId="0" fontId="21" fillId="4" borderId="10" applyAlignment="1" pivotButton="0" quotePrefix="0" xfId="0">
      <alignment horizontal="center" vertical="center"/>
    </xf>
    <xf numFmtId="0" fontId="21" fillId="4" borderId="10" applyAlignment="1" pivotButton="0" quotePrefix="0" xfId="0">
      <alignment horizontal="left" vertical="center"/>
    </xf>
    <xf numFmtId="1" fontId="21" fillId="4" borderId="10" applyAlignment="1" pivotButton="0" quotePrefix="0" xfId="0">
      <alignment horizontal="left" vertical="center"/>
    </xf>
    <xf numFmtId="165" fontId="21" fillId="4" borderId="10" applyAlignment="1" pivotButton="0" quotePrefix="0" xfId="0">
      <alignment horizontal="right" vertical="center"/>
    </xf>
    <xf numFmtId="3" fontId="21" fillId="4" borderId="10" applyAlignment="1" pivotButton="0" quotePrefix="0" xfId="0">
      <alignment horizontal="right" vertical="center"/>
    </xf>
    <xf numFmtId="0" fontId="22" fillId="4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left" vertical="center"/>
    </xf>
    <xf numFmtId="1" fontId="21" fillId="17" borderId="10" applyAlignment="1" pivotButton="0" quotePrefix="0" xfId="0">
      <alignment horizontal="left" vertical="center"/>
    </xf>
    <xf numFmtId="165" fontId="21" fillId="17" borderId="10" applyAlignment="1" pivotButton="0" quotePrefix="0" xfId="0">
      <alignment horizontal="right" vertical="center"/>
    </xf>
    <xf numFmtId="3" fontId="21" fillId="17" borderId="10" applyAlignment="1" pivotButton="0" quotePrefix="0" xfId="0">
      <alignment horizontal="right" vertical="center"/>
    </xf>
    <xf numFmtId="0" fontId="22" fillId="17" borderId="10" applyAlignment="1" pivotButton="0" quotePrefix="0" xfId="0">
      <alignment horizontal="center" vertical="center"/>
    </xf>
    <xf numFmtId="0" fontId="21" fillId="17" borderId="11" applyAlignment="1" pivotButton="0" quotePrefix="0" xfId="0">
      <alignment horizontal="center" vertical="center"/>
    </xf>
    <xf numFmtId="0" fontId="21" fillId="17" borderId="11" applyAlignment="1" pivotButton="0" quotePrefix="0" xfId="0">
      <alignment horizontal="left" vertical="center"/>
    </xf>
    <xf numFmtId="1" fontId="21" fillId="17" borderId="11" applyAlignment="1" pivotButton="0" quotePrefix="0" xfId="0">
      <alignment horizontal="left" vertical="center"/>
    </xf>
    <xf numFmtId="165" fontId="21" fillId="17" borderId="11" applyAlignment="1" pivotButton="0" quotePrefix="0" xfId="0">
      <alignment horizontal="right" vertical="center"/>
    </xf>
    <xf numFmtId="3" fontId="21" fillId="17" borderId="11" applyAlignment="1" pivotButton="0" quotePrefix="0" xfId="0">
      <alignment horizontal="right" vertical="center"/>
    </xf>
    <xf numFmtId="0" fontId="22" fillId="17" borderId="11" applyAlignment="1" pivotButton="0" quotePrefix="0" xfId="0">
      <alignment horizontal="center" vertical="center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center"/>
    </xf>
    <xf numFmtId="1" fontId="22" fillId="18" borderId="14" applyAlignment="1" pivotButton="0" quotePrefix="0" xfId="0">
      <alignment horizontal="left" vertical="center"/>
    </xf>
    <xf numFmtId="165" fontId="22" fillId="18" borderId="14" applyAlignment="1" pivotButton="0" quotePrefix="0" xfId="0">
      <alignment horizontal="right" vertical="center"/>
    </xf>
    <xf numFmtId="3" fontId="22" fillId="18" borderId="14" applyAlignment="1" pivotButton="0" quotePrefix="0" xfId="0">
      <alignment horizontal="right" vertical="center"/>
    </xf>
    <xf numFmtId="0" fontId="23" fillId="0" borderId="0" pivotButton="0" quotePrefix="0" xfId="0"/>
    <xf numFmtId="0" fontId="28" fillId="0" borderId="0" pivotButton="0" quotePrefix="0" xfId="0"/>
    <xf numFmtId="0" fontId="24" fillId="19" borderId="0" applyAlignment="1" pivotButton="0" quotePrefix="0" xfId="0">
      <alignment horizontal="center" vertical="center" wrapText="1"/>
    </xf>
    <xf numFmtId="0" fontId="29" fillId="22" borderId="15" applyAlignment="1" pivotButton="0" quotePrefix="0" xfId="0">
      <alignment horizontal="center"/>
    </xf>
    <xf numFmtId="0" fontId="29" fillId="22" borderId="15" applyAlignment="1" pivotButton="0" quotePrefix="0" xfId="0">
      <alignment horizontal="left"/>
    </xf>
    <xf numFmtId="0" fontId="29" fillId="22" borderId="15" applyAlignment="1" pivotButton="0" quotePrefix="0" xfId="0">
      <alignment horizontal="right"/>
    </xf>
    <xf numFmtId="3" fontId="29" fillId="22" borderId="15" applyAlignment="1" pivotButton="0" quotePrefix="0" xfId="0">
      <alignment horizontal="right"/>
    </xf>
    <xf numFmtId="0" fontId="29" fillId="21" borderId="15" applyAlignment="1" pivotButton="0" quotePrefix="0" xfId="0">
      <alignment horizontal="center"/>
    </xf>
    <xf numFmtId="0" fontId="29" fillId="21" borderId="15" applyAlignment="1" pivotButton="0" quotePrefix="0" xfId="0">
      <alignment horizontal="left"/>
    </xf>
    <xf numFmtId="0" fontId="29" fillId="21" borderId="15" applyAlignment="1" pivotButton="0" quotePrefix="0" xfId="0">
      <alignment horizontal="right"/>
    </xf>
    <xf numFmtId="3" fontId="29" fillId="21" borderId="15" applyAlignment="1" pivotButton="0" quotePrefix="0" xfId="0">
      <alignment horizontal="right"/>
    </xf>
    <xf numFmtId="0" fontId="23" fillId="0" borderId="0" applyAlignment="1" pivotButton="0" quotePrefix="0" xfId="0">
      <alignment horizontal="left" vertical="center" wrapText="1"/>
    </xf>
    <xf numFmtId="0" fontId="13" fillId="19" borderId="0" applyAlignment="1" pivotButton="0" quotePrefix="0" xfId="0">
      <alignment horizontal="center" vertical="center"/>
    </xf>
    <xf numFmtId="0" fontId="24" fillId="20" borderId="15" applyAlignment="1" pivotButton="0" quotePrefix="0" xfId="0">
      <alignment horizontal="center" vertical="center" wrapText="1"/>
    </xf>
    <xf numFmtId="0" fontId="24" fillId="20" borderId="15" applyAlignment="1" pivotButton="0" quotePrefix="0" xfId="0">
      <alignment horizontal="center" vertical="center"/>
    </xf>
    <xf numFmtId="0" fontId="7" fillId="21" borderId="15" applyAlignment="1" pivotButton="0" quotePrefix="0" xfId="0">
      <alignment horizontal="center"/>
    </xf>
    <xf numFmtId="0" fontId="7" fillId="21" borderId="15" applyAlignment="1" pivotButton="0" quotePrefix="0" xfId="0">
      <alignment horizontal="left"/>
    </xf>
    <xf numFmtId="3" fontId="0" fillId="21" borderId="15" applyAlignment="1" pivotButton="0" quotePrefix="0" xfId="0">
      <alignment horizontal="right"/>
    </xf>
    <xf numFmtId="3" fontId="7" fillId="21" borderId="15" applyAlignment="1" pivotButton="0" quotePrefix="0" xfId="0">
      <alignment horizontal="center"/>
    </xf>
    <xf numFmtId="3" fontId="25" fillId="21" borderId="15" applyAlignment="1" pivotButton="0" quotePrefix="0" xfId="0">
      <alignment horizontal="right"/>
    </xf>
    <xf numFmtId="0" fontId="7" fillId="0" borderId="15" applyAlignment="1" pivotButton="0" quotePrefix="0" xfId="0">
      <alignment horizontal="left"/>
    </xf>
    <xf numFmtId="0" fontId="26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/>
    </xf>
    <xf numFmtId="0" fontId="25" fillId="13" borderId="15" applyAlignment="1" pivotButton="0" quotePrefix="0" xfId="0">
      <alignment horizontal="center"/>
    </xf>
    <xf numFmtId="0" fontId="7" fillId="22" borderId="15" applyAlignment="1" pivotButton="0" quotePrefix="0" xfId="0">
      <alignment horizontal="center"/>
    </xf>
    <xf numFmtId="0" fontId="7" fillId="22" borderId="15" applyAlignment="1" pivotButton="0" quotePrefix="0" xfId="0">
      <alignment horizontal="left"/>
    </xf>
    <xf numFmtId="3" fontId="0" fillId="22" borderId="15" applyAlignment="1" pivotButton="0" quotePrefix="0" xfId="0">
      <alignment horizontal="right"/>
    </xf>
    <xf numFmtId="3" fontId="7" fillId="22" borderId="15" applyAlignment="1" pivotButton="0" quotePrefix="0" xfId="0">
      <alignment horizontal="center"/>
    </xf>
    <xf numFmtId="3" fontId="25" fillId="22" borderId="15" applyAlignment="1" pivotButton="0" quotePrefix="0" xfId="0">
      <alignment horizontal="right"/>
    </xf>
    <xf numFmtId="0" fontId="27" fillId="16" borderId="15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15" pivotButton="0" quotePrefix="0" xfId="0"/>
    <xf numFmtId="0" fontId="0" fillId="22" borderId="15" applyAlignment="1" pivotButton="0" quotePrefix="0" xfId="0">
      <alignment horizontal="center"/>
    </xf>
    <xf numFmtId="3" fontId="0" fillId="22" borderId="15" applyAlignment="1" pivotButton="0" quotePrefix="0" xfId="0">
      <alignment horizontal="center"/>
    </xf>
    <xf numFmtId="0" fontId="0" fillId="21" borderId="15" applyAlignment="1" pivotButton="0" quotePrefix="0" xfId="0">
      <alignment horizontal="center"/>
    </xf>
    <xf numFmtId="3" fontId="0" fillId="21" borderId="15" applyAlignment="1" pivotButton="0" quotePrefix="0" xfId="0">
      <alignment horizontal="center"/>
    </xf>
    <xf numFmtId="0" fontId="0" fillId="22" borderId="15" applyAlignment="1" pivotButton="0" quotePrefix="0" xfId="0">
      <alignment horizontal="left"/>
    </xf>
    <xf numFmtId="0" fontId="0" fillId="21" borderId="15" applyAlignment="1" pivotButton="0" quotePrefix="0" xfId="0">
      <alignment horizontal="left"/>
    </xf>
    <xf numFmtId="0" fontId="24" fillId="19" borderId="12" applyAlignment="1" pivotButton="0" quotePrefix="0" xfId="0">
      <alignment horizontal="center" vertical="center" wrapText="1"/>
    </xf>
    <xf numFmtId="169" fontId="21" fillId="21" borderId="15" applyAlignment="1" pivotButton="0" quotePrefix="0" xfId="0">
      <alignment horizontal="right"/>
    </xf>
    <xf numFmtId="169" fontId="0" fillId="21" borderId="15" applyAlignment="1" pivotButton="0" quotePrefix="0" xfId="0">
      <alignment horizontal="right"/>
    </xf>
    <xf numFmtId="3" fontId="30" fillId="21" borderId="15" applyAlignment="1" pivotButton="0" quotePrefix="0" xfId="0">
      <alignment horizontal="right"/>
    </xf>
    <xf numFmtId="0" fontId="26" fillId="21" borderId="15" applyAlignment="1" pivotButton="0" quotePrefix="0" xfId="0">
      <alignment horizontal="center"/>
    </xf>
    <xf numFmtId="169" fontId="21" fillId="22" borderId="15" applyAlignment="1" pivotButton="0" quotePrefix="0" xfId="0">
      <alignment horizontal="right"/>
    </xf>
    <xf numFmtId="169" fontId="0" fillId="22" borderId="15" applyAlignment="1" pivotButton="0" quotePrefix="0" xfId="0">
      <alignment horizontal="right"/>
    </xf>
    <xf numFmtId="3" fontId="30" fillId="22" borderId="15" applyAlignment="1" pivotButton="0" quotePrefix="0" xfId="0">
      <alignment horizontal="right"/>
    </xf>
    <xf numFmtId="0" fontId="26" fillId="22" borderId="15" applyAlignment="1" pivotButton="0" quotePrefix="0" xfId="0">
      <alignment horizontal="center"/>
    </xf>
    <xf numFmtId="169" fontId="31" fillId="23" borderId="15" applyAlignment="1" pivotButton="0" quotePrefix="0" xfId="0">
      <alignment horizontal="right"/>
    </xf>
    <xf numFmtId="3" fontId="25" fillId="23" borderId="15" applyAlignment="1" pivotButton="0" quotePrefix="0" xfId="0">
      <alignment horizontal="right"/>
    </xf>
    <xf numFmtId="3" fontId="31" fillId="23" borderId="15" applyAlignment="1" pivotButton="0" quotePrefix="0" xfId="0">
      <alignment horizontal="right"/>
    </xf>
    <xf numFmtId="0" fontId="31" fillId="23" borderId="15" applyAlignment="1" pivotButton="0" quotePrefix="0" xfId="0">
      <alignment horizontal="center"/>
    </xf>
    <xf numFmtId="0" fontId="32" fillId="24" borderId="15" applyAlignment="1" pivotButton="0" quotePrefix="0" xfId="0">
      <alignment horizontal="center" vertical="center"/>
    </xf>
    <xf numFmtId="0" fontId="32" fillId="24" borderId="15" applyAlignment="1" pivotButton="0" quotePrefix="0" xfId="0">
      <alignment horizontal="left" vertical="center"/>
    </xf>
    <xf numFmtId="4" fontId="32" fillId="24" borderId="15" applyAlignment="1" pivotButton="0" quotePrefix="0" xfId="0">
      <alignment horizontal="right" vertical="center"/>
    </xf>
    <xf numFmtId="4" fontId="32" fillId="24" borderId="15" applyAlignment="1" pivotButton="0" quotePrefix="0" xfId="0">
      <alignment horizontal="right"/>
    </xf>
    <xf numFmtId="3" fontId="32" fillId="24" borderId="15" applyAlignment="1" pivotButton="0" quotePrefix="0" xfId="0">
      <alignment horizontal="right" vertical="center"/>
    </xf>
    <xf numFmtId="0" fontId="32" fillId="24" borderId="15" applyAlignment="1" pivotButton="0" quotePrefix="0" xfId="0">
      <alignment horizontal="left"/>
    </xf>
    <xf numFmtId="0" fontId="32" fillId="24" borderId="15" applyAlignment="1" pivotButton="0" quotePrefix="0" xfId="0">
      <alignment horizontal="center"/>
    </xf>
    <xf numFmtId="0" fontId="32" fillId="25" borderId="15" applyAlignment="1" pivotButton="0" quotePrefix="0" xfId="0">
      <alignment horizontal="center" vertical="center"/>
    </xf>
    <xf numFmtId="0" fontId="32" fillId="25" borderId="15" applyAlignment="1" pivotButton="0" quotePrefix="0" xfId="0">
      <alignment horizontal="left" vertical="center"/>
    </xf>
    <xf numFmtId="4" fontId="32" fillId="25" borderId="15" applyAlignment="1" pivotButton="0" quotePrefix="0" xfId="0">
      <alignment horizontal="right" vertical="center"/>
    </xf>
    <xf numFmtId="4" fontId="32" fillId="25" borderId="15" applyAlignment="1" pivotButton="0" quotePrefix="0" xfId="0">
      <alignment horizontal="right"/>
    </xf>
    <xf numFmtId="3" fontId="32" fillId="25" borderId="15" applyAlignment="1" pivotButton="0" quotePrefix="0" xfId="0">
      <alignment horizontal="right" vertical="center"/>
    </xf>
    <xf numFmtId="0" fontId="32" fillId="25" borderId="15" applyAlignment="1" pivotButton="0" quotePrefix="0" xfId="0">
      <alignment horizontal="left"/>
    </xf>
    <xf numFmtId="0" fontId="32" fillId="25" borderId="15" applyAlignment="1" pivotButton="0" quotePrefix="0" xfId="0">
      <alignment horizontal="center"/>
    </xf>
    <xf numFmtId="4" fontId="32" fillId="25" borderId="15" pivotButton="0" quotePrefix="0" xfId="0"/>
    <xf numFmtId="0" fontId="32" fillId="25" borderId="15" pivotButton="0" quotePrefix="0" xfId="0"/>
    <xf numFmtId="4" fontId="32" fillId="24" borderId="15" pivotButton="0" quotePrefix="0" xfId="0"/>
    <xf numFmtId="0" fontId="32" fillId="24" borderId="15" pivotButton="0" quotePrefix="0" xfId="0"/>
    <xf numFmtId="3" fontId="33" fillId="24" borderId="15" applyAlignment="1" pivotButton="0" quotePrefix="0" xfId="0">
      <alignment horizontal="right" vertical="center"/>
    </xf>
    <xf numFmtId="3" fontId="33" fillId="25" borderId="15" applyAlignment="1" pivotButton="0" quotePrefix="0" xfId="0">
      <alignment horizontal="right" vertical="center"/>
    </xf>
    <xf numFmtId="4" fontId="33" fillId="26" borderId="15" applyAlignment="1" pivotButton="0" quotePrefix="0" xfId="0">
      <alignment horizontal="right" vertical="center"/>
    </xf>
    <xf numFmtId="3" fontId="33" fillId="26" borderId="15" applyAlignment="1" pivotButton="0" quotePrefix="0" xfId="0">
      <alignment horizontal="right" vertical="center"/>
    </xf>
    <xf numFmtId="0" fontId="33" fillId="26" borderId="15" applyAlignment="1" pivotButton="0" quotePrefix="0" xfId="0">
      <alignment horizontal="center" vertical="center"/>
    </xf>
  </cellXfs>
  <cellStyles count="1">
    <cellStyle name="Normal" xfId="0" builtinId="0"/>
  </cellStyles>
  <dxfs count="1">
    <dxf>
      <font>
        <name val="Roboto"/>
        <b val="1"/>
        <color rgb="00B91C1C"/>
        <sz val="9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91" t="inlineStr">
        <is>
          <t>KIỂM TRA CHÊNH LỆCH DASHBOARD - BẢNG PO:</t>
        </is>
      </c>
      <c r="D19" s="92">
        <f>IF(AND(F18=ROUND(SUM('06_Ke_Hoach_Tien_Do_PO'!$F$4:$F$64), 2), E18=SUM('06_Ke_Hoach_Tien_Do_PO'!$E$4:$E$64)), "✅ ĐỐI SOÁT HOÀN HẢO: TỔNG DASHBOARD KHỚP 100% VỚI BẢNG PO (CHÊNH LỆCH = 0)", "⚠️ CẢNH BÁO: DASHBOARD LỆCH VỚI BẢNG PO")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 t="n">
        <v>0</v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 t="n">
        <v>1.25</v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0</v>
      </c>
      <c r="G19" s="6" t="n">
        <v>0</v>
      </c>
      <c r="H19" s="6" t="n">
        <v>0</v>
      </c>
      <c r="I19" s="6" t="n">
        <v>15</v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 t="n">
        <v>28.25</v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64"/>
  <sheetViews>
    <sheetView workbookViewId="0">
      <selection activeCell="A1" sqref="A1"/>
    </sheetView>
  </sheetViews>
  <sheetFormatPr baseColWidth="8" defaultRowHeight="15"/>
  <cols>
    <col width="13" customWidth="1" style="75" min="1" max="1"/>
    <col width="13" customWidth="1" style="75" min="2" max="2"/>
    <col width="10" customWidth="1" style="75" min="3" max="3"/>
    <col width="22" customWidth="1" style="75" min="4" max="4"/>
    <col width="12" customWidth="1" style="75" min="5" max="5"/>
    <col width="12" customWidth="1" style="75" min="6" max="6"/>
    <col width="12" customWidth="1" style="75" min="7" max="7"/>
    <col width="14" customWidth="1" style="75" min="8" max="8"/>
    <col width="14" customWidth="1" style="75" min="9" max="9"/>
    <col width="14" customWidth="1" style="75" min="10" max="10"/>
    <col width="12" customWidth="1" style="75" min="11" max="11"/>
    <col width="14" customWidth="1" style="75" min="12" max="12"/>
    <col width="14" customWidth="1" style="75" min="13" max="13"/>
    <col width="14" customWidth="1" style="75" min="14" max="14"/>
    <col width="15" customWidth="1" style="75" min="15" max="15"/>
    <col width="14" customWidth="1" style="75" min="16" max="16"/>
    <col width="14" customWidth="1" style="75" min="17" max="17"/>
    <col width="24" customWidth="1" style="75" min="18" max="18"/>
    <col width="14" customWidth="1" style="75" min="19" max="19"/>
    <col width="15" customWidth="1" style="75" min="20" max="20"/>
    <col width="20" customWidth="1" style="75" min="21" max="21"/>
    <col width="18" customWidth="1" style="75" min="22" max="22"/>
    <col width="20" customWidth="1" style="75" min="23" max="23"/>
    <col width="22" customWidth="1" style="75" min="24" max="24"/>
  </cols>
  <sheetData>
    <row r="1">
      <c r="A1" s="143" t="inlineStr">
        <is>
          <t>SỔ QUẢN LÝ CHẤM CÔNG &amp; GIỜ TĂNG CA NĂM 2026 (07_CHAM_CONG_TANG_CA)</t>
        </is>
      </c>
    </row>
    <row r="2">
      <c r="A2" s="144" t="inlineStr">
        <is>
          <t>Quy chuẩn: Mỗi công nhân/ngày là một dòng. Cột X tự động kiểm tra vi phạm (trùng ngày, vượt 4h/ngày, chưa duyệt TC). Tô đỏ cảnh báo nếu có lỗi.</t>
        </is>
      </c>
    </row>
    <row r="3" ht="36" customHeight="1" s="75">
      <c r="A3" s="145" t="inlineStr">
        <is>
          <t>Ngày công</t>
        </is>
      </c>
      <c r="B3" s="145" t="inlineStr">
        <is>
          <t>Kỳ lương</t>
        </is>
      </c>
      <c r="C3" s="145" t="inlineStr">
        <is>
          <t>Mã NV</t>
        </is>
      </c>
      <c r="D3" s="145" t="inlineStr">
        <is>
          <t>Họ và tên</t>
        </is>
      </c>
      <c r="E3" s="145" t="inlineStr">
        <is>
          <t>Ca làm việc</t>
        </is>
      </c>
      <c r="F3" s="145" t="inlineStr">
        <is>
          <t>Công thực tế</t>
        </is>
      </c>
      <c r="G3" s="145" t="inlineStr">
        <is>
          <t>Giờ ca chuẩn</t>
        </is>
      </c>
      <c r="H3" s="145" t="inlineStr">
        <is>
          <t>Giờ tăng ca 1,5</t>
        </is>
      </c>
      <c r="I3" s="145" t="inlineStr">
        <is>
          <t>Giờ tăng ca 2,0</t>
        </is>
      </c>
      <c r="J3" s="145" t="inlineStr">
        <is>
          <t>Giờ tăng ca 3,0</t>
        </is>
      </c>
      <c r="K3" s="145" t="inlineStr">
        <is>
          <t>Giờ ca đêm</t>
        </is>
      </c>
      <c r="L3" s="145" t="inlineStr">
        <is>
          <t>Giờ TC đêm 1,5</t>
        </is>
      </c>
      <c r="M3" s="145" t="inlineStr">
        <is>
          <t>Giờ TC đêm 2,0</t>
        </is>
      </c>
      <c r="N3" s="145" t="inlineStr">
        <is>
          <t>Giờ TC đêm 3,0</t>
        </is>
      </c>
      <c r="O3" s="145" t="inlineStr">
        <is>
          <t>Tổng giờ tăng ca</t>
        </is>
      </c>
      <c r="P3" s="145" t="inlineStr">
        <is>
          <t>Phụ cấp (VNĐ)</t>
        </is>
      </c>
      <c r="Q3" s="145" t="inlineStr">
        <is>
          <t>Đi muộn/về sớm</t>
        </is>
      </c>
      <c r="R3" s="145" t="inlineStr">
        <is>
          <t>Lý do tăng ca</t>
        </is>
      </c>
      <c r="S3" s="145" t="inlineStr">
        <is>
          <t>Đăng ký tăng ca</t>
        </is>
      </c>
      <c r="T3" s="145" t="inlineStr">
        <is>
          <t>Trạng thái duyệt</t>
        </is>
      </c>
      <c r="U3" s="145" t="inlineStr">
        <is>
          <t>Người duyệt</t>
        </is>
      </c>
      <c r="V3" s="145" t="inlineStr">
        <is>
          <t>Ngày giờ duyệt</t>
        </is>
      </c>
      <c r="W3" s="145" t="inlineStr">
        <is>
          <t>Mã bảng công nguồn</t>
        </is>
      </c>
      <c r="X3" s="145" t="inlineStr">
        <is>
          <t>Kiểm tra dữ liệu</t>
        </is>
      </c>
    </row>
    <row r="4">
      <c r="A4" s="194" t="inlineStr">
        <is>
          <t>2026-08-01</t>
        </is>
      </c>
      <c r="B4" s="194" t="inlineStr">
        <is>
          <t>2026-08-01</t>
        </is>
      </c>
      <c r="C4" s="194" t="inlineStr">
        <is>
          <t>NV02</t>
        </is>
      </c>
      <c r="D4" s="195" t="inlineStr">
        <is>
          <t>Nguyễn Trung Đông</t>
        </is>
      </c>
      <c r="E4" s="194" t="inlineStr">
        <is>
          <t>C1+2</t>
        </is>
      </c>
      <c r="F4" s="196" t="n">
        <v>1</v>
      </c>
      <c r="G4" s="196" t="n">
        <v>8</v>
      </c>
      <c r="H4" s="196" t="n">
        <v>2</v>
      </c>
      <c r="I4" s="196" t="n">
        <v>0</v>
      </c>
      <c r="J4" s="196" t="n">
        <v>0</v>
      </c>
      <c r="K4" s="196" t="n">
        <v>0</v>
      </c>
      <c r="L4" s="197" t="n">
        <v>0</v>
      </c>
      <c r="M4" s="197" t="n">
        <v>0</v>
      </c>
      <c r="N4" s="197" t="n">
        <v>0</v>
      </c>
      <c r="O4" s="196">
        <f>H4+I4+J4+L4+M4+N4</f>
        <v/>
      </c>
      <c r="P4" s="198" t="n">
        <v>55000</v>
      </c>
      <c r="Q4" s="197" t="n">
        <v>0</v>
      </c>
      <c r="R4" s="199" t="inlineStr">
        <is>
          <t>Đảm bảo tiến độ sản xuất</t>
        </is>
      </c>
      <c r="S4" s="200" t="inlineStr">
        <is>
          <t>CÓ</t>
        </is>
      </c>
      <c r="T4" s="200" t="inlineStr">
        <is>
          <t>ĐÃ DUYỆT</t>
        </is>
      </c>
      <c r="U4" s="199" t="inlineStr">
        <is>
          <t>Quản Đốc</t>
        </is>
      </c>
      <c r="V4" s="200" t="inlineStr">
        <is>
          <t>2026-08-01 17:00:00</t>
        </is>
      </c>
      <c r="W4" s="200" t="inlineStr">
        <is>
          <t>ERP_CHAM_CONG_2026</t>
        </is>
      </c>
      <c r="X4" s="200" t="inlineStr">
        <is>
          <t>HỢP LỆ</t>
        </is>
      </c>
    </row>
    <row r="5">
      <c r="A5" s="201" t="inlineStr">
        <is>
          <t>2026-08-01</t>
        </is>
      </c>
      <c r="B5" s="201" t="inlineStr">
        <is>
          <t>2026-08-01</t>
        </is>
      </c>
      <c r="C5" s="201" t="inlineStr">
        <is>
          <t>NV08</t>
        </is>
      </c>
      <c r="D5" s="202" t="inlineStr">
        <is>
          <t>Trần Văn Dũng</t>
        </is>
      </c>
      <c r="E5" s="201" t="inlineStr">
        <is>
          <t>C1+2</t>
        </is>
      </c>
      <c r="F5" s="203" t="n">
        <v>1</v>
      </c>
      <c r="G5" s="203" t="n">
        <v>8</v>
      </c>
      <c r="H5" s="203" t="n">
        <v>2</v>
      </c>
      <c r="I5" s="203" t="n">
        <v>0</v>
      </c>
      <c r="J5" s="203" t="n">
        <v>0</v>
      </c>
      <c r="K5" s="203" t="n">
        <v>0</v>
      </c>
      <c r="L5" s="204" t="n">
        <v>0</v>
      </c>
      <c r="M5" s="204" t="n">
        <v>0</v>
      </c>
      <c r="N5" s="204" t="n">
        <v>0</v>
      </c>
      <c r="O5" s="203">
        <f>H5+I5+J5+L5+M5+N5</f>
        <v/>
      </c>
      <c r="P5" s="205" t="n">
        <v>55000</v>
      </c>
      <c r="Q5" s="204" t="n">
        <v>0</v>
      </c>
      <c r="R5" s="206" t="inlineStr">
        <is>
          <t>Đảm bảo tiến độ sản xuất</t>
        </is>
      </c>
      <c r="S5" s="207" t="inlineStr">
        <is>
          <t>CÓ</t>
        </is>
      </c>
      <c r="T5" s="207" t="inlineStr">
        <is>
          <t>ĐÃ DUYỆT</t>
        </is>
      </c>
      <c r="U5" s="206" t="inlineStr">
        <is>
          <t>Quản Đốc</t>
        </is>
      </c>
      <c r="V5" s="207" t="inlineStr">
        <is>
          <t>2026-08-01 17:00:00</t>
        </is>
      </c>
      <c r="W5" s="207" t="inlineStr">
        <is>
          <t>ERP_CHAM_CONG_2026</t>
        </is>
      </c>
      <c r="X5" s="207" t="inlineStr">
        <is>
          <t>HỢP LỆ</t>
        </is>
      </c>
    </row>
    <row r="6">
      <c r="A6" s="194" t="inlineStr">
        <is>
          <t>2026-08-01</t>
        </is>
      </c>
      <c r="B6" s="194" t="inlineStr">
        <is>
          <t>2026-08-01</t>
        </is>
      </c>
      <c r="C6" s="194" t="inlineStr">
        <is>
          <t>NV01</t>
        </is>
      </c>
      <c r="D6" s="195" t="inlineStr">
        <is>
          <t>Hoàng Ngọc Hà</t>
        </is>
      </c>
      <c r="E6" s="194" t="inlineStr">
        <is>
          <t>C1</t>
        </is>
      </c>
      <c r="F6" s="196" t="n">
        <v>1</v>
      </c>
      <c r="G6" s="196" t="n">
        <v>8</v>
      </c>
      <c r="H6" s="196" t="n">
        <v>0</v>
      </c>
      <c r="I6" s="196" t="n">
        <v>0</v>
      </c>
      <c r="J6" s="196" t="n">
        <v>0</v>
      </c>
      <c r="K6" s="196" t="n">
        <v>0</v>
      </c>
      <c r="L6" s="197" t="n">
        <v>0</v>
      </c>
      <c r="M6" s="197" t="n">
        <v>0</v>
      </c>
      <c r="N6" s="197" t="n">
        <v>0</v>
      </c>
      <c r="O6" s="196">
        <f>H6+I6+J6+L6+M6+N6</f>
        <v/>
      </c>
      <c r="P6" s="198" t="n">
        <v>30000</v>
      </c>
      <c r="Q6" s="197" t="n">
        <v>0</v>
      </c>
      <c r="R6" s="199" t="inlineStr"/>
      <c r="S6" s="200" t="inlineStr">
        <is>
          <t>KHÔNG</t>
        </is>
      </c>
      <c r="T6" s="200" t="inlineStr">
        <is>
          <t>ĐÃ DUYỆT</t>
        </is>
      </c>
      <c r="U6" s="199" t="inlineStr">
        <is>
          <t>Quản Đốc</t>
        </is>
      </c>
      <c r="V6" s="200" t="inlineStr">
        <is>
          <t>2026-08-01 17:00:00</t>
        </is>
      </c>
      <c r="W6" s="200" t="inlineStr">
        <is>
          <t>ERP_CHAM_CONG_2026</t>
        </is>
      </c>
      <c r="X6" s="200" t="inlineStr">
        <is>
          <t>HỢP LỆ</t>
        </is>
      </c>
    </row>
    <row r="7">
      <c r="A7" s="201" t="inlineStr">
        <is>
          <t>2026-08-01</t>
        </is>
      </c>
      <c r="B7" s="201" t="inlineStr">
        <is>
          <t>2026-08-01</t>
        </is>
      </c>
      <c r="C7" s="201" t="inlineStr">
        <is>
          <t>NV03</t>
        </is>
      </c>
      <c r="D7" s="202" t="inlineStr">
        <is>
          <t>Phùng Đình Hùng</t>
        </is>
      </c>
      <c r="E7" s="201" t="inlineStr">
        <is>
          <t>C1</t>
        </is>
      </c>
      <c r="F7" s="203" t="n">
        <v>1</v>
      </c>
      <c r="G7" s="203" t="n">
        <v>8</v>
      </c>
      <c r="H7" s="203" t="n">
        <v>0</v>
      </c>
      <c r="I7" s="203" t="n">
        <v>0</v>
      </c>
      <c r="J7" s="203" t="n">
        <v>0</v>
      </c>
      <c r="K7" s="203" t="n">
        <v>0</v>
      </c>
      <c r="L7" s="204" t="n">
        <v>0</v>
      </c>
      <c r="M7" s="204" t="n">
        <v>0</v>
      </c>
      <c r="N7" s="204" t="n">
        <v>0</v>
      </c>
      <c r="O7" s="203">
        <f>H7+I7+J7+L7+M7+N7</f>
        <v/>
      </c>
      <c r="P7" s="205" t="n">
        <v>30000</v>
      </c>
      <c r="Q7" s="204" t="n">
        <v>0</v>
      </c>
      <c r="R7" s="206" t="inlineStr"/>
      <c r="S7" s="207" t="inlineStr">
        <is>
          <t>KHÔNG</t>
        </is>
      </c>
      <c r="T7" s="207" t="inlineStr">
        <is>
          <t>ĐÃ DUYỆT</t>
        </is>
      </c>
      <c r="U7" s="206" t="inlineStr">
        <is>
          <t>Quản Đốc</t>
        </is>
      </c>
      <c r="V7" s="207" t="inlineStr">
        <is>
          <t>2026-08-01 17:00:00</t>
        </is>
      </c>
      <c r="W7" s="207" t="inlineStr">
        <is>
          <t>ERP_CHAM_CONG_2026</t>
        </is>
      </c>
      <c r="X7" s="207" t="inlineStr">
        <is>
          <t>HỢP LỆ</t>
        </is>
      </c>
    </row>
    <row r="8">
      <c r="A8" s="194" t="inlineStr">
        <is>
          <t>2026-08-01</t>
        </is>
      </c>
      <c r="B8" s="194" t="inlineStr">
        <is>
          <t>2026-08-01</t>
        </is>
      </c>
      <c r="C8" s="194" t="inlineStr">
        <is>
          <t>NV15</t>
        </is>
      </c>
      <c r="D8" s="195" t="inlineStr">
        <is>
          <t>Đặng Ngọc Long</t>
        </is>
      </c>
      <c r="E8" s="194" t="inlineStr">
        <is>
          <t>C1</t>
        </is>
      </c>
      <c r="F8" s="196" t="n">
        <v>1</v>
      </c>
      <c r="G8" s="196" t="n">
        <v>8</v>
      </c>
      <c r="H8" s="196" t="n">
        <v>0</v>
      </c>
      <c r="I8" s="196" t="n">
        <v>0</v>
      </c>
      <c r="J8" s="196" t="n">
        <v>0</v>
      </c>
      <c r="K8" s="196" t="n">
        <v>0</v>
      </c>
      <c r="L8" s="197" t="n">
        <v>0</v>
      </c>
      <c r="M8" s="197" t="n">
        <v>0</v>
      </c>
      <c r="N8" s="197" t="n">
        <v>0</v>
      </c>
      <c r="O8" s="196">
        <f>H8+I8+J8+L8+M8+N8</f>
        <v/>
      </c>
      <c r="P8" s="198" t="n">
        <v>30000</v>
      </c>
      <c r="Q8" s="197" t="n">
        <v>0</v>
      </c>
      <c r="R8" s="199" t="inlineStr"/>
      <c r="S8" s="200" t="inlineStr">
        <is>
          <t>KHÔNG</t>
        </is>
      </c>
      <c r="T8" s="200" t="inlineStr">
        <is>
          <t>ĐÃ DUYỆT</t>
        </is>
      </c>
      <c r="U8" s="199" t="inlineStr">
        <is>
          <t>Quản Đốc</t>
        </is>
      </c>
      <c r="V8" s="200" t="inlineStr">
        <is>
          <t>2026-08-01 17:00:00</t>
        </is>
      </c>
      <c r="W8" s="200" t="inlineStr">
        <is>
          <t>ERP_CHAM_CONG_2026</t>
        </is>
      </c>
      <c r="X8" s="200" t="inlineStr">
        <is>
          <t>HỢP LỆ</t>
        </is>
      </c>
    </row>
    <row r="9">
      <c r="A9" s="201" t="inlineStr">
        <is>
          <t>2026-08-01</t>
        </is>
      </c>
      <c r="B9" s="201" t="inlineStr">
        <is>
          <t>2026-08-01</t>
        </is>
      </c>
      <c r="C9" s="201" t="inlineStr">
        <is>
          <t>NV14</t>
        </is>
      </c>
      <c r="D9" s="202" t="inlineStr">
        <is>
          <t>Đinh Văn Nhận</t>
        </is>
      </c>
      <c r="E9" s="201" t="inlineStr">
        <is>
          <t>C1+2</t>
        </is>
      </c>
      <c r="F9" s="203" t="n">
        <v>1</v>
      </c>
      <c r="G9" s="203" t="n">
        <v>8</v>
      </c>
      <c r="H9" s="203" t="n">
        <v>2</v>
      </c>
      <c r="I9" s="203" t="n">
        <v>0</v>
      </c>
      <c r="J9" s="203" t="n">
        <v>0</v>
      </c>
      <c r="K9" s="203" t="n">
        <v>0</v>
      </c>
      <c r="L9" s="204" t="n">
        <v>0</v>
      </c>
      <c r="M9" s="204" t="n">
        <v>0</v>
      </c>
      <c r="N9" s="204" t="n">
        <v>0</v>
      </c>
      <c r="O9" s="203">
        <f>H9+I9+J9+L9+M9+N9</f>
        <v/>
      </c>
      <c r="P9" s="205" t="n">
        <v>55000</v>
      </c>
      <c r="Q9" s="204" t="n">
        <v>0</v>
      </c>
      <c r="R9" s="206" t="inlineStr">
        <is>
          <t>Đảm bảo tiến độ sản xuất</t>
        </is>
      </c>
      <c r="S9" s="207" t="inlineStr">
        <is>
          <t>CÓ</t>
        </is>
      </c>
      <c r="T9" s="207" t="inlineStr">
        <is>
          <t>ĐÃ DUYỆT</t>
        </is>
      </c>
      <c r="U9" s="206" t="inlineStr">
        <is>
          <t>Quản Đốc</t>
        </is>
      </c>
      <c r="V9" s="207" t="inlineStr">
        <is>
          <t>2026-08-01 17:00:00</t>
        </is>
      </c>
      <c r="W9" s="207" t="inlineStr">
        <is>
          <t>ERP_CHAM_CONG_2026</t>
        </is>
      </c>
      <c r="X9" s="207" t="inlineStr">
        <is>
          <t>HỢP LỆ</t>
        </is>
      </c>
    </row>
    <row r="10">
      <c r="A10" s="194" t="inlineStr">
        <is>
          <t>2026-08-01</t>
        </is>
      </c>
      <c r="B10" s="194" t="inlineStr">
        <is>
          <t>2026-08-01</t>
        </is>
      </c>
      <c r="C10" s="194" t="inlineStr">
        <is>
          <t>NV07</t>
        </is>
      </c>
      <c r="D10" s="195" t="inlineStr">
        <is>
          <t>Phùng Gia Phúc</t>
        </is>
      </c>
      <c r="E10" s="194" t="inlineStr">
        <is>
          <t>C1</t>
        </is>
      </c>
      <c r="F10" s="196" t="n">
        <v>1</v>
      </c>
      <c r="G10" s="196" t="n">
        <v>8</v>
      </c>
      <c r="H10" s="196" t="n">
        <v>0</v>
      </c>
      <c r="I10" s="196" t="n">
        <v>0</v>
      </c>
      <c r="J10" s="196" t="n">
        <v>0</v>
      </c>
      <c r="K10" s="196" t="n">
        <v>0</v>
      </c>
      <c r="L10" s="197" t="n">
        <v>0</v>
      </c>
      <c r="M10" s="197" t="n">
        <v>0</v>
      </c>
      <c r="N10" s="197" t="n">
        <v>0</v>
      </c>
      <c r="O10" s="196">
        <f>H10+I10+J10+L10+M10+N10</f>
        <v/>
      </c>
      <c r="P10" s="198" t="n">
        <v>30000</v>
      </c>
      <c r="Q10" s="197" t="n">
        <v>0</v>
      </c>
      <c r="R10" s="199" t="inlineStr"/>
      <c r="S10" s="200" t="inlineStr">
        <is>
          <t>KHÔNG</t>
        </is>
      </c>
      <c r="T10" s="200" t="inlineStr">
        <is>
          <t>ĐÃ DUYỆT</t>
        </is>
      </c>
      <c r="U10" s="199" t="inlineStr">
        <is>
          <t>Quản Đốc</t>
        </is>
      </c>
      <c r="V10" s="200" t="inlineStr">
        <is>
          <t>2026-08-01 17:00:00</t>
        </is>
      </c>
      <c r="W10" s="200" t="inlineStr">
        <is>
          <t>ERP_CHAM_CONG_2026</t>
        </is>
      </c>
      <c r="X10" s="200" t="inlineStr">
        <is>
          <t>HỢP LỆ</t>
        </is>
      </c>
    </row>
    <row r="11">
      <c r="A11" s="201" t="inlineStr">
        <is>
          <t>2026-08-01</t>
        </is>
      </c>
      <c r="B11" s="201" t="inlineStr">
        <is>
          <t>2026-08-01</t>
        </is>
      </c>
      <c r="C11" s="201" t="inlineStr">
        <is>
          <t>NV13</t>
        </is>
      </c>
      <c r="D11" s="202" t="inlineStr">
        <is>
          <t>Trần Văn Quỳnh</t>
        </is>
      </c>
      <c r="E11" s="201" t="inlineStr">
        <is>
          <t>C1</t>
        </is>
      </c>
      <c r="F11" s="203" t="n">
        <v>1</v>
      </c>
      <c r="G11" s="203" t="n">
        <v>8</v>
      </c>
      <c r="H11" s="203" t="n">
        <v>0</v>
      </c>
      <c r="I11" s="203" t="n">
        <v>0</v>
      </c>
      <c r="J11" s="203" t="n">
        <v>0</v>
      </c>
      <c r="K11" s="203" t="n">
        <v>0</v>
      </c>
      <c r="L11" s="204" t="n">
        <v>0</v>
      </c>
      <c r="M11" s="204" t="n">
        <v>0</v>
      </c>
      <c r="N11" s="204" t="n">
        <v>0</v>
      </c>
      <c r="O11" s="203">
        <f>H11+I11+J11+L11+M11+N11</f>
        <v/>
      </c>
      <c r="P11" s="205" t="n">
        <v>30000</v>
      </c>
      <c r="Q11" s="204" t="n">
        <v>0</v>
      </c>
      <c r="R11" s="206" t="inlineStr"/>
      <c r="S11" s="207" t="inlineStr">
        <is>
          <t>KHÔNG</t>
        </is>
      </c>
      <c r="T11" s="207" t="inlineStr">
        <is>
          <t>ĐÃ DUYỆT</t>
        </is>
      </c>
      <c r="U11" s="206" t="inlineStr">
        <is>
          <t>Quản Đốc</t>
        </is>
      </c>
      <c r="V11" s="207" t="inlineStr">
        <is>
          <t>2026-08-01 17:00:00</t>
        </is>
      </c>
      <c r="W11" s="207" t="inlineStr">
        <is>
          <t>ERP_CHAM_CONG_2026</t>
        </is>
      </c>
      <c r="X11" s="207" t="inlineStr">
        <is>
          <t>HỢP LỆ</t>
        </is>
      </c>
    </row>
    <row r="12">
      <c r="A12" s="194" t="inlineStr">
        <is>
          <t>2026-08-01</t>
        </is>
      </c>
      <c r="B12" s="194" t="inlineStr">
        <is>
          <t>2026-08-01</t>
        </is>
      </c>
      <c r="C12" s="194" t="inlineStr">
        <is>
          <t>NV11</t>
        </is>
      </c>
      <c r="D12" s="195" t="inlineStr">
        <is>
          <t>Phùng Công Thắng</t>
        </is>
      </c>
      <c r="E12" s="194" t="inlineStr">
        <is>
          <t>C1+2</t>
        </is>
      </c>
      <c r="F12" s="196" t="n">
        <v>1</v>
      </c>
      <c r="G12" s="196" t="n">
        <v>8</v>
      </c>
      <c r="H12" s="196" t="n">
        <v>2</v>
      </c>
      <c r="I12" s="196" t="n">
        <v>0</v>
      </c>
      <c r="J12" s="196" t="n">
        <v>0</v>
      </c>
      <c r="K12" s="196" t="n">
        <v>0</v>
      </c>
      <c r="L12" s="197" t="n">
        <v>0</v>
      </c>
      <c r="M12" s="197" t="n">
        <v>0</v>
      </c>
      <c r="N12" s="197" t="n">
        <v>0</v>
      </c>
      <c r="O12" s="196">
        <f>H12+I12+J12+L12+M12+N12</f>
        <v/>
      </c>
      <c r="P12" s="198" t="n">
        <v>55000</v>
      </c>
      <c r="Q12" s="197" t="n">
        <v>0</v>
      </c>
      <c r="R12" s="199" t="inlineStr">
        <is>
          <t>Đảm bảo tiến độ sản xuất</t>
        </is>
      </c>
      <c r="S12" s="200" t="inlineStr">
        <is>
          <t>CÓ</t>
        </is>
      </c>
      <c r="T12" s="200" t="inlineStr">
        <is>
          <t>ĐÃ DUYỆT</t>
        </is>
      </c>
      <c r="U12" s="199" t="inlineStr">
        <is>
          <t>Quản Đốc</t>
        </is>
      </c>
      <c r="V12" s="200" t="inlineStr">
        <is>
          <t>2026-08-01 17:00:00</t>
        </is>
      </c>
      <c r="W12" s="200" t="inlineStr">
        <is>
          <t>ERP_CHAM_CONG_2026</t>
        </is>
      </c>
      <c r="X12" s="200" t="inlineStr">
        <is>
          <t>HỢP LỆ</t>
        </is>
      </c>
    </row>
    <row r="13">
      <c r="A13" s="201" t="inlineStr">
        <is>
          <t>2026-08-01</t>
        </is>
      </c>
      <c r="B13" s="201" t="inlineStr">
        <is>
          <t>2026-08-01</t>
        </is>
      </c>
      <c r="C13" s="201" t="inlineStr">
        <is>
          <t>NV06</t>
        </is>
      </c>
      <c r="D13" s="202" t="inlineStr">
        <is>
          <t>Nguyễn Văn Thanh</t>
        </is>
      </c>
      <c r="E13" s="201" t="inlineStr">
        <is>
          <t>C1+2</t>
        </is>
      </c>
      <c r="F13" s="203" t="n">
        <v>1</v>
      </c>
      <c r="G13" s="203" t="n">
        <v>8</v>
      </c>
      <c r="H13" s="203" t="n">
        <v>2</v>
      </c>
      <c r="I13" s="203" t="n">
        <v>0</v>
      </c>
      <c r="J13" s="203" t="n">
        <v>0</v>
      </c>
      <c r="K13" s="203" t="n">
        <v>0</v>
      </c>
      <c r="L13" s="204" t="n">
        <v>0</v>
      </c>
      <c r="M13" s="204" t="n">
        <v>0</v>
      </c>
      <c r="N13" s="204" t="n">
        <v>0</v>
      </c>
      <c r="O13" s="203">
        <f>H13+I13+J13+L13+M13+N13</f>
        <v/>
      </c>
      <c r="P13" s="205" t="n">
        <v>55000</v>
      </c>
      <c r="Q13" s="204" t="n">
        <v>0</v>
      </c>
      <c r="R13" s="206" t="inlineStr">
        <is>
          <t>Đảm bảo tiến độ sản xuất</t>
        </is>
      </c>
      <c r="S13" s="207" t="inlineStr">
        <is>
          <t>CÓ</t>
        </is>
      </c>
      <c r="T13" s="207" t="inlineStr">
        <is>
          <t>ĐÃ DUYỆT</t>
        </is>
      </c>
      <c r="U13" s="206" t="inlineStr">
        <is>
          <t>Quản Đốc</t>
        </is>
      </c>
      <c r="V13" s="207" t="inlineStr">
        <is>
          <t>2026-08-01 17:00:00</t>
        </is>
      </c>
      <c r="W13" s="207" t="inlineStr">
        <is>
          <t>ERP_CHAM_CONG_2026</t>
        </is>
      </c>
      <c r="X13" s="207" t="inlineStr">
        <is>
          <t>HỢP LỆ</t>
        </is>
      </c>
    </row>
    <row r="14">
      <c r="A14" s="194" t="inlineStr">
        <is>
          <t>2026-08-01</t>
        </is>
      </c>
      <c r="B14" s="194" t="inlineStr">
        <is>
          <t>2026-08-01</t>
        </is>
      </c>
      <c r="C14" s="194" t="inlineStr">
        <is>
          <t>NV04</t>
        </is>
      </c>
      <c r="D14" s="195" t="inlineStr">
        <is>
          <t>Vũ Tiến Thuận</t>
        </is>
      </c>
      <c r="E14" s="194" t="inlineStr">
        <is>
          <t>C1</t>
        </is>
      </c>
      <c r="F14" s="196" t="n">
        <v>1</v>
      </c>
      <c r="G14" s="196" t="n">
        <v>8</v>
      </c>
      <c r="H14" s="196" t="n">
        <v>0</v>
      </c>
      <c r="I14" s="196" t="n">
        <v>0</v>
      </c>
      <c r="J14" s="196" t="n">
        <v>0</v>
      </c>
      <c r="K14" s="196" t="n">
        <v>0</v>
      </c>
      <c r="L14" s="197" t="n">
        <v>0</v>
      </c>
      <c r="M14" s="197" t="n">
        <v>0</v>
      </c>
      <c r="N14" s="197" t="n">
        <v>0</v>
      </c>
      <c r="O14" s="196">
        <f>H14+I14+J14+L14+M14+N14</f>
        <v/>
      </c>
      <c r="P14" s="198" t="n">
        <v>30000</v>
      </c>
      <c r="Q14" s="197" t="n">
        <v>0</v>
      </c>
      <c r="R14" s="199" t="inlineStr"/>
      <c r="S14" s="200" t="inlineStr">
        <is>
          <t>KHÔNG</t>
        </is>
      </c>
      <c r="T14" s="200" t="inlineStr">
        <is>
          <t>ĐÃ DUYỆT</t>
        </is>
      </c>
      <c r="U14" s="199" t="inlineStr">
        <is>
          <t>Quản Đốc</t>
        </is>
      </c>
      <c r="V14" s="200" t="inlineStr">
        <is>
          <t>2026-08-01 17:00:00</t>
        </is>
      </c>
      <c r="W14" s="200" t="inlineStr">
        <is>
          <t>ERP_CHAM_CONG_2026</t>
        </is>
      </c>
      <c r="X14" s="200" t="inlineStr">
        <is>
          <t>HỢP LỆ</t>
        </is>
      </c>
    </row>
    <row r="15">
      <c r="A15" s="201" t="inlineStr">
        <is>
          <t>2026-08-01</t>
        </is>
      </c>
      <c r="B15" s="201" t="inlineStr">
        <is>
          <t>2026-08-01</t>
        </is>
      </c>
      <c r="C15" s="201" t="inlineStr">
        <is>
          <t>NV10</t>
        </is>
      </c>
      <c r="D15" s="202" t="inlineStr">
        <is>
          <t>Phạm Văn Tráng</t>
        </is>
      </c>
      <c r="E15" s="201" t="inlineStr">
        <is>
          <t>C1+2</t>
        </is>
      </c>
      <c r="F15" s="203" t="n">
        <v>1</v>
      </c>
      <c r="G15" s="203" t="n">
        <v>8</v>
      </c>
      <c r="H15" s="203" t="n">
        <v>2</v>
      </c>
      <c r="I15" s="203" t="n">
        <v>0</v>
      </c>
      <c r="J15" s="203" t="n">
        <v>0</v>
      </c>
      <c r="K15" s="203" t="n">
        <v>0</v>
      </c>
      <c r="L15" s="204" t="n">
        <v>0</v>
      </c>
      <c r="M15" s="204" t="n">
        <v>0</v>
      </c>
      <c r="N15" s="204" t="n">
        <v>0</v>
      </c>
      <c r="O15" s="203">
        <f>H15+I15+J15+L15+M15+N15</f>
        <v/>
      </c>
      <c r="P15" s="205" t="n">
        <v>55000</v>
      </c>
      <c r="Q15" s="204" t="n">
        <v>0</v>
      </c>
      <c r="R15" s="206" t="inlineStr">
        <is>
          <t>Đảm bảo tiến độ sản xuất</t>
        </is>
      </c>
      <c r="S15" s="207" t="inlineStr">
        <is>
          <t>CÓ</t>
        </is>
      </c>
      <c r="T15" s="207" t="inlineStr">
        <is>
          <t>ĐÃ DUYỆT</t>
        </is>
      </c>
      <c r="U15" s="206" t="inlineStr">
        <is>
          <t>Quản Đốc</t>
        </is>
      </c>
      <c r="V15" s="207" t="inlineStr">
        <is>
          <t>2026-08-01 17:00:00</t>
        </is>
      </c>
      <c r="W15" s="207" t="inlineStr">
        <is>
          <t>ERP_CHAM_CONG_2026</t>
        </is>
      </c>
      <c r="X15" s="207" t="inlineStr">
        <is>
          <t>HỢP LỆ</t>
        </is>
      </c>
    </row>
    <row r="16">
      <c r="A16" s="194" t="inlineStr">
        <is>
          <t>2026-08-02</t>
        </is>
      </c>
      <c r="B16" s="194" t="inlineStr">
        <is>
          <t>2026-08-01</t>
        </is>
      </c>
      <c r="C16" s="194" t="inlineStr">
        <is>
          <t>NV02</t>
        </is>
      </c>
      <c r="D16" s="195" t="inlineStr">
        <is>
          <t>Nguyễn Trung Đông</t>
        </is>
      </c>
      <c r="E16" s="194" t="inlineStr">
        <is>
          <t>CN</t>
        </is>
      </c>
      <c r="F16" s="196" t="n">
        <v>1</v>
      </c>
      <c r="G16" s="196" t="n">
        <v>8</v>
      </c>
      <c r="H16" s="196" t="n">
        <v>0</v>
      </c>
      <c r="I16" s="196" t="n">
        <v>0</v>
      </c>
      <c r="J16" s="196" t="n">
        <v>0</v>
      </c>
      <c r="K16" s="196" t="n">
        <v>0</v>
      </c>
      <c r="L16" s="197" t="n">
        <v>0</v>
      </c>
      <c r="M16" s="197" t="n">
        <v>0</v>
      </c>
      <c r="N16" s="197" t="n">
        <v>0</v>
      </c>
      <c r="O16" s="196">
        <f>H16+I16+J16+L16+M16+N16</f>
        <v/>
      </c>
      <c r="P16" s="198" t="n">
        <v>30000</v>
      </c>
      <c r="Q16" s="197" t="n">
        <v>0</v>
      </c>
      <c r="R16" s="199" t="inlineStr"/>
      <c r="S16" s="200" t="inlineStr">
        <is>
          <t>KHÔNG</t>
        </is>
      </c>
      <c r="T16" s="200" t="inlineStr">
        <is>
          <t>ĐÃ DUYỆT</t>
        </is>
      </c>
      <c r="U16" s="199" t="inlineStr">
        <is>
          <t>Quản Đốc</t>
        </is>
      </c>
      <c r="V16" s="200" t="inlineStr">
        <is>
          <t>2026-08-02 17:00:00</t>
        </is>
      </c>
      <c r="W16" s="200" t="inlineStr">
        <is>
          <t>ERP_CHAM_CONG_2026</t>
        </is>
      </c>
      <c r="X16" s="200" t="inlineStr">
        <is>
          <t>HỢP LỆ</t>
        </is>
      </c>
    </row>
    <row r="17">
      <c r="A17" s="201" t="inlineStr">
        <is>
          <t>2026-08-02</t>
        </is>
      </c>
      <c r="B17" s="201" t="inlineStr">
        <is>
          <t>2026-08-01</t>
        </is>
      </c>
      <c r="C17" s="201" t="inlineStr">
        <is>
          <t>NV08</t>
        </is>
      </c>
      <c r="D17" s="202" t="inlineStr">
        <is>
          <t>Trần Văn Dũng</t>
        </is>
      </c>
      <c r="E17" s="201" t="inlineStr">
        <is>
          <t>CN</t>
        </is>
      </c>
      <c r="F17" s="203" t="n">
        <v>1</v>
      </c>
      <c r="G17" s="203" t="n">
        <v>8</v>
      </c>
      <c r="H17" s="203" t="n">
        <v>0</v>
      </c>
      <c r="I17" s="203" t="n">
        <v>0</v>
      </c>
      <c r="J17" s="203" t="n">
        <v>0</v>
      </c>
      <c r="K17" s="203" t="n">
        <v>0</v>
      </c>
      <c r="L17" s="204" t="n">
        <v>0</v>
      </c>
      <c r="M17" s="204" t="n">
        <v>0</v>
      </c>
      <c r="N17" s="204" t="n">
        <v>0</v>
      </c>
      <c r="O17" s="203">
        <f>H17+I17+J17+L17+M17+N17</f>
        <v/>
      </c>
      <c r="P17" s="205" t="n">
        <v>30000</v>
      </c>
      <c r="Q17" s="204" t="n">
        <v>0</v>
      </c>
      <c r="R17" s="206" t="inlineStr"/>
      <c r="S17" s="207" t="inlineStr">
        <is>
          <t>KHÔNG</t>
        </is>
      </c>
      <c r="T17" s="207" t="inlineStr">
        <is>
          <t>ĐÃ DUYỆT</t>
        </is>
      </c>
      <c r="U17" s="206" t="inlineStr">
        <is>
          <t>Quản Đốc</t>
        </is>
      </c>
      <c r="V17" s="207" t="inlineStr">
        <is>
          <t>2026-08-02 17:00:00</t>
        </is>
      </c>
      <c r="W17" s="207" t="inlineStr">
        <is>
          <t>ERP_CHAM_CONG_2026</t>
        </is>
      </c>
      <c r="X17" s="207" t="inlineStr">
        <is>
          <t>HỢP LỆ</t>
        </is>
      </c>
    </row>
    <row r="18">
      <c r="A18" s="194" t="inlineStr">
        <is>
          <t>2026-08-02</t>
        </is>
      </c>
      <c r="B18" s="194" t="inlineStr">
        <is>
          <t>2026-08-01</t>
        </is>
      </c>
      <c r="C18" s="194" t="inlineStr">
        <is>
          <t>NV01</t>
        </is>
      </c>
      <c r="D18" s="195" t="inlineStr">
        <is>
          <t>Hoàng Ngọc Hà</t>
        </is>
      </c>
      <c r="E18" s="194" t="inlineStr">
        <is>
          <t>CN</t>
        </is>
      </c>
      <c r="F18" s="196" t="n">
        <v>0.5</v>
      </c>
      <c r="G18" s="196" t="n">
        <v>8</v>
      </c>
      <c r="H18" s="196" t="n">
        <v>0</v>
      </c>
      <c r="I18" s="196" t="n">
        <v>0</v>
      </c>
      <c r="J18" s="196" t="n">
        <v>0</v>
      </c>
      <c r="K18" s="196" t="n">
        <v>0</v>
      </c>
      <c r="L18" s="197" t="n">
        <v>0</v>
      </c>
      <c r="M18" s="197" t="n">
        <v>0</v>
      </c>
      <c r="N18" s="197" t="n">
        <v>0</v>
      </c>
      <c r="O18" s="196">
        <f>H18+I18+J18+L18+M18+N18</f>
        <v/>
      </c>
      <c r="P18" s="198" t="n">
        <v>30000</v>
      </c>
      <c r="Q18" s="197" t="n">
        <v>0</v>
      </c>
      <c r="R18" s="199" t="inlineStr"/>
      <c r="S18" s="200" t="inlineStr">
        <is>
          <t>KHÔNG</t>
        </is>
      </c>
      <c r="T18" s="200" t="inlineStr">
        <is>
          <t>ĐÃ DUYỆT</t>
        </is>
      </c>
      <c r="U18" s="199" t="inlineStr">
        <is>
          <t>Quản Đốc</t>
        </is>
      </c>
      <c r="V18" s="200" t="inlineStr">
        <is>
          <t>2026-08-02 17:00:00</t>
        </is>
      </c>
      <c r="W18" s="200" t="inlineStr">
        <is>
          <t>ERP_CHAM_CONG_2026</t>
        </is>
      </c>
      <c r="X18" s="200" t="inlineStr">
        <is>
          <t>HỢP LỆ</t>
        </is>
      </c>
    </row>
    <row r="19">
      <c r="A19" s="201" t="inlineStr">
        <is>
          <t>2026-08-02</t>
        </is>
      </c>
      <c r="B19" s="201" t="inlineStr">
        <is>
          <t>2026-08-01</t>
        </is>
      </c>
      <c r="C19" s="201" t="inlineStr">
        <is>
          <t>NV03</t>
        </is>
      </c>
      <c r="D19" s="202" t="inlineStr">
        <is>
          <t>Phùng Đình Hùng</t>
        </is>
      </c>
      <c r="E19" s="201" t="inlineStr">
        <is>
          <t>CN</t>
        </is>
      </c>
      <c r="F19" s="203" t="n">
        <v>1</v>
      </c>
      <c r="G19" s="203" t="n">
        <v>8</v>
      </c>
      <c r="H19" s="203" t="n">
        <v>0</v>
      </c>
      <c r="I19" s="203" t="n">
        <v>0</v>
      </c>
      <c r="J19" s="203" t="n">
        <v>0</v>
      </c>
      <c r="K19" s="203" t="n">
        <v>0</v>
      </c>
      <c r="L19" s="204" t="n">
        <v>0</v>
      </c>
      <c r="M19" s="204" t="n">
        <v>0</v>
      </c>
      <c r="N19" s="204" t="n">
        <v>0</v>
      </c>
      <c r="O19" s="203">
        <f>H19+I19+J19+L19+M19+N19</f>
        <v/>
      </c>
      <c r="P19" s="205" t="n">
        <v>30000</v>
      </c>
      <c r="Q19" s="204" t="n">
        <v>0</v>
      </c>
      <c r="R19" s="206" t="inlineStr"/>
      <c r="S19" s="207" t="inlineStr">
        <is>
          <t>KHÔNG</t>
        </is>
      </c>
      <c r="T19" s="207" t="inlineStr">
        <is>
          <t>ĐÃ DUYỆT</t>
        </is>
      </c>
      <c r="U19" s="206" t="inlineStr">
        <is>
          <t>Quản Đốc</t>
        </is>
      </c>
      <c r="V19" s="207" t="inlineStr">
        <is>
          <t>2026-08-02 17:00:00</t>
        </is>
      </c>
      <c r="W19" s="207" t="inlineStr">
        <is>
          <t>ERP_CHAM_CONG_2026</t>
        </is>
      </c>
      <c r="X19" s="207" t="inlineStr">
        <is>
          <t>HỢP LỆ</t>
        </is>
      </c>
    </row>
    <row r="20">
      <c r="A20" s="194" t="inlineStr">
        <is>
          <t>2026-08-02</t>
        </is>
      </c>
      <c r="B20" s="194" t="inlineStr">
        <is>
          <t>2026-08-01</t>
        </is>
      </c>
      <c r="C20" s="194" t="inlineStr">
        <is>
          <t>NV14</t>
        </is>
      </c>
      <c r="D20" s="195" t="inlineStr">
        <is>
          <t>Đinh Văn Nhận</t>
        </is>
      </c>
      <c r="E20" s="194" t="inlineStr">
        <is>
          <t>CN</t>
        </is>
      </c>
      <c r="F20" s="196" t="n">
        <v>1</v>
      </c>
      <c r="G20" s="196" t="n">
        <v>8</v>
      </c>
      <c r="H20" s="196" t="n">
        <v>0</v>
      </c>
      <c r="I20" s="196" t="n">
        <v>0</v>
      </c>
      <c r="J20" s="196" t="n">
        <v>0</v>
      </c>
      <c r="K20" s="196" t="n">
        <v>0</v>
      </c>
      <c r="L20" s="197" t="n">
        <v>0</v>
      </c>
      <c r="M20" s="197" t="n">
        <v>0</v>
      </c>
      <c r="N20" s="197" t="n">
        <v>0</v>
      </c>
      <c r="O20" s="196">
        <f>H20+I20+J20+L20+M20+N20</f>
        <v/>
      </c>
      <c r="P20" s="198" t="n">
        <v>30000</v>
      </c>
      <c r="Q20" s="197" t="n">
        <v>0</v>
      </c>
      <c r="R20" s="199" t="inlineStr"/>
      <c r="S20" s="200" t="inlineStr">
        <is>
          <t>KHÔNG</t>
        </is>
      </c>
      <c r="T20" s="200" t="inlineStr">
        <is>
          <t>ĐÃ DUYỆT</t>
        </is>
      </c>
      <c r="U20" s="199" t="inlineStr">
        <is>
          <t>Quản Đốc</t>
        </is>
      </c>
      <c r="V20" s="200" t="inlineStr">
        <is>
          <t>2026-08-02 17:00:00</t>
        </is>
      </c>
      <c r="W20" s="200" t="inlineStr">
        <is>
          <t>ERP_CHAM_CONG_2026</t>
        </is>
      </c>
      <c r="X20" s="200" t="inlineStr">
        <is>
          <t>HỢP LỆ</t>
        </is>
      </c>
    </row>
    <row r="21">
      <c r="A21" s="201" t="inlineStr">
        <is>
          <t>2026-08-02</t>
        </is>
      </c>
      <c r="B21" s="201" t="inlineStr">
        <is>
          <t>2026-08-01</t>
        </is>
      </c>
      <c r="C21" s="201" t="inlineStr">
        <is>
          <t>NV13</t>
        </is>
      </c>
      <c r="D21" s="202" t="inlineStr">
        <is>
          <t>Trần Văn Quỳnh</t>
        </is>
      </c>
      <c r="E21" s="201" t="inlineStr">
        <is>
          <t>CN</t>
        </is>
      </c>
      <c r="F21" s="203" t="n">
        <v>1</v>
      </c>
      <c r="G21" s="203" t="n">
        <v>8</v>
      </c>
      <c r="H21" s="203" t="n">
        <v>0</v>
      </c>
      <c r="I21" s="203" t="n">
        <v>0</v>
      </c>
      <c r="J21" s="203" t="n">
        <v>0</v>
      </c>
      <c r="K21" s="203" t="n">
        <v>0</v>
      </c>
      <c r="L21" s="204" t="n">
        <v>0</v>
      </c>
      <c r="M21" s="204" t="n">
        <v>0</v>
      </c>
      <c r="N21" s="204" t="n">
        <v>0</v>
      </c>
      <c r="O21" s="203">
        <f>H21+I21+J21+L21+M21+N21</f>
        <v/>
      </c>
      <c r="P21" s="205" t="n">
        <v>30000</v>
      </c>
      <c r="Q21" s="204" t="n">
        <v>0</v>
      </c>
      <c r="R21" s="206" t="inlineStr"/>
      <c r="S21" s="207" t="inlineStr">
        <is>
          <t>KHÔNG</t>
        </is>
      </c>
      <c r="T21" s="207" t="inlineStr">
        <is>
          <t>ĐÃ DUYỆT</t>
        </is>
      </c>
      <c r="U21" s="206" t="inlineStr">
        <is>
          <t>Quản Đốc</t>
        </is>
      </c>
      <c r="V21" s="207" t="inlineStr">
        <is>
          <t>2026-08-02 17:00:00</t>
        </is>
      </c>
      <c r="W21" s="207" t="inlineStr">
        <is>
          <t>ERP_CHAM_CONG_2026</t>
        </is>
      </c>
      <c r="X21" s="207" t="inlineStr">
        <is>
          <t>HỢP LỆ</t>
        </is>
      </c>
    </row>
    <row r="22">
      <c r="A22" s="194" t="inlineStr">
        <is>
          <t>2026-08-02</t>
        </is>
      </c>
      <c r="B22" s="194" t="inlineStr">
        <is>
          <t>2026-08-01</t>
        </is>
      </c>
      <c r="C22" s="194" t="inlineStr">
        <is>
          <t>NV11</t>
        </is>
      </c>
      <c r="D22" s="195" t="inlineStr">
        <is>
          <t>Phùng Công Thắng</t>
        </is>
      </c>
      <c r="E22" s="194" t="inlineStr">
        <is>
          <t>CN</t>
        </is>
      </c>
      <c r="F22" s="196" t="n">
        <v>1</v>
      </c>
      <c r="G22" s="196" t="n">
        <v>8</v>
      </c>
      <c r="H22" s="196" t="n">
        <v>0</v>
      </c>
      <c r="I22" s="196" t="n">
        <v>0</v>
      </c>
      <c r="J22" s="196" t="n">
        <v>0</v>
      </c>
      <c r="K22" s="196" t="n">
        <v>0</v>
      </c>
      <c r="L22" s="197" t="n">
        <v>0</v>
      </c>
      <c r="M22" s="197" t="n">
        <v>0</v>
      </c>
      <c r="N22" s="197" t="n">
        <v>0</v>
      </c>
      <c r="O22" s="196">
        <f>H22+I22+J22+L22+M22+N22</f>
        <v/>
      </c>
      <c r="P22" s="198" t="n">
        <v>30000</v>
      </c>
      <c r="Q22" s="197" t="n">
        <v>0</v>
      </c>
      <c r="R22" s="199" t="inlineStr"/>
      <c r="S22" s="200" t="inlineStr">
        <is>
          <t>KHÔNG</t>
        </is>
      </c>
      <c r="T22" s="200" t="inlineStr">
        <is>
          <t>ĐÃ DUYỆT</t>
        </is>
      </c>
      <c r="U22" s="199" t="inlineStr">
        <is>
          <t>Quản Đốc</t>
        </is>
      </c>
      <c r="V22" s="200" t="inlineStr">
        <is>
          <t>2026-08-02 17:00:00</t>
        </is>
      </c>
      <c r="W22" s="200" t="inlineStr">
        <is>
          <t>ERP_CHAM_CONG_2026</t>
        </is>
      </c>
      <c r="X22" s="200" t="inlineStr">
        <is>
          <t>HỢP LỆ</t>
        </is>
      </c>
    </row>
    <row r="23">
      <c r="A23" s="201" t="inlineStr">
        <is>
          <t>2026-08-02</t>
        </is>
      </c>
      <c r="B23" s="201" t="inlineStr">
        <is>
          <t>2026-08-01</t>
        </is>
      </c>
      <c r="C23" s="201" t="inlineStr">
        <is>
          <t>NV06</t>
        </is>
      </c>
      <c r="D23" s="202" t="inlineStr">
        <is>
          <t>Nguyễn Văn Thanh</t>
        </is>
      </c>
      <c r="E23" s="201" t="inlineStr">
        <is>
          <t>CN</t>
        </is>
      </c>
      <c r="F23" s="203" t="n">
        <v>1</v>
      </c>
      <c r="G23" s="203" t="n">
        <v>8</v>
      </c>
      <c r="H23" s="203" t="n">
        <v>0</v>
      </c>
      <c r="I23" s="203" t="n">
        <v>0</v>
      </c>
      <c r="J23" s="203" t="n">
        <v>0</v>
      </c>
      <c r="K23" s="203" t="n">
        <v>0</v>
      </c>
      <c r="L23" s="204" t="n">
        <v>0</v>
      </c>
      <c r="M23" s="204" t="n">
        <v>0</v>
      </c>
      <c r="N23" s="204" t="n">
        <v>0</v>
      </c>
      <c r="O23" s="203">
        <f>H23+I23+J23+L23+M23+N23</f>
        <v/>
      </c>
      <c r="P23" s="205" t="n">
        <v>30000</v>
      </c>
      <c r="Q23" s="204" t="n">
        <v>0</v>
      </c>
      <c r="R23" s="206" t="inlineStr"/>
      <c r="S23" s="207" t="inlineStr">
        <is>
          <t>KHÔNG</t>
        </is>
      </c>
      <c r="T23" s="207" t="inlineStr">
        <is>
          <t>ĐÃ DUYỆT</t>
        </is>
      </c>
      <c r="U23" s="206" t="inlineStr">
        <is>
          <t>Quản Đốc</t>
        </is>
      </c>
      <c r="V23" s="207" t="inlineStr">
        <is>
          <t>2026-08-02 17:00:00</t>
        </is>
      </c>
      <c r="W23" s="207" t="inlineStr">
        <is>
          <t>ERP_CHAM_CONG_2026</t>
        </is>
      </c>
      <c r="X23" s="207" t="inlineStr">
        <is>
          <t>HỢP LỆ</t>
        </is>
      </c>
    </row>
    <row r="24">
      <c r="A24" s="194" t="inlineStr">
        <is>
          <t>2026-08-02</t>
        </is>
      </c>
      <c r="B24" s="194" t="inlineStr">
        <is>
          <t>2026-08-01</t>
        </is>
      </c>
      <c r="C24" s="194" t="inlineStr">
        <is>
          <t>NV10</t>
        </is>
      </c>
      <c r="D24" s="195" t="inlineStr">
        <is>
          <t>Phạm Văn Tráng</t>
        </is>
      </c>
      <c r="E24" s="194" t="inlineStr">
        <is>
          <t>CN</t>
        </is>
      </c>
      <c r="F24" s="196" t="n">
        <v>1</v>
      </c>
      <c r="G24" s="196" t="n">
        <v>8</v>
      </c>
      <c r="H24" s="196" t="n">
        <v>0</v>
      </c>
      <c r="I24" s="196" t="n">
        <v>0</v>
      </c>
      <c r="J24" s="196" t="n">
        <v>0</v>
      </c>
      <c r="K24" s="196" t="n">
        <v>0</v>
      </c>
      <c r="L24" s="197" t="n">
        <v>0</v>
      </c>
      <c r="M24" s="197" t="n">
        <v>0</v>
      </c>
      <c r="N24" s="197" t="n">
        <v>0</v>
      </c>
      <c r="O24" s="196">
        <f>H24+I24+J24+L24+M24+N24</f>
        <v/>
      </c>
      <c r="P24" s="198" t="n">
        <v>30000</v>
      </c>
      <c r="Q24" s="197" t="n">
        <v>0</v>
      </c>
      <c r="R24" s="199" t="inlineStr"/>
      <c r="S24" s="200" t="inlineStr">
        <is>
          <t>KHÔNG</t>
        </is>
      </c>
      <c r="T24" s="200" t="inlineStr">
        <is>
          <t>ĐÃ DUYỆT</t>
        </is>
      </c>
      <c r="U24" s="199" t="inlineStr">
        <is>
          <t>Quản Đốc</t>
        </is>
      </c>
      <c r="V24" s="200" t="inlineStr">
        <is>
          <t>2026-08-02 17:00:00</t>
        </is>
      </c>
      <c r="W24" s="200" t="inlineStr">
        <is>
          <t>ERP_CHAM_CONG_2026</t>
        </is>
      </c>
      <c r="X24" s="200" t="inlineStr">
        <is>
          <t>HỢP LỆ</t>
        </is>
      </c>
    </row>
    <row r="25">
      <c r="A25" s="201" t="inlineStr">
        <is>
          <t>2026-08-03</t>
        </is>
      </c>
      <c r="B25" s="201" t="inlineStr">
        <is>
          <t>2026-08-01</t>
        </is>
      </c>
      <c r="C25" s="201" t="inlineStr">
        <is>
          <t>NV02</t>
        </is>
      </c>
      <c r="D25" s="202" t="inlineStr">
        <is>
          <t>Nguyễn Trung Đông</t>
        </is>
      </c>
      <c r="E25" s="201" t="inlineStr">
        <is>
          <t>C1</t>
        </is>
      </c>
      <c r="F25" s="203" t="n">
        <v>1</v>
      </c>
      <c r="G25" s="203" t="n">
        <v>8</v>
      </c>
      <c r="H25" s="203" t="n">
        <v>0</v>
      </c>
      <c r="I25" s="203" t="n">
        <v>0</v>
      </c>
      <c r="J25" s="203" t="n">
        <v>0</v>
      </c>
      <c r="K25" s="203" t="n">
        <v>0</v>
      </c>
      <c r="L25" s="204" t="n">
        <v>0</v>
      </c>
      <c r="M25" s="204" t="n">
        <v>0</v>
      </c>
      <c r="N25" s="204" t="n">
        <v>0</v>
      </c>
      <c r="O25" s="203">
        <f>H25+I25+J25+L25+M25+N25</f>
        <v/>
      </c>
      <c r="P25" s="205" t="n">
        <v>30000</v>
      </c>
      <c r="Q25" s="204" t="n">
        <v>0</v>
      </c>
      <c r="R25" s="206" t="inlineStr"/>
      <c r="S25" s="207" t="inlineStr">
        <is>
          <t>KHÔNG</t>
        </is>
      </c>
      <c r="T25" s="207" t="inlineStr">
        <is>
          <t>ĐÃ DUYỆT</t>
        </is>
      </c>
      <c r="U25" s="206" t="inlineStr">
        <is>
          <t>Quản Đốc</t>
        </is>
      </c>
      <c r="V25" s="207" t="inlineStr">
        <is>
          <t>2026-08-03 17:00:00</t>
        </is>
      </c>
      <c r="W25" s="207" t="inlineStr">
        <is>
          <t>ERP_CHAM_CONG_2026</t>
        </is>
      </c>
      <c r="X25" s="207" t="inlineStr">
        <is>
          <t>HỢP LỆ</t>
        </is>
      </c>
    </row>
    <row r="26">
      <c r="A26" s="194" t="inlineStr">
        <is>
          <t>2026-08-03</t>
        </is>
      </c>
      <c r="B26" s="194" t="inlineStr">
        <is>
          <t>2026-08-01</t>
        </is>
      </c>
      <c r="C26" s="194" t="inlineStr">
        <is>
          <t>NV08</t>
        </is>
      </c>
      <c r="D26" s="195" t="inlineStr">
        <is>
          <t>Trần Văn Dũng</t>
        </is>
      </c>
      <c r="E26" s="194" t="inlineStr">
        <is>
          <t>C1</t>
        </is>
      </c>
      <c r="F26" s="196" t="n">
        <v>1</v>
      </c>
      <c r="G26" s="196" t="n">
        <v>8</v>
      </c>
      <c r="H26" s="196" t="n">
        <v>0</v>
      </c>
      <c r="I26" s="196" t="n">
        <v>0</v>
      </c>
      <c r="J26" s="196" t="n">
        <v>0</v>
      </c>
      <c r="K26" s="196" t="n">
        <v>0</v>
      </c>
      <c r="L26" s="197" t="n">
        <v>0</v>
      </c>
      <c r="M26" s="197" t="n">
        <v>0</v>
      </c>
      <c r="N26" s="197" t="n">
        <v>0</v>
      </c>
      <c r="O26" s="196">
        <f>H26+I26+J26+L26+M26+N26</f>
        <v/>
      </c>
      <c r="P26" s="198" t="n">
        <v>30000</v>
      </c>
      <c r="Q26" s="197" t="n">
        <v>0</v>
      </c>
      <c r="R26" s="199" t="inlineStr"/>
      <c r="S26" s="200" t="inlineStr">
        <is>
          <t>KHÔNG</t>
        </is>
      </c>
      <c r="T26" s="200" t="inlineStr">
        <is>
          <t>ĐÃ DUYỆT</t>
        </is>
      </c>
      <c r="U26" s="199" t="inlineStr">
        <is>
          <t>Quản Đốc</t>
        </is>
      </c>
      <c r="V26" s="200" t="inlineStr">
        <is>
          <t>2026-08-03 17:00:00</t>
        </is>
      </c>
      <c r="W26" s="200" t="inlineStr">
        <is>
          <t>ERP_CHAM_CONG_2026</t>
        </is>
      </c>
      <c r="X26" s="200" t="inlineStr">
        <is>
          <t>HỢP LỆ</t>
        </is>
      </c>
    </row>
    <row r="27">
      <c r="A27" s="201" t="inlineStr">
        <is>
          <t>2026-08-03</t>
        </is>
      </c>
      <c r="B27" s="201" t="inlineStr">
        <is>
          <t>2026-08-01</t>
        </is>
      </c>
      <c r="C27" s="201" t="inlineStr">
        <is>
          <t>NV01</t>
        </is>
      </c>
      <c r="D27" s="202" t="inlineStr">
        <is>
          <t>Hoàng Ngọc Hà</t>
        </is>
      </c>
      <c r="E27" s="201" t="inlineStr">
        <is>
          <t>C1</t>
        </is>
      </c>
      <c r="F27" s="203" t="n">
        <v>1</v>
      </c>
      <c r="G27" s="203" t="n">
        <v>8</v>
      </c>
      <c r="H27" s="203" t="n">
        <v>0</v>
      </c>
      <c r="I27" s="203" t="n">
        <v>0</v>
      </c>
      <c r="J27" s="203" t="n">
        <v>0</v>
      </c>
      <c r="K27" s="203" t="n">
        <v>0</v>
      </c>
      <c r="L27" s="204" t="n">
        <v>0</v>
      </c>
      <c r="M27" s="204" t="n">
        <v>0</v>
      </c>
      <c r="N27" s="204" t="n">
        <v>0</v>
      </c>
      <c r="O27" s="203">
        <f>H27+I27+J27+L27+M27+N27</f>
        <v/>
      </c>
      <c r="P27" s="205" t="n">
        <v>30000</v>
      </c>
      <c r="Q27" s="204" t="n">
        <v>0</v>
      </c>
      <c r="R27" s="206" t="inlineStr"/>
      <c r="S27" s="207" t="inlineStr">
        <is>
          <t>KHÔNG</t>
        </is>
      </c>
      <c r="T27" s="207" t="inlineStr">
        <is>
          <t>ĐÃ DUYỆT</t>
        </is>
      </c>
      <c r="U27" s="206" t="inlineStr">
        <is>
          <t>Quản Đốc</t>
        </is>
      </c>
      <c r="V27" s="207" t="inlineStr">
        <is>
          <t>2026-08-03 17:00:00</t>
        </is>
      </c>
      <c r="W27" s="207" t="inlineStr">
        <is>
          <t>ERP_CHAM_CONG_2026</t>
        </is>
      </c>
      <c r="X27" s="207" t="inlineStr">
        <is>
          <t>HỢP LỆ</t>
        </is>
      </c>
    </row>
    <row r="28">
      <c r="A28" s="194" t="inlineStr">
        <is>
          <t>2026-08-03</t>
        </is>
      </c>
      <c r="B28" s="194" t="inlineStr">
        <is>
          <t>2026-08-01</t>
        </is>
      </c>
      <c r="C28" s="194" t="inlineStr">
        <is>
          <t>NV03</t>
        </is>
      </c>
      <c r="D28" s="195" t="inlineStr">
        <is>
          <t>Phùng Đình Hùng</t>
        </is>
      </c>
      <c r="E28" s="194" t="inlineStr">
        <is>
          <t>C1</t>
        </is>
      </c>
      <c r="F28" s="196" t="n">
        <v>1</v>
      </c>
      <c r="G28" s="196" t="n">
        <v>8</v>
      </c>
      <c r="H28" s="196" t="n">
        <v>0</v>
      </c>
      <c r="I28" s="196" t="n">
        <v>0</v>
      </c>
      <c r="J28" s="196" t="n">
        <v>0</v>
      </c>
      <c r="K28" s="196" t="n">
        <v>0</v>
      </c>
      <c r="L28" s="197" t="n">
        <v>0</v>
      </c>
      <c r="M28" s="197" t="n">
        <v>0</v>
      </c>
      <c r="N28" s="197" t="n">
        <v>0</v>
      </c>
      <c r="O28" s="196">
        <f>H28+I28+J28+L28+M28+N28</f>
        <v/>
      </c>
      <c r="P28" s="198" t="n">
        <v>30000</v>
      </c>
      <c r="Q28" s="197" t="n">
        <v>0</v>
      </c>
      <c r="R28" s="199" t="inlineStr"/>
      <c r="S28" s="200" t="inlineStr">
        <is>
          <t>KHÔNG</t>
        </is>
      </c>
      <c r="T28" s="200" t="inlineStr">
        <is>
          <t>ĐÃ DUYỆT</t>
        </is>
      </c>
      <c r="U28" s="199" t="inlineStr">
        <is>
          <t>Quản Đốc</t>
        </is>
      </c>
      <c r="V28" s="200" t="inlineStr">
        <is>
          <t>2026-08-03 17:00:00</t>
        </is>
      </c>
      <c r="W28" s="200" t="inlineStr">
        <is>
          <t>ERP_CHAM_CONG_2026</t>
        </is>
      </c>
      <c r="X28" s="200" t="inlineStr">
        <is>
          <t>HỢP LỆ</t>
        </is>
      </c>
    </row>
    <row r="29">
      <c r="A29" s="201" t="inlineStr">
        <is>
          <t>2026-08-03</t>
        </is>
      </c>
      <c r="B29" s="201" t="inlineStr">
        <is>
          <t>2026-08-01</t>
        </is>
      </c>
      <c r="C29" s="201" t="inlineStr">
        <is>
          <t>NV15</t>
        </is>
      </c>
      <c r="D29" s="202" t="inlineStr">
        <is>
          <t>Đặng Ngọc Long</t>
        </is>
      </c>
      <c r="E29" s="201" t="inlineStr">
        <is>
          <t>C1</t>
        </is>
      </c>
      <c r="F29" s="203" t="n">
        <v>1</v>
      </c>
      <c r="G29" s="203" t="n">
        <v>8</v>
      </c>
      <c r="H29" s="203" t="n">
        <v>0</v>
      </c>
      <c r="I29" s="203" t="n">
        <v>0</v>
      </c>
      <c r="J29" s="203" t="n">
        <v>0</v>
      </c>
      <c r="K29" s="203" t="n">
        <v>0</v>
      </c>
      <c r="L29" s="204" t="n">
        <v>0</v>
      </c>
      <c r="M29" s="204" t="n">
        <v>0</v>
      </c>
      <c r="N29" s="204" t="n">
        <v>0</v>
      </c>
      <c r="O29" s="203">
        <f>H29+I29+J29+L29+M29+N29</f>
        <v/>
      </c>
      <c r="P29" s="205" t="n">
        <v>30000</v>
      </c>
      <c r="Q29" s="204" t="n">
        <v>0</v>
      </c>
      <c r="R29" s="206" t="inlineStr"/>
      <c r="S29" s="207" t="inlineStr">
        <is>
          <t>KHÔNG</t>
        </is>
      </c>
      <c r="T29" s="207" t="inlineStr">
        <is>
          <t>ĐÃ DUYỆT</t>
        </is>
      </c>
      <c r="U29" s="206" t="inlineStr">
        <is>
          <t>Quản Đốc</t>
        </is>
      </c>
      <c r="V29" s="207" t="inlineStr">
        <is>
          <t>2026-08-03 17:00:00</t>
        </is>
      </c>
      <c r="W29" s="207" t="inlineStr">
        <is>
          <t>ERP_CHAM_CONG_2026</t>
        </is>
      </c>
      <c r="X29" s="207" t="inlineStr">
        <is>
          <t>HỢP LỆ</t>
        </is>
      </c>
    </row>
    <row r="30">
      <c r="A30" s="194" t="inlineStr">
        <is>
          <t>2026-08-03</t>
        </is>
      </c>
      <c r="B30" s="194" t="inlineStr">
        <is>
          <t>2026-08-01</t>
        </is>
      </c>
      <c r="C30" s="194" t="inlineStr">
        <is>
          <t>NV14</t>
        </is>
      </c>
      <c r="D30" s="195" t="inlineStr">
        <is>
          <t>Đinh Văn Nhận</t>
        </is>
      </c>
      <c r="E30" s="194" t="inlineStr">
        <is>
          <t>C1+2</t>
        </is>
      </c>
      <c r="F30" s="196" t="n">
        <v>1</v>
      </c>
      <c r="G30" s="196" t="n">
        <v>8</v>
      </c>
      <c r="H30" s="196" t="n">
        <v>2</v>
      </c>
      <c r="I30" s="196" t="n">
        <v>0</v>
      </c>
      <c r="J30" s="196" t="n">
        <v>0</v>
      </c>
      <c r="K30" s="196" t="n">
        <v>0</v>
      </c>
      <c r="L30" s="197" t="n">
        <v>0</v>
      </c>
      <c r="M30" s="197" t="n">
        <v>0</v>
      </c>
      <c r="N30" s="197" t="n">
        <v>0</v>
      </c>
      <c r="O30" s="196">
        <f>H30+I30+J30+L30+M30+N30</f>
        <v/>
      </c>
      <c r="P30" s="198" t="n">
        <v>55000</v>
      </c>
      <c r="Q30" s="197" t="n">
        <v>0</v>
      </c>
      <c r="R30" s="199" t="inlineStr">
        <is>
          <t>Đảm bảo tiến độ sản xuất</t>
        </is>
      </c>
      <c r="S30" s="200" t="inlineStr">
        <is>
          <t>CÓ</t>
        </is>
      </c>
      <c r="T30" s="200" t="inlineStr">
        <is>
          <t>ĐÃ DUYỆT</t>
        </is>
      </c>
      <c r="U30" s="199" t="inlineStr">
        <is>
          <t>Quản Đốc</t>
        </is>
      </c>
      <c r="V30" s="200" t="inlineStr">
        <is>
          <t>2026-08-03 17:00:00</t>
        </is>
      </c>
      <c r="W30" s="200" t="inlineStr">
        <is>
          <t>ERP_CHAM_CONG_2026</t>
        </is>
      </c>
      <c r="X30" s="200" t="inlineStr">
        <is>
          <t>HỢP LỆ</t>
        </is>
      </c>
    </row>
    <row r="31">
      <c r="A31" s="201" t="inlineStr">
        <is>
          <t>2026-08-03</t>
        </is>
      </c>
      <c r="B31" s="201" t="inlineStr">
        <is>
          <t>2026-08-01</t>
        </is>
      </c>
      <c r="C31" s="201" t="inlineStr">
        <is>
          <t>NV07</t>
        </is>
      </c>
      <c r="D31" s="202" t="inlineStr">
        <is>
          <t>Phùng Gia Phúc</t>
        </is>
      </c>
      <c r="E31" s="201" t="inlineStr">
        <is>
          <t>C1+2</t>
        </is>
      </c>
      <c r="F31" s="203" t="n">
        <v>1</v>
      </c>
      <c r="G31" s="203" t="n">
        <v>8</v>
      </c>
      <c r="H31" s="203" t="n">
        <v>2</v>
      </c>
      <c r="I31" s="203" t="n">
        <v>0</v>
      </c>
      <c r="J31" s="203" t="n">
        <v>0</v>
      </c>
      <c r="K31" s="203" t="n">
        <v>0</v>
      </c>
      <c r="L31" s="204" t="n">
        <v>0</v>
      </c>
      <c r="M31" s="204" t="n">
        <v>0</v>
      </c>
      <c r="N31" s="204" t="n">
        <v>0</v>
      </c>
      <c r="O31" s="203">
        <f>H31+I31+J31+L31+M31+N31</f>
        <v/>
      </c>
      <c r="P31" s="205" t="n">
        <v>55000</v>
      </c>
      <c r="Q31" s="204" t="n">
        <v>0</v>
      </c>
      <c r="R31" s="206" t="inlineStr">
        <is>
          <t>Đảm bảo tiến độ sản xuất</t>
        </is>
      </c>
      <c r="S31" s="207" t="inlineStr">
        <is>
          <t>CÓ</t>
        </is>
      </c>
      <c r="T31" s="207" t="inlineStr">
        <is>
          <t>ĐÃ DUYỆT</t>
        </is>
      </c>
      <c r="U31" s="206" t="inlineStr">
        <is>
          <t>Quản Đốc</t>
        </is>
      </c>
      <c r="V31" s="207" t="inlineStr">
        <is>
          <t>2026-08-03 17:00:00</t>
        </is>
      </c>
      <c r="W31" s="207" t="inlineStr">
        <is>
          <t>ERP_CHAM_CONG_2026</t>
        </is>
      </c>
      <c r="X31" s="207" t="inlineStr">
        <is>
          <t>HỢP LỆ</t>
        </is>
      </c>
    </row>
    <row r="32">
      <c r="A32" s="194" t="inlineStr">
        <is>
          <t>2026-08-03</t>
        </is>
      </c>
      <c r="B32" s="194" t="inlineStr">
        <is>
          <t>2026-08-01</t>
        </is>
      </c>
      <c r="C32" s="194" t="inlineStr">
        <is>
          <t>NV13</t>
        </is>
      </c>
      <c r="D32" s="195" t="inlineStr">
        <is>
          <t>Trần Văn Quỳnh</t>
        </is>
      </c>
      <c r="E32" s="194" t="inlineStr">
        <is>
          <t>C1</t>
        </is>
      </c>
      <c r="F32" s="196" t="n">
        <v>1</v>
      </c>
      <c r="G32" s="196" t="n">
        <v>8</v>
      </c>
      <c r="H32" s="196" t="n">
        <v>0</v>
      </c>
      <c r="I32" s="196" t="n">
        <v>0</v>
      </c>
      <c r="J32" s="196" t="n">
        <v>0</v>
      </c>
      <c r="K32" s="196" t="n">
        <v>0</v>
      </c>
      <c r="L32" s="197" t="n">
        <v>0</v>
      </c>
      <c r="M32" s="197" t="n">
        <v>0</v>
      </c>
      <c r="N32" s="197" t="n">
        <v>0</v>
      </c>
      <c r="O32" s="196">
        <f>H32+I32+J32+L32+M32+N32</f>
        <v/>
      </c>
      <c r="P32" s="198" t="n">
        <v>30000</v>
      </c>
      <c r="Q32" s="197" t="n">
        <v>0</v>
      </c>
      <c r="R32" s="199" t="inlineStr"/>
      <c r="S32" s="200" t="inlineStr">
        <is>
          <t>KHÔNG</t>
        </is>
      </c>
      <c r="T32" s="200" t="inlineStr">
        <is>
          <t>ĐÃ DUYỆT</t>
        </is>
      </c>
      <c r="U32" s="199" t="inlineStr">
        <is>
          <t>Quản Đốc</t>
        </is>
      </c>
      <c r="V32" s="200" t="inlineStr">
        <is>
          <t>2026-08-03 17:00:00</t>
        </is>
      </c>
      <c r="W32" s="200" t="inlineStr">
        <is>
          <t>ERP_CHAM_CONG_2026</t>
        </is>
      </c>
      <c r="X32" s="200" t="inlineStr">
        <is>
          <t>HỢP LỆ</t>
        </is>
      </c>
    </row>
    <row r="33">
      <c r="A33" s="201" t="inlineStr">
        <is>
          <t>2026-08-03</t>
        </is>
      </c>
      <c r="B33" s="201" t="inlineStr">
        <is>
          <t>2026-08-01</t>
        </is>
      </c>
      <c r="C33" s="201" t="inlineStr">
        <is>
          <t>NV11</t>
        </is>
      </c>
      <c r="D33" s="202" t="inlineStr">
        <is>
          <t>Phùng Công Thắng</t>
        </is>
      </c>
      <c r="E33" s="201" t="inlineStr">
        <is>
          <t>C1+2</t>
        </is>
      </c>
      <c r="F33" s="203" t="n">
        <v>1</v>
      </c>
      <c r="G33" s="203" t="n">
        <v>8</v>
      </c>
      <c r="H33" s="203" t="n">
        <v>2</v>
      </c>
      <c r="I33" s="203" t="n">
        <v>0</v>
      </c>
      <c r="J33" s="203" t="n">
        <v>0</v>
      </c>
      <c r="K33" s="203" t="n">
        <v>0</v>
      </c>
      <c r="L33" s="204" t="n">
        <v>0</v>
      </c>
      <c r="M33" s="204" t="n">
        <v>0</v>
      </c>
      <c r="N33" s="204" t="n">
        <v>0</v>
      </c>
      <c r="O33" s="203">
        <f>H33+I33+J33+L33+M33+N33</f>
        <v/>
      </c>
      <c r="P33" s="205" t="n">
        <v>55000</v>
      </c>
      <c r="Q33" s="204" t="n">
        <v>0</v>
      </c>
      <c r="R33" s="206" t="inlineStr">
        <is>
          <t>Đảm bảo tiến độ sản xuất</t>
        </is>
      </c>
      <c r="S33" s="207" t="inlineStr">
        <is>
          <t>CÓ</t>
        </is>
      </c>
      <c r="T33" s="207" t="inlineStr">
        <is>
          <t>ĐÃ DUYỆT</t>
        </is>
      </c>
      <c r="U33" s="206" t="inlineStr">
        <is>
          <t>Quản Đốc</t>
        </is>
      </c>
      <c r="V33" s="207" t="inlineStr">
        <is>
          <t>2026-08-03 17:00:00</t>
        </is>
      </c>
      <c r="W33" s="207" t="inlineStr">
        <is>
          <t>ERP_CHAM_CONG_2026</t>
        </is>
      </c>
      <c r="X33" s="207" t="inlineStr">
        <is>
          <t>HỢP LỆ</t>
        </is>
      </c>
    </row>
    <row r="34">
      <c r="A34" s="194" t="inlineStr">
        <is>
          <t>2026-08-03</t>
        </is>
      </c>
      <c r="B34" s="194" t="inlineStr">
        <is>
          <t>2026-08-01</t>
        </is>
      </c>
      <c r="C34" s="194" t="inlineStr">
        <is>
          <t>NV06</t>
        </is>
      </c>
      <c r="D34" s="195" t="inlineStr">
        <is>
          <t>Nguyễn Văn Thanh</t>
        </is>
      </c>
      <c r="E34" s="194" t="inlineStr">
        <is>
          <t>C1</t>
        </is>
      </c>
      <c r="F34" s="196" t="n">
        <v>1</v>
      </c>
      <c r="G34" s="196" t="n">
        <v>8</v>
      </c>
      <c r="H34" s="196" t="n">
        <v>0</v>
      </c>
      <c r="I34" s="196" t="n">
        <v>0</v>
      </c>
      <c r="J34" s="196" t="n">
        <v>0</v>
      </c>
      <c r="K34" s="196" t="n">
        <v>0</v>
      </c>
      <c r="L34" s="197" t="n">
        <v>0</v>
      </c>
      <c r="M34" s="197" t="n">
        <v>0</v>
      </c>
      <c r="N34" s="197" t="n">
        <v>0</v>
      </c>
      <c r="O34" s="196">
        <f>H34+I34+J34+L34+M34+N34</f>
        <v/>
      </c>
      <c r="P34" s="198" t="n">
        <v>30000</v>
      </c>
      <c r="Q34" s="197" t="n">
        <v>0</v>
      </c>
      <c r="R34" s="199" t="inlineStr"/>
      <c r="S34" s="200" t="inlineStr">
        <is>
          <t>KHÔNG</t>
        </is>
      </c>
      <c r="T34" s="200" t="inlineStr">
        <is>
          <t>ĐÃ DUYỆT</t>
        </is>
      </c>
      <c r="U34" s="199" t="inlineStr">
        <is>
          <t>Quản Đốc</t>
        </is>
      </c>
      <c r="V34" s="200" t="inlineStr">
        <is>
          <t>2026-08-03 17:00:00</t>
        </is>
      </c>
      <c r="W34" s="200" t="inlineStr">
        <is>
          <t>ERP_CHAM_CONG_2026</t>
        </is>
      </c>
      <c r="X34" s="200" t="inlineStr">
        <is>
          <t>HỢP LỆ</t>
        </is>
      </c>
    </row>
    <row r="35">
      <c r="A35" s="201" t="inlineStr">
        <is>
          <t>2026-08-03</t>
        </is>
      </c>
      <c r="B35" s="201" t="inlineStr">
        <is>
          <t>2026-08-01</t>
        </is>
      </c>
      <c r="C35" s="201" t="inlineStr">
        <is>
          <t>NV04</t>
        </is>
      </c>
      <c r="D35" s="202" t="inlineStr">
        <is>
          <t>Vũ Tiến Thuận</t>
        </is>
      </c>
      <c r="E35" s="201" t="inlineStr">
        <is>
          <t>C1</t>
        </is>
      </c>
      <c r="F35" s="203" t="n">
        <v>1</v>
      </c>
      <c r="G35" s="203" t="n">
        <v>8</v>
      </c>
      <c r="H35" s="203" t="n">
        <v>0</v>
      </c>
      <c r="I35" s="203" t="n">
        <v>0</v>
      </c>
      <c r="J35" s="203" t="n">
        <v>0</v>
      </c>
      <c r="K35" s="203" t="n">
        <v>0</v>
      </c>
      <c r="L35" s="204" t="n">
        <v>0</v>
      </c>
      <c r="M35" s="204" t="n">
        <v>0</v>
      </c>
      <c r="N35" s="204" t="n">
        <v>0</v>
      </c>
      <c r="O35" s="203">
        <f>H35+I35+J35+L35+M35+N35</f>
        <v/>
      </c>
      <c r="P35" s="205" t="n">
        <v>30000</v>
      </c>
      <c r="Q35" s="204" t="n">
        <v>0</v>
      </c>
      <c r="R35" s="206" t="inlineStr"/>
      <c r="S35" s="207" t="inlineStr">
        <is>
          <t>KHÔNG</t>
        </is>
      </c>
      <c r="T35" s="207" t="inlineStr">
        <is>
          <t>ĐÃ DUYỆT</t>
        </is>
      </c>
      <c r="U35" s="206" t="inlineStr">
        <is>
          <t>Quản Đốc</t>
        </is>
      </c>
      <c r="V35" s="207" t="inlineStr">
        <is>
          <t>2026-08-03 17:00:00</t>
        </is>
      </c>
      <c r="W35" s="207" t="inlineStr">
        <is>
          <t>ERP_CHAM_CONG_2026</t>
        </is>
      </c>
      <c r="X35" s="207" t="inlineStr">
        <is>
          <t>HỢP LỆ</t>
        </is>
      </c>
    </row>
    <row r="36">
      <c r="A36" s="194" t="inlineStr">
        <is>
          <t>2026-08-03</t>
        </is>
      </c>
      <c r="B36" s="194" t="inlineStr">
        <is>
          <t>2026-08-01</t>
        </is>
      </c>
      <c r="C36" s="194" t="inlineStr">
        <is>
          <t>NV10</t>
        </is>
      </c>
      <c r="D36" s="195" t="inlineStr">
        <is>
          <t>Phạm Văn Tráng</t>
        </is>
      </c>
      <c r="E36" s="194" t="inlineStr">
        <is>
          <t>C1</t>
        </is>
      </c>
      <c r="F36" s="196" t="n">
        <v>1</v>
      </c>
      <c r="G36" s="196" t="n">
        <v>8</v>
      </c>
      <c r="H36" s="196" t="n">
        <v>0</v>
      </c>
      <c r="I36" s="196" t="n">
        <v>0</v>
      </c>
      <c r="J36" s="196" t="n">
        <v>0</v>
      </c>
      <c r="K36" s="196" t="n">
        <v>0</v>
      </c>
      <c r="L36" s="197" t="n">
        <v>0</v>
      </c>
      <c r="M36" s="197" t="n">
        <v>0</v>
      </c>
      <c r="N36" s="197" t="n">
        <v>0</v>
      </c>
      <c r="O36" s="196">
        <f>H36+I36+J36+L36+M36+N36</f>
        <v/>
      </c>
      <c r="P36" s="198" t="n">
        <v>30000</v>
      </c>
      <c r="Q36" s="197" t="n">
        <v>0</v>
      </c>
      <c r="R36" s="199" t="inlineStr"/>
      <c r="S36" s="200" t="inlineStr">
        <is>
          <t>KHÔNG</t>
        </is>
      </c>
      <c r="T36" s="200" t="inlineStr">
        <is>
          <t>ĐÃ DUYỆT</t>
        </is>
      </c>
      <c r="U36" s="199" t="inlineStr">
        <is>
          <t>Quản Đốc</t>
        </is>
      </c>
      <c r="V36" s="200" t="inlineStr">
        <is>
          <t>2026-08-03 17:00:00</t>
        </is>
      </c>
      <c r="W36" s="200" t="inlineStr">
        <is>
          <t>ERP_CHAM_CONG_2026</t>
        </is>
      </c>
      <c r="X36" s="200" t="inlineStr">
        <is>
          <t>HỢP LỆ</t>
        </is>
      </c>
    </row>
    <row r="37">
      <c r="A37" s="201" t="inlineStr">
        <is>
          <t>2026-08-04</t>
        </is>
      </c>
      <c r="B37" s="201" t="inlineStr">
        <is>
          <t>2026-08-01</t>
        </is>
      </c>
      <c r="C37" s="201" t="inlineStr">
        <is>
          <t>NV02</t>
        </is>
      </c>
      <c r="D37" s="202" t="inlineStr">
        <is>
          <t>Nguyễn Trung Đông</t>
        </is>
      </c>
      <c r="E37" s="201" t="inlineStr">
        <is>
          <t>C1+2</t>
        </is>
      </c>
      <c r="F37" s="203" t="n">
        <v>1</v>
      </c>
      <c r="G37" s="203" t="n">
        <v>8</v>
      </c>
      <c r="H37" s="203" t="n">
        <v>2</v>
      </c>
      <c r="I37" s="203" t="n">
        <v>0</v>
      </c>
      <c r="J37" s="203" t="n">
        <v>0</v>
      </c>
      <c r="K37" s="203" t="n">
        <v>0</v>
      </c>
      <c r="L37" s="204" t="n">
        <v>0</v>
      </c>
      <c r="M37" s="204" t="n">
        <v>0</v>
      </c>
      <c r="N37" s="204" t="n">
        <v>0</v>
      </c>
      <c r="O37" s="203">
        <f>H37+I37+J37+L37+M37+N37</f>
        <v/>
      </c>
      <c r="P37" s="205" t="n">
        <v>55000</v>
      </c>
      <c r="Q37" s="204" t="n">
        <v>0</v>
      </c>
      <c r="R37" s="206" t="inlineStr">
        <is>
          <t>Đảm bảo tiến độ sản xuất</t>
        </is>
      </c>
      <c r="S37" s="207" t="inlineStr">
        <is>
          <t>CÓ</t>
        </is>
      </c>
      <c r="T37" s="207" t="inlineStr">
        <is>
          <t>ĐÃ DUYỆT</t>
        </is>
      </c>
      <c r="U37" s="206" t="inlineStr">
        <is>
          <t>Quản Đốc</t>
        </is>
      </c>
      <c r="V37" s="207" t="inlineStr">
        <is>
          <t>2026-08-04 17:00:00</t>
        </is>
      </c>
      <c r="W37" s="207" t="inlineStr">
        <is>
          <t>ERP_CHAM_CONG_2026</t>
        </is>
      </c>
      <c r="X37" s="207" t="inlineStr">
        <is>
          <t>HỢP LỆ</t>
        </is>
      </c>
    </row>
    <row r="38">
      <c r="A38" s="194" t="inlineStr">
        <is>
          <t>2026-08-04</t>
        </is>
      </c>
      <c r="B38" s="194" t="inlineStr">
        <is>
          <t>2026-08-01</t>
        </is>
      </c>
      <c r="C38" s="194" t="inlineStr">
        <is>
          <t>NV08</t>
        </is>
      </c>
      <c r="D38" s="195" t="inlineStr">
        <is>
          <t>Trần Văn Dũng</t>
        </is>
      </c>
      <c r="E38" s="194" t="inlineStr">
        <is>
          <t>C1+2</t>
        </is>
      </c>
      <c r="F38" s="196" t="n">
        <v>1</v>
      </c>
      <c r="G38" s="196" t="n">
        <v>8</v>
      </c>
      <c r="H38" s="196" t="n">
        <v>2</v>
      </c>
      <c r="I38" s="196" t="n">
        <v>0</v>
      </c>
      <c r="J38" s="196" t="n">
        <v>0</v>
      </c>
      <c r="K38" s="196" t="n">
        <v>0</v>
      </c>
      <c r="L38" s="197" t="n">
        <v>0</v>
      </c>
      <c r="M38" s="197" t="n">
        <v>0</v>
      </c>
      <c r="N38" s="197" t="n">
        <v>0</v>
      </c>
      <c r="O38" s="196">
        <f>H38+I38+J38+L38+M38+N38</f>
        <v/>
      </c>
      <c r="P38" s="198" t="n">
        <v>55000</v>
      </c>
      <c r="Q38" s="197" t="n">
        <v>0</v>
      </c>
      <c r="R38" s="199" t="inlineStr">
        <is>
          <t>Đảm bảo tiến độ sản xuất</t>
        </is>
      </c>
      <c r="S38" s="200" t="inlineStr">
        <is>
          <t>CÓ</t>
        </is>
      </c>
      <c r="T38" s="200" t="inlineStr">
        <is>
          <t>ĐÃ DUYỆT</t>
        </is>
      </c>
      <c r="U38" s="199" t="inlineStr">
        <is>
          <t>Quản Đốc</t>
        </is>
      </c>
      <c r="V38" s="200" t="inlineStr">
        <is>
          <t>2026-08-04 17:00:00</t>
        </is>
      </c>
      <c r="W38" s="200" t="inlineStr">
        <is>
          <t>ERP_CHAM_CONG_2026</t>
        </is>
      </c>
      <c r="X38" s="200" t="inlineStr">
        <is>
          <t>HỢP LỆ</t>
        </is>
      </c>
    </row>
    <row r="39">
      <c r="A39" s="201" t="inlineStr">
        <is>
          <t>2026-08-04</t>
        </is>
      </c>
      <c r="B39" s="201" t="inlineStr">
        <is>
          <t>2026-08-01</t>
        </is>
      </c>
      <c r="C39" s="201" t="inlineStr">
        <is>
          <t>NV01</t>
        </is>
      </c>
      <c r="D39" s="202" t="inlineStr">
        <is>
          <t>Hoàng Ngọc Hà</t>
        </is>
      </c>
      <c r="E39" s="201" t="inlineStr">
        <is>
          <t>C1</t>
        </is>
      </c>
      <c r="F39" s="203" t="n">
        <v>1</v>
      </c>
      <c r="G39" s="203" t="n">
        <v>8</v>
      </c>
      <c r="H39" s="203" t="n">
        <v>0</v>
      </c>
      <c r="I39" s="203" t="n">
        <v>0</v>
      </c>
      <c r="J39" s="203" t="n">
        <v>0</v>
      </c>
      <c r="K39" s="203" t="n">
        <v>0</v>
      </c>
      <c r="L39" s="204" t="n">
        <v>0</v>
      </c>
      <c r="M39" s="204" t="n">
        <v>0</v>
      </c>
      <c r="N39" s="204" t="n">
        <v>0</v>
      </c>
      <c r="O39" s="203">
        <f>H39+I39+J39+L39+M39+N39</f>
        <v/>
      </c>
      <c r="P39" s="205" t="n">
        <v>30000</v>
      </c>
      <c r="Q39" s="204" t="n">
        <v>0</v>
      </c>
      <c r="R39" s="206" t="inlineStr"/>
      <c r="S39" s="207" t="inlineStr">
        <is>
          <t>KHÔNG</t>
        </is>
      </c>
      <c r="T39" s="207" t="inlineStr">
        <is>
          <t>ĐÃ DUYỆT</t>
        </is>
      </c>
      <c r="U39" s="206" t="inlineStr">
        <is>
          <t>Quản Đốc</t>
        </is>
      </c>
      <c r="V39" s="207" t="inlineStr">
        <is>
          <t>2026-08-04 17:00:00</t>
        </is>
      </c>
      <c r="W39" s="207" t="inlineStr">
        <is>
          <t>ERP_CHAM_CONG_2026</t>
        </is>
      </c>
      <c r="X39" s="207" t="inlineStr">
        <is>
          <t>HỢP LỆ</t>
        </is>
      </c>
    </row>
    <row r="40">
      <c r="A40" s="194" t="inlineStr">
        <is>
          <t>2026-08-04</t>
        </is>
      </c>
      <c r="B40" s="194" t="inlineStr">
        <is>
          <t>2026-08-01</t>
        </is>
      </c>
      <c r="C40" s="194" t="inlineStr">
        <is>
          <t>NV03</t>
        </is>
      </c>
      <c r="D40" s="195" t="inlineStr">
        <is>
          <t>Phùng Đình Hùng</t>
        </is>
      </c>
      <c r="E40" s="194" t="inlineStr">
        <is>
          <t>C1</t>
        </is>
      </c>
      <c r="F40" s="196" t="n">
        <v>1</v>
      </c>
      <c r="G40" s="196" t="n">
        <v>8</v>
      </c>
      <c r="H40" s="196" t="n">
        <v>0</v>
      </c>
      <c r="I40" s="196" t="n">
        <v>0</v>
      </c>
      <c r="J40" s="196" t="n">
        <v>0</v>
      </c>
      <c r="K40" s="196" t="n">
        <v>0</v>
      </c>
      <c r="L40" s="197" t="n">
        <v>0</v>
      </c>
      <c r="M40" s="197" t="n">
        <v>0</v>
      </c>
      <c r="N40" s="197" t="n">
        <v>0</v>
      </c>
      <c r="O40" s="196">
        <f>H40+I40+J40+L40+M40+N40</f>
        <v/>
      </c>
      <c r="P40" s="198" t="n">
        <v>30000</v>
      </c>
      <c r="Q40" s="197" t="n">
        <v>0</v>
      </c>
      <c r="R40" s="199" t="inlineStr"/>
      <c r="S40" s="200" t="inlineStr">
        <is>
          <t>KHÔNG</t>
        </is>
      </c>
      <c r="T40" s="200" t="inlineStr">
        <is>
          <t>ĐÃ DUYỆT</t>
        </is>
      </c>
      <c r="U40" s="199" t="inlineStr">
        <is>
          <t>Quản Đốc</t>
        </is>
      </c>
      <c r="V40" s="200" t="inlineStr">
        <is>
          <t>2026-08-04 17:00:00</t>
        </is>
      </c>
      <c r="W40" s="200" t="inlineStr">
        <is>
          <t>ERP_CHAM_CONG_2026</t>
        </is>
      </c>
      <c r="X40" s="200" t="inlineStr">
        <is>
          <t>HỢP LỆ</t>
        </is>
      </c>
    </row>
    <row r="41">
      <c r="A41" s="201" t="inlineStr">
        <is>
          <t>2026-08-04</t>
        </is>
      </c>
      <c r="B41" s="201" t="inlineStr">
        <is>
          <t>2026-08-01</t>
        </is>
      </c>
      <c r="C41" s="201" t="inlineStr">
        <is>
          <t>NV15</t>
        </is>
      </c>
      <c r="D41" s="202" t="inlineStr">
        <is>
          <t>Đặng Ngọc Long</t>
        </is>
      </c>
      <c r="E41" s="201" t="inlineStr">
        <is>
          <t>C1+2</t>
        </is>
      </c>
      <c r="F41" s="203" t="n">
        <v>1</v>
      </c>
      <c r="G41" s="203" t="n">
        <v>8</v>
      </c>
      <c r="H41" s="203" t="n">
        <v>2</v>
      </c>
      <c r="I41" s="203" t="n">
        <v>0</v>
      </c>
      <c r="J41" s="203" t="n">
        <v>0</v>
      </c>
      <c r="K41" s="203" t="n">
        <v>0</v>
      </c>
      <c r="L41" s="204" t="n">
        <v>0</v>
      </c>
      <c r="M41" s="204" t="n">
        <v>0</v>
      </c>
      <c r="N41" s="204" t="n">
        <v>0</v>
      </c>
      <c r="O41" s="203">
        <f>H41+I41+J41+L41+M41+N41</f>
        <v/>
      </c>
      <c r="P41" s="205" t="n">
        <v>55000</v>
      </c>
      <c r="Q41" s="204" t="n">
        <v>0</v>
      </c>
      <c r="R41" s="206" t="inlineStr">
        <is>
          <t>Đảm bảo tiến độ sản xuất</t>
        </is>
      </c>
      <c r="S41" s="207" t="inlineStr">
        <is>
          <t>CÓ</t>
        </is>
      </c>
      <c r="T41" s="207" t="inlineStr">
        <is>
          <t>ĐÃ DUYỆT</t>
        </is>
      </c>
      <c r="U41" s="206" t="inlineStr">
        <is>
          <t>Quản Đốc</t>
        </is>
      </c>
      <c r="V41" s="207" t="inlineStr">
        <is>
          <t>2026-08-04 17:00:00</t>
        </is>
      </c>
      <c r="W41" s="207" t="inlineStr">
        <is>
          <t>ERP_CHAM_CONG_2026</t>
        </is>
      </c>
      <c r="X41" s="207" t="inlineStr">
        <is>
          <t>HỢP LỆ</t>
        </is>
      </c>
    </row>
    <row r="42">
      <c r="A42" s="194" t="inlineStr">
        <is>
          <t>2026-08-04</t>
        </is>
      </c>
      <c r="B42" s="194" t="inlineStr">
        <is>
          <t>2026-08-01</t>
        </is>
      </c>
      <c r="C42" s="194" t="inlineStr">
        <is>
          <t>NV14</t>
        </is>
      </c>
      <c r="D42" s="195" t="inlineStr">
        <is>
          <t>Đinh Văn Nhận</t>
        </is>
      </c>
      <c r="E42" s="194" t="inlineStr">
        <is>
          <t>C1+2</t>
        </is>
      </c>
      <c r="F42" s="196" t="n">
        <v>1</v>
      </c>
      <c r="G42" s="196" t="n">
        <v>8</v>
      </c>
      <c r="H42" s="196" t="n">
        <v>2</v>
      </c>
      <c r="I42" s="196" t="n">
        <v>0</v>
      </c>
      <c r="J42" s="196" t="n">
        <v>0</v>
      </c>
      <c r="K42" s="196" t="n">
        <v>0</v>
      </c>
      <c r="L42" s="197" t="n">
        <v>0</v>
      </c>
      <c r="M42" s="197" t="n">
        <v>0</v>
      </c>
      <c r="N42" s="197" t="n">
        <v>0</v>
      </c>
      <c r="O42" s="196">
        <f>H42+I42+J42+L42+M42+N42</f>
        <v/>
      </c>
      <c r="P42" s="198" t="n">
        <v>55000</v>
      </c>
      <c r="Q42" s="197" t="n">
        <v>0</v>
      </c>
      <c r="R42" s="199" t="inlineStr">
        <is>
          <t>Đảm bảo tiến độ sản xuất</t>
        </is>
      </c>
      <c r="S42" s="200" t="inlineStr">
        <is>
          <t>CÓ</t>
        </is>
      </c>
      <c r="T42" s="200" t="inlineStr">
        <is>
          <t>ĐÃ DUYỆT</t>
        </is>
      </c>
      <c r="U42" s="199" t="inlineStr">
        <is>
          <t>Quản Đốc</t>
        </is>
      </c>
      <c r="V42" s="200" t="inlineStr">
        <is>
          <t>2026-08-04 17:00:00</t>
        </is>
      </c>
      <c r="W42" s="200" t="inlineStr">
        <is>
          <t>ERP_CHAM_CONG_2026</t>
        </is>
      </c>
      <c r="X42" s="200" t="inlineStr">
        <is>
          <t>HỢP LỆ</t>
        </is>
      </c>
    </row>
    <row r="43">
      <c r="A43" s="201" t="inlineStr">
        <is>
          <t>2026-08-04</t>
        </is>
      </c>
      <c r="B43" s="201" t="inlineStr">
        <is>
          <t>2026-08-01</t>
        </is>
      </c>
      <c r="C43" s="201" t="inlineStr">
        <is>
          <t>NV07</t>
        </is>
      </c>
      <c r="D43" s="202" t="inlineStr">
        <is>
          <t>Phùng Gia Phúc</t>
        </is>
      </c>
      <c r="E43" s="201" t="inlineStr">
        <is>
          <t>C1+2</t>
        </is>
      </c>
      <c r="F43" s="203" t="n">
        <v>1</v>
      </c>
      <c r="G43" s="203" t="n">
        <v>8</v>
      </c>
      <c r="H43" s="203" t="n">
        <v>2</v>
      </c>
      <c r="I43" s="203" t="n">
        <v>0</v>
      </c>
      <c r="J43" s="203" t="n">
        <v>0</v>
      </c>
      <c r="K43" s="203" t="n">
        <v>0</v>
      </c>
      <c r="L43" s="204" t="n">
        <v>0</v>
      </c>
      <c r="M43" s="204" t="n">
        <v>0</v>
      </c>
      <c r="N43" s="204" t="n">
        <v>0</v>
      </c>
      <c r="O43" s="203">
        <f>H43+I43+J43+L43+M43+N43</f>
        <v/>
      </c>
      <c r="P43" s="205" t="n">
        <v>55000</v>
      </c>
      <c r="Q43" s="204" t="n">
        <v>0</v>
      </c>
      <c r="R43" s="206" t="inlineStr">
        <is>
          <t>Đảm bảo tiến độ sản xuất</t>
        </is>
      </c>
      <c r="S43" s="207" t="inlineStr">
        <is>
          <t>CÓ</t>
        </is>
      </c>
      <c r="T43" s="207" t="inlineStr">
        <is>
          <t>ĐÃ DUYỆT</t>
        </is>
      </c>
      <c r="U43" s="206" t="inlineStr">
        <is>
          <t>Quản Đốc</t>
        </is>
      </c>
      <c r="V43" s="207" t="inlineStr">
        <is>
          <t>2026-08-04 17:00:00</t>
        </is>
      </c>
      <c r="W43" s="207" t="inlineStr">
        <is>
          <t>ERP_CHAM_CONG_2026</t>
        </is>
      </c>
      <c r="X43" s="207" t="inlineStr">
        <is>
          <t>HỢP LỆ</t>
        </is>
      </c>
    </row>
    <row r="44">
      <c r="A44" s="194" t="inlineStr">
        <is>
          <t>2026-08-04</t>
        </is>
      </c>
      <c r="B44" s="194" t="inlineStr">
        <is>
          <t>2026-08-01</t>
        </is>
      </c>
      <c r="C44" s="194" t="inlineStr">
        <is>
          <t>NV13</t>
        </is>
      </c>
      <c r="D44" s="195" t="inlineStr">
        <is>
          <t>Trần Văn Quỳnh</t>
        </is>
      </c>
      <c r="E44" s="194" t="inlineStr">
        <is>
          <t>C1</t>
        </is>
      </c>
      <c r="F44" s="196" t="n">
        <v>1</v>
      </c>
      <c r="G44" s="196" t="n">
        <v>8</v>
      </c>
      <c r="H44" s="196" t="n">
        <v>0</v>
      </c>
      <c r="I44" s="196" t="n">
        <v>0</v>
      </c>
      <c r="J44" s="196" t="n">
        <v>0</v>
      </c>
      <c r="K44" s="196" t="n">
        <v>0</v>
      </c>
      <c r="L44" s="197" t="n">
        <v>0</v>
      </c>
      <c r="M44" s="197" t="n">
        <v>0</v>
      </c>
      <c r="N44" s="197" t="n">
        <v>0</v>
      </c>
      <c r="O44" s="196">
        <f>H44+I44+J44+L44+M44+N44</f>
        <v/>
      </c>
      <c r="P44" s="198" t="n">
        <v>30000</v>
      </c>
      <c r="Q44" s="197" t="n">
        <v>0</v>
      </c>
      <c r="R44" s="199" t="inlineStr"/>
      <c r="S44" s="200" t="inlineStr">
        <is>
          <t>KHÔNG</t>
        </is>
      </c>
      <c r="T44" s="200" t="inlineStr">
        <is>
          <t>ĐÃ DUYỆT</t>
        </is>
      </c>
      <c r="U44" s="199" t="inlineStr">
        <is>
          <t>Quản Đốc</t>
        </is>
      </c>
      <c r="V44" s="200" t="inlineStr">
        <is>
          <t>2026-08-04 17:00:00</t>
        </is>
      </c>
      <c r="W44" s="200" t="inlineStr">
        <is>
          <t>ERP_CHAM_CONG_2026</t>
        </is>
      </c>
      <c r="X44" s="200" t="inlineStr">
        <is>
          <t>HỢP LỆ</t>
        </is>
      </c>
    </row>
    <row r="45">
      <c r="A45" s="201" t="inlineStr">
        <is>
          <t>2026-08-04</t>
        </is>
      </c>
      <c r="B45" s="201" t="inlineStr">
        <is>
          <t>2026-08-01</t>
        </is>
      </c>
      <c r="C45" s="201" t="inlineStr">
        <is>
          <t>NV11</t>
        </is>
      </c>
      <c r="D45" s="202" t="inlineStr">
        <is>
          <t>Phùng Công Thắng</t>
        </is>
      </c>
      <c r="E45" s="201" t="inlineStr">
        <is>
          <t>C1+2</t>
        </is>
      </c>
      <c r="F45" s="203" t="n">
        <v>1</v>
      </c>
      <c r="G45" s="203" t="n">
        <v>8</v>
      </c>
      <c r="H45" s="203" t="n">
        <v>2</v>
      </c>
      <c r="I45" s="203" t="n">
        <v>0</v>
      </c>
      <c r="J45" s="203" t="n">
        <v>0</v>
      </c>
      <c r="K45" s="203" t="n">
        <v>0</v>
      </c>
      <c r="L45" s="204" t="n">
        <v>0</v>
      </c>
      <c r="M45" s="204" t="n">
        <v>0</v>
      </c>
      <c r="N45" s="204" t="n">
        <v>0</v>
      </c>
      <c r="O45" s="203">
        <f>H45+I45+J45+L45+M45+N45</f>
        <v/>
      </c>
      <c r="P45" s="205" t="n">
        <v>55000</v>
      </c>
      <c r="Q45" s="204" t="n">
        <v>0</v>
      </c>
      <c r="R45" s="206" t="inlineStr">
        <is>
          <t>Đảm bảo tiến độ sản xuất</t>
        </is>
      </c>
      <c r="S45" s="207" t="inlineStr">
        <is>
          <t>CÓ</t>
        </is>
      </c>
      <c r="T45" s="207" t="inlineStr">
        <is>
          <t>ĐÃ DUYỆT</t>
        </is>
      </c>
      <c r="U45" s="206" t="inlineStr">
        <is>
          <t>Quản Đốc</t>
        </is>
      </c>
      <c r="V45" s="207" t="inlineStr">
        <is>
          <t>2026-08-04 17:00:00</t>
        </is>
      </c>
      <c r="W45" s="207" t="inlineStr">
        <is>
          <t>ERP_CHAM_CONG_2026</t>
        </is>
      </c>
      <c r="X45" s="207" t="inlineStr">
        <is>
          <t>HỢP LỆ</t>
        </is>
      </c>
    </row>
    <row r="46">
      <c r="A46" s="194" t="inlineStr">
        <is>
          <t>2026-08-04</t>
        </is>
      </c>
      <c r="B46" s="194" t="inlineStr">
        <is>
          <t>2026-08-01</t>
        </is>
      </c>
      <c r="C46" s="194" t="inlineStr">
        <is>
          <t>NV06</t>
        </is>
      </c>
      <c r="D46" s="195" t="inlineStr">
        <is>
          <t>Nguyễn Văn Thanh</t>
        </is>
      </c>
      <c r="E46" s="194" t="inlineStr">
        <is>
          <t>C1+2</t>
        </is>
      </c>
      <c r="F46" s="196" t="n">
        <v>1</v>
      </c>
      <c r="G46" s="196" t="n">
        <v>8</v>
      </c>
      <c r="H46" s="196" t="n">
        <v>2</v>
      </c>
      <c r="I46" s="196" t="n">
        <v>0</v>
      </c>
      <c r="J46" s="196" t="n">
        <v>0</v>
      </c>
      <c r="K46" s="196" t="n">
        <v>0</v>
      </c>
      <c r="L46" s="197" t="n">
        <v>0</v>
      </c>
      <c r="M46" s="197" t="n">
        <v>0</v>
      </c>
      <c r="N46" s="197" t="n">
        <v>0</v>
      </c>
      <c r="O46" s="196">
        <f>H46+I46+J46+L46+M46+N46</f>
        <v/>
      </c>
      <c r="P46" s="198" t="n">
        <v>55000</v>
      </c>
      <c r="Q46" s="197" t="n">
        <v>0</v>
      </c>
      <c r="R46" s="199" t="inlineStr">
        <is>
          <t>Đảm bảo tiến độ sản xuất</t>
        </is>
      </c>
      <c r="S46" s="200" t="inlineStr">
        <is>
          <t>CÓ</t>
        </is>
      </c>
      <c r="T46" s="200" t="inlineStr">
        <is>
          <t>ĐÃ DUYỆT</t>
        </is>
      </c>
      <c r="U46" s="199" t="inlineStr">
        <is>
          <t>Quản Đốc</t>
        </is>
      </c>
      <c r="V46" s="200" t="inlineStr">
        <is>
          <t>2026-08-04 17:00:00</t>
        </is>
      </c>
      <c r="W46" s="200" t="inlineStr">
        <is>
          <t>ERP_CHAM_CONG_2026</t>
        </is>
      </c>
      <c r="X46" s="200" t="inlineStr">
        <is>
          <t>HỢP LỆ</t>
        </is>
      </c>
    </row>
    <row r="47">
      <c r="A47" s="201" t="inlineStr">
        <is>
          <t>2026-08-04</t>
        </is>
      </c>
      <c r="B47" s="201" t="inlineStr">
        <is>
          <t>2026-08-01</t>
        </is>
      </c>
      <c r="C47" s="201" t="inlineStr">
        <is>
          <t>NV04</t>
        </is>
      </c>
      <c r="D47" s="202" t="inlineStr">
        <is>
          <t>Vũ Tiến Thuận</t>
        </is>
      </c>
      <c r="E47" s="201" t="inlineStr">
        <is>
          <t>C1+2</t>
        </is>
      </c>
      <c r="F47" s="203" t="n">
        <v>1</v>
      </c>
      <c r="G47" s="203" t="n">
        <v>8</v>
      </c>
      <c r="H47" s="203" t="n">
        <v>2</v>
      </c>
      <c r="I47" s="203" t="n">
        <v>0</v>
      </c>
      <c r="J47" s="203" t="n">
        <v>0</v>
      </c>
      <c r="K47" s="203" t="n">
        <v>0</v>
      </c>
      <c r="L47" s="204" t="n">
        <v>0</v>
      </c>
      <c r="M47" s="204" t="n">
        <v>0</v>
      </c>
      <c r="N47" s="204" t="n">
        <v>0</v>
      </c>
      <c r="O47" s="203">
        <f>H47+I47+J47+L47+M47+N47</f>
        <v/>
      </c>
      <c r="P47" s="205" t="n">
        <v>55000</v>
      </c>
      <c r="Q47" s="204" t="n">
        <v>0</v>
      </c>
      <c r="R47" s="206" t="inlineStr">
        <is>
          <t>Đảm bảo tiến độ sản xuất</t>
        </is>
      </c>
      <c r="S47" s="207" t="inlineStr">
        <is>
          <t>CÓ</t>
        </is>
      </c>
      <c r="T47" s="207" t="inlineStr">
        <is>
          <t>ĐÃ DUYỆT</t>
        </is>
      </c>
      <c r="U47" s="206" t="inlineStr">
        <is>
          <t>Quản Đốc</t>
        </is>
      </c>
      <c r="V47" s="207" t="inlineStr">
        <is>
          <t>2026-08-04 17:00:00</t>
        </is>
      </c>
      <c r="W47" s="207" t="inlineStr">
        <is>
          <t>ERP_CHAM_CONG_2026</t>
        </is>
      </c>
      <c r="X47" s="207" t="inlineStr">
        <is>
          <t>HỢP LỆ</t>
        </is>
      </c>
    </row>
    <row r="48">
      <c r="A48" s="194" t="inlineStr">
        <is>
          <t>2026-08-04</t>
        </is>
      </c>
      <c r="B48" s="194" t="inlineStr">
        <is>
          <t>2026-08-01</t>
        </is>
      </c>
      <c r="C48" s="194" t="inlineStr">
        <is>
          <t>NV10</t>
        </is>
      </c>
      <c r="D48" s="195" t="inlineStr">
        <is>
          <t>Phạm Văn Tráng</t>
        </is>
      </c>
      <c r="E48" s="194" t="inlineStr">
        <is>
          <t>C1+2</t>
        </is>
      </c>
      <c r="F48" s="196" t="n">
        <v>1</v>
      </c>
      <c r="G48" s="196" t="n">
        <v>8</v>
      </c>
      <c r="H48" s="196" t="n">
        <v>2</v>
      </c>
      <c r="I48" s="196" t="n">
        <v>0</v>
      </c>
      <c r="J48" s="196" t="n">
        <v>0</v>
      </c>
      <c r="K48" s="196" t="n">
        <v>0</v>
      </c>
      <c r="L48" s="197" t="n">
        <v>0</v>
      </c>
      <c r="M48" s="197" t="n">
        <v>0</v>
      </c>
      <c r="N48" s="197" t="n">
        <v>0</v>
      </c>
      <c r="O48" s="196">
        <f>H48+I48+J48+L48+M48+N48</f>
        <v/>
      </c>
      <c r="P48" s="198" t="n">
        <v>55000</v>
      </c>
      <c r="Q48" s="197" t="n">
        <v>0</v>
      </c>
      <c r="R48" s="199" t="inlineStr">
        <is>
          <t>Đảm bảo tiến độ sản xuất</t>
        </is>
      </c>
      <c r="S48" s="200" t="inlineStr">
        <is>
          <t>CÓ</t>
        </is>
      </c>
      <c r="T48" s="200" t="inlineStr">
        <is>
          <t>ĐÃ DUYỆT</t>
        </is>
      </c>
      <c r="U48" s="199" t="inlineStr">
        <is>
          <t>Quản Đốc</t>
        </is>
      </c>
      <c r="V48" s="200" t="inlineStr">
        <is>
          <t>2026-08-04 17:00:00</t>
        </is>
      </c>
      <c r="W48" s="200" t="inlineStr">
        <is>
          <t>ERP_CHAM_CONG_2026</t>
        </is>
      </c>
      <c r="X48" s="200" t="inlineStr">
        <is>
          <t>HỢP LỆ</t>
        </is>
      </c>
    </row>
    <row r="49">
      <c r="A49" s="201" t="inlineStr">
        <is>
          <t>2026-08-05</t>
        </is>
      </c>
      <c r="B49" s="201" t="inlineStr">
        <is>
          <t>2026-08-01</t>
        </is>
      </c>
      <c r="C49" s="201" t="inlineStr">
        <is>
          <t>NV02</t>
        </is>
      </c>
      <c r="D49" s="202" t="inlineStr">
        <is>
          <t>Nguyễn Trung Đông</t>
        </is>
      </c>
      <c r="E49" s="201" t="inlineStr">
        <is>
          <t>C1</t>
        </is>
      </c>
      <c r="F49" s="203" t="n">
        <v>1</v>
      </c>
      <c r="G49" s="203" t="n">
        <v>8</v>
      </c>
      <c r="H49" s="203" t="n">
        <v>0</v>
      </c>
      <c r="I49" s="203" t="n">
        <v>0</v>
      </c>
      <c r="J49" s="203" t="n">
        <v>0</v>
      </c>
      <c r="K49" s="203" t="n">
        <v>0</v>
      </c>
      <c r="L49" s="204" t="n">
        <v>0</v>
      </c>
      <c r="M49" s="204" t="n">
        <v>0</v>
      </c>
      <c r="N49" s="204" t="n">
        <v>0</v>
      </c>
      <c r="O49" s="203">
        <f>H49+I49+J49+L49+M49+N49</f>
        <v/>
      </c>
      <c r="P49" s="205" t="n">
        <v>30000</v>
      </c>
      <c r="Q49" s="204" t="n">
        <v>0</v>
      </c>
      <c r="R49" s="206" t="inlineStr"/>
      <c r="S49" s="207" t="inlineStr">
        <is>
          <t>KHÔNG</t>
        </is>
      </c>
      <c r="T49" s="207" t="inlineStr">
        <is>
          <t>ĐÃ DUYỆT</t>
        </is>
      </c>
      <c r="U49" s="206" t="inlineStr">
        <is>
          <t>Quản Đốc</t>
        </is>
      </c>
      <c r="V49" s="207" t="inlineStr">
        <is>
          <t>2026-08-05 17:00:00</t>
        </is>
      </c>
      <c r="W49" s="207" t="inlineStr">
        <is>
          <t>ERP_CHAM_CONG_2026</t>
        </is>
      </c>
      <c r="X49" s="207" t="inlineStr">
        <is>
          <t>HỢP LỆ</t>
        </is>
      </c>
    </row>
    <row r="50">
      <c r="A50" s="194" t="inlineStr">
        <is>
          <t>2026-08-05</t>
        </is>
      </c>
      <c r="B50" s="194" t="inlineStr">
        <is>
          <t>2026-08-01</t>
        </is>
      </c>
      <c r="C50" s="194" t="inlineStr">
        <is>
          <t>NV08</t>
        </is>
      </c>
      <c r="D50" s="195" t="inlineStr">
        <is>
          <t>Trần Văn Dũng</t>
        </is>
      </c>
      <c r="E50" s="194" t="inlineStr">
        <is>
          <t>C1</t>
        </is>
      </c>
      <c r="F50" s="196" t="n">
        <v>1</v>
      </c>
      <c r="G50" s="196" t="n">
        <v>8</v>
      </c>
      <c r="H50" s="196" t="n">
        <v>0</v>
      </c>
      <c r="I50" s="196" t="n">
        <v>0</v>
      </c>
      <c r="J50" s="196" t="n">
        <v>0</v>
      </c>
      <c r="K50" s="196" t="n">
        <v>0</v>
      </c>
      <c r="L50" s="197" t="n">
        <v>0</v>
      </c>
      <c r="M50" s="197" t="n">
        <v>0</v>
      </c>
      <c r="N50" s="197" t="n">
        <v>0</v>
      </c>
      <c r="O50" s="196">
        <f>H50+I50+J50+L50+M50+N50</f>
        <v/>
      </c>
      <c r="P50" s="198" t="n">
        <v>30000</v>
      </c>
      <c r="Q50" s="197" t="n">
        <v>0</v>
      </c>
      <c r="R50" s="199" t="inlineStr"/>
      <c r="S50" s="200" t="inlineStr">
        <is>
          <t>KHÔNG</t>
        </is>
      </c>
      <c r="T50" s="200" t="inlineStr">
        <is>
          <t>ĐÃ DUYỆT</t>
        </is>
      </c>
      <c r="U50" s="199" t="inlineStr">
        <is>
          <t>Quản Đốc</t>
        </is>
      </c>
      <c r="V50" s="200" t="inlineStr">
        <is>
          <t>2026-08-05 17:00:00</t>
        </is>
      </c>
      <c r="W50" s="200" t="inlineStr">
        <is>
          <t>ERP_CHAM_CONG_2026</t>
        </is>
      </c>
      <c r="X50" s="200" t="inlineStr">
        <is>
          <t>HỢP LỆ</t>
        </is>
      </c>
    </row>
    <row r="51">
      <c r="A51" s="201" t="inlineStr">
        <is>
          <t>2026-08-05</t>
        </is>
      </c>
      <c r="B51" s="201" t="inlineStr">
        <is>
          <t>2026-08-01</t>
        </is>
      </c>
      <c r="C51" s="201" t="inlineStr">
        <is>
          <t>NV01</t>
        </is>
      </c>
      <c r="D51" s="202" t="inlineStr">
        <is>
          <t>Hoàng Ngọc Hà</t>
        </is>
      </c>
      <c r="E51" s="201" t="inlineStr">
        <is>
          <t>C1</t>
        </is>
      </c>
      <c r="F51" s="203" t="n">
        <v>1</v>
      </c>
      <c r="G51" s="203" t="n">
        <v>8</v>
      </c>
      <c r="H51" s="203" t="n">
        <v>0</v>
      </c>
      <c r="I51" s="203" t="n">
        <v>0</v>
      </c>
      <c r="J51" s="203" t="n">
        <v>0</v>
      </c>
      <c r="K51" s="203" t="n">
        <v>0</v>
      </c>
      <c r="L51" s="204" t="n">
        <v>0</v>
      </c>
      <c r="M51" s="204" t="n">
        <v>0</v>
      </c>
      <c r="N51" s="204" t="n">
        <v>0</v>
      </c>
      <c r="O51" s="203">
        <f>H51+I51+J51+L51+M51+N51</f>
        <v/>
      </c>
      <c r="P51" s="205" t="n">
        <v>30000</v>
      </c>
      <c r="Q51" s="204" t="n">
        <v>0</v>
      </c>
      <c r="R51" s="206" t="inlineStr"/>
      <c r="S51" s="207" t="inlineStr">
        <is>
          <t>KHÔNG</t>
        </is>
      </c>
      <c r="T51" s="207" t="inlineStr">
        <is>
          <t>ĐÃ DUYỆT</t>
        </is>
      </c>
      <c r="U51" s="206" t="inlineStr">
        <is>
          <t>Quản Đốc</t>
        </is>
      </c>
      <c r="V51" s="207" t="inlineStr">
        <is>
          <t>2026-08-05 17:00:00</t>
        </is>
      </c>
      <c r="W51" s="207" t="inlineStr">
        <is>
          <t>ERP_CHAM_CONG_2026</t>
        </is>
      </c>
      <c r="X51" s="207" t="inlineStr">
        <is>
          <t>HỢP LỆ</t>
        </is>
      </c>
    </row>
    <row r="52">
      <c r="A52" s="194" t="inlineStr">
        <is>
          <t>2026-08-05</t>
        </is>
      </c>
      <c r="B52" s="194" t="inlineStr">
        <is>
          <t>2026-08-01</t>
        </is>
      </c>
      <c r="C52" s="194" t="inlineStr">
        <is>
          <t>NV03</t>
        </is>
      </c>
      <c r="D52" s="195" t="inlineStr">
        <is>
          <t>Phùng Đình Hùng</t>
        </is>
      </c>
      <c r="E52" s="194" t="inlineStr">
        <is>
          <t>C1</t>
        </is>
      </c>
      <c r="F52" s="196" t="n">
        <v>1</v>
      </c>
      <c r="G52" s="196" t="n">
        <v>8</v>
      </c>
      <c r="H52" s="196" t="n">
        <v>0</v>
      </c>
      <c r="I52" s="196" t="n">
        <v>0</v>
      </c>
      <c r="J52" s="196" t="n">
        <v>0</v>
      </c>
      <c r="K52" s="196" t="n">
        <v>0</v>
      </c>
      <c r="L52" s="197" t="n">
        <v>0</v>
      </c>
      <c r="M52" s="197" t="n">
        <v>0</v>
      </c>
      <c r="N52" s="197" t="n">
        <v>0</v>
      </c>
      <c r="O52" s="196">
        <f>H52+I52+J52+L52+M52+N52</f>
        <v/>
      </c>
      <c r="P52" s="198" t="n">
        <v>30000</v>
      </c>
      <c r="Q52" s="197" t="n">
        <v>0</v>
      </c>
      <c r="R52" s="199" t="inlineStr"/>
      <c r="S52" s="200" t="inlineStr">
        <is>
          <t>KHÔNG</t>
        </is>
      </c>
      <c r="T52" s="200" t="inlineStr">
        <is>
          <t>ĐÃ DUYỆT</t>
        </is>
      </c>
      <c r="U52" s="199" t="inlineStr">
        <is>
          <t>Quản Đốc</t>
        </is>
      </c>
      <c r="V52" s="200" t="inlineStr">
        <is>
          <t>2026-08-05 17:00:00</t>
        </is>
      </c>
      <c r="W52" s="200" t="inlineStr">
        <is>
          <t>ERP_CHAM_CONG_2026</t>
        </is>
      </c>
      <c r="X52" s="200" t="inlineStr">
        <is>
          <t>HỢP LỆ</t>
        </is>
      </c>
    </row>
    <row r="53">
      <c r="A53" s="201" t="inlineStr">
        <is>
          <t>2026-08-05</t>
        </is>
      </c>
      <c r="B53" s="201" t="inlineStr">
        <is>
          <t>2026-08-01</t>
        </is>
      </c>
      <c r="C53" s="201" t="inlineStr">
        <is>
          <t>NV15</t>
        </is>
      </c>
      <c r="D53" s="202" t="inlineStr">
        <is>
          <t>Đặng Ngọc Long</t>
        </is>
      </c>
      <c r="E53" s="201" t="inlineStr">
        <is>
          <t>C1+2</t>
        </is>
      </c>
      <c r="F53" s="203" t="n">
        <v>1</v>
      </c>
      <c r="G53" s="203" t="n">
        <v>8</v>
      </c>
      <c r="H53" s="203" t="n">
        <v>2</v>
      </c>
      <c r="I53" s="203" t="n">
        <v>0</v>
      </c>
      <c r="J53" s="203" t="n">
        <v>0</v>
      </c>
      <c r="K53" s="203" t="n">
        <v>0</v>
      </c>
      <c r="L53" s="204" t="n">
        <v>0</v>
      </c>
      <c r="M53" s="204" t="n">
        <v>0</v>
      </c>
      <c r="N53" s="204" t="n">
        <v>0</v>
      </c>
      <c r="O53" s="203">
        <f>H53+I53+J53+L53+M53+N53</f>
        <v/>
      </c>
      <c r="P53" s="205" t="n">
        <v>55000</v>
      </c>
      <c r="Q53" s="204" t="n">
        <v>0</v>
      </c>
      <c r="R53" s="206" t="inlineStr">
        <is>
          <t>Đảm bảo tiến độ sản xuất</t>
        </is>
      </c>
      <c r="S53" s="207" t="inlineStr">
        <is>
          <t>CÓ</t>
        </is>
      </c>
      <c r="T53" s="207" t="inlineStr">
        <is>
          <t>ĐÃ DUYỆT</t>
        </is>
      </c>
      <c r="U53" s="206" t="inlineStr">
        <is>
          <t>Quản Đốc</t>
        </is>
      </c>
      <c r="V53" s="207" t="inlineStr">
        <is>
          <t>2026-08-05 17:00:00</t>
        </is>
      </c>
      <c r="W53" s="207" t="inlineStr">
        <is>
          <t>ERP_CHAM_CONG_2026</t>
        </is>
      </c>
      <c r="X53" s="207" t="inlineStr">
        <is>
          <t>HỢP LỆ</t>
        </is>
      </c>
    </row>
    <row r="54">
      <c r="A54" s="194" t="inlineStr">
        <is>
          <t>2026-08-05</t>
        </is>
      </c>
      <c r="B54" s="194" t="inlineStr">
        <is>
          <t>2026-08-01</t>
        </is>
      </c>
      <c r="C54" s="194" t="inlineStr">
        <is>
          <t>NV14</t>
        </is>
      </c>
      <c r="D54" s="195" t="inlineStr">
        <is>
          <t>Đinh Văn Nhận</t>
        </is>
      </c>
      <c r="E54" s="194" t="inlineStr">
        <is>
          <t>C1+2</t>
        </is>
      </c>
      <c r="F54" s="196" t="n">
        <v>1</v>
      </c>
      <c r="G54" s="196" t="n">
        <v>8</v>
      </c>
      <c r="H54" s="196" t="n">
        <v>2</v>
      </c>
      <c r="I54" s="196" t="n">
        <v>0</v>
      </c>
      <c r="J54" s="196" t="n">
        <v>0</v>
      </c>
      <c r="K54" s="196" t="n">
        <v>0</v>
      </c>
      <c r="L54" s="197" t="n">
        <v>0</v>
      </c>
      <c r="M54" s="197" t="n">
        <v>0</v>
      </c>
      <c r="N54" s="197" t="n">
        <v>0</v>
      </c>
      <c r="O54" s="196">
        <f>H54+I54+J54+L54+M54+N54</f>
        <v/>
      </c>
      <c r="P54" s="198" t="n">
        <v>55000</v>
      </c>
      <c r="Q54" s="197" t="n">
        <v>0</v>
      </c>
      <c r="R54" s="199" t="inlineStr">
        <is>
          <t>Đảm bảo tiến độ sản xuất</t>
        </is>
      </c>
      <c r="S54" s="200" t="inlineStr">
        <is>
          <t>CÓ</t>
        </is>
      </c>
      <c r="T54" s="200" t="inlineStr">
        <is>
          <t>ĐÃ DUYỆT</t>
        </is>
      </c>
      <c r="U54" s="199" t="inlineStr">
        <is>
          <t>Quản Đốc</t>
        </is>
      </c>
      <c r="V54" s="200" t="inlineStr">
        <is>
          <t>2026-08-05 17:00:00</t>
        </is>
      </c>
      <c r="W54" s="200" t="inlineStr">
        <is>
          <t>ERP_CHAM_CONG_2026</t>
        </is>
      </c>
      <c r="X54" s="200" t="inlineStr">
        <is>
          <t>HỢP LỆ</t>
        </is>
      </c>
    </row>
    <row r="55">
      <c r="A55" s="201" t="inlineStr">
        <is>
          <t>2026-08-05</t>
        </is>
      </c>
      <c r="B55" s="201" t="inlineStr">
        <is>
          <t>2026-08-01</t>
        </is>
      </c>
      <c r="C55" s="201" t="inlineStr">
        <is>
          <t>NV07</t>
        </is>
      </c>
      <c r="D55" s="202" t="inlineStr">
        <is>
          <t>Phùng Gia Phúc</t>
        </is>
      </c>
      <c r="E55" s="201" t="inlineStr">
        <is>
          <t>C1+2</t>
        </is>
      </c>
      <c r="F55" s="203" t="n">
        <v>1</v>
      </c>
      <c r="G55" s="203" t="n">
        <v>8</v>
      </c>
      <c r="H55" s="203" t="n">
        <v>2</v>
      </c>
      <c r="I55" s="203" t="n">
        <v>0</v>
      </c>
      <c r="J55" s="203" t="n">
        <v>0</v>
      </c>
      <c r="K55" s="203" t="n">
        <v>0</v>
      </c>
      <c r="L55" s="204" t="n">
        <v>0</v>
      </c>
      <c r="M55" s="204" t="n">
        <v>0</v>
      </c>
      <c r="N55" s="204" t="n">
        <v>0</v>
      </c>
      <c r="O55" s="203">
        <f>H55+I55+J55+L55+M55+N55</f>
        <v/>
      </c>
      <c r="P55" s="205" t="n">
        <v>55000</v>
      </c>
      <c r="Q55" s="204" t="n">
        <v>0</v>
      </c>
      <c r="R55" s="206" t="inlineStr">
        <is>
          <t>Đảm bảo tiến độ sản xuất</t>
        </is>
      </c>
      <c r="S55" s="207" t="inlineStr">
        <is>
          <t>CÓ</t>
        </is>
      </c>
      <c r="T55" s="207" t="inlineStr">
        <is>
          <t>ĐÃ DUYỆT</t>
        </is>
      </c>
      <c r="U55" s="206" t="inlineStr">
        <is>
          <t>Quản Đốc</t>
        </is>
      </c>
      <c r="V55" s="207" t="inlineStr">
        <is>
          <t>2026-08-05 17:00:00</t>
        </is>
      </c>
      <c r="W55" s="207" t="inlineStr">
        <is>
          <t>ERP_CHAM_CONG_2026</t>
        </is>
      </c>
      <c r="X55" s="207" t="inlineStr">
        <is>
          <t>HỢP LỆ</t>
        </is>
      </c>
    </row>
    <row r="56">
      <c r="A56" s="194" t="inlineStr">
        <is>
          <t>2026-08-05</t>
        </is>
      </c>
      <c r="B56" s="194" t="inlineStr">
        <is>
          <t>2026-08-01</t>
        </is>
      </c>
      <c r="C56" s="194" t="inlineStr">
        <is>
          <t>NV13</t>
        </is>
      </c>
      <c r="D56" s="195" t="inlineStr">
        <is>
          <t>Trần Văn Quỳnh</t>
        </is>
      </c>
      <c r="E56" s="194" t="inlineStr">
        <is>
          <t>C1</t>
        </is>
      </c>
      <c r="F56" s="196" t="n">
        <v>1</v>
      </c>
      <c r="G56" s="196" t="n">
        <v>8</v>
      </c>
      <c r="H56" s="196" t="n">
        <v>0</v>
      </c>
      <c r="I56" s="196" t="n">
        <v>0</v>
      </c>
      <c r="J56" s="196" t="n">
        <v>0</v>
      </c>
      <c r="K56" s="196" t="n">
        <v>0</v>
      </c>
      <c r="L56" s="197" t="n">
        <v>0</v>
      </c>
      <c r="M56" s="197" t="n">
        <v>0</v>
      </c>
      <c r="N56" s="197" t="n">
        <v>0</v>
      </c>
      <c r="O56" s="196">
        <f>H56+I56+J56+L56+M56+N56</f>
        <v/>
      </c>
      <c r="P56" s="198" t="n">
        <v>30000</v>
      </c>
      <c r="Q56" s="197" t="n">
        <v>0</v>
      </c>
      <c r="R56" s="199" t="inlineStr"/>
      <c r="S56" s="200" t="inlineStr">
        <is>
          <t>KHÔNG</t>
        </is>
      </c>
      <c r="T56" s="200" t="inlineStr">
        <is>
          <t>ĐÃ DUYỆT</t>
        </is>
      </c>
      <c r="U56" s="199" t="inlineStr">
        <is>
          <t>Quản Đốc</t>
        </is>
      </c>
      <c r="V56" s="200" t="inlineStr">
        <is>
          <t>2026-08-05 17:00:00</t>
        </is>
      </c>
      <c r="W56" s="200" t="inlineStr">
        <is>
          <t>ERP_CHAM_CONG_2026</t>
        </is>
      </c>
      <c r="X56" s="200" t="inlineStr">
        <is>
          <t>HỢP LỆ</t>
        </is>
      </c>
    </row>
    <row r="57">
      <c r="A57" s="201" t="inlineStr">
        <is>
          <t>2026-08-05</t>
        </is>
      </c>
      <c r="B57" s="201" t="inlineStr">
        <is>
          <t>2026-08-01</t>
        </is>
      </c>
      <c r="C57" s="201" t="inlineStr">
        <is>
          <t>NV11</t>
        </is>
      </c>
      <c r="D57" s="202" t="inlineStr">
        <is>
          <t>Phùng Công Thắng</t>
        </is>
      </c>
      <c r="E57" s="201" t="inlineStr">
        <is>
          <t>C1+2</t>
        </is>
      </c>
      <c r="F57" s="203" t="n">
        <v>1</v>
      </c>
      <c r="G57" s="203" t="n">
        <v>8</v>
      </c>
      <c r="H57" s="203" t="n">
        <v>2</v>
      </c>
      <c r="I57" s="203" t="n">
        <v>0</v>
      </c>
      <c r="J57" s="203" t="n">
        <v>0</v>
      </c>
      <c r="K57" s="203" t="n">
        <v>0</v>
      </c>
      <c r="L57" s="204" t="n">
        <v>0</v>
      </c>
      <c r="M57" s="204" t="n">
        <v>0</v>
      </c>
      <c r="N57" s="204" t="n">
        <v>0</v>
      </c>
      <c r="O57" s="203">
        <f>H57+I57+J57+L57+M57+N57</f>
        <v/>
      </c>
      <c r="P57" s="205" t="n">
        <v>55000</v>
      </c>
      <c r="Q57" s="204" t="n">
        <v>0</v>
      </c>
      <c r="R57" s="206" t="inlineStr">
        <is>
          <t>Đảm bảo tiến độ sản xuất</t>
        </is>
      </c>
      <c r="S57" s="207" t="inlineStr">
        <is>
          <t>CÓ</t>
        </is>
      </c>
      <c r="T57" s="207" t="inlineStr">
        <is>
          <t>ĐÃ DUYỆT</t>
        </is>
      </c>
      <c r="U57" s="206" t="inlineStr">
        <is>
          <t>Quản Đốc</t>
        </is>
      </c>
      <c r="V57" s="207" t="inlineStr">
        <is>
          <t>2026-08-05 17:00:00</t>
        </is>
      </c>
      <c r="W57" s="207" t="inlineStr">
        <is>
          <t>ERP_CHAM_CONG_2026</t>
        </is>
      </c>
      <c r="X57" s="207" t="inlineStr">
        <is>
          <t>HỢP LỆ</t>
        </is>
      </c>
    </row>
    <row r="58">
      <c r="A58" s="194" t="inlineStr">
        <is>
          <t>2026-08-05</t>
        </is>
      </c>
      <c r="B58" s="194" t="inlineStr">
        <is>
          <t>2026-08-01</t>
        </is>
      </c>
      <c r="C58" s="194" t="inlineStr">
        <is>
          <t>NV06</t>
        </is>
      </c>
      <c r="D58" s="195" t="inlineStr">
        <is>
          <t>Nguyễn Văn Thanh</t>
        </is>
      </c>
      <c r="E58" s="194" t="inlineStr">
        <is>
          <t>C1+2</t>
        </is>
      </c>
      <c r="F58" s="196" t="n">
        <v>1</v>
      </c>
      <c r="G58" s="196" t="n">
        <v>8</v>
      </c>
      <c r="H58" s="196" t="n">
        <v>2</v>
      </c>
      <c r="I58" s="196" t="n">
        <v>0</v>
      </c>
      <c r="J58" s="196" t="n">
        <v>0</v>
      </c>
      <c r="K58" s="196" t="n">
        <v>0</v>
      </c>
      <c r="L58" s="197" t="n">
        <v>0</v>
      </c>
      <c r="M58" s="197" t="n">
        <v>0</v>
      </c>
      <c r="N58" s="197" t="n">
        <v>0</v>
      </c>
      <c r="O58" s="196">
        <f>H58+I58+J58+L58+M58+N58</f>
        <v/>
      </c>
      <c r="P58" s="198" t="n">
        <v>55000</v>
      </c>
      <c r="Q58" s="197" t="n">
        <v>0</v>
      </c>
      <c r="R58" s="199" t="inlineStr">
        <is>
          <t>Đảm bảo tiến độ sản xuất</t>
        </is>
      </c>
      <c r="S58" s="200" t="inlineStr">
        <is>
          <t>CÓ</t>
        </is>
      </c>
      <c r="T58" s="200" t="inlineStr">
        <is>
          <t>ĐÃ DUYỆT</t>
        </is>
      </c>
      <c r="U58" s="199" t="inlineStr">
        <is>
          <t>Quản Đốc</t>
        </is>
      </c>
      <c r="V58" s="200" t="inlineStr">
        <is>
          <t>2026-08-05 17:00:00</t>
        </is>
      </c>
      <c r="W58" s="200" t="inlineStr">
        <is>
          <t>ERP_CHAM_CONG_2026</t>
        </is>
      </c>
      <c r="X58" s="200" t="inlineStr">
        <is>
          <t>HỢP LỆ</t>
        </is>
      </c>
    </row>
    <row r="59">
      <c r="A59" s="201" t="inlineStr">
        <is>
          <t>2026-08-05</t>
        </is>
      </c>
      <c r="B59" s="201" t="inlineStr">
        <is>
          <t>2026-08-01</t>
        </is>
      </c>
      <c r="C59" s="201" t="inlineStr">
        <is>
          <t>NV04</t>
        </is>
      </c>
      <c r="D59" s="202" t="inlineStr">
        <is>
          <t>Vũ Tiến Thuận</t>
        </is>
      </c>
      <c r="E59" s="201" t="inlineStr">
        <is>
          <t>C1</t>
        </is>
      </c>
      <c r="F59" s="203" t="n">
        <v>1</v>
      </c>
      <c r="G59" s="203" t="n">
        <v>8</v>
      </c>
      <c r="H59" s="203" t="n">
        <v>0</v>
      </c>
      <c r="I59" s="203" t="n">
        <v>0</v>
      </c>
      <c r="J59" s="203" t="n">
        <v>0</v>
      </c>
      <c r="K59" s="203" t="n">
        <v>0</v>
      </c>
      <c r="L59" s="204" t="n">
        <v>0</v>
      </c>
      <c r="M59" s="204" t="n">
        <v>0</v>
      </c>
      <c r="N59" s="204" t="n">
        <v>0</v>
      </c>
      <c r="O59" s="203">
        <f>H59+I59+J59+L59+M59+N59</f>
        <v/>
      </c>
      <c r="P59" s="205" t="n">
        <v>30000</v>
      </c>
      <c r="Q59" s="204" t="n">
        <v>0</v>
      </c>
      <c r="R59" s="206" t="inlineStr"/>
      <c r="S59" s="207" t="inlineStr">
        <is>
          <t>KHÔNG</t>
        </is>
      </c>
      <c r="T59" s="207" t="inlineStr">
        <is>
          <t>ĐÃ DUYỆT</t>
        </is>
      </c>
      <c r="U59" s="206" t="inlineStr">
        <is>
          <t>Quản Đốc</t>
        </is>
      </c>
      <c r="V59" s="207" t="inlineStr">
        <is>
          <t>2026-08-05 17:00:00</t>
        </is>
      </c>
      <c r="W59" s="207" t="inlineStr">
        <is>
          <t>ERP_CHAM_CONG_2026</t>
        </is>
      </c>
      <c r="X59" s="207" t="inlineStr">
        <is>
          <t>HỢP LỆ</t>
        </is>
      </c>
    </row>
    <row r="60">
      <c r="A60" s="194" t="inlineStr">
        <is>
          <t>2026-08-05</t>
        </is>
      </c>
      <c r="B60" s="194" t="inlineStr">
        <is>
          <t>2026-08-01</t>
        </is>
      </c>
      <c r="C60" s="194" t="inlineStr">
        <is>
          <t>NV10</t>
        </is>
      </c>
      <c r="D60" s="195" t="inlineStr">
        <is>
          <t>Phạm Văn Tráng</t>
        </is>
      </c>
      <c r="E60" s="194" t="inlineStr">
        <is>
          <t>C1+2</t>
        </is>
      </c>
      <c r="F60" s="196" t="n">
        <v>1</v>
      </c>
      <c r="G60" s="196" t="n">
        <v>8</v>
      </c>
      <c r="H60" s="196" t="n">
        <v>2</v>
      </c>
      <c r="I60" s="196" t="n">
        <v>0</v>
      </c>
      <c r="J60" s="196" t="n">
        <v>0</v>
      </c>
      <c r="K60" s="196" t="n">
        <v>0</v>
      </c>
      <c r="L60" s="197" t="n">
        <v>0</v>
      </c>
      <c r="M60" s="197" t="n">
        <v>0</v>
      </c>
      <c r="N60" s="197" t="n">
        <v>0</v>
      </c>
      <c r="O60" s="196">
        <f>H60+I60+J60+L60+M60+N60</f>
        <v/>
      </c>
      <c r="P60" s="198" t="n">
        <v>55000</v>
      </c>
      <c r="Q60" s="197" t="n">
        <v>0</v>
      </c>
      <c r="R60" s="199" t="inlineStr">
        <is>
          <t>Đảm bảo tiến độ sản xuất</t>
        </is>
      </c>
      <c r="S60" s="200" t="inlineStr">
        <is>
          <t>CÓ</t>
        </is>
      </c>
      <c r="T60" s="200" t="inlineStr">
        <is>
          <t>ĐÃ DUYỆT</t>
        </is>
      </c>
      <c r="U60" s="199" t="inlineStr">
        <is>
          <t>Quản Đốc</t>
        </is>
      </c>
      <c r="V60" s="200" t="inlineStr">
        <is>
          <t>2026-08-05 17:00:00</t>
        </is>
      </c>
      <c r="W60" s="200" t="inlineStr">
        <is>
          <t>ERP_CHAM_CONG_2026</t>
        </is>
      </c>
      <c r="X60" s="200" t="inlineStr">
        <is>
          <t>HỢP LỆ</t>
        </is>
      </c>
    </row>
    <row r="61">
      <c r="A61" s="201" t="inlineStr">
        <is>
          <t>2026-08-06</t>
        </is>
      </c>
      <c r="B61" s="201" t="inlineStr">
        <is>
          <t>2026-08-01</t>
        </is>
      </c>
      <c r="C61" s="201" t="inlineStr">
        <is>
          <t>NV08</t>
        </is>
      </c>
      <c r="D61" s="202" t="inlineStr">
        <is>
          <t>Trần Văn Dũng</t>
        </is>
      </c>
      <c r="E61" s="201" t="inlineStr">
        <is>
          <t>C1+2</t>
        </is>
      </c>
      <c r="F61" s="203" t="n">
        <v>1</v>
      </c>
      <c r="G61" s="203" t="n">
        <v>8</v>
      </c>
      <c r="H61" s="203" t="n">
        <v>2</v>
      </c>
      <c r="I61" s="203" t="n">
        <v>0</v>
      </c>
      <c r="J61" s="203" t="n">
        <v>0</v>
      </c>
      <c r="K61" s="203" t="n">
        <v>0</v>
      </c>
      <c r="L61" s="204" t="n">
        <v>0</v>
      </c>
      <c r="M61" s="204" t="n">
        <v>0</v>
      </c>
      <c r="N61" s="204" t="n">
        <v>0</v>
      </c>
      <c r="O61" s="203">
        <f>H61+I61+J61+L61+M61+N61</f>
        <v/>
      </c>
      <c r="P61" s="205" t="n">
        <v>55000</v>
      </c>
      <c r="Q61" s="204" t="n">
        <v>0</v>
      </c>
      <c r="R61" s="206" t="inlineStr">
        <is>
          <t>Đảm bảo tiến độ sản xuất</t>
        </is>
      </c>
      <c r="S61" s="207" t="inlineStr">
        <is>
          <t>CÓ</t>
        </is>
      </c>
      <c r="T61" s="207" t="inlineStr">
        <is>
          <t>ĐÃ DUYỆT</t>
        </is>
      </c>
      <c r="U61" s="206" t="inlineStr">
        <is>
          <t>Quản Đốc</t>
        </is>
      </c>
      <c r="V61" s="207" t="inlineStr">
        <is>
          <t>2026-08-06 17:00:00</t>
        </is>
      </c>
      <c r="W61" s="207" t="inlineStr">
        <is>
          <t>ERP_CHAM_CONG_2026</t>
        </is>
      </c>
      <c r="X61" s="207" t="inlineStr">
        <is>
          <t>HỢP LỆ</t>
        </is>
      </c>
    </row>
    <row r="62">
      <c r="A62" s="194" t="inlineStr">
        <is>
          <t>2026-08-06</t>
        </is>
      </c>
      <c r="B62" s="194" t="inlineStr">
        <is>
          <t>2026-08-01</t>
        </is>
      </c>
      <c r="C62" s="194" t="inlineStr">
        <is>
          <t>NV01</t>
        </is>
      </c>
      <c r="D62" s="195" t="inlineStr">
        <is>
          <t>Hoàng Ngọc Hà</t>
        </is>
      </c>
      <c r="E62" s="194" t="inlineStr">
        <is>
          <t>C1</t>
        </is>
      </c>
      <c r="F62" s="196" t="n">
        <v>1</v>
      </c>
      <c r="G62" s="196" t="n">
        <v>8</v>
      </c>
      <c r="H62" s="196" t="n">
        <v>0</v>
      </c>
      <c r="I62" s="196" t="n">
        <v>0</v>
      </c>
      <c r="J62" s="196" t="n">
        <v>0</v>
      </c>
      <c r="K62" s="196" t="n">
        <v>0</v>
      </c>
      <c r="L62" s="197" t="n">
        <v>0</v>
      </c>
      <c r="M62" s="197" t="n">
        <v>0</v>
      </c>
      <c r="N62" s="197" t="n">
        <v>0</v>
      </c>
      <c r="O62" s="196">
        <f>H62+I62+J62+L62+M62+N62</f>
        <v/>
      </c>
      <c r="P62" s="198" t="n">
        <v>30000</v>
      </c>
      <c r="Q62" s="197" t="n">
        <v>0</v>
      </c>
      <c r="R62" s="199" t="inlineStr"/>
      <c r="S62" s="200" t="inlineStr">
        <is>
          <t>KHÔNG</t>
        </is>
      </c>
      <c r="T62" s="200" t="inlineStr">
        <is>
          <t>ĐÃ DUYỆT</t>
        </is>
      </c>
      <c r="U62" s="199" t="inlineStr">
        <is>
          <t>Quản Đốc</t>
        </is>
      </c>
      <c r="V62" s="200" t="inlineStr">
        <is>
          <t>2026-08-06 17:00:00</t>
        </is>
      </c>
      <c r="W62" s="200" t="inlineStr">
        <is>
          <t>ERP_CHAM_CONG_2026</t>
        </is>
      </c>
      <c r="X62" s="200" t="inlineStr">
        <is>
          <t>HỢP LỆ</t>
        </is>
      </c>
    </row>
    <row r="63">
      <c r="A63" s="201" t="inlineStr">
        <is>
          <t>2026-08-06</t>
        </is>
      </c>
      <c r="B63" s="201" t="inlineStr">
        <is>
          <t>2026-08-01</t>
        </is>
      </c>
      <c r="C63" s="201" t="inlineStr">
        <is>
          <t>NV03</t>
        </is>
      </c>
      <c r="D63" s="202" t="inlineStr">
        <is>
          <t>Phùng Đình Hùng</t>
        </is>
      </c>
      <c r="E63" s="201" t="inlineStr">
        <is>
          <t>C1</t>
        </is>
      </c>
      <c r="F63" s="203" t="n">
        <v>1</v>
      </c>
      <c r="G63" s="203" t="n">
        <v>8</v>
      </c>
      <c r="H63" s="203" t="n">
        <v>0</v>
      </c>
      <c r="I63" s="203" t="n">
        <v>0</v>
      </c>
      <c r="J63" s="203" t="n">
        <v>0</v>
      </c>
      <c r="K63" s="203" t="n">
        <v>0</v>
      </c>
      <c r="L63" s="204" t="n">
        <v>0</v>
      </c>
      <c r="M63" s="204" t="n">
        <v>0</v>
      </c>
      <c r="N63" s="204" t="n">
        <v>0</v>
      </c>
      <c r="O63" s="203">
        <f>H63+I63+J63+L63+M63+N63</f>
        <v/>
      </c>
      <c r="P63" s="205" t="n">
        <v>30000</v>
      </c>
      <c r="Q63" s="204" t="n">
        <v>0</v>
      </c>
      <c r="R63" s="206" t="inlineStr"/>
      <c r="S63" s="207" t="inlineStr">
        <is>
          <t>KHÔNG</t>
        </is>
      </c>
      <c r="T63" s="207" t="inlineStr">
        <is>
          <t>ĐÃ DUYỆT</t>
        </is>
      </c>
      <c r="U63" s="206" t="inlineStr">
        <is>
          <t>Quản Đốc</t>
        </is>
      </c>
      <c r="V63" s="207" t="inlineStr">
        <is>
          <t>2026-08-06 17:00:00</t>
        </is>
      </c>
      <c r="W63" s="207" t="inlineStr">
        <is>
          <t>ERP_CHAM_CONG_2026</t>
        </is>
      </c>
      <c r="X63" s="207" t="inlineStr">
        <is>
          <t>HỢP LỆ</t>
        </is>
      </c>
    </row>
    <row r="64">
      <c r="A64" s="194" t="inlineStr">
        <is>
          <t>2026-08-06</t>
        </is>
      </c>
      <c r="B64" s="194" t="inlineStr">
        <is>
          <t>2026-08-01</t>
        </is>
      </c>
      <c r="C64" s="194" t="inlineStr">
        <is>
          <t>NV15</t>
        </is>
      </c>
      <c r="D64" s="195" t="inlineStr">
        <is>
          <t>Đặng Ngọc Long</t>
        </is>
      </c>
      <c r="E64" s="194" t="inlineStr">
        <is>
          <t>C1+2</t>
        </is>
      </c>
      <c r="F64" s="196" t="n">
        <v>1</v>
      </c>
      <c r="G64" s="196" t="n">
        <v>8</v>
      </c>
      <c r="H64" s="196" t="n">
        <v>2</v>
      </c>
      <c r="I64" s="196" t="n">
        <v>0</v>
      </c>
      <c r="J64" s="196" t="n">
        <v>0</v>
      </c>
      <c r="K64" s="196" t="n">
        <v>0</v>
      </c>
      <c r="L64" s="197" t="n">
        <v>0</v>
      </c>
      <c r="M64" s="197" t="n">
        <v>0</v>
      </c>
      <c r="N64" s="197" t="n">
        <v>0</v>
      </c>
      <c r="O64" s="196">
        <f>H64+I64+J64+L64+M64+N64</f>
        <v/>
      </c>
      <c r="P64" s="198" t="n">
        <v>55000</v>
      </c>
      <c r="Q64" s="197" t="n">
        <v>0</v>
      </c>
      <c r="R64" s="199" t="inlineStr">
        <is>
          <t>Đảm bảo tiến độ sản xuất</t>
        </is>
      </c>
      <c r="S64" s="200" t="inlineStr">
        <is>
          <t>CÓ</t>
        </is>
      </c>
      <c r="T64" s="200" t="inlineStr">
        <is>
          <t>ĐÃ DUYỆT</t>
        </is>
      </c>
      <c r="U64" s="199" t="inlineStr">
        <is>
          <t>Quản Đốc</t>
        </is>
      </c>
      <c r="V64" s="200" t="inlineStr">
        <is>
          <t>2026-08-06 17:00:00</t>
        </is>
      </c>
      <c r="W64" s="200" t="inlineStr">
        <is>
          <t>ERP_CHAM_CONG_2026</t>
        </is>
      </c>
      <c r="X64" s="200" t="inlineStr">
        <is>
          <t>HỢP LỆ</t>
        </is>
      </c>
    </row>
    <row r="65">
      <c r="A65" s="201" t="inlineStr">
        <is>
          <t>2026-08-06</t>
        </is>
      </c>
      <c r="B65" s="201" t="inlineStr">
        <is>
          <t>2026-08-01</t>
        </is>
      </c>
      <c r="C65" s="201" t="inlineStr">
        <is>
          <t>NV14</t>
        </is>
      </c>
      <c r="D65" s="202" t="inlineStr">
        <is>
          <t>Đinh Văn Nhận</t>
        </is>
      </c>
      <c r="E65" s="201" t="inlineStr">
        <is>
          <t>C1+2</t>
        </is>
      </c>
      <c r="F65" s="203" t="n">
        <v>1</v>
      </c>
      <c r="G65" s="203" t="n">
        <v>8</v>
      </c>
      <c r="H65" s="203" t="n">
        <v>2</v>
      </c>
      <c r="I65" s="203" t="n">
        <v>0</v>
      </c>
      <c r="J65" s="203" t="n">
        <v>0</v>
      </c>
      <c r="K65" s="203" t="n">
        <v>0</v>
      </c>
      <c r="L65" s="204" t="n">
        <v>0</v>
      </c>
      <c r="M65" s="204" t="n">
        <v>0</v>
      </c>
      <c r="N65" s="204" t="n">
        <v>0</v>
      </c>
      <c r="O65" s="203">
        <f>H65+I65+J65+L65+M65+N65</f>
        <v/>
      </c>
      <c r="P65" s="205" t="n">
        <v>55000</v>
      </c>
      <c r="Q65" s="204" t="n">
        <v>0</v>
      </c>
      <c r="R65" s="206" t="inlineStr">
        <is>
          <t>Đảm bảo tiến độ sản xuất</t>
        </is>
      </c>
      <c r="S65" s="207" t="inlineStr">
        <is>
          <t>CÓ</t>
        </is>
      </c>
      <c r="T65" s="207" t="inlineStr">
        <is>
          <t>ĐÃ DUYỆT</t>
        </is>
      </c>
      <c r="U65" s="206" t="inlineStr">
        <is>
          <t>Quản Đốc</t>
        </is>
      </c>
      <c r="V65" s="207" t="inlineStr">
        <is>
          <t>2026-08-06 17:00:00</t>
        </is>
      </c>
      <c r="W65" s="207" t="inlineStr">
        <is>
          <t>ERP_CHAM_CONG_2026</t>
        </is>
      </c>
      <c r="X65" s="207" t="inlineStr">
        <is>
          <t>HỢP LỆ</t>
        </is>
      </c>
    </row>
    <row r="66">
      <c r="A66" s="194" t="inlineStr">
        <is>
          <t>2026-08-06</t>
        </is>
      </c>
      <c r="B66" s="194" t="inlineStr">
        <is>
          <t>2026-08-01</t>
        </is>
      </c>
      <c r="C66" s="194" t="inlineStr">
        <is>
          <t>NV07</t>
        </is>
      </c>
      <c r="D66" s="195" t="inlineStr">
        <is>
          <t>Phùng Gia Phúc</t>
        </is>
      </c>
      <c r="E66" s="194" t="inlineStr">
        <is>
          <t>C1+2</t>
        </is>
      </c>
      <c r="F66" s="196" t="n">
        <v>1</v>
      </c>
      <c r="G66" s="196" t="n">
        <v>8</v>
      </c>
      <c r="H66" s="196" t="n">
        <v>2</v>
      </c>
      <c r="I66" s="196" t="n">
        <v>0</v>
      </c>
      <c r="J66" s="196" t="n">
        <v>0</v>
      </c>
      <c r="K66" s="196" t="n">
        <v>0</v>
      </c>
      <c r="L66" s="197" t="n">
        <v>0</v>
      </c>
      <c r="M66" s="197" t="n">
        <v>0</v>
      </c>
      <c r="N66" s="197" t="n">
        <v>0</v>
      </c>
      <c r="O66" s="196">
        <f>H66+I66+J66+L66+M66+N66</f>
        <v/>
      </c>
      <c r="P66" s="198" t="n">
        <v>55000</v>
      </c>
      <c r="Q66" s="197" t="n">
        <v>0</v>
      </c>
      <c r="R66" s="199" t="inlineStr">
        <is>
          <t>Đảm bảo tiến độ sản xuất</t>
        </is>
      </c>
      <c r="S66" s="200" t="inlineStr">
        <is>
          <t>CÓ</t>
        </is>
      </c>
      <c r="T66" s="200" t="inlineStr">
        <is>
          <t>ĐÃ DUYỆT</t>
        </is>
      </c>
      <c r="U66" s="199" t="inlineStr">
        <is>
          <t>Quản Đốc</t>
        </is>
      </c>
      <c r="V66" s="200" t="inlineStr">
        <is>
          <t>2026-08-06 17:00:00</t>
        </is>
      </c>
      <c r="W66" s="200" t="inlineStr">
        <is>
          <t>ERP_CHAM_CONG_2026</t>
        </is>
      </c>
      <c r="X66" s="200" t="inlineStr">
        <is>
          <t>HỢP LỆ</t>
        </is>
      </c>
    </row>
    <row r="67">
      <c r="A67" s="201" t="inlineStr">
        <is>
          <t>2026-08-06</t>
        </is>
      </c>
      <c r="B67" s="201" t="inlineStr">
        <is>
          <t>2026-08-01</t>
        </is>
      </c>
      <c r="C67" s="201" t="inlineStr">
        <is>
          <t>NV13</t>
        </is>
      </c>
      <c r="D67" s="202" t="inlineStr">
        <is>
          <t>Trần Văn Quỳnh</t>
        </is>
      </c>
      <c r="E67" s="201" t="inlineStr">
        <is>
          <t>C1</t>
        </is>
      </c>
      <c r="F67" s="203" t="n">
        <v>1</v>
      </c>
      <c r="G67" s="203" t="n">
        <v>8</v>
      </c>
      <c r="H67" s="203" t="n">
        <v>0</v>
      </c>
      <c r="I67" s="203" t="n">
        <v>0</v>
      </c>
      <c r="J67" s="203" t="n">
        <v>0</v>
      </c>
      <c r="K67" s="203" t="n">
        <v>0</v>
      </c>
      <c r="L67" s="204" t="n">
        <v>0</v>
      </c>
      <c r="M67" s="204" t="n">
        <v>0</v>
      </c>
      <c r="N67" s="204" t="n">
        <v>0</v>
      </c>
      <c r="O67" s="203">
        <f>H67+I67+J67+L67+M67+N67</f>
        <v/>
      </c>
      <c r="P67" s="205" t="n">
        <v>30000</v>
      </c>
      <c r="Q67" s="204" t="n">
        <v>0</v>
      </c>
      <c r="R67" s="206" t="inlineStr"/>
      <c r="S67" s="207" t="inlineStr">
        <is>
          <t>KHÔNG</t>
        </is>
      </c>
      <c r="T67" s="207" t="inlineStr">
        <is>
          <t>ĐÃ DUYỆT</t>
        </is>
      </c>
      <c r="U67" s="206" t="inlineStr">
        <is>
          <t>Quản Đốc</t>
        </is>
      </c>
      <c r="V67" s="207" t="inlineStr">
        <is>
          <t>2026-08-06 17:00:00</t>
        </is>
      </c>
      <c r="W67" s="207" t="inlineStr">
        <is>
          <t>ERP_CHAM_CONG_2026</t>
        </is>
      </c>
      <c r="X67" s="207" t="inlineStr">
        <is>
          <t>HỢP LỆ</t>
        </is>
      </c>
    </row>
    <row r="68">
      <c r="A68" s="194" t="inlineStr">
        <is>
          <t>2026-08-06</t>
        </is>
      </c>
      <c r="B68" s="194" t="inlineStr">
        <is>
          <t>2026-08-01</t>
        </is>
      </c>
      <c r="C68" s="194" t="inlineStr">
        <is>
          <t>NV11</t>
        </is>
      </c>
      <c r="D68" s="195" t="inlineStr">
        <is>
          <t>Phùng Công Thắng</t>
        </is>
      </c>
      <c r="E68" s="194" t="inlineStr">
        <is>
          <t>C1+2</t>
        </is>
      </c>
      <c r="F68" s="196" t="n">
        <v>1</v>
      </c>
      <c r="G68" s="196" t="n">
        <v>8</v>
      </c>
      <c r="H68" s="196" t="n">
        <v>2</v>
      </c>
      <c r="I68" s="196" t="n">
        <v>0</v>
      </c>
      <c r="J68" s="196" t="n">
        <v>0</v>
      </c>
      <c r="K68" s="196" t="n">
        <v>0</v>
      </c>
      <c r="L68" s="197" t="n">
        <v>0</v>
      </c>
      <c r="M68" s="197" t="n">
        <v>0</v>
      </c>
      <c r="N68" s="197" t="n">
        <v>0</v>
      </c>
      <c r="O68" s="196">
        <f>H68+I68+J68+L68+M68+N68</f>
        <v/>
      </c>
      <c r="P68" s="198" t="n">
        <v>55000</v>
      </c>
      <c r="Q68" s="197" t="n">
        <v>0</v>
      </c>
      <c r="R68" s="199" t="inlineStr">
        <is>
          <t>Đảm bảo tiến độ sản xuất</t>
        </is>
      </c>
      <c r="S68" s="200" t="inlineStr">
        <is>
          <t>CÓ</t>
        </is>
      </c>
      <c r="T68" s="200" t="inlineStr">
        <is>
          <t>ĐÃ DUYỆT</t>
        </is>
      </c>
      <c r="U68" s="199" t="inlineStr">
        <is>
          <t>Quản Đốc</t>
        </is>
      </c>
      <c r="V68" s="200" t="inlineStr">
        <is>
          <t>2026-08-06 17:00:00</t>
        </is>
      </c>
      <c r="W68" s="200" t="inlineStr">
        <is>
          <t>ERP_CHAM_CONG_2026</t>
        </is>
      </c>
      <c r="X68" s="200" t="inlineStr">
        <is>
          <t>HỢP LỆ</t>
        </is>
      </c>
    </row>
    <row r="69">
      <c r="A69" s="201" t="inlineStr">
        <is>
          <t>2026-08-06</t>
        </is>
      </c>
      <c r="B69" s="201" t="inlineStr">
        <is>
          <t>2026-08-01</t>
        </is>
      </c>
      <c r="C69" s="201" t="inlineStr">
        <is>
          <t>NV06</t>
        </is>
      </c>
      <c r="D69" s="202" t="inlineStr">
        <is>
          <t>Nguyễn Văn Thanh</t>
        </is>
      </c>
      <c r="E69" s="201" t="inlineStr">
        <is>
          <t>C1+2</t>
        </is>
      </c>
      <c r="F69" s="203" t="n">
        <v>1</v>
      </c>
      <c r="G69" s="203" t="n">
        <v>8</v>
      </c>
      <c r="H69" s="203" t="n">
        <v>2</v>
      </c>
      <c r="I69" s="203" t="n">
        <v>0</v>
      </c>
      <c r="J69" s="203" t="n">
        <v>0</v>
      </c>
      <c r="K69" s="203" t="n">
        <v>0</v>
      </c>
      <c r="L69" s="204" t="n">
        <v>0</v>
      </c>
      <c r="M69" s="204" t="n">
        <v>0</v>
      </c>
      <c r="N69" s="204" t="n">
        <v>0</v>
      </c>
      <c r="O69" s="203">
        <f>H69+I69+J69+L69+M69+N69</f>
        <v/>
      </c>
      <c r="P69" s="205" t="n">
        <v>55000</v>
      </c>
      <c r="Q69" s="204" t="n">
        <v>0</v>
      </c>
      <c r="R69" s="206" t="inlineStr">
        <is>
          <t>Đảm bảo tiến độ sản xuất</t>
        </is>
      </c>
      <c r="S69" s="207" t="inlineStr">
        <is>
          <t>CÓ</t>
        </is>
      </c>
      <c r="T69" s="207" t="inlineStr">
        <is>
          <t>ĐÃ DUYỆT</t>
        </is>
      </c>
      <c r="U69" s="206" t="inlineStr">
        <is>
          <t>Quản Đốc</t>
        </is>
      </c>
      <c r="V69" s="207" t="inlineStr">
        <is>
          <t>2026-08-06 17:00:00</t>
        </is>
      </c>
      <c r="W69" s="207" t="inlineStr">
        <is>
          <t>ERP_CHAM_CONG_2026</t>
        </is>
      </c>
      <c r="X69" s="207" t="inlineStr">
        <is>
          <t>HỢP LỆ</t>
        </is>
      </c>
    </row>
    <row r="70">
      <c r="A70" s="194" t="inlineStr">
        <is>
          <t>2026-08-06</t>
        </is>
      </c>
      <c r="B70" s="194" t="inlineStr">
        <is>
          <t>2026-08-01</t>
        </is>
      </c>
      <c r="C70" s="194" t="inlineStr">
        <is>
          <t>NV04</t>
        </is>
      </c>
      <c r="D70" s="195" t="inlineStr">
        <is>
          <t>Vũ Tiến Thuận</t>
        </is>
      </c>
      <c r="E70" s="194" t="inlineStr">
        <is>
          <t>C1</t>
        </is>
      </c>
      <c r="F70" s="196" t="n">
        <v>1</v>
      </c>
      <c r="G70" s="196" t="n">
        <v>8</v>
      </c>
      <c r="H70" s="196" t="n">
        <v>0</v>
      </c>
      <c r="I70" s="196" t="n">
        <v>0</v>
      </c>
      <c r="J70" s="196" t="n">
        <v>0</v>
      </c>
      <c r="K70" s="196" t="n">
        <v>0</v>
      </c>
      <c r="L70" s="197" t="n">
        <v>0</v>
      </c>
      <c r="M70" s="197" t="n">
        <v>0</v>
      </c>
      <c r="N70" s="197" t="n">
        <v>0</v>
      </c>
      <c r="O70" s="196">
        <f>H70+I70+J70+L70+M70+N70</f>
        <v/>
      </c>
      <c r="P70" s="198" t="n">
        <v>30000</v>
      </c>
      <c r="Q70" s="197" t="n">
        <v>0</v>
      </c>
      <c r="R70" s="199" t="inlineStr"/>
      <c r="S70" s="200" t="inlineStr">
        <is>
          <t>KHÔNG</t>
        </is>
      </c>
      <c r="T70" s="200" t="inlineStr">
        <is>
          <t>ĐÃ DUYỆT</t>
        </is>
      </c>
      <c r="U70" s="199" t="inlineStr">
        <is>
          <t>Quản Đốc</t>
        </is>
      </c>
      <c r="V70" s="200" t="inlineStr">
        <is>
          <t>2026-08-06 17:00:00</t>
        </is>
      </c>
      <c r="W70" s="200" t="inlineStr">
        <is>
          <t>ERP_CHAM_CONG_2026</t>
        </is>
      </c>
      <c r="X70" s="200" t="inlineStr">
        <is>
          <t>HỢP LỆ</t>
        </is>
      </c>
    </row>
    <row r="71">
      <c r="A71" s="201" t="inlineStr">
        <is>
          <t>2026-08-06</t>
        </is>
      </c>
      <c r="B71" s="201" t="inlineStr">
        <is>
          <t>2026-08-01</t>
        </is>
      </c>
      <c r="C71" s="201" t="inlineStr">
        <is>
          <t>NV10</t>
        </is>
      </c>
      <c r="D71" s="202" t="inlineStr">
        <is>
          <t>Phạm Văn Tráng</t>
        </is>
      </c>
      <c r="E71" s="201" t="inlineStr">
        <is>
          <t>C1+2</t>
        </is>
      </c>
      <c r="F71" s="203" t="n">
        <v>1</v>
      </c>
      <c r="G71" s="203" t="n">
        <v>8</v>
      </c>
      <c r="H71" s="203" t="n">
        <v>2</v>
      </c>
      <c r="I71" s="203" t="n">
        <v>0</v>
      </c>
      <c r="J71" s="203" t="n">
        <v>0</v>
      </c>
      <c r="K71" s="203" t="n">
        <v>0</v>
      </c>
      <c r="L71" s="204" t="n">
        <v>0</v>
      </c>
      <c r="M71" s="204" t="n">
        <v>0</v>
      </c>
      <c r="N71" s="204" t="n">
        <v>0</v>
      </c>
      <c r="O71" s="203">
        <f>H71+I71+J71+L71+M71+N71</f>
        <v/>
      </c>
      <c r="P71" s="205" t="n">
        <v>55000</v>
      </c>
      <c r="Q71" s="204" t="n">
        <v>0</v>
      </c>
      <c r="R71" s="206" t="inlineStr">
        <is>
          <t>Đảm bảo tiến độ sản xuất</t>
        </is>
      </c>
      <c r="S71" s="207" t="inlineStr">
        <is>
          <t>CÓ</t>
        </is>
      </c>
      <c r="T71" s="207" t="inlineStr">
        <is>
          <t>ĐÃ DUYỆT</t>
        </is>
      </c>
      <c r="U71" s="206" t="inlineStr">
        <is>
          <t>Quản Đốc</t>
        </is>
      </c>
      <c r="V71" s="207" t="inlineStr">
        <is>
          <t>2026-08-06 17:00:00</t>
        </is>
      </c>
      <c r="W71" s="207" t="inlineStr">
        <is>
          <t>ERP_CHAM_CONG_2026</t>
        </is>
      </c>
      <c r="X71" s="207" t="inlineStr">
        <is>
          <t>HỢP LỆ</t>
        </is>
      </c>
    </row>
    <row r="72">
      <c r="A72" s="194" t="inlineStr">
        <is>
          <t>2026-08-07</t>
        </is>
      </c>
      <c r="B72" s="194" t="inlineStr">
        <is>
          <t>2026-08-01</t>
        </is>
      </c>
      <c r="C72" s="194" t="inlineStr">
        <is>
          <t>NV02</t>
        </is>
      </c>
      <c r="D72" s="195" t="inlineStr">
        <is>
          <t>Nguyễn Trung Đông</t>
        </is>
      </c>
      <c r="E72" s="194" t="inlineStr">
        <is>
          <t>C1+2</t>
        </is>
      </c>
      <c r="F72" s="196" t="n">
        <v>1</v>
      </c>
      <c r="G72" s="196" t="n">
        <v>8</v>
      </c>
      <c r="H72" s="196" t="n">
        <v>2</v>
      </c>
      <c r="I72" s="196" t="n">
        <v>0</v>
      </c>
      <c r="J72" s="196" t="n">
        <v>0</v>
      </c>
      <c r="K72" s="196" t="n">
        <v>0</v>
      </c>
      <c r="L72" s="197" t="n">
        <v>0</v>
      </c>
      <c r="M72" s="197" t="n">
        <v>0</v>
      </c>
      <c r="N72" s="197" t="n">
        <v>0</v>
      </c>
      <c r="O72" s="196">
        <f>H72+I72+J72+L72+M72+N72</f>
        <v/>
      </c>
      <c r="P72" s="198" t="n">
        <v>55000</v>
      </c>
      <c r="Q72" s="197" t="n">
        <v>0</v>
      </c>
      <c r="R72" s="199" t="inlineStr">
        <is>
          <t>Đảm bảo tiến độ sản xuất</t>
        </is>
      </c>
      <c r="S72" s="200" t="inlineStr">
        <is>
          <t>CÓ</t>
        </is>
      </c>
      <c r="T72" s="200" t="inlineStr">
        <is>
          <t>ĐÃ DUYỆT</t>
        </is>
      </c>
      <c r="U72" s="199" t="inlineStr">
        <is>
          <t>Quản Đốc</t>
        </is>
      </c>
      <c r="V72" s="200" t="inlineStr">
        <is>
          <t>2026-08-07 17:00:00</t>
        </is>
      </c>
      <c r="W72" s="200" t="inlineStr">
        <is>
          <t>ERP_CHAM_CONG_2026</t>
        </is>
      </c>
      <c r="X72" s="200" t="inlineStr">
        <is>
          <t>HỢP LỆ</t>
        </is>
      </c>
    </row>
    <row r="73">
      <c r="A73" s="201" t="inlineStr">
        <is>
          <t>2026-08-07</t>
        </is>
      </c>
      <c r="B73" s="201" t="inlineStr">
        <is>
          <t>2026-08-01</t>
        </is>
      </c>
      <c r="C73" s="201" t="inlineStr">
        <is>
          <t>NV08</t>
        </is>
      </c>
      <c r="D73" s="202" t="inlineStr">
        <is>
          <t>Trần Văn Dũng</t>
        </is>
      </c>
      <c r="E73" s="201" t="inlineStr">
        <is>
          <t>C1+2</t>
        </is>
      </c>
      <c r="F73" s="203" t="n">
        <v>1</v>
      </c>
      <c r="G73" s="203" t="n">
        <v>8</v>
      </c>
      <c r="H73" s="203" t="n">
        <v>2</v>
      </c>
      <c r="I73" s="203" t="n">
        <v>0</v>
      </c>
      <c r="J73" s="203" t="n">
        <v>0</v>
      </c>
      <c r="K73" s="203" t="n">
        <v>0</v>
      </c>
      <c r="L73" s="204" t="n">
        <v>0</v>
      </c>
      <c r="M73" s="204" t="n">
        <v>0</v>
      </c>
      <c r="N73" s="204" t="n">
        <v>0</v>
      </c>
      <c r="O73" s="203">
        <f>H73+I73+J73+L73+M73+N73</f>
        <v/>
      </c>
      <c r="P73" s="205" t="n">
        <v>55000</v>
      </c>
      <c r="Q73" s="204" t="n">
        <v>0</v>
      </c>
      <c r="R73" s="206" t="inlineStr">
        <is>
          <t>Đảm bảo tiến độ sản xuất</t>
        </is>
      </c>
      <c r="S73" s="207" t="inlineStr">
        <is>
          <t>CÓ</t>
        </is>
      </c>
      <c r="T73" s="207" t="inlineStr">
        <is>
          <t>ĐÃ DUYỆT</t>
        </is>
      </c>
      <c r="U73" s="206" t="inlineStr">
        <is>
          <t>Quản Đốc</t>
        </is>
      </c>
      <c r="V73" s="207" t="inlineStr">
        <is>
          <t>2026-08-07 17:00:00</t>
        </is>
      </c>
      <c r="W73" s="207" t="inlineStr">
        <is>
          <t>ERP_CHAM_CONG_2026</t>
        </is>
      </c>
      <c r="X73" s="207" t="inlineStr">
        <is>
          <t>HỢP LỆ</t>
        </is>
      </c>
    </row>
    <row r="74">
      <c r="A74" s="194" t="inlineStr">
        <is>
          <t>2026-08-07</t>
        </is>
      </c>
      <c r="B74" s="194" t="inlineStr">
        <is>
          <t>2026-08-01</t>
        </is>
      </c>
      <c r="C74" s="194" t="inlineStr">
        <is>
          <t>NV01</t>
        </is>
      </c>
      <c r="D74" s="195" t="inlineStr">
        <is>
          <t>Hoàng Ngọc Hà</t>
        </is>
      </c>
      <c r="E74" s="194" t="inlineStr">
        <is>
          <t>C1</t>
        </is>
      </c>
      <c r="F74" s="196" t="n">
        <v>1</v>
      </c>
      <c r="G74" s="196" t="n">
        <v>8</v>
      </c>
      <c r="H74" s="196" t="n">
        <v>0</v>
      </c>
      <c r="I74" s="196" t="n">
        <v>0</v>
      </c>
      <c r="J74" s="196" t="n">
        <v>0</v>
      </c>
      <c r="K74" s="196" t="n">
        <v>0</v>
      </c>
      <c r="L74" s="197" t="n">
        <v>0</v>
      </c>
      <c r="M74" s="197" t="n">
        <v>0</v>
      </c>
      <c r="N74" s="197" t="n">
        <v>0</v>
      </c>
      <c r="O74" s="196">
        <f>H74+I74+J74+L74+M74+N74</f>
        <v/>
      </c>
      <c r="P74" s="198" t="n">
        <v>30000</v>
      </c>
      <c r="Q74" s="197" t="n">
        <v>0</v>
      </c>
      <c r="R74" s="199" t="inlineStr"/>
      <c r="S74" s="200" t="inlineStr">
        <is>
          <t>KHÔNG</t>
        </is>
      </c>
      <c r="T74" s="200" t="inlineStr">
        <is>
          <t>ĐÃ DUYỆT</t>
        </is>
      </c>
      <c r="U74" s="199" t="inlineStr">
        <is>
          <t>Quản Đốc</t>
        </is>
      </c>
      <c r="V74" s="200" t="inlineStr">
        <is>
          <t>2026-08-07 17:00:00</t>
        </is>
      </c>
      <c r="W74" s="200" t="inlineStr">
        <is>
          <t>ERP_CHAM_CONG_2026</t>
        </is>
      </c>
      <c r="X74" s="200" t="inlineStr">
        <is>
          <t>HỢP LỆ</t>
        </is>
      </c>
    </row>
    <row r="75">
      <c r="A75" s="201" t="inlineStr">
        <is>
          <t>2026-08-07</t>
        </is>
      </c>
      <c r="B75" s="201" t="inlineStr">
        <is>
          <t>2026-08-01</t>
        </is>
      </c>
      <c r="C75" s="201" t="inlineStr">
        <is>
          <t>NV03</t>
        </is>
      </c>
      <c r="D75" s="202" t="inlineStr">
        <is>
          <t>Phùng Đình Hùng</t>
        </is>
      </c>
      <c r="E75" s="201" t="inlineStr">
        <is>
          <t>C1</t>
        </is>
      </c>
      <c r="F75" s="203" t="n">
        <v>1</v>
      </c>
      <c r="G75" s="203" t="n">
        <v>8</v>
      </c>
      <c r="H75" s="203" t="n">
        <v>0</v>
      </c>
      <c r="I75" s="203" t="n">
        <v>0</v>
      </c>
      <c r="J75" s="203" t="n">
        <v>0</v>
      </c>
      <c r="K75" s="203" t="n">
        <v>0</v>
      </c>
      <c r="L75" s="204" t="n">
        <v>0</v>
      </c>
      <c r="M75" s="204" t="n">
        <v>0</v>
      </c>
      <c r="N75" s="204" t="n">
        <v>0</v>
      </c>
      <c r="O75" s="203">
        <f>H75+I75+J75+L75+M75+N75</f>
        <v/>
      </c>
      <c r="P75" s="205" t="n">
        <v>30000</v>
      </c>
      <c r="Q75" s="204" t="n">
        <v>0</v>
      </c>
      <c r="R75" s="206" t="inlineStr"/>
      <c r="S75" s="207" t="inlineStr">
        <is>
          <t>KHÔNG</t>
        </is>
      </c>
      <c r="T75" s="207" t="inlineStr">
        <is>
          <t>ĐÃ DUYỆT</t>
        </is>
      </c>
      <c r="U75" s="206" t="inlineStr">
        <is>
          <t>Quản Đốc</t>
        </is>
      </c>
      <c r="V75" s="207" t="inlineStr">
        <is>
          <t>2026-08-07 17:00:00</t>
        </is>
      </c>
      <c r="W75" s="207" t="inlineStr">
        <is>
          <t>ERP_CHAM_CONG_2026</t>
        </is>
      </c>
      <c r="X75" s="207" t="inlineStr">
        <is>
          <t>HỢP LỆ</t>
        </is>
      </c>
    </row>
    <row r="76">
      <c r="A76" s="194" t="inlineStr">
        <is>
          <t>2026-08-07</t>
        </is>
      </c>
      <c r="B76" s="194" t="inlineStr">
        <is>
          <t>2026-08-01</t>
        </is>
      </c>
      <c r="C76" s="194" t="inlineStr">
        <is>
          <t>NV15</t>
        </is>
      </c>
      <c r="D76" s="195" t="inlineStr">
        <is>
          <t>Đặng Ngọc Long</t>
        </is>
      </c>
      <c r="E76" s="194" t="inlineStr">
        <is>
          <t>C1+2</t>
        </is>
      </c>
      <c r="F76" s="196" t="n">
        <v>1</v>
      </c>
      <c r="G76" s="196" t="n">
        <v>8</v>
      </c>
      <c r="H76" s="196" t="n">
        <v>2</v>
      </c>
      <c r="I76" s="196" t="n">
        <v>0</v>
      </c>
      <c r="J76" s="196" t="n">
        <v>0</v>
      </c>
      <c r="K76" s="196" t="n">
        <v>0</v>
      </c>
      <c r="L76" s="197" t="n">
        <v>0</v>
      </c>
      <c r="M76" s="197" t="n">
        <v>0</v>
      </c>
      <c r="N76" s="197" t="n">
        <v>0</v>
      </c>
      <c r="O76" s="196">
        <f>H76+I76+J76+L76+M76+N76</f>
        <v/>
      </c>
      <c r="P76" s="198" t="n">
        <v>55000</v>
      </c>
      <c r="Q76" s="197" t="n">
        <v>0</v>
      </c>
      <c r="R76" s="199" t="inlineStr">
        <is>
          <t>Đảm bảo tiến độ sản xuất</t>
        </is>
      </c>
      <c r="S76" s="200" t="inlineStr">
        <is>
          <t>CÓ</t>
        </is>
      </c>
      <c r="T76" s="200" t="inlineStr">
        <is>
          <t>ĐÃ DUYỆT</t>
        </is>
      </c>
      <c r="U76" s="199" t="inlineStr">
        <is>
          <t>Quản Đốc</t>
        </is>
      </c>
      <c r="V76" s="200" t="inlineStr">
        <is>
          <t>2026-08-07 17:00:00</t>
        </is>
      </c>
      <c r="W76" s="200" t="inlineStr">
        <is>
          <t>ERP_CHAM_CONG_2026</t>
        </is>
      </c>
      <c r="X76" s="200" t="inlineStr">
        <is>
          <t>HỢP LỆ</t>
        </is>
      </c>
    </row>
    <row r="77">
      <c r="A77" s="201" t="inlineStr">
        <is>
          <t>2026-08-07</t>
        </is>
      </c>
      <c r="B77" s="201" t="inlineStr">
        <is>
          <t>2026-08-01</t>
        </is>
      </c>
      <c r="C77" s="201" t="inlineStr">
        <is>
          <t>NV14</t>
        </is>
      </c>
      <c r="D77" s="202" t="inlineStr">
        <is>
          <t>Đinh Văn Nhận</t>
        </is>
      </c>
      <c r="E77" s="201" t="inlineStr">
        <is>
          <t>C1+2</t>
        </is>
      </c>
      <c r="F77" s="203" t="n">
        <v>1</v>
      </c>
      <c r="G77" s="203" t="n">
        <v>8</v>
      </c>
      <c r="H77" s="203" t="n">
        <v>2</v>
      </c>
      <c r="I77" s="203" t="n">
        <v>0</v>
      </c>
      <c r="J77" s="203" t="n">
        <v>0</v>
      </c>
      <c r="K77" s="203" t="n">
        <v>0</v>
      </c>
      <c r="L77" s="204" t="n">
        <v>0</v>
      </c>
      <c r="M77" s="204" t="n">
        <v>0</v>
      </c>
      <c r="N77" s="204" t="n">
        <v>0</v>
      </c>
      <c r="O77" s="203">
        <f>H77+I77+J77+L77+M77+N77</f>
        <v/>
      </c>
      <c r="P77" s="205" t="n">
        <v>55000</v>
      </c>
      <c r="Q77" s="204" t="n">
        <v>0</v>
      </c>
      <c r="R77" s="206" t="inlineStr">
        <is>
          <t>Đảm bảo tiến độ sản xuất</t>
        </is>
      </c>
      <c r="S77" s="207" t="inlineStr">
        <is>
          <t>CÓ</t>
        </is>
      </c>
      <c r="T77" s="207" t="inlineStr">
        <is>
          <t>ĐÃ DUYỆT</t>
        </is>
      </c>
      <c r="U77" s="206" t="inlineStr">
        <is>
          <t>Quản Đốc</t>
        </is>
      </c>
      <c r="V77" s="207" t="inlineStr">
        <is>
          <t>2026-08-07 17:00:00</t>
        </is>
      </c>
      <c r="W77" s="207" t="inlineStr">
        <is>
          <t>ERP_CHAM_CONG_2026</t>
        </is>
      </c>
      <c r="X77" s="207" t="inlineStr">
        <is>
          <t>HỢP LỆ</t>
        </is>
      </c>
    </row>
    <row r="78">
      <c r="A78" s="194" t="inlineStr">
        <is>
          <t>2026-08-07</t>
        </is>
      </c>
      <c r="B78" s="194" t="inlineStr">
        <is>
          <t>2026-08-01</t>
        </is>
      </c>
      <c r="C78" s="194" t="inlineStr">
        <is>
          <t>NV07</t>
        </is>
      </c>
      <c r="D78" s="195" t="inlineStr">
        <is>
          <t>Phùng Gia Phúc</t>
        </is>
      </c>
      <c r="E78" s="194" t="inlineStr">
        <is>
          <t>C1+2</t>
        </is>
      </c>
      <c r="F78" s="196" t="n">
        <v>1</v>
      </c>
      <c r="G78" s="196" t="n">
        <v>8</v>
      </c>
      <c r="H78" s="196" t="n">
        <v>2</v>
      </c>
      <c r="I78" s="196" t="n">
        <v>0</v>
      </c>
      <c r="J78" s="196" t="n">
        <v>0</v>
      </c>
      <c r="K78" s="196" t="n">
        <v>0</v>
      </c>
      <c r="L78" s="197" t="n">
        <v>0</v>
      </c>
      <c r="M78" s="197" t="n">
        <v>0</v>
      </c>
      <c r="N78" s="197" t="n">
        <v>0</v>
      </c>
      <c r="O78" s="196">
        <f>H78+I78+J78+L78+M78+N78</f>
        <v/>
      </c>
      <c r="P78" s="198" t="n">
        <v>55000</v>
      </c>
      <c r="Q78" s="197" t="n">
        <v>0</v>
      </c>
      <c r="R78" s="199" t="inlineStr">
        <is>
          <t>Đảm bảo tiến độ sản xuất</t>
        </is>
      </c>
      <c r="S78" s="200" t="inlineStr">
        <is>
          <t>CÓ</t>
        </is>
      </c>
      <c r="T78" s="200" t="inlineStr">
        <is>
          <t>ĐÃ DUYỆT</t>
        </is>
      </c>
      <c r="U78" s="199" t="inlineStr">
        <is>
          <t>Quản Đốc</t>
        </is>
      </c>
      <c r="V78" s="200" t="inlineStr">
        <is>
          <t>2026-08-07 17:00:00</t>
        </is>
      </c>
      <c r="W78" s="200" t="inlineStr">
        <is>
          <t>ERP_CHAM_CONG_2026</t>
        </is>
      </c>
      <c r="X78" s="200" t="inlineStr">
        <is>
          <t>HỢP LỆ</t>
        </is>
      </c>
    </row>
    <row r="79">
      <c r="A79" s="201" t="inlineStr">
        <is>
          <t>2026-08-07</t>
        </is>
      </c>
      <c r="B79" s="201" t="inlineStr">
        <is>
          <t>2026-08-01</t>
        </is>
      </c>
      <c r="C79" s="201" t="inlineStr">
        <is>
          <t>NV13</t>
        </is>
      </c>
      <c r="D79" s="202" t="inlineStr">
        <is>
          <t>Trần Văn Quỳnh</t>
        </is>
      </c>
      <c r="E79" s="201" t="inlineStr">
        <is>
          <t>C1</t>
        </is>
      </c>
      <c r="F79" s="203" t="n">
        <v>1</v>
      </c>
      <c r="G79" s="203" t="n">
        <v>8</v>
      </c>
      <c r="H79" s="203" t="n">
        <v>0</v>
      </c>
      <c r="I79" s="203" t="n">
        <v>0</v>
      </c>
      <c r="J79" s="203" t="n">
        <v>0</v>
      </c>
      <c r="K79" s="203" t="n">
        <v>0</v>
      </c>
      <c r="L79" s="204" t="n">
        <v>0</v>
      </c>
      <c r="M79" s="204" t="n">
        <v>0</v>
      </c>
      <c r="N79" s="204" t="n">
        <v>0</v>
      </c>
      <c r="O79" s="203">
        <f>H79+I79+J79+L79+M79+N79</f>
        <v/>
      </c>
      <c r="P79" s="205" t="n">
        <v>30000</v>
      </c>
      <c r="Q79" s="204" t="n">
        <v>0</v>
      </c>
      <c r="R79" s="206" t="inlineStr"/>
      <c r="S79" s="207" t="inlineStr">
        <is>
          <t>KHÔNG</t>
        </is>
      </c>
      <c r="T79" s="207" t="inlineStr">
        <is>
          <t>ĐÃ DUYỆT</t>
        </is>
      </c>
      <c r="U79" s="206" t="inlineStr">
        <is>
          <t>Quản Đốc</t>
        </is>
      </c>
      <c r="V79" s="207" t="inlineStr">
        <is>
          <t>2026-08-07 17:00:00</t>
        </is>
      </c>
      <c r="W79" s="207" t="inlineStr">
        <is>
          <t>ERP_CHAM_CONG_2026</t>
        </is>
      </c>
      <c r="X79" s="207" t="inlineStr">
        <is>
          <t>HỢP LỆ</t>
        </is>
      </c>
    </row>
    <row r="80">
      <c r="A80" s="194" t="inlineStr">
        <is>
          <t>2026-08-07</t>
        </is>
      </c>
      <c r="B80" s="194" t="inlineStr">
        <is>
          <t>2026-08-01</t>
        </is>
      </c>
      <c r="C80" s="194" t="inlineStr">
        <is>
          <t>NV11</t>
        </is>
      </c>
      <c r="D80" s="195" t="inlineStr">
        <is>
          <t>Phùng Công Thắng</t>
        </is>
      </c>
      <c r="E80" s="194" t="inlineStr">
        <is>
          <t>C1+2</t>
        </is>
      </c>
      <c r="F80" s="196" t="n">
        <v>1</v>
      </c>
      <c r="G80" s="196" t="n">
        <v>8</v>
      </c>
      <c r="H80" s="196" t="n">
        <v>2</v>
      </c>
      <c r="I80" s="196" t="n">
        <v>0</v>
      </c>
      <c r="J80" s="196" t="n">
        <v>0</v>
      </c>
      <c r="K80" s="196" t="n">
        <v>0</v>
      </c>
      <c r="L80" s="197" t="n">
        <v>0</v>
      </c>
      <c r="M80" s="197" t="n">
        <v>0</v>
      </c>
      <c r="N80" s="197" t="n">
        <v>0</v>
      </c>
      <c r="O80" s="196">
        <f>H80+I80+J80+L80+M80+N80</f>
        <v/>
      </c>
      <c r="P80" s="198" t="n">
        <v>55000</v>
      </c>
      <c r="Q80" s="197" t="n">
        <v>0</v>
      </c>
      <c r="R80" s="199" t="inlineStr">
        <is>
          <t>Đảm bảo tiến độ sản xuất</t>
        </is>
      </c>
      <c r="S80" s="200" t="inlineStr">
        <is>
          <t>CÓ</t>
        </is>
      </c>
      <c r="T80" s="200" t="inlineStr">
        <is>
          <t>ĐÃ DUYỆT</t>
        </is>
      </c>
      <c r="U80" s="199" t="inlineStr">
        <is>
          <t>Quản Đốc</t>
        </is>
      </c>
      <c r="V80" s="200" t="inlineStr">
        <is>
          <t>2026-08-07 17:00:00</t>
        </is>
      </c>
      <c r="W80" s="200" t="inlineStr">
        <is>
          <t>ERP_CHAM_CONG_2026</t>
        </is>
      </c>
      <c r="X80" s="200" t="inlineStr">
        <is>
          <t>HỢP LỆ</t>
        </is>
      </c>
    </row>
    <row r="81">
      <c r="A81" s="201" t="inlineStr">
        <is>
          <t>2026-08-07</t>
        </is>
      </c>
      <c r="B81" s="201" t="inlineStr">
        <is>
          <t>2026-08-01</t>
        </is>
      </c>
      <c r="C81" s="201" t="inlineStr">
        <is>
          <t>NV06</t>
        </is>
      </c>
      <c r="D81" s="202" t="inlineStr">
        <is>
          <t>Nguyễn Văn Thanh</t>
        </is>
      </c>
      <c r="E81" s="201" t="inlineStr">
        <is>
          <t>C1+2</t>
        </is>
      </c>
      <c r="F81" s="203" t="n">
        <v>1</v>
      </c>
      <c r="G81" s="203" t="n">
        <v>8</v>
      </c>
      <c r="H81" s="203" t="n">
        <v>2</v>
      </c>
      <c r="I81" s="203" t="n">
        <v>0</v>
      </c>
      <c r="J81" s="203" t="n">
        <v>0</v>
      </c>
      <c r="K81" s="203" t="n">
        <v>0</v>
      </c>
      <c r="L81" s="204" t="n">
        <v>0</v>
      </c>
      <c r="M81" s="204" t="n">
        <v>0</v>
      </c>
      <c r="N81" s="204" t="n">
        <v>0</v>
      </c>
      <c r="O81" s="203">
        <f>H81+I81+J81+L81+M81+N81</f>
        <v/>
      </c>
      <c r="P81" s="205" t="n">
        <v>55000</v>
      </c>
      <c r="Q81" s="204" t="n">
        <v>0</v>
      </c>
      <c r="R81" s="206" t="inlineStr">
        <is>
          <t>Đảm bảo tiến độ sản xuất</t>
        </is>
      </c>
      <c r="S81" s="207" t="inlineStr">
        <is>
          <t>CÓ</t>
        </is>
      </c>
      <c r="T81" s="207" t="inlineStr">
        <is>
          <t>ĐÃ DUYỆT</t>
        </is>
      </c>
      <c r="U81" s="206" t="inlineStr">
        <is>
          <t>Quản Đốc</t>
        </is>
      </c>
      <c r="V81" s="207" t="inlineStr">
        <is>
          <t>2026-08-07 17:00:00</t>
        </is>
      </c>
      <c r="W81" s="207" t="inlineStr">
        <is>
          <t>ERP_CHAM_CONG_2026</t>
        </is>
      </c>
      <c r="X81" s="207" t="inlineStr">
        <is>
          <t>HỢP LỆ</t>
        </is>
      </c>
    </row>
    <row r="82">
      <c r="A82" s="194" t="inlineStr">
        <is>
          <t>2026-08-07</t>
        </is>
      </c>
      <c r="B82" s="194" t="inlineStr">
        <is>
          <t>2026-08-01</t>
        </is>
      </c>
      <c r="C82" s="194" t="inlineStr">
        <is>
          <t>NV04</t>
        </is>
      </c>
      <c r="D82" s="195" t="inlineStr">
        <is>
          <t>Vũ Tiến Thuận</t>
        </is>
      </c>
      <c r="E82" s="194" t="inlineStr">
        <is>
          <t>C1</t>
        </is>
      </c>
      <c r="F82" s="196" t="n">
        <v>1</v>
      </c>
      <c r="G82" s="196" t="n">
        <v>8</v>
      </c>
      <c r="H82" s="196" t="n">
        <v>0</v>
      </c>
      <c r="I82" s="196" t="n">
        <v>0</v>
      </c>
      <c r="J82" s="196" t="n">
        <v>0</v>
      </c>
      <c r="K82" s="196" t="n">
        <v>0</v>
      </c>
      <c r="L82" s="197" t="n">
        <v>0</v>
      </c>
      <c r="M82" s="197" t="n">
        <v>0</v>
      </c>
      <c r="N82" s="197" t="n">
        <v>0</v>
      </c>
      <c r="O82" s="196">
        <f>H82+I82+J82+L82+M82+N82</f>
        <v/>
      </c>
      <c r="P82" s="198" t="n">
        <v>30000</v>
      </c>
      <c r="Q82" s="197" t="n">
        <v>0</v>
      </c>
      <c r="R82" s="199" t="inlineStr"/>
      <c r="S82" s="200" t="inlineStr">
        <is>
          <t>KHÔNG</t>
        </is>
      </c>
      <c r="T82" s="200" t="inlineStr">
        <is>
          <t>ĐÃ DUYỆT</t>
        </is>
      </c>
      <c r="U82" s="199" t="inlineStr">
        <is>
          <t>Quản Đốc</t>
        </is>
      </c>
      <c r="V82" s="200" t="inlineStr">
        <is>
          <t>2026-08-07 17:00:00</t>
        </is>
      </c>
      <c r="W82" s="200" t="inlineStr">
        <is>
          <t>ERP_CHAM_CONG_2026</t>
        </is>
      </c>
      <c r="X82" s="200" t="inlineStr">
        <is>
          <t>HỢP LỆ</t>
        </is>
      </c>
    </row>
    <row r="83">
      <c r="A83" s="201" t="inlineStr">
        <is>
          <t>2026-08-07</t>
        </is>
      </c>
      <c r="B83" s="201" t="inlineStr">
        <is>
          <t>2026-08-01</t>
        </is>
      </c>
      <c r="C83" s="201" t="inlineStr">
        <is>
          <t>NV10</t>
        </is>
      </c>
      <c r="D83" s="202" t="inlineStr">
        <is>
          <t>Phạm Văn Tráng</t>
        </is>
      </c>
      <c r="E83" s="201" t="inlineStr">
        <is>
          <t>C1+2</t>
        </is>
      </c>
      <c r="F83" s="203" t="n">
        <v>1</v>
      </c>
      <c r="G83" s="203" t="n">
        <v>8</v>
      </c>
      <c r="H83" s="203" t="n">
        <v>2</v>
      </c>
      <c r="I83" s="203" t="n">
        <v>0</v>
      </c>
      <c r="J83" s="203" t="n">
        <v>0</v>
      </c>
      <c r="K83" s="203" t="n">
        <v>0</v>
      </c>
      <c r="L83" s="204" t="n">
        <v>0</v>
      </c>
      <c r="M83" s="204" t="n">
        <v>0</v>
      </c>
      <c r="N83" s="204" t="n">
        <v>0</v>
      </c>
      <c r="O83" s="203">
        <f>H83+I83+J83+L83+M83+N83</f>
        <v/>
      </c>
      <c r="P83" s="205" t="n">
        <v>55000</v>
      </c>
      <c r="Q83" s="204" t="n">
        <v>0</v>
      </c>
      <c r="R83" s="206" t="inlineStr">
        <is>
          <t>Đảm bảo tiến độ sản xuất</t>
        </is>
      </c>
      <c r="S83" s="207" t="inlineStr">
        <is>
          <t>CÓ</t>
        </is>
      </c>
      <c r="T83" s="207" t="inlineStr">
        <is>
          <t>ĐÃ DUYỆT</t>
        </is>
      </c>
      <c r="U83" s="206" t="inlineStr">
        <is>
          <t>Quản Đốc</t>
        </is>
      </c>
      <c r="V83" s="207" t="inlineStr">
        <is>
          <t>2026-08-07 17:00:00</t>
        </is>
      </c>
      <c r="W83" s="207" t="inlineStr">
        <is>
          <t>ERP_CHAM_CONG_2026</t>
        </is>
      </c>
      <c r="X83" s="207" t="inlineStr">
        <is>
          <t>HỢP LỆ</t>
        </is>
      </c>
    </row>
    <row r="84">
      <c r="A84" s="194" t="inlineStr">
        <is>
          <t>2026-08-08</t>
        </is>
      </c>
      <c r="B84" s="194" t="inlineStr">
        <is>
          <t>2026-08-01</t>
        </is>
      </c>
      <c r="C84" s="194" t="inlineStr">
        <is>
          <t>NV02</t>
        </is>
      </c>
      <c r="D84" s="195" t="inlineStr">
        <is>
          <t>Nguyễn Trung Đông</t>
        </is>
      </c>
      <c r="E84" s="194" t="inlineStr">
        <is>
          <t>C1+2</t>
        </is>
      </c>
      <c r="F84" s="196" t="n">
        <v>1</v>
      </c>
      <c r="G84" s="196" t="n">
        <v>8</v>
      </c>
      <c r="H84" s="196" t="n">
        <v>2</v>
      </c>
      <c r="I84" s="196" t="n">
        <v>0</v>
      </c>
      <c r="J84" s="196" t="n">
        <v>0</v>
      </c>
      <c r="K84" s="196" t="n">
        <v>0</v>
      </c>
      <c r="L84" s="197" t="n">
        <v>0</v>
      </c>
      <c r="M84" s="197" t="n">
        <v>0</v>
      </c>
      <c r="N84" s="197" t="n">
        <v>0</v>
      </c>
      <c r="O84" s="196">
        <f>H84+I84+J84+L84+M84+N84</f>
        <v/>
      </c>
      <c r="P84" s="198" t="n">
        <v>55000</v>
      </c>
      <c r="Q84" s="197" t="n">
        <v>0</v>
      </c>
      <c r="R84" s="199" t="inlineStr">
        <is>
          <t>Đảm bảo tiến độ sản xuất</t>
        </is>
      </c>
      <c r="S84" s="200" t="inlineStr">
        <is>
          <t>CÓ</t>
        </is>
      </c>
      <c r="T84" s="200" t="inlineStr">
        <is>
          <t>ĐÃ DUYỆT</t>
        </is>
      </c>
      <c r="U84" s="199" t="inlineStr">
        <is>
          <t>Quản Đốc</t>
        </is>
      </c>
      <c r="V84" s="200" t="inlineStr">
        <is>
          <t>2026-08-08 17:00:00</t>
        </is>
      </c>
      <c r="W84" s="200" t="inlineStr">
        <is>
          <t>ERP_CHAM_CONG_2026</t>
        </is>
      </c>
      <c r="X84" s="200" t="inlineStr">
        <is>
          <t>HỢP LỆ</t>
        </is>
      </c>
    </row>
    <row r="85">
      <c r="A85" s="201" t="inlineStr">
        <is>
          <t>2026-08-08</t>
        </is>
      </c>
      <c r="B85" s="201" t="inlineStr">
        <is>
          <t>2026-08-01</t>
        </is>
      </c>
      <c r="C85" s="201" t="inlineStr">
        <is>
          <t>NV08</t>
        </is>
      </c>
      <c r="D85" s="202" t="inlineStr">
        <is>
          <t>Trần Văn Dũng</t>
        </is>
      </c>
      <c r="E85" s="201" t="inlineStr">
        <is>
          <t>C1+2</t>
        </is>
      </c>
      <c r="F85" s="203" t="n">
        <v>1</v>
      </c>
      <c r="G85" s="203" t="n">
        <v>8</v>
      </c>
      <c r="H85" s="203" t="n">
        <v>2</v>
      </c>
      <c r="I85" s="203" t="n">
        <v>0</v>
      </c>
      <c r="J85" s="203" t="n">
        <v>0</v>
      </c>
      <c r="K85" s="203" t="n">
        <v>0</v>
      </c>
      <c r="L85" s="204" t="n">
        <v>0</v>
      </c>
      <c r="M85" s="204" t="n">
        <v>0</v>
      </c>
      <c r="N85" s="204" t="n">
        <v>0</v>
      </c>
      <c r="O85" s="203">
        <f>H85+I85+J85+L85+M85+N85</f>
        <v/>
      </c>
      <c r="P85" s="205" t="n">
        <v>55000</v>
      </c>
      <c r="Q85" s="204" t="n">
        <v>0</v>
      </c>
      <c r="R85" s="206" t="inlineStr">
        <is>
          <t>Đảm bảo tiến độ sản xuất</t>
        </is>
      </c>
      <c r="S85" s="207" t="inlineStr">
        <is>
          <t>CÓ</t>
        </is>
      </c>
      <c r="T85" s="207" t="inlineStr">
        <is>
          <t>ĐÃ DUYỆT</t>
        </is>
      </c>
      <c r="U85" s="206" t="inlineStr">
        <is>
          <t>Quản Đốc</t>
        </is>
      </c>
      <c r="V85" s="207" t="inlineStr">
        <is>
          <t>2026-08-08 17:00:00</t>
        </is>
      </c>
      <c r="W85" s="207" t="inlineStr">
        <is>
          <t>ERP_CHAM_CONG_2026</t>
        </is>
      </c>
      <c r="X85" s="207" t="inlineStr">
        <is>
          <t>HỢP LỆ</t>
        </is>
      </c>
    </row>
    <row r="86">
      <c r="A86" s="194" t="inlineStr">
        <is>
          <t>2026-08-08</t>
        </is>
      </c>
      <c r="B86" s="194" t="inlineStr">
        <is>
          <t>2026-08-01</t>
        </is>
      </c>
      <c r="C86" s="194" t="inlineStr">
        <is>
          <t>NV01</t>
        </is>
      </c>
      <c r="D86" s="195" t="inlineStr">
        <is>
          <t>Hoàng Ngọc Hà</t>
        </is>
      </c>
      <c r="E86" s="194" t="inlineStr">
        <is>
          <t>C1+2</t>
        </is>
      </c>
      <c r="F86" s="196" t="n">
        <v>1</v>
      </c>
      <c r="G86" s="196" t="n">
        <v>8</v>
      </c>
      <c r="H86" s="196" t="n">
        <v>1</v>
      </c>
      <c r="I86" s="196" t="n">
        <v>0</v>
      </c>
      <c r="J86" s="196" t="n">
        <v>0</v>
      </c>
      <c r="K86" s="196" t="n">
        <v>0</v>
      </c>
      <c r="L86" s="197" t="n">
        <v>0</v>
      </c>
      <c r="M86" s="197" t="n">
        <v>0</v>
      </c>
      <c r="N86" s="197" t="n">
        <v>0</v>
      </c>
      <c r="O86" s="196">
        <f>H86+I86+J86+L86+M86+N86</f>
        <v/>
      </c>
      <c r="P86" s="198" t="n">
        <v>55000</v>
      </c>
      <c r="Q86" s="197" t="n">
        <v>0</v>
      </c>
      <c r="R86" s="199" t="inlineStr">
        <is>
          <t>Đảm bảo tiến độ sản xuất</t>
        </is>
      </c>
      <c r="S86" s="200" t="inlineStr">
        <is>
          <t>CÓ</t>
        </is>
      </c>
      <c r="T86" s="200" t="inlineStr">
        <is>
          <t>ĐÃ DUYỆT</t>
        </is>
      </c>
      <c r="U86" s="199" t="inlineStr">
        <is>
          <t>Quản Đốc</t>
        </is>
      </c>
      <c r="V86" s="200" t="inlineStr">
        <is>
          <t>2026-08-08 17:00:00</t>
        </is>
      </c>
      <c r="W86" s="200" t="inlineStr">
        <is>
          <t>ERP_CHAM_CONG_2026</t>
        </is>
      </c>
      <c r="X86" s="200" t="inlineStr">
        <is>
          <t>HỢP LỆ</t>
        </is>
      </c>
    </row>
    <row r="87">
      <c r="A87" s="201" t="inlineStr">
        <is>
          <t>2026-08-08</t>
        </is>
      </c>
      <c r="B87" s="201" t="inlineStr">
        <is>
          <t>2026-08-01</t>
        </is>
      </c>
      <c r="C87" s="201" t="inlineStr">
        <is>
          <t>NV03</t>
        </is>
      </c>
      <c r="D87" s="202" t="inlineStr">
        <is>
          <t>Phùng Đình Hùng</t>
        </is>
      </c>
      <c r="E87" s="201" t="inlineStr">
        <is>
          <t>C1</t>
        </is>
      </c>
      <c r="F87" s="203" t="n">
        <v>1</v>
      </c>
      <c r="G87" s="203" t="n">
        <v>8</v>
      </c>
      <c r="H87" s="203" t="n">
        <v>0</v>
      </c>
      <c r="I87" s="203" t="n">
        <v>0</v>
      </c>
      <c r="J87" s="203" t="n">
        <v>0</v>
      </c>
      <c r="K87" s="203" t="n">
        <v>0</v>
      </c>
      <c r="L87" s="204" t="n">
        <v>0</v>
      </c>
      <c r="M87" s="204" t="n">
        <v>0</v>
      </c>
      <c r="N87" s="204" t="n">
        <v>0</v>
      </c>
      <c r="O87" s="203">
        <f>H87+I87+J87+L87+M87+N87</f>
        <v/>
      </c>
      <c r="P87" s="205" t="n">
        <v>30000</v>
      </c>
      <c r="Q87" s="204" t="n">
        <v>0</v>
      </c>
      <c r="R87" s="206" t="inlineStr"/>
      <c r="S87" s="207" t="inlineStr">
        <is>
          <t>KHÔNG</t>
        </is>
      </c>
      <c r="T87" s="207" t="inlineStr">
        <is>
          <t>ĐÃ DUYỆT</t>
        </is>
      </c>
      <c r="U87" s="206" t="inlineStr">
        <is>
          <t>Quản Đốc</t>
        </is>
      </c>
      <c r="V87" s="207" t="inlineStr">
        <is>
          <t>2026-08-08 17:00:00</t>
        </is>
      </c>
      <c r="W87" s="207" t="inlineStr">
        <is>
          <t>ERP_CHAM_CONG_2026</t>
        </is>
      </c>
      <c r="X87" s="207" t="inlineStr">
        <is>
          <t>HỢP LỆ</t>
        </is>
      </c>
    </row>
    <row r="88">
      <c r="A88" s="194" t="inlineStr">
        <is>
          <t>2026-08-08</t>
        </is>
      </c>
      <c r="B88" s="194" t="inlineStr">
        <is>
          <t>2026-08-01</t>
        </is>
      </c>
      <c r="C88" s="194" t="inlineStr">
        <is>
          <t>NV15</t>
        </is>
      </c>
      <c r="D88" s="195" t="inlineStr">
        <is>
          <t>Đặng Ngọc Long</t>
        </is>
      </c>
      <c r="E88" s="194" t="inlineStr">
        <is>
          <t>C1+2</t>
        </is>
      </c>
      <c r="F88" s="196" t="n">
        <v>1</v>
      </c>
      <c r="G88" s="196" t="n">
        <v>8</v>
      </c>
      <c r="H88" s="196" t="n">
        <v>2</v>
      </c>
      <c r="I88" s="196" t="n">
        <v>0</v>
      </c>
      <c r="J88" s="196" t="n">
        <v>0</v>
      </c>
      <c r="K88" s="196" t="n">
        <v>0</v>
      </c>
      <c r="L88" s="197" t="n">
        <v>0</v>
      </c>
      <c r="M88" s="197" t="n">
        <v>0</v>
      </c>
      <c r="N88" s="197" t="n">
        <v>0</v>
      </c>
      <c r="O88" s="196">
        <f>H88+I88+J88+L88+M88+N88</f>
        <v/>
      </c>
      <c r="P88" s="198" t="n">
        <v>55000</v>
      </c>
      <c r="Q88" s="197" t="n">
        <v>0</v>
      </c>
      <c r="R88" s="199" t="inlineStr">
        <is>
          <t>Đảm bảo tiến độ sản xuất</t>
        </is>
      </c>
      <c r="S88" s="200" t="inlineStr">
        <is>
          <t>CÓ</t>
        </is>
      </c>
      <c r="T88" s="200" t="inlineStr">
        <is>
          <t>ĐÃ DUYỆT</t>
        </is>
      </c>
      <c r="U88" s="199" t="inlineStr">
        <is>
          <t>Quản Đốc</t>
        </is>
      </c>
      <c r="V88" s="200" t="inlineStr">
        <is>
          <t>2026-08-08 17:00:00</t>
        </is>
      </c>
      <c r="W88" s="200" t="inlineStr">
        <is>
          <t>ERP_CHAM_CONG_2026</t>
        </is>
      </c>
      <c r="X88" s="200" t="inlineStr">
        <is>
          <t>HỢP LỆ</t>
        </is>
      </c>
    </row>
    <row r="89">
      <c r="A89" s="201" t="inlineStr">
        <is>
          <t>2026-08-08</t>
        </is>
      </c>
      <c r="B89" s="201" t="inlineStr">
        <is>
          <t>2026-08-01</t>
        </is>
      </c>
      <c r="C89" s="201" t="inlineStr">
        <is>
          <t>NV14</t>
        </is>
      </c>
      <c r="D89" s="202" t="inlineStr">
        <is>
          <t>Đinh Văn Nhận</t>
        </is>
      </c>
      <c r="E89" s="201" t="inlineStr">
        <is>
          <t>C1+2</t>
        </is>
      </c>
      <c r="F89" s="203" t="n">
        <v>1</v>
      </c>
      <c r="G89" s="203" t="n">
        <v>8</v>
      </c>
      <c r="H89" s="203" t="n">
        <v>2</v>
      </c>
      <c r="I89" s="203" t="n">
        <v>0</v>
      </c>
      <c r="J89" s="203" t="n">
        <v>0</v>
      </c>
      <c r="K89" s="203" t="n">
        <v>0</v>
      </c>
      <c r="L89" s="204" t="n">
        <v>0</v>
      </c>
      <c r="M89" s="204" t="n">
        <v>0</v>
      </c>
      <c r="N89" s="204" t="n">
        <v>0</v>
      </c>
      <c r="O89" s="203">
        <f>H89+I89+J89+L89+M89+N89</f>
        <v/>
      </c>
      <c r="P89" s="205" t="n">
        <v>55000</v>
      </c>
      <c r="Q89" s="204" t="n">
        <v>0</v>
      </c>
      <c r="R89" s="206" t="inlineStr">
        <is>
          <t>Đảm bảo tiến độ sản xuất</t>
        </is>
      </c>
      <c r="S89" s="207" t="inlineStr">
        <is>
          <t>CÓ</t>
        </is>
      </c>
      <c r="T89" s="207" t="inlineStr">
        <is>
          <t>ĐÃ DUYỆT</t>
        </is>
      </c>
      <c r="U89" s="206" t="inlineStr">
        <is>
          <t>Quản Đốc</t>
        </is>
      </c>
      <c r="V89" s="207" t="inlineStr">
        <is>
          <t>2026-08-08 17:00:00</t>
        </is>
      </c>
      <c r="W89" s="207" t="inlineStr">
        <is>
          <t>ERP_CHAM_CONG_2026</t>
        </is>
      </c>
      <c r="X89" s="207" t="inlineStr">
        <is>
          <t>HỢP LỆ</t>
        </is>
      </c>
    </row>
    <row r="90">
      <c r="A90" s="194" t="inlineStr">
        <is>
          <t>2026-08-08</t>
        </is>
      </c>
      <c r="B90" s="194" t="inlineStr">
        <is>
          <t>2026-08-01</t>
        </is>
      </c>
      <c r="C90" s="194" t="inlineStr">
        <is>
          <t>NV07</t>
        </is>
      </c>
      <c r="D90" s="195" t="inlineStr">
        <is>
          <t>Phùng Gia Phúc</t>
        </is>
      </c>
      <c r="E90" s="194" t="inlineStr">
        <is>
          <t>C1+2</t>
        </is>
      </c>
      <c r="F90" s="196" t="n">
        <v>1</v>
      </c>
      <c r="G90" s="196" t="n">
        <v>8</v>
      </c>
      <c r="H90" s="196" t="n">
        <v>2</v>
      </c>
      <c r="I90" s="196" t="n">
        <v>0</v>
      </c>
      <c r="J90" s="196" t="n">
        <v>0</v>
      </c>
      <c r="K90" s="196" t="n">
        <v>0</v>
      </c>
      <c r="L90" s="197" t="n">
        <v>0</v>
      </c>
      <c r="M90" s="197" t="n">
        <v>0</v>
      </c>
      <c r="N90" s="197" t="n">
        <v>0</v>
      </c>
      <c r="O90" s="196">
        <f>H90+I90+J90+L90+M90+N90</f>
        <v/>
      </c>
      <c r="P90" s="198" t="n">
        <v>55000</v>
      </c>
      <c r="Q90" s="197" t="n">
        <v>0</v>
      </c>
      <c r="R90" s="199" t="inlineStr">
        <is>
          <t>Đảm bảo tiến độ sản xuất</t>
        </is>
      </c>
      <c r="S90" s="200" t="inlineStr">
        <is>
          <t>CÓ</t>
        </is>
      </c>
      <c r="T90" s="200" t="inlineStr">
        <is>
          <t>ĐÃ DUYỆT</t>
        </is>
      </c>
      <c r="U90" s="199" t="inlineStr">
        <is>
          <t>Quản Đốc</t>
        </is>
      </c>
      <c r="V90" s="200" t="inlineStr">
        <is>
          <t>2026-08-08 17:00:00</t>
        </is>
      </c>
      <c r="W90" s="200" t="inlineStr">
        <is>
          <t>ERP_CHAM_CONG_2026</t>
        </is>
      </c>
      <c r="X90" s="200" t="inlineStr">
        <is>
          <t>HỢP LỆ</t>
        </is>
      </c>
    </row>
    <row r="91">
      <c r="A91" s="201" t="inlineStr">
        <is>
          <t>2026-08-08</t>
        </is>
      </c>
      <c r="B91" s="201" t="inlineStr">
        <is>
          <t>2026-08-01</t>
        </is>
      </c>
      <c r="C91" s="201" t="inlineStr">
        <is>
          <t>NV13</t>
        </is>
      </c>
      <c r="D91" s="202" t="inlineStr">
        <is>
          <t>Trần Văn Quỳnh</t>
        </is>
      </c>
      <c r="E91" s="201" t="inlineStr">
        <is>
          <t>C1</t>
        </is>
      </c>
      <c r="F91" s="203" t="n">
        <v>1</v>
      </c>
      <c r="G91" s="203" t="n">
        <v>8</v>
      </c>
      <c r="H91" s="203" t="n">
        <v>0</v>
      </c>
      <c r="I91" s="203" t="n">
        <v>0</v>
      </c>
      <c r="J91" s="203" t="n">
        <v>0</v>
      </c>
      <c r="K91" s="203" t="n">
        <v>0</v>
      </c>
      <c r="L91" s="204" t="n">
        <v>0</v>
      </c>
      <c r="M91" s="204" t="n">
        <v>0</v>
      </c>
      <c r="N91" s="204" t="n">
        <v>0</v>
      </c>
      <c r="O91" s="203">
        <f>H91+I91+J91+L91+M91+N91</f>
        <v/>
      </c>
      <c r="P91" s="205" t="n">
        <v>30000</v>
      </c>
      <c r="Q91" s="204" t="n">
        <v>0</v>
      </c>
      <c r="R91" s="206" t="inlineStr"/>
      <c r="S91" s="207" t="inlineStr">
        <is>
          <t>KHÔNG</t>
        </is>
      </c>
      <c r="T91" s="207" t="inlineStr">
        <is>
          <t>ĐÃ DUYỆT</t>
        </is>
      </c>
      <c r="U91" s="206" t="inlineStr">
        <is>
          <t>Quản Đốc</t>
        </is>
      </c>
      <c r="V91" s="207" t="inlineStr">
        <is>
          <t>2026-08-08 17:00:00</t>
        </is>
      </c>
      <c r="W91" s="207" t="inlineStr">
        <is>
          <t>ERP_CHAM_CONG_2026</t>
        </is>
      </c>
      <c r="X91" s="207" t="inlineStr">
        <is>
          <t>HỢP LỆ</t>
        </is>
      </c>
    </row>
    <row r="92">
      <c r="A92" s="194" t="inlineStr">
        <is>
          <t>2026-08-08</t>
        </is>
      </c>
      <c r="B92" s="194" t="inlineStr">
        <is>
          <t>2026-08-01</t>
        </is>
      </c>
      <c r="C92" s="194" t="inlineStr">
        <is>
          <t>NV11</t>
        </is>
      </c>
      <c r="D92" s="195" t="inlineStr">
        <is>
          <t>Phùng Công Thắng</t>
        </is>
      </c>
      <c r="E92" s="194" t="inlineStr">
        <is>
          <t>C1+2</t>
        </is>
      </c>
      <c r="F92" s="196" t="n">
        <v>1</v>
      </c>
      <c r="G92" s="196" t="n">
        <v>8</v>
      </c>
      <c r="H92" s="196" t="n">
        <v>2</v>
      </c>
      <c r="I92" s="196" t="n">
        <v>0</v>
      </c>
      <c r="J92" s="196" t="n">
        <v>0</v>
      </c>
      <c r="K92" s="196" t="n">
        <v>0</v>
      </c>
      <c r="L92" s="197" t="n">
        <v>0</v>
      </c>
      <c r="M92" s="197" t="n">
        <v>0</v>
      </c>
      <c r="N92" s="197" t="n">
        <v>0</v>
      </c>
      <c r="O92" s="196">
        <f>H92+I92+J92+L92+M92+N92</f>
        <v/>
      </c>
      <c r="P92" s="198" t="n">
        <v>55000</v>
      </c>
      <c r="Q92" s="197" t="n">
        <v>0</v>
      </c>
      <c r="R92" s="199" t="inlineStr">
        <is>
          <t>Đảm bảo tiến độ sản xuất</t>
        </is>
      </c>
      <c r="S92" s="200" t="inlineStr">
        <is>
          <t>CÓ</t>
        </is>
      </c>
      <c r="T92" s="200" t="inlineStr">
        <is>
          <t>ĐÃ DUYỆT</t>
        </is>
      </c>
      <c r="U92" s="199" t="inlineStr">
        <is>
          <t>Quản Đốc</t>
        </is>
      </c>
      <c r="V92" s="200" t="inlineStr">
        <is>
          <t>2026-08-08 17:00:00</t>
        </is>
      </c>
      <c r="W92" s="200" t="inlineStr">
        <is>
          <t>ERP_CHAM_CONG_2026</t>
        </is>
      </c>
      <c r="X92" s="200" t="inlineStr">
        <is>
          <t>HỢP LỆ</t>
        </is>
      </c>
    </row>
    <row r="93">
      <c r="A93" s="201" t="inlineStr">
        <is>
          <t>2026-08-08</t>
        </is>
      </c>
      <c r="B93" s="201" t="inlineStr">
        <is>
          <t>2026-08-01</t>
        </is>
      </c>
      <c r="C93" s="201" t="inlineStr">
        <is>
          <t>NV06</t>
        </is>
      </c>
      <c r="D93" s="202" t="inlineStr">
        <is>
          <t>Nguyễn Văn Thanh</t>
        </is>
      </c>
      <c r="E93" s="201" t="inlineStr">
        <is>
          <t>C1+2</t>
        </is>
      </c>
      <c r="F93" s="203" t="n">
        <v>1</v>
      </c>
      <c r="G93" s="203" t="n">
        <v>8</v>
      </c>
      <c r="H93" s="203" t="n">
        <v>2</v>
      </c>
      <c r="I93" s="203" t="n">
        <v>0</v>
      </c>
      <c r="J93" s="203" t="n">
        <v>0</v>
      </c>
      <c r="K93" s="203" t="n">
        <v>0</v>
      </c>
      <c r="L93" s="204" t="n">
        <v>0</v>
      </c>
      <c r="M93" s="204" t="n">
        <v>0</v>
      </c>
      <c r="N93" s="204" t="n">
        <v>0</v>
      </c>
      <c r="O93" s="203">
        <f>H93+I93+J93+L93+M93+N93</f>
        <v/>
      </c>
      <c r="P93" s="205" t="n">
        <v>55000</v>
      </c>
      <c r="Q93" s="204" t="n">
        <v>0</v>
      </c>
      <c r="R93" s="206" t="inlineStr">
        <is>
          <t>Đảm bảo tiến độ sản xuất</t>
        </is>
      </c>
      <c r="S93" s="207" t="inlineStr">
        <is>
          <t>CÓ</t>
        </is>
      </c>
      <c r="T93" s="207" t="inlineStr">
        <is>
          <t>ĐÃ DUYỆT</t>
        </is>
      </c>
      <c r="U93" s="206" t="inlineStr">
        <is>
          <t>Quản Đốc</t>
        </is>
      </c>
      <c r="V93" s="207" t="inlineStr">
        <is>
          <t>2026-08-08 17:00:00</t>
        </is>
      </c>
      <c r="W93" s="207" t="inlineStr">
        <is>
          <t>ERP_CHAM_CONG_2026</t>
        </is>
      </c>
      <c r="X93" s="207" t="inlineStr">
        <is>
          <t>HỢP LỆ</t>
        </is>
      </c>
    </row>
    <row r="94">
      <c r="A94" s="194" t="inlineStr">
        <is>
          <t>2026-08-08</t>
        </is>
      </c>
      <c r="B94" s="194" t="inlineStr">
        <is>
          <t>2026-08-01</t>
        </is>
      </c>
      <c r="C94" s="194" t="inlineStr">
        <is>
          <t>NV10</t>
        </is>
      </c>
      <c r="D94" s="195" t="inlineStr">
        <is>
          <t>Phạm Văn Tráng</t>
        </is>
      </c>
      <c r="E94" s="194" t="inlineStr">
        <is>
          <t>C1+2</t>
        </is>
      </c>
      <c r="F94" s="196" t="n">
        <v>1</v>
      </c>
      <c r="G94" s="196" t="n">
        <v>8</v>
      </c>
      <c r="H94" s="196" t="n">
        <v>2</v>
      </c>
      <c r="I94" s="196" t="n">
        <v>0</v>
      </c>
      <c r="J94" s="196" t="n">
        <v>0</v>
      </c>
      <c r="K94" s="196" t="n">
        <v>0</v>
      </c>
      <c r="L94" s="197" t="n">
        <v>0</v>
      </c>
      <c r="M94" s="197" t="n">
        <v>0</v>
      </c>
      <c r="N94" s="197" t="n">
        <v>0</v>
      </c>
      <c r="O94" s="196">
        <f>H94+I94+J94+L94+M94+N94</f>
        <v/>
      </c>
      <c r="P94" s="198" t="n">
        <v>55000</v>
      </c>
      <c r="Q94" s="197" t="n">
        <v>0</v>
      </c>
      <c r="R94" s="199" t="inlineStr">
        <is>
          <t>Đảm bảo tiến độ sản xuất</t>
        </is>
      </c>
      <c r="S94" s="200" t="inlineStr">
        <is>
          <t>CÓ</t>
        </is>
      </c>
      <c r="T94" s="200" t="inlineStr">
        <is>
          <t>ĐÃ DUYỆT</t>
        </is>
      </c>
      <c r="U94" s="199" t="inlineStr">
        <is>
          <t>Quản Đốc</t>
        </is>
      </c>
      <c r="V94" s="200" t="inlineStr">
        <is>
          <t>2026-08-08 17:00:00</t>
        </is>
      </c>
      <c r="W94" s="200" t="inlineStr">
        <is>
          <t>ERP_CHAM_CONG_2026</t>
        </is>
      </c>
      <c r="X94" s="200" t="inlineStr">
        <is>
          <t>HỢP LỆ</t>
        </is>
      </c>
    </row>
    <row r="95">
      <c r="A95" s="201" t="inlineStr">
        <is>
          <t>2026-08-09</t>
        </is>
      </c>
      <c r="B95" s="201" t="inlineStr">
        <is>
          <t>2026-08-01</t>
        </is>
      </c>
      <c r="C95" s="201" t="inlineStr">
        <is>
          <t>NV01</t>
        </is>
      </c>
      <c r="D95" s="202" t="inlineStr">
        <is>
          <t>Hoàng Ngọc Hà</t>
        </is>
      </c>
      <c r="E95" s="201" t="inlineStr">
        <is>
          <t>CN</t>
        </is>
      </c>
      <c r="F95" s="203" t="n">
        <v>1</v>
      </c>
      <c r="G95" s="203" t="n">
        <v>8</v>
      </c>
      <c r="H95" s="203" t="n">
        <v>0</v>
      </c>
      <c r="I95" s="203" t="n">
        <v>0</v>
      </c>
      <c r="J95" s="203" t="n">
        <v>0</v>
      </c>
      <c r="K95" s="203" t="n">
        <v>0</v>
      </c>
      <c r="L95" s="204" t="n">
        <v>0</v>
      </c>
      <c r="M95" s="204" t="n">
        <v>0</v>
      </c>
      <c r="N95" s="204" t="n">
        <v>0</v>
      </c>
      <c r="O95" s="203">
        <f>H95+I95+J95+L95+M95+N95</f>
        <v/>
      </c>
      <c r="P95" s="205" t="n">
        <v>30000</v>
      </c>
      <c r="Q95" s="204" t="n">
        <v>0</v>
      </c>
      <c r="R95" s="206" t="inlineStr"/>
      <c r="S95" s="207" t="inlineStr">
        <is>
          <t>KHÔNG</t>
        </is>
      </c>
      <c r="T95" s="207" t="inlineStr">
        <is>
          <t>ĐÃ DUYỆT</t>
        </is>
      </c>
      <c r="U95" s="206" t="inlineStr">
        <is>
          <t>Quản Đốc</t>
        </is>
      </c>
      <c r="V95" s="207" t="inlineStr">
        <is>
          <t>2026-08-09 17:00:00</t>
        </is>
      </c>
      <c r="W95" s="207" t="inlineStr">
        <is>
          <t>ERP_CHAM_CONG_2026</t>
        </is>
      </c>
      <c r="X95" s="207" t="inlineStr">
        <is>
          <t>HỢP LỆ</t>
        </is>
      </c>
    </row>
    <row r="96">
      <c r="A96" s="194" t="inlineStr">
        <is>
          <t>2026-08-09</t>
        </is>
      </c>
      <c r="B96" s="194" t="inlineStr">
        <is>
          <t>2026-08-01</t>
        </is>
      </c>
      <c r="C96" s="194" t="inlineStr">
        <is>
          <t>NV03</t>
        </is>
      </c>
      <c r="D96" s="195" t="inlineStr">
        <is>
          <t>Phùng Đình Hùng</t>
        </is>
      </c>
      <c r="E96" s="194" t="inlineStr">
        <is>
          <t>CN</t>
        </is>
      </c>
      <c r="F96" s="196" t="n">
        <v>1</v>
      </c>
      <c r="G96" s="196" t="n">
        <v>8</v>
      </c>
      <c r="H96" s="196" t="n">
        <v>0</v>
      </c>
      <c r="I96" s="196" t="n">
        <v>0</v>
      </c>
      <c r="J96" s="196" t="n">
        <v>0</v>
      </c>
      <c r="K96" s="196" t="n">
        <v>0</v>
      </c>
      <c r="L96" s="197" t="n">
        <v>0</v>
      </c>
      <c r="M96" s="197" t="n">
        <v>0</v>
      </c>
      <c r="N96" s="197" t="n">
        <v>0</v>
      </c>
      <c r="O96" s="196">
        <f>H96+I96+J96+L96+M96+N96</f>
        <v/>
      </c>
      <c r="P96" s="198" t="n">
        <v>30000</v>
      </c>
      <c r="Q96" s="197" t="n">
        <v>0</v>
      </c>
      <c r="R96" s="199" t="inlineStr"/>
      <c r="S96" s="200" t="inlineStr">
        <is>
          <t>KHÔNG</t>
        </is>
      </c>
      <c r="T96" s="200" t="inlineStr">
        <is>
          <t>ĐÃ DUYỆT</t>
        </is>
      </c>
      <c r="U96" s="199" t="inlineStr">
        <is>
          <t>Quản Đốc</t>
        </is>
      </c>
      <c r="V96" s="200" t="inlineStr">
        <is>
          <t>2026-08-09 17:00:00</t>
        </is>
      </c>
      <c r="W96" s="200" t="inlineStr">
        <is>
          <t>ERP_CHAM_CONG_2026</t>
        </is>
      </c>
      <c r="X96" s="200" t="inlineStr">
        <is>
          <t>HỢP LỆ</t>
        </is>
      </c>
    </row>
    <row r="97">
      <c r="A97" s="201" t="inlineStr">
        <is>
          <t>2026-08-09</t>
        </is>
      </c>
      <c r="B97" s="201" t="inlineStr">
        <is>
          <t>2026-08-01</t>
        </is>
      </c>
      <c r="C97" s="201" t="inlineStr">
        <is>
          <t>NV15</t>
        </is>
      </c>
      <c r="D97" s="202" t="inlineStr">
        <is>
          <t>Đặng Ngọc Long</t>
        </is>
      </c>
      <c r="E97" s="201" t="inlineStr">
        <is>
          <t>CN</t>
        </is>
      </c>
      <c r="F97" s="203" t="n">
        <v>1</v>
      </c>
      <c r="G97" s="203" t="n">
        <v>8</v>
      </c>
      <c r="H97" s="203" t="n">
        <v>0</v>
      </c>
      <c r="I97" s="203" t="n">
        <v>0</v>
      </c>
      <c r="J97" s="203" t="n">
        <v>0</v>
      </c>
      <c r="K97" s="203" t="n">
        <v>0</v>
      </c>
      <c r="L97" s="204" t="n">
        <v>0</v>
      </c>
      <c r="M97" s="204" t="n">
        <v>0</v>
      </c>
      <c r="N97" s="204" t="n">
        <v>0</v>
      </c>
      <c r="O97" s="203">
        <f>H97+I97+J97+L97+M97+N97</f>
        <v/>
      </c>
      <c r="P97" s="205" t="n">
        <v>30000</v>
      </c>
      <c r="Q97" s="204" t="n">
        <v>0</v>
      </c>
      <c r="R97" s="206" t="inlineStr"/>
      <c r="S97" s="207" t="inlineStr">
        <is>
          <t>KHÔNG</t>
        </is>
      </c>
      <c r="T97" s="207" t="inlineStr">
        <is>
          <t>ĐÃ DUYỆT</t>
        </is>
      </c>
      <c r="U97" s="206" t="inlineStr">
        <is>
          <t>Quản Đốc</t>
        </is>
      </c>
      <c r="V97" s="207" t="inlineStr">
        <is>
          <t>2026-08-09 17:00:00</t>
        </is>
      </c>
      <c r="W97" s="207" t="inlineStr">
        <is>
          <t>ERP_CHAM_CONG_2026</t>
        </is>
      </c>
      <c r="X97" s="207" t="inlineStr">
        <is>
          <t>HỢP LỆ</t>
        </is>
      </c>
    </row>
    <row r="98">
      <c r="A98" s="194" t="inlineStr">
        <is>
          <t>2026-08-09</t>
        </is>
      </c>
      <c r="B98" s="194" t="inlineStr">
        <is>
          <t>2026-08-01</t>
        </is>
      </c>
      <c r="C98" s="194" t="inlineStr">
        <is>
          <t>NV07</t>
        </is>
      </c>
      <c r="D98" s="195" t="inlineStr">
        <is>
          <t>Phùng Gia Phúc</t>
        </is>
      </c>
      <c r="E98" s="194" t="inlineStr">
        <is>
          <t>CN</t>
        </is>
      </c>
      <c r="F98" s="196" t="n">
        <v>1</v>
      </c>
      <c r="G98" s="196" t="n">
        <v>8</v>
      </c>
      <c r="H98" s="196" t="n">
        <v>0</v>
      </c>
      <c r="I98" s="196" t="n">
        <v>0</v>
      </c>
      <c r="J98" s="196" t="n">
        <v>0</v>
      </c>
      <c r="K98" s="196" t="n">
        <v>0</v>
      </c>
      <c r="L98" s="197" t="n">
        <v>0</v>
      </c>
      <c r="M98" s="197" t="n">
        <v>0</v>
      </c>
      <c r="N98" s="197" t="n">
        <v>0</v>
      </c>
      <c r="O98" s="196">
        <f>H98+I98+J98+L98+M98+N98</f>
        <v/>
      </c>
      <c r="P98" s="198" t="n">
        <v>30000</v>
      </c>
      <c r="Q98" s="197" t="n">
        <v>0</v>
      </c>
      <c r="R98" s="199" t="inlineStr"/>
      <c r="S98" s="200" t="inlineStr">
        <is>
          <t>KHÔNG</t>
        </is>
      </c>
      <c r="T98" s="200" t="inlineStr">
        <is>
          <t>ĐÃ DUYỆT</t>
        </is>
      </c>
      <c r="U98" s="199" t="inlineStr">
        <is>
          <t>Quản Đốc</t>
        </is>
      </c>
      <c r="V98" s="200" t="inlineStr">
        <is>
          <t>2026-08-09 17:00:00</t>
        </is>
      </c>
      <c r="W98" s="200" t="inlineStr">
        <is>
          <t>ERP_CHAM_CONG_2026</t>
        </is>
      </c>
      <c r="X98" s="200" t="inlineStr">
        <is>
          <t>HỢP LỆ</t>
        </is>
      </c>
    </row>
    <row r="99">
      <c r="A99" s="201" t="inlineStr">
        <is>
          <t>2026-08-09</t>
        </is>
      </c>
      <c r="B99" s="201" t="inlineStr">
        <is>
          <t>2026-08-01</t>
        </is>
      </c>
      <c r="C99" s="201" t="inlineStr">
        <is>
          <t>NV11</t>
        </is>
      </c>
      <c r="D99" s="202" t="inlineStr">
        <is>
          <t>Phùng Công Thắng</t>
        </is>
      </c>
      <c r="E99" s="201" t="inlineStr">
        <is>
          <t>CN</t>
        </is>
      </c>
      <c r="F99" s="203" t="n">
        <v>1</v>
      </c>
      <c r="G99" s="203" t="n">
        <v>8</v>
      </c>
      <c r="H99" s="203" t="n">
        <v>0</v>
      </c>
      <c r="I99" s="203" t="n">
        <v>0</v>
      </c>
      <c r="J99" s="203" t="n">
        <v>0</v>
      </c>
      <c r="K99" s="203" t="n">
        <v>0</v>
      </c>
      <c r="L99" s="204" t="n">
        <v>0</v>
      </c>
      <c r="M99" s="204" t="n">
        <v>0</v>
      </c>
      <c r="N99" s="204" t="n">
        <v>0</v>
      </c>
      <c r="O99" s="203">
        <f>H99+I99+J99+L99+M99+N99</f>
        <v/>
      </c>
      <c r="P99" s="205" t="n">
        <v>30000</v>
      </c>
      <c r="Q99" s="204" t="n">
        <v>0</v>
      </c>
      <c r="R99" s="206" t="inlineStr"/>
      <c r="S99" s="207" t="inlineStr">
        <is>
          <t>KHÔNG</t>
        </is>
      </c>
      <c r="T99" s="207" t="inlineStr">
        <is>
          <t>ĐÃ DUYỆT</t>
        </is>
      </c>
      <c r="U99" s="206" t="inlineStr">
        <is>
          <t>Quản Đốc</t>
        </is>
      </c>
      <c r="V99" s="207" t="inlineStr">
        <is>
          <t>2026-08-09 17:00:00</t>
        </is>
      </c>
      <c r="W99" s="207" t="inlineStr">
        <is>
          <t>ERP_CHAM_CONG_2026</t>
        </is>
      </c>
      <c r="X99" s="207" t="inlineStr">
        <is>
          <t>HỢP LỆ</t>
        </is>
      </c>
    </row>
    <row r="100">
      <c r="A100" s="194" t="inlineStr">
        <is>
          <t>2026-08-10</t>
        </is>
      </c>
      <c r="B100" s="194" t="inlineStr">
        <is>
          <t>2026-08-01</t>
        </is>
      </c>
      <c r="C100" s="194" t="inlineStr">
        <is>
          <t>NV02</t>
        </is>
      </c>
      <c r="D100" s="195" t="inlineStr">
        <is>
          <t>Nguyễn Trung Đông</t>
        </is>
      </c>
      <c r="E100" s="194" t="inlineStr">
        <is>
          <t>C1</t>
        </is>
      </c>
      <c r="F100" s="196" t="n">
        <v>1</v>
      </c>
      <c r="G100" s="196" t="n">
        <v>8</v>
      </c>
      <c r="H100" s="196" t="n">
        <v>0</v>
      </c>
      <c r="I100" s="196" t="n">
        <v>0</v>
      </c>
      <c r="J100" s="196" t="n">
        <v>0</v>
      </c>
      <c r="K100" s="196" t="n">
        <v>0</v>
      </c>
      <c r="L100" s="197" t="n">
        <v>0</v>
      </c>
      <c r="M100" s="197" t="n">
        <v>0</v>
      </c>
      <c r="N100" s="197" t="n">
        <v>0</v>
      </c>
      <c r="O100" s="196">
        <f>H100+I100+J100+L100+M100+N100</f>
        <v/>
      </c>
      <c r="P100" s="198" t="n">
        <v>30000</v>
      </c>
      <c r="Q100" s="197" t="n">
        <v>0</v>
      </c>
      <c r="R100" s="199" t="inlineStr"/>
      <c r="S100" s="200" t="inlineStr">
        <is>
          <t>KHÔNG</t>
        </is>
      </c>
      <c r="T100" s="200" t="inlineStr">
        <is>
          <t>ĐÃ DUYỆT</t>
        </is>
      </c>
      <c r="U100" s="199" t="inlineStr">
        <is>
          <t>Quản Đốc</t>
        </is>
      </c>
      <c r="V100" s="200" t="inlineStr">
        <is>
          <t>2026-08-10 17:00:00</t>
        </is>
      </c>
      <c r="W100" s="200" t="inlineStr">
        <is>
          <t>ERP_CHAM_CONG_2026</t>
        </is>
      </c>
      <c r="X100" s="200" t="inlineStr">
        <is>
          <t>HỢP LỆ</t>
        </is>
      </c>
    </row>
    <row r="101">
      <c r="A101" s="201" t="inlineStr">
        <is>
          <t>2026-08-10</t>
        </is>
      </c>
      <c r="B101" s="201" t="inlineStr">
        <is>
          <t>2026-08-01</t>
        </is>
      </c>
      <c r="C101" s="201" t="inlineStr">
        <is>
          <t>NV08</t>
        </is>
      </c>
      <c r="D101" s="202" t="inlineStr">
        <is>
          <t>Trần Văn Dũng</t>
        </is>
      </c>
      <c r="E101" s="201" t="inlineStr">
        <is>
          <t>C1+2</t>
        </is>
      </c>
      <c r="F101" s="203" t="n">
        <v>1</v>
      </c>
      <c r="G101" s="203" t="n">
        <v>8</v>
      </c>
      <c r="H101" s="203" t="n">
        <v>2</v>
      </c>
      <c r="I101" s="203" t="n">
        <v>0</v>
      </c>
      <c r="J101" s="203" t="n">
        <v>0</v>
      </c>
      <c r="K101" s="203" t="n">
        <v>0</v>
      </c>
      <c r="L101" s="204" t="n">
        <v>0</v>
      </c>
      <c r="M101" s="204" t="n">
        <v>0</v>
      </c>
      <c r="N101" s="204" t="n">
        <v>0</v>
      </c>
      <c r="O101" s="203">
        <f>H101+I101+J101+L101+M101+N101</f>
        <v/>
      </c>
      <c r="P101" s="205" t="n">
        <v>55000</v>
      </c>
      <c r="Q101" s="204" t="n">
        <v>0</v>
      </c>
      <c r="R101" s="206" t="inlineStr">
        <is>
          <t>Đảm bảo tiến độ sản xuất</t>
        </is>
      </c>
      <c r="S101" s="207" t="inlineStr">
        <is>
          <t>CÓ</t>
        </is>
      </c>
      <c r="T101" s="207" t="inlineStr">
        <is>
          <t>ĐÃ DUYỆT</t>
        </is>
      </c>
      <c r="U101" s="206" t="inlineStr">
        <is>
          <t>Quản Đốc</t>
        </is>
      </c>
      <c r="V101" s="207" t="inlineStr">
        <is>
          <t>2026-08-10 17:00:00</t>
        </is>
      </c>
      <c r="W101" s="207" t="inlineStr">
        <is>
          <t>ERP_CHAM_CONG_2026</t>
        </is>
      </c>
      <c r="X101" s="207" t="inlineStr">
        <is>
          <t>HỢP LỆ</t>
        </is>
      </c>
    </row>
    <row r="102">
      <c r="A102" s="194" t="inlineStr">
        <is>
          <t>2026-08-10</t>
        </is>
      </c>
      <c r="B102" s="194" t="inlineStr">
        <is>
          <t>2026-08-01</t>
        </is>
      </c>
      <c r="C102" s="194" t="inlineStr">
        <is>
          <t>NV01</t>
        </is>
      </c>
      <c r="D102" s="195" t="inlineStr">
        <is>
          <t>Hoàng Ngọc Hà</t>
        </is>
      </c>
      <c r="E102" s="194" t="inlineStr">
        <is>
          <t>C1</t>
        </is>
      </c>
      <c r="F102" s="196" t="n">
        <v>1</v>
      </c>
      <c r="G102" s="196" t="n">
        <v>8</v>
      </c>
      <c r="H102" s="196" t="n">
        <v>0</v>
      </c>
      <c r="I102" s="196" t="n">
        <v>0</v>
      </c>
      <c r="J102" s="196" t="n">
        <v>0</v>
      </c>
      <c r="K102" s="196" t="n">
        <v>0</v>
      </c>
      <c r="L102" s="197" t="n">
        <v>0</v>
      </c>
      <c r="M102" s="197" t="n">
        <v>0</v>
      </c>
      <c r="N102" s="197" t="n">
        <v>0</v>
      </c>
      <c r="O102" s="196">
        <f>H102+I102+J102+L102+M102+N102</f>
        <v/>
      </c>
      <c r="P102" s="198" t="n">
        <v>30000</v>
      </c>
      <c r="Q102" s="197" t="n">
        <v>0</v>
      </c>
      <c r="R102" s="199" t="inlineStr"/>
      <c r="S102" s="200" t="inlineStr">
        <is>
          <t>KHÔNG</t>
        </is>
      </c>
      <c r="T102" s="200" t="inlineStr">
        <is>
          <t>ĐÃ DUYỆT</t>
        </is>
      </c>
      <c r="U102" s="199" t="inlineStr">
        <is>
          <t>Quản Đốc</t>
        </is>
      </c>
      <c r="V102" s="200" t="inlineStr">
        <is>
          <t>2026-08-10 17:00:00</t>
        </is>
      </c>
      <c r="W102" s="200" t="inlineStr">
        <is>
          <t>ERP_CHAM_CONG_2026</t>
        </is>
      </c>
      <c r="X102" s="200" t="inlineStr">
        <is>
          <t>HỢP LỆ</t>
        </is>
      </c>
    </row>
    <row r="103">
      <c r="A103" s="201" t="inlineStr">
        <is>
          <t>2026-08-10</t>
        </is>
      </c>
      <c r="B103" s="201" t="inlineStr">
        <is>
          <t>2026-08-01</t>
        </is>
      </c>
      <c r="C103" s="201" t="inlineStr">
        <is>
          <t>NV03</t>
        </is>
      </c>
      <c r="D103" s="202" t="inlineStr">
        <is>
          <t>Phùng Đình Hùng</t>
        </is>
      </c>
      <c r="E103" s="201" t="inlineStr">
        <is>
          <t>C1</t>
        </is>
      </c>
      <c r="F103" s="203" t="n">
        <v>1</v>
      </c>
      <c r="G103" s="203" t="n">
        <v>8</v>
      </c>
      <c r="H103" s="203" t="n">
        <v>0</v>
      </c>
      <c r="I103" s="203" t="n">
        <v>0</v>
      </c>
      <c r="J103" s="203" t="n">
        <v>0</v>
      </c>
      <c r="K103" s="203" t="n">
        <v>0</v>
      </c>
      <c r="L103" s="204" t="n">
        <v>0</v>
      </c>
      <c r="M103" s="204" t="n">
        <v>0</v>
      </c>
      <c r="N103" s="204" t="n">
        <v>0</v>
      </c>
      <c r="O103" s="203">
        <f>H103+I103+J103+L103+M103+N103</f>
        <v/>
      </c>
      <c r="P103" s="205" t="n">
        <v>30000</v>
      </c>
      <c r="Q103" s="204" t="n">
        <v>0</v>
      </c>
      <c r="R103" s="206" t="inlineStr"/>
      <c r="S103" s="207" t="inlineStr">
        <is>
          <t>KHÔNG</t>
        </is>
      </c>
      <c r="T103" s="207" t="inlineStr">
        <is>
          <t>ĐÃ DUYỆT</t>
        </is>
      </c>
      <c r="U103" s="206" t="inlineStr">
        <is>
          <t>Quản Đốc</t>
        </is>
      </c>
      <c r="V103" s="207" t="inlineStr">
        <is>
          <t>2026-08-10 17:00:00</t>
        </is>
      </c>
      <c r="W103" s="207" t="inlineStr">
        <is>
          <t>ERP_CHAM_CONG_2026</t>
        </is>
      </c>
      <c r="X103" s="207" t="inlineStr">
        <is>
          <t>HỢP LỆ</t>
        </is>
      </c>
    </row>
    <row r="104">
      <c r="A104" s="194" t="inlineStr">
        <is>
          <t>2026-08-10</t>
        </is>
      </c>
      <c r="B104" s="194" t="inlineStr">
        <is>
          <t>2026-08-01</t>
        </is>
      </c>
      <c r="C104" s="194" t="inlineStr">
        <is>
          <t>NV15</t>
        </is>
      </c>
      <c r="D104" s="195" t="inlineStr">
        <is>
          <t>Đặng Ngọc Long</t>
        </is>
      </c>
      <c r="E104" s="194" t="inlineStr">
        <is>
          <t>C1+2</t>
        </is>
      </c>
      <c r="F104" s="196" t="n">
        <v>1</v>
      </c>
      <c r="G104" s="196" t="n">
        <v>8</v>
      </c>
      <c r="H104" s="196" t="n">
        <v>2</v>
      </c>
      <c r="I104" s="196" t="n">
        <v>0</v>
      </c>
      <c r="J104" s="196" t="n">
        <v>0</v>
      </c>
      <c r="K104" s="196" t="n">
        <v>0</v>
      </c>
      <c r="L104" s="197" t="n">
        <v>0</v>
      </c>
      <c r="M104" s="197" t="n">
        <v>0</v>
      </c>
      <c r="N104" s="197" t="n">
        <v>0</v>
      </c>
      <c r="O104" s="196">
        <f>H104+I104+J104+L104+M104+N104</f>
        <v/>
      </c>
      <c r="P104" s="198" t="n">
        <v>55000</v>
      </c>
      <c r="Q104" s="197" t="n">
        <v>0</v>
      </c>
      <c r="R104" s="199" t="inlineStr">
        <is>
          <t>Đảm bảo tiến độ sản xuất</t>
        </is>
      </c>
      <c r="S104" s="200" t="inlineStr">
        <is>
          <t>CÓ</t>
        </is>
      </c>
      <c r="T104" s="200" t="inlineStr">
        <is>
          <t>ĐÃ DUYỆT</t>
        </is>
      </c>
      <c r="U104" s="199" t="inlineStr">
        <is>
          <t>Quản Đốc</t>
        </is>
      </c>
      <c r="V104" s="200" t="inlineStr">
        <is>
          <t>2026-08-10 17:00:00</t>
        </is>
      </c>
      <c r="W104" s="200" t="inlineStr">
        <is>
          <t>ERP_CHAM_CONG_2026</t>
        </is>
      </c>
      <c r="X104" s="200" t="inlineStr">
        <is>
          <t>HỢP LỆ</t>
        </is>
      </c>
    </row>
    <row r="105">
      <c r="A105" s="201" t="inlineStr">
        <is>
          <t>2026-08-10</t>
        </is>
      </c>
      <c r="B105" s="201" t="inlineStr">
        <is>
          <t>2026-08-01</t>
        </is>
      </c>
      <c r="C105" s="201" t="inlineStr">
        <is>
          <t>NV14</t>
        </is>
      </c>
      <c r="D105" s="202" t="inlineStr">
        <is>
          <t>Đinh Văn Nhận</t>
        </is>
      </c>
      <c r="E105" s="201" t="inlineStr">
        <is>
          <t>C1+2</t>
        </is>
      </c>
      <c r="F105" s="203" t="n">
        <v>1</v>
      </c>
      <c r="G105" s="203" t="n">
        <v>8</v>
      </c>
      <c r="H105" s="203" t="n">
        <v>2</v>
      </c>
      <c r="I105" s="203" t="n">
        <v>0</v>
      </c>
      <c r="J105" s="203" t="n">
        <v>0</v>
      </c>
      <c r="K105" s="203" t="n">
        <v>0</v>
      </c>
      <c r="L105" s="204" t="n">
        <v>0</v>
      </c>
      <c r="M105" s="204" t="n">
        <v>0</v>
      </c>
      <c r="N105" s="204" t="n">
        <v>0</v>
      </c>
      <c r="O105" s="203">
        <f>H105+I105+J105+L105+M105+N105</f>
        <v/>
      </c>
      <c r="P105" s="205" t="n">
        <v>55000</v>
      </c>
      <c r="Q105" s="204" t="n">
        <v>0</v>
      </c>
      <c r="R105" s="206" t="inlineStr">
        <is>
          <t>Đảm bảo tiến độ sản xuất</t>
        </is>
      </c>
      <c r="S105" s="207" t="inlineStr">
        <is>
          <t>CÓ</t>
        </is>
      </c>
      <c r="T105" s="207" t="inlineStr">
        <is>
          <t>ĐÃ DUYỆT</t>
        </is>
      </c>
      <c r="U105" s="206" t="inlineStr">
        <is>
          <t>Quản Đốc</t>
        </is>
      </c>
      <c r="V105" s="207" t="inlineStr">
        <is>
          <t>2026-08-10 17:00:00</t>
        </is>
      </c>
      <c r="W105" s="207" t="inlineStr">
        <is>
          <t>ERP_CHAM_CONG_2026</t>
        </is>
      </c>
      <c r="X105" s="207" t="inlineStr">
        <is>
          <t>HỢP LỆ</t>
        </is>
      </c>
    </row>
    <row r="106">
      <c r="A106" s="194" t="inlineStr">
        <is>
          <t>2026-08-10</t>
        </is>
      </c>
      <c r="B106" s="194" t="inlineStr">
        <is>
          <t>2026-08-01</t>
        </is>
      </c>
      <c r="C106" s="194" t="inlineStr">
        <is>
          <t>NV07</t>
        </is>
      </c>
      <c r="D106" s="195" t="inlineStr">
        <is>
          <t>Phùng Gia Phúc</t>
        </is>
      </c>
      <c r="E106" s="194" t="inlineStr">
        <is>
          <t>C1</t>
        </is>
      </c>
      <c r="F106" s="196" t="n">
        <v>1</v>
      </c>
      <c r="G106" s="196" t="n">
        <v>8</v>
      </c>
      <c r="H106" s="196" t="n">
        <v>0</v>
      </c>
      <c r="I106" s="196" t="n">
        <v>0</v>
      </c>
      <c r="J106" s="196" t="n">
        <v>0</v>
      </c>
      <c r="K106" s="196" t="n">
        <v>0</v>
      </c>
      <c r="L106" s="197" t="n">
        <v>0</v>
      </c>
      <c r="M106" s="197" t="n">
        <v>0</v>
      </c>
      <c r="N106" s="197" t="n">
        <v>0</v>
      </c>
      <c r="O106" s="196">
        <f>H106+I106+J106+L106+M106+N106</f>
        <v/>
      </c>
      <c r="P106" s="198" t="n">
        <v>30000</v>
      </c>
      <c r="Q106" s="197" t="n">
        <v>0</v>
      </c>
      <c r="R106" s="199" t="inlineStr"/>
      <c r="S106" s="200" t="inlineStr">
        <is>
          <t>KHÔNG</t>
        </is>
      </c>
      <c r="T106" s="200" t="inlineStr">
        <is>
          <t>ĐÃ DUYỆT</t>
        </is>
      </c>
      <c r="U106" s="199" t="inlineStr">
        <is>
          <t>Quản Đốc</t>
        </is>
      </c>
      <c r="V106" s="200" t="inlineStr">
        <is>
          <t>2026-08-10 17:00:00</t>
        </is>
      </c>
      <c r="W106" s="200" t="inlineStr">
        <is>
          <t>ERP_CHAM_CONG_2026</t>
        </is>
      </c>
      <c r="X106" s="200" t="inlineStr">
        <is>
          <t>HỢP LỆ</t>
        </is>
      </c>
    </row>
    <row r="107">
      <c r="A107" s="201" t="inlineStr">
        <is>
          <t>2026-08-10</t>
        </is>
      </c>
      <c r="B107" s="201" t="inlineStr">
        <is>
          <t>2026-08-01</t>
        </is>
      </c>
      <c r="C107" s="201" t="inlineStr">
        <is>
          <t>NV13</t>
        </is>
      </c>
      <c r="D107" s="202" t="inlineStr">
        <is>
          <t>Trần Văn Quỳnh</t>
        </is>
      </c>
      <c r="E107" s="201" t="inlineStr">
        <is>
          <t>C1</t>
        </is>
      </c>
      <c r="F107" s="203" t="n">
        <v>1</v>
      </c>
      <c r="G107" s="203" t="n">
        <v>8</v>
      </c>
      <c r="H107" s="203" t="n">
        <v>0</v>
      </c>
      <c r="I107" s="203" t="n">
        <v>0</v>
      </c>
      <c r="J107" s="203" t="n">
        <v>0</v>
      </c>
      <c r="K107" s="203" t="n">
        <v>0</v>
      </c>
      <c r="L107" s="204" t="n">
        <v>0</v>
      </c>
      <c r="M107" s="204" t="n">
        <v>0</v>
      </c>
      <c r="N107" s="204" t="n">
        <v>0</v>
      </c>
      <c r="O107" s="203">
        <f>H107+I107+J107+L107+M107+N107</f>
        <v/>
      </c>
      <c r="P107" s="205" t="n">
        <v>30000</v>
      </c>
      <c r="Q107" s="204" t="n">
        <v>0</v>
      </c>
      <c r="R107" s="206" t="inlineStr"/>
      <c r="S107" s="207" t="inlineStr">
        <is>
          <t>KHÔNG</t>
        </is>
      </c>
      <c r="T107" s="207" t="inlineStr">
        <is>
          <t>ĐÃ DUYỆT</t>
        </is>
      </c>
      <c r="U107" s="206" t="inlineStr">
        <is>
          <t>Quản Đốc</t>
        </is>
      </c>
      <c r="V107" s="207" t="inlineStr">
        <is>
          <t>2026-08-10 17:00:00</t>
        </is>
      </c>
      <c r="W107" s="207" t="inlineStr">
        <is>
          <t>ERP_CHAM_CONG_2026</t>
        </is>
      </c>
      <c r="X107" s="207" t="inlineStr">
        <is>
          <t>HỢP LỆ</t>
        </is>
      </c>
    </row>
    <row r="108">
      <c r="A108" s="194" t="inlineStr">
        <is>
          <t>2026-08-10</t>
        </is>
      </c>
      <c r="B108" s="194" t="inlineStr">
        <is>
          <t>2026-08-01</t>
        </is>
      </c>
      <c r="C108" s="194" t="inlineStr">
        <is>
          <t>NV11</t>
        </is>
      </c>
      <c r="D108" s="195" t="inlineStr">
        <is>
          <t>Phùng Công Thắng</t>
        </is>
      </c>
      <c r="E108" s="194" t="inlineStr">
        <is>
          <t>C1</t>
        </is>
      </c>
      <c r="F108" s="196" t="n">
        <v>1</v>
      </c>
      <c r="G108" s="196" t="n">
        <v>8</v>
      </c>
      <c r="H108" s="196" t="n">
        <v>0</v>
      </c>
      <c r="I108" s="196" t="n">
        <v>0</v>
      </c>
      <c r="J108" s="196" t="n">
        <v>0</v>
      </c>
      <c r="K108" s="196" t="n">
        <v>0</v>
      </c>
      <c r="L108" s="197" t="n">
        <v>0</v>
      </c>
      <c r="M108" s="197" t="n">
        <v>0</v>
      </c>
      <c r="N108" s="197" t="n">
        <v>0</v>
      </c>
      <c r="O108" s="196">
        <f>H108+I108+J108+L108+M108+N108</f>
        <v/>
      </c>
      <c r="P108" s="198" t="n">
        <v>30000</v>
      </c>
      <c r="Q108" s="197" t="n">
        <v>0</v>
      </c>
      <c r="R108" s="199" t="inlineStr"/>
      <c r="S108" s="200" t="inlineStr">
        <is>
          <t>KHÔNG</t>
        </is>
      </c>
      <c r="T108" s="200" t="inlineStr">
        <is>
          <t>ĐÃ DUYỆT</t>
        </is>
      </c>
      <c r="U108" s="199" t="inlineStr">
        <is>
          <t>Quản Đốc</t>
        </is>
      </c>
      <c r="V108" s="200" t="inlineStr">
        <is>
          <t>2026-08-10 17:00:00</t>
        </is>
      </c>
      <c r="W108" s="200" t="inlineStr">
        <is>
          <t>ERP_CHAM_CONG_2026</t>
        </is>
      </c>
      <c r="X108" s="200" t="inlineStr">
        <is>
          <t>HỢP LỆ</t>
        </is>
      </c>
    </row>
    <row r="109">
      <c r="A109" s="201" t="inlineStr">
        <is>
          <t>2026-08-10</t>
        </is>
      </c>
      <c r="B109" s="201" t="inlineStr">
        <is>
          <t>2026-08-01</t>
        </is>
      </c>
      <c r="C109" s="201" t="inlineStr">
        <is>
          <t>NV06</t>
        </is>
      </c>
      <c r="D109" s="202" t="inlineStr">
        <is>
          <t>Nguyễn Văn Thanh</t>
        </is>
      </c>
      <c r="E109" s="201" t="inlineStr">
        <is>
          <t>C1+2</t>
        </is>
      </c>
      <c r="F109" s="203" t="n">
        <v>1</v>
      </c>
      <c r="G109" s="203" t="n">
        <v>8</v>
      </c>
      <c r="H109" s="203" t="n">
        <v>2</v>
      </c>
      <c r="I109" s="203" t="n">
        <v>0</v>
      </c>
      <c r="J109" s="203" t="n">
        <v>0</v>
      </c>
      <c r="K109" s="203" t="n">
        <v>0</v>
      </c>
      <c r="L109" s="204" t="n">
        <v>0</v>
      </c>
      <c r="M109" s="204" t="n">
        <v>0</v>
      </c>
      <c r="N109" s="204" t="n">
        <v>0</v>
      </c>
      <c r="O109" s="203">
        <f>H109+I109+J109+L109+M109+N109</f>
        <v/>
      </c>
      <c r="P109" s="205" t="n">
        <v>55000</v>
      </c>
      <c r="Q109" s="204" t="n">
        <v>0</v>
      </c>
      <c r="R109" s="206" t="inlineStr">
        <is>
          <t>Đảm bảo tiến độ sản xuất</t>
        </is>
      </c>
      <c r="S109" s="207" t="inlineStr">
        <is>
          <t>CÓ</t>
        </is>
      </c>
      <c r="T109" s="207" t="inlineStr">
        <is>
          <t>ĐÃ DUYỆT</t>
        </is>
      </c>
      <c r="U109" s="206" t="inlineStr">
        <is>
          <t>Quản Đốc</t>
        </is>
      </c>
      <c r="V109" s="207" t="inlineStr">
        <is>
          <t>2026-08-10 17:00:00</t>
        </is>
      </c>
      <c r="W109" s="207" t="inlineStr">
        <is>
          <t>ERP_CHAM_CONG_2026</t>
        </is>
      </c>
      <c r="X109" s="207" t="inlineStr">
        <is>
          <t>HỢP LỆ</t>
        </is>
      </c>
    </row>
    <row r="110">
      <c r="A110" s="194" t="inlineStr">
        <is>
          <t>2026-08-10</t>
        </is>
      </c>
      <c r="B110" s="194" t="inlineStr">
        <is>
          <t>2026-08-01</t>
        </is>
      </c>
      <c r="C110" s="194" t="inlineStr">
        <is>
          <t>NV04</t>
        </is>
      </c>
      <c r="D110" s="195" t="inlineStr">
        <is>
          <t>Vũ Tiến Thuận</t>
        </is>
      </c>
      <c r="E110" s="194" t="inlineStr">
        <is>
          <t>C1</t>
        </is>
      </c>
      <c r="F110" s="196" t="n">
        <v>1</v>
      </c>
      <c r="G110" s="196" t="n">
        <v>8</v>
      </c>
      <c r="H110" s="196" t="n">
        <v>0</v>
      </c>
      <c r="I110" s="196" t="n">
        <v>0</v>
      </c>
      <c r="J110" s="196" t="n">
        <v>0</v>
      </c>
      <c r="K110" s="196" t="n">
        <v>0</v>
      </c>
      <c r="L110" s="197" t="n">
        <v>0</v>
      </c>
      <c r="M110" s="197" t="n">
        <v>0</v>
      </c>
      <c r="N110" s="197" t="n">
        <v>0</v>
      </c>
      <c r="O110" s="196">
        <f>H110+I110+J110+L110+M110+N110</f>
        <v/>
      </c>
      <c r="P110" s="198" t="n">
        <v>30000</v>
      </c>
      <c r="Q110" s="197" t="n">
        <v>0</v>
      </c>
      <c r="R110" s="199" t="inlineStr"/>
      <c r="S110" s="200" t="inlineStr">
        <is>
          <t>KHÔNG</t>
        </is>
      </c>
      <c r="T110" s="200" t="inlineStr">
        <is>
          <t>ĐÃ DUYỆT</t>
        </is>
      </c>
      <c r="U110" s="199" t="inlineStr">
        <is>
          <t>Quản Đốc</t>
        </is>
      </c>
      <c r="V110" s="200" t="inlineStr">
        <is>
          <t>2026-08-10 17:00:00</t>
        </is>
      </c>
      <c r="W110" s="200" t="inlineStr">
        <is>
          <t>ERP_CHAM_CONG_2026</t>
        </is>
      </c>
      <c r="X110" s="200" t="inlineStr">
        <is>
          <t>HỢP LỆ</t>
        </is>
      </c>
    </row>
    <row r="111">
      <c r="A111" s="201" t="inlineStr">
        <is>
          <t>2026-08-10</t>
        </is>
      </c>
      <c r="B111" s="201" t="inlineStr">
        <is>
          <t>2026-08-01</t>
        </is>
      </c>
      <c r="C111" s="201" t="inlineStr">
        <is>
          <t>NV10</t>
        </is>
      </c>
      <c r="D111" s="202" t="inlineStr">
        <is>
          <t>Phạm Văn Tráng</t>
        </is>
      </c>
      <c r="E111" s="201" t="inlineStr">
        <is>
          <t>C1+2</t>
        </is>
      </c>
      <c r="F111" s="203" t="n">
        <v>1</v>
      </c>
      <c r="G111" s="203" t="n">
        <v>8</v>
      </c>
      <c r="H111" s="203" t="n">
        <v>2</v>
      </c>
      <c r="I111" s="203" t="n">
        <v>0</v>
      </c>
      <c r="J111" s="203" t="n">
        <v>0</v>
      </c>
      <c r="K111" s="203" t="n">
        <v>0</v>
      </c>
      <c r="L111" s="204" t="n">
        <v>0</v>
      </c>
      <c r="M111" s="204" t="n">
        <v>0</v>
      </c>
      <c r="N111" s="204" t="n">
        <v>0</v>
      </c>
      <c r="O111" s="203">
        <f>H111+I111+J111+L111+M111+N111</f>
        <v/>
      </c>
      <c r="P111" s="205" t="n">
        <v>55000</v>
      </c>
      <c r="Q111" s="204" t="n">
        <v>0</v>
      </c>
      <c r="R111" s="206" t="inlineStr">
        <is>
          <t>Đảm bảo tiến độ sản xuất</t>
        </is>
      </c>
      <c r="S111" s="207" t="inlineStr">
        <is>
          <t>CÓ</t>
        </is>
      </c>
      <c r="T111" s="207" t="inlineStr">
        <is>
          <t>ĐÃ DUYỆT</t>
        </is>
      </c>
      <c r="U111" s="206" t="inlineStr">
        <is>
          <t>Quản Đốc</t>
        </is>
      </c>
      <c r="V111" s="207" t="inlineStr">
        <is>
          <t>2026-08-10 17:00:00</t>
        </is>
      </c>
      <c r="W111" s="207" t="inlineStr">
        <is>
          <t>ERP_CHAM_CONG_2026</t>
        </is>
      </c>
      <c r="X111" s="207" t="inlineStr">
        <is>
          <t>HỢP LỆ</t>
        </is>
      </c>
    </row>
    <row r="112">
      <c r="A112" s="194" t="inlineStr">
        <is>
          <t>2026-08-11</t>
        </is>
      </c>
      <c r="B112" s="194" t="inlineStr">
        <is>
          <t>2026-08-01</t>
        </is>
      </c>
      <c r="C112" s="194" t="inlineStr">
        <is>
          <t>NV02</t>
        </is>
      </c>
      <c r="D112" s="195" t="inlineStr">
        <is>
          <t>Nguyễn Trung Đông</t>
        </is>
      </c>
      <c r="E112" s="194" t="inlineStr">
        <is>
          <t>C1</t>
        </is>
      </c>
      <c r="F112" s="196" t="n">
        <v>1</v>
      </c>
      <c r="G112" s="196" t="n">
        <v>8</v>
      </c>
      <c r="H112" s="196" t="n">
        <v>0</v>
      </c>
      <c r="I112" s="196" t="n">
        <v>0</v>
      </c>
      <c r="J112" s="196" t="n">
        <v>0</v>
      </c>
      <c r="K112" s="196" t="n">
        <v>0</v>
      </c>
      <c r="L112" s="197" t="n">
        <v>0</v>
      </c>
      <c r="M112" s="197" t="n">
        <v>0</v>
      </c>
      <c r="N112" s="197" t="n">
        <v>0</v>
      </c>
      <c r="O112" s="196">
        <f>H112+I112+J112+L112+M112+N112</f>
        <v/>
      </c>
      <c r="P112" s="198" t="n">
        <v>30000</v>
      </c>
      <c r="Q112" s="197" t="n">
        <v>0</v>
      </c>
      <c r="R112" s="199" t="inlineStr"/>
      <c r="S112" s="200" t="inlineStr">
        <is>
          <t>KHÔNG</t>
        </is>
      </c>
      <c r="T112" s="200" t="inlineStr">
        <is>
          <t>ĐÃ DUYỆT</t>
        </is>
      </c>
      <c r="U112" s="199" t="inlineStr">
        <is>
          <t>Quản Đốc</t>
        </is>
      </c>
      <c r="V112" s="200" t="inlineStr">
        <is>
          <t>2026-08-11 17:00:00</t>
        </is>
      </c>
      <c r="W112" s="200" t="inlineStr">
        <is>
          <t>ERP_CHAM_CONG_2026</t>
        </is>
      </c>
      <c r="X112" s="200" t="inlineStr">
        <is>
          <t>HỢP LỆ</t>
        </is>
      </c>
    </row>
    <row r="113">
      <c r="A113" s="201" t="inlineStr">
        <is>
          <t>2026-08-11</t>
        </is>
      </c>
      <c r="B113" s="201" t="inlineStr">
        <is>
          <t>2026-08-01</t>
        </is>
      </c>
      <c r="C113" s="201" t="inlineStr">
        <is>
          <t>NV08</t>
        </is>
      </c>
      <c r="D113" s="202" t="inlineStr">
        <is>
          <t>Trần Văn Dũng</t>
        </is>
      </c>
      <c r="E113" s="201" t="inlineStr">
        <is>
          <t>C1+2</t>
        </is>
      </c>
      <c r="F113" s="203" t="n">
        <v>1</v>
      </c>
      <c r="G113" s="203" t="n">
        <v>8</v>
      </c>
      <c r="H113" s="203" t="n">
        <v>2</v>
      </c>
      <c r="I113" s="203" t="n">
        <v>0</v>
      </c>
      <c r="J113" s="203" t="n">
        <v>0</v>
      </c>
      <c r="K113" s="203" t="n">
        <v>0</v>
      </c>
      <c r="L113" s="204" t="n">
        <v>0</v>
      </c>
      <c r="M113" s="204" t="n">
        <v>0</v>
      </c>
      <c r="N113" s="204" t="n">
        <v>0</v>
      </c>
      <c r="O113" s="203">
        <f>H113+I113+J113+L113+M113+N113</f>
        <v/>
      </c>
      <c r="P113" s="205" t="n">
        <v>55000</v>
      </c>
      <c r="Q113" s="204" t="n">
        <v>0</v>
      </c>
      <c r="R113" s="206" t="inlineStr">
        <is>
          <t>Đảm bảo tiến độ sản xuất</t>
        </is>
      </c>
      <c r="S113" s="207" t="inlineStr">
        <is>
          <t>CÓ</t>
        </is>
      </c>
      <c r="T113" s="207" t="inlineStr">
        <is>
          <t>ĐÃ DUYỆT</t>
        </is>
      </c>
      <c r="U113" s="206" t="inlineStr">
        <is>
          <t>Quản Đốc</t>
        </is>
      </c>
      <c r="V113" s="207" t="inlineStr">
        <is>
          <t>2026-08-11 17:00:00</t>
        </is>
      </c>
      <c r="W113" s="207" t="inlineStr">
        <is>
          <t>ERP_CHAM_CONG_2026</t>
        </is>
      </c>
      <c r="X113" s="207" t="inlineStr">
        <is>
          <t>HỢP LỆ</t>
        </is>
      </c>
    </row>
    <row r="114">
      <c r="A114" s="194" t="inlineStr">
        <is>
          <t>2026-08-11</t>
        </is>
      </c>
      <c r="B114" s="194" t="inlineStr">
        <is>
          <t>2026-08-01</t>
        </is>
      </c>
      <c r="C114" s="194" t="inlineStr">
        <is>
          <t>NV01</t>
        </is>
      </c>
      <c r="D114" s="195" t="inlineStr">
        <is>
          <t>Hoàng Ngọc Hà</t>
        </is>
      </c>
      <c r="E114" s="194" t="inlineStr">
        <is>
          <t>C1</t>
        </is>
      </c>
      <c r="F114" s="196" t="n">
        <v>1</v>
      </c>
      <c r="G114" s="196" t="n">
        <v>8</v>
      </c>
      <c r="H114" s="196" t="n">
        <v>0</v>
      </c>
      <c r="I114" s="196" t="n">
        <v>0</v>
      </c>
      <c r="J114" s="196" t="n">
        <v>0</v>
      </c>
      <c r="K114" s="196" t="n">
        <v>0</v>
      </c>
      <c r="L114" s="197" t="n">
        <v>0</v>
      </c>
      <c r="M114" s="197" t="n">
        <v>0</v>
      </c>
      <c r="N114" s="197" t="n">
        <v>0</v>
      </c>
      <c r="O114" s="196">
        <f>H114+I114+J114+L114+M114+N114</f>
        <v/>
      </c>
      <c r="P114" s="198" t="n">
        <v>30000</v>
      </c>
      <c r="Q114" s="197" t="n">
        <v>0</v>
      </c>
      <c r="R114" s="199" t="inlineStr"/>
      <c r="S114" s="200" t="inlineStr">
        <is>
          <t>KHÔNG</t>
        </is>
      </c>
      <c r="T114" s="200" t="inlineStr">
        <is>
          <t>ĐÃ DUYỆT</t>
        </is>
      </c>
      <c r="U114" s="199" t="inlineStr">
        <is>
          <t>Quản Đốc</t>
        </is>
      </c>
      <c r="V114" s="200" t="inlineStr">
        <is>
          <t>2026-08-11 17:00:00</t>
        </is>
      </c>
      <c r="W114" s="200" t="inlineStr">
        <is>
          <t>ERP_CHAM_CONG_2026</t>
        </is>
      </c>
      <c r="X114" s="200" t="inlineStr">
        <is>
          <t>HỢP LỆ</t>
        </is>
      </c>
    </row>
    <row r="115">
      <c r="A115" s="201" t="inlineStr">
        <is>
          <t>2026-08-11</t>
        </is>
      </c>
      <c r="B115" s="201" t="inlineStr">
        <is>
          <t>2026-08-01</t>
        </is>
      </c>
      <c r="C115" s="201" t="inlineStr">
        <is>
          <t>NV03</t>
        </is>
      </c>
      <c r="D115" s="202" t="inlineStr">
        <is>
          <t>Phùng Đình Hùng</t>
        </is>
      </c>
      <c r="E115" s="201" t="inlineStr">
        <is>
          <t>C1</t>
        </is>
      </c>
      <c r="F115" s="203" t="n">
        <v>1</v>
      </c>
      <c r="G115" s="203" t="n">
        <v>8</v>
      </c>
      <c r="H115" s="203" t="n">
        <v>0</v>
      </c>
      <c r="I115" s="203" t="n">
        <v>0</v>
      </c>
      <c r="J115" s="203" t="n">
        <v>0</v>
      </c>
      <c r="K115" s="203" t="n">
        <v>0</v>
      </c>
      <c r="L115" s="204" t="n">
        <v>0</v>
      </c>
      <c r="M115" s="204" t="n">
        <v>0</v>
      </c>
      <c r="N115" s="204" t="n">
        <v>0</v>
      </c>
      <c r="O115" s="203">
        <f>H115+I115+J115+L115+M115+N115</f>
        <v/>
      </c>
      <c r="P115" s="205" t="n">
        <v>30000</v>
      </c>
      <c r="Q115" s="204" t="n">
        <v>0</v>
      </c>
      <c r="R115" s="206" t="inlineStr"/>
      <c r="S115" s="207" t="inlineStr">
        <is>
          <t>KHÔNG</t>
        </is>
      </c>
      <c r="T115" s="207" t="inlineStr">
        <is>
          <t>ĐÃ DUYỆT</t>
        </is>
      </c>
      <c r="U115" s="206" t="inlineStr">
        <is>
          <t>Quản Đốc</t>
        </is>
      </c>
      <c r="V115" s="207" t="inlineStr">
        <is>
          <t>2026-08-11 17:00:00</t>
        </is>
      </c>
      <c r="W115" s="207" t="inlineStr">
        <is>
          <t>ERP_CHAM_CONG_2026</t>
        </is>
      </c>
      <c r="X115" s="207" t="inlineStr">
        <is>
          <t>HỢP LỆ</t>
        </is>
      </c>
    </row>
    <row r="116">
      <c r="A116" s="194" t="inlineStr">
        <is>
          <t>2026-08-11</t>
        </is>
      </c>
      <c r="B116" s="194" t="inlineStr">
        <is>
          <t>2026-08-01</t>
        </is>
      </c>
      <c r="C116" s="194" t="inlineStr">
        <is>
          <t>NV15</t>
        </is>
      </c>
      <c r="D116" s="195" t="inlineStr">
        <is>
          <t>Đặng Ngọc Long</t>
        </is>
      </c>
      <c r="E116" s="194" t="inlineStr">
        <is>
          <t>C1+2</t>
        </is>
      </c>
      <c r="F116" s="196" t="n">
        <v>1</v>
      </c>
      <c r="G116" s="196" t="n">
        <v>8</v>
      </c>
      <c r="H116" s="196" t="n">
        <v>2</v>
      </c>
      <c r="I116" s="196" t="n">
        <v>0</v>
      </c>
      <c r="J116" s="196" t="n">
        <v>0</v>
      </c>
      <c r="K116" s="196" t="n">
        <v>0</v>
      </c>
      <c r="L116" s="197" t="n">
        <v>0</v>
      </c>
      <c r="M116" s="197" t="n">
        <v>0</v>
      </c>
      <c r="N116" s="197" t="n">
        <v>0</v>
      </c>
      <c r="O116" s="196">
        <f>H116+I116+J116+L116+M116+N116</f>
        <v/>
      </c>
      <c r="P116" s="198" t="n">
        <v>55000</v>
      </c>
      <c r="Q116" s="197" t="n">
        <v>0</v>
      </c>
      <c r="R116" s="199" t="inlineStr">
        <is>
          <t>Đảm bảo tiến độ sản xuất</t>
        </is>
      </c>
      <c r="S116" s="200" t="inlineStr">
        <is>
          <t>CÓ</t>
        </is>
      </c>
      <c r="T116" s="200" t="inlineStr">
        <is>
          <t>ĐÃ DUYỆT</t>
        </is>
      </c>
      <c r="U116" s="199" t="inlineStr">
        <is>
          <t>Quản Đốc</t>
        </is>
      </c>
      <c r="V116" s="200" t="inlineStr">
        <is>
          <t>2026-08-11 17:00:00</t>
        </is>
      </c>
      <c r="W116" s="200" t="inlineStr">
        <is>
          <t>ERP_CHAM_CONG_2026</t>
        </is>
      </c>
      <c r="X116" s="200" t="inlineStr">
        <is>
          <t>HỢP LỆ</t>
        </is>
      </c>
    </row>
    <row r="117">
      <c r="A117" s="201" t="inlineStr">
        <is>
          <t>2026-08-11</t>
        </is>
      </c>
      <c r="B117" s="201" t="inlineStr">
        <is>
          <t>2026-08-01</t>
        </is>
      </c>
      <c r="C117" s="201" t="inlineStr">
        <is>
          <t>NV14</t>
        </is>
      </c>
      <c r="D117" s="202" t="inlineStr">
        <is>
          <t>Đinh Văn Nhận</t>
        </is>
      </c>
      <c r="E117" s="201" t="inlineStr">
        <is>
          <t>C1+2</t>
        </is>
      </c>
      <c r="F117" s="203" t="n">
        <v>1</v>
      </c>
      <c r="G117" s="203" t="n">
        <v>8</v>
      </c>
      <c r="H117" s="203" t="n">
        <v>2</v>
      </c>
      <c r="I117" s="203" t="n">
        <v>0</v>
      </c>
      <c r="J117" s="203" t="n">
        <v>0</v>
      </c>
      <c r="K117" s="203" t="n">
        <v>0</v>
      </c>
      <c r="L117" s="204" t="n">
        <v>0</v>
      </c>
      <c r="M117" s="204" t="n">
        <v>0</v>
      </c>
      <c r="N117" s="204" t="n">
        <v>0</v>
      </c>
      <c r="O117" s="203">
        <f>H117+I117+J117+L117+M117+N117</f>
        <v/>
      </c>
      <c r="P117" s="205" t="n">
        <v>55000</v>
      </c>
      <c r="Q117" s="204" t="n">
        <v>0</v>
      </c>
      <c r="R117" s="206" t="inlineStr">
        <is>
          <t>Đảm bảo tiến độ sản xuất</t>
        </is>
      </c>
      <c r="S117" s="207" t="inlineStr">
        <is>
          <t>CÓ</t>
        </is>
      </c>
      <c r="T117" s="207" t="inlineStr">
        <is>
          <t>ĐÃ DUYỆT</t>
        </is>
      </c>
      <c r="U117" s="206" t="inlineStr">
        <is>
          <t>Quản Đốc</t>
        </is>
      </c>
      <c r="V117" s="207" t="inlineStr">
        <is>
          <t>2026-08-11 17:00:00</t>
        </is>
      </c>
      <c r="W117" s="207" t="inlineStr">
        <is>
          <t>ERP_CHAM_CONG_2026</t>
        </is>
      </c>
      <c r="X117" s="207" t="inlineStr">
        <is>
          <t>HỢP LỆ</t>
        </is>
      </c>
    </row>
    <row r="118">
      <c r="A118" s="194" t="inlineStr">
        <is>
          <t>2026-08-11</t>
        </is>
      </c>
      <c r="B118" s="194" t="inlineStr">
        <is>
          <t>2026-08-01</t>
        </is>
      </c>
      <c r="C118" s="194" t="inlineStr">
        <is>
          <t>NV07</t>
        </is>
      </c>
      <c r="D118" s="195" t="inlineStr">
        <is>
          <t>Phùng Gia Phúc</t>
        </is>
      </c>
      <c r="E118" s="194" t="inlineStr">
        <is>
          <t>C1+2</t>
        </is>
      </c>
      <c r="F118" s="196" t="n">
        <v>1</v>
      </c>
      <c r="G118" s="196" t="n">
        <v>8</v>
      </c>
      <c r="H118" s="196" t="n">
        <v>2</v>
      </c>
      <c r="I118" s="196" t="n">
        <v>0</v>
      </c>
      <c r="J118" s="196" t="n">
        <v>0</v>
      </c>
      <c r="K118" s="196" t="n">
        <v>0</v>
      </c>
      <c r="L118" s="197" t="n">
        <v>0</v>
      </c>
      <c r="M118" s="197" t="n">
        <v>0</v>
      </c>
      <c r="N118" s="197" t="n">
        <v>0</v>
      </c>
      <c r="O118" s="196">
        <f>H118+I118+J118+L118+M118+N118</f>
        <v/>
      </c>
      <c r="P118" s="198" t="n">
        <v>55000</v>
      </c>
      <c r="Q118" s="197" t="n">
        <v>0</v>
      </c>
      <c r="R118" s="199" t="inlineStr">
        <is>
          <t>Đảm bảo tiến độ sản xuất</t>
        </is>
      </c>
      <c r="S118" s="200" t="inlineStr">
        <is>
          <t>CÓ</t>
        </is>
      </c>
      <c r="T118" s="200" t="inlineStr">
        <is>
          <t>ĐÃ DUYỆT</t>
        </is>
      </c>
      <c r="U118" s="199" t="inlineStr">
        <is>
          <t>Quản Đốc</t>
        </is>
      </c>
      <c r="V118" s="200" t="inlineStr">
        <is>
          <t>2026-08-11 17:00:00</t>
        </is>
      </c>
      <c r="W118" s="200" t="inlineStr">
        <is>
          <t>ERP_CHAM_CONG_2026</t>
        </is>
      </c>
      <c r="X118" s="200" t="inlineStr">
        <is>
          <t>HỢP LỆ</t>
        </is>
      </c>
    </row>
    <row r="119">
      <c r="A119" s="201" t="inlineStr">
        <is>
          <t>2026-08-11</t>
        </is>
      </c>
      <c r="B119" s="201" t="inlineStr">
        <is>
          <t>2026-08-01</t>
        </is>
      </c>
      <c r="C119" s="201" t="inlineStr">
        <is>
          <t>NV13</t>
        </is>
      </c>
      <c r="D119" s="202" t="inlineStr">
        <is>
          <t>Trần Văn Quỳnh</t>
        </is>
      </c>
      <c r="E119" s="201" t="inlineStr">
        <is>
          <t>C1</t>
        </is>
      </c>
      <c r="F119" s="203" t="n">
        <v>1</v>
      </c>
      <c r="G119" s="203" t="n">
        <v>8</v>
      </c>
      <c r="H119" s="203" t="n">
        <v>0</v>
      </c>
      <c r="I119" s="203" t="n">
        <v>0</v>
      </c>
      <c r="J119" s="203" t="n">
        <v>0</v>
      </c>
      <c r="K119" s="203" t="n">
        <v>0</v>
      </c>
      <c r="L119" s="204" t="n">
        <v>0</v>
      </c>
      <c r="M119" s="204" t="n">
        <v>0</v>
      </c>
      <c r="N119" s="204" t="n">
        <v>0</v>
      </c>
      <c r="O119" s="203">
        <f>H119+I119+J119+L119+M119+N119</f>
        <v/>
      </c>
      <c r="P119" s="205" t="n">
        <v>30000</v>
      </c>
      <c r="Q119" s="204" t="n">
        <v>0</v>
      </c>
      <c r="R119" s="206" t="inlineStr"/>
      <c r="S119" s="207" t="inlineStr">
        <is>
          <t>KHÔNG</t>
        </is>
      </c>
      <c r="T119" s="207" t="inlineStr">
        <is>
          <t>ĐÃ DUYỆT</t>
        </is>
      </c>
      <c r="U119" s="206" t="inlineStr">
        <is>
          <t>Quản Đốc</t>
        </is>
      </c>
      <c r="V119" s="207" t="inlineStr">
        <is>
          <t>2026-08-11 17:00:00</t>
        </is>
      </c>
      <c r="W119" s="207" t="inlineStr">
        <is>
          <t>ERP_CHAM_CONG_2026</t>
        </is>
      </c>
      <c r="X119" s="207" t="inlineStr">
        <is>
          <t>HỢP LỆ</t>
        </is>
      </c>
    </row>
    <row r="120">
      <c r="A120" s="194" t="inlineStr">
        <is>
          <t>2026-08-11</t>
        </is>
      </c>
      <c r="B120" s="194" t="inlineStr">
        <is>
          <t>2026-08-01</t>
        </is>
      </c>
      <c r="C120" s="194" t="inlineStr">
        <is>
          <t>NV11</t>
        </is>
      </c>
      <c r="D120" s="195" t="inlineStr">
        <is>
          <t>Phùng Công Thắng</t>
        </is>
      </c>
      <c r="E120" s="194" t="inlineStr">
        <is>
          <t>C1+2</t>
        </is>
      </c>
      <c r="F120" s="196" t="n">
        <v>1</v>
      </c>
      <c r="G120" s="196" t="n">
        <v>8</v>
      </c>
      <c r="H120" s="196" t="n">
        <v>2</v>
      </c>
      <c r="I120" s="196" t="n">
        <v>0</v>
      </c>
      <c r="J120" s="196" t="n">
        <v>0</v>
      </c>
      <c r="K120" s="196" t="n">
        <v>0</v>
      </c>
      <c r="L120" s="197" t="n">
        <v>0</v>
      </c>
      <c r="M120" s="197" t="n">
        <v>0</v>
      </c>
      <c r="N120" s="197" t="n">
        <v>0</v>
      </c>
      <c r="O120" s="196">
        <f>H120+I120+J120+L120+M120+N120</f>
        <v/>
      </c>
      <c r="P120" s="198" t="n">
        <v>55000</v>
      </c>
      <c r="Q120" s="197" t="n">
        <v>0</v>
      </c>
      <c r="R120" s="199" t="inlineStr">
        <is>
          <t>Đảm bảo tiến độ sản xuất</t>
        </is>
      </c>
      <c r="S120" s="200" t="inlineStr">
        <is>
          <t>CÓ</t>
        </is>
      </c>
      <c r="T120" s="200" t="inlineStr">
        <is>
          <t>ĐÃ DUYỆT</t>
        </is>
      </c>
      <c r="U120" s="199" t="inlineStr">
        <is>
          <t>Quản Đốc</t>
        </is>
      </c>
      <c r="V120" s="200" t="inlineStr">
        <is>
          <t>2026-08-11 17:00:00</t>
        </is>
      </c>
      <c r="W120" s="200" t="inlineStr">
        <is>
          <t>ERP_CHAM_CONG_2026</t>
        </is>
      </c>
      <c r="X120" s="200" t="inlineStr">
        <is>
          <t>HỢP LỆ</t>
        </is>
      </c>
    </row>
    <row r="121">
      <c r="A121" s="201" t="inlineStr">
        <is>
          <t>2026-08-11</t>
        </is>
      </c>
      <c r="B121" s="201" t="inlineStr">
        <is>
          <t>2026-08-01</t>
        </is>
      </c>
      <c r="C121" s="201" t="inlineStr">
        <is>
          <t>NV06</t>
        </is>
      </c>
      <c r="D121" s="202" t="inlineStr">
        <is>
          <t>Nguyễn Văn Thanh</t>
        </is>
      </c>
      <c r="E121" s="201" t="inlineStr">
        <is>
          <t>C1+2</t>
        </is>
      </c>
      <c r="F121" s="203" t="n">
        <v>1</v>
      </c>
      <c r="G121" s="203" t="n">
        <v>8</v>
      </c>
      <c r="H121" s="203" t="n">
        <v>2</v>
      </c>
      <c r="I121" s="203" t="n">
        <v>0</v>
      </c>
      <c r="J121" s="203" t="n">
        <v>0</v>
      </c>
      <c r="K121" s="203" t="n">
        <v>0</v>
      </c>
      <c r="L121" s="204" t="n">
        <v>0</v>
      </c>
      <c r="M121" s="204" t="n">
        <v>0</v>
      </c>
      <c r="N121" s="204" t="n">
        <v>0</v>
      </c>
      <c r="O121" s="203">
        <f>H121+I121+J121+L121+M121+N121</f>
        <v/>
      </c>
      <c r="P121" s="205" t="n">
        <v>55000</v>
      </c>
      <c r="Q121" s="204" t="n">
        <v>0</v>
      </c>
      <c r="R121" s="206" t="inlineStr">
        <is>
          <t>Đảm bảo tiến độ sản xuất</t>
        </is>
      </c>
      <c r="S121" s="207" t="inlineStr">
        <is>
          <t>CÓ</t>
        </is>
      </c>
      <c r="T121" s="207" t="inlineStr">
        <is>
          <t>ĐÃ DUYỆT</t>
        </is>
      </c>
      <c r="U121" s="206" t="inlineStr">
        <is>
          <t>Quản Đốc</t>
        </is>
      </c>
      <c r="V121" s="207" t="inlineStr">
        <is>
          <t>2026-08-11 17:00:00</t>
        </is>
      </c>
      <c r="W121" s="207" t="inlineStr">
        <is>
          <t>ERP_CHAM_CONG_2026</t>
        </is>
      </c>
      <c r="X121" s="207" t="inlineStr">
        <is>
          <t>HỢP LỆ</t>
        </is>
      </c>
    </row>
    <row r="122">
      <c r="A122" s="194" t="inlineStr">
        <is>
          <t>2026-08-11</t>
        </is>
      </c>
      <c r="B122" s="194" t="inlineStr">
        <is>
          <t>2026-08-01</t>
        </is>
      </c>
      <c r="C122" s="194" t="inlineStr">
        <is>
          <t>NV10</t>
        </is>
      </c>
      <c r="D122" s="195" t="inlineStr">
        <is>
          <t>Phạm Văn Tráng</t>
        </is>
      </c>
      <c r="E122" s="194" t="inlineStr">
        <is>
          <t>C1+2</t>
        </is>
      </c>
      <c r="F122" s="196" t="n">
        <v>1</v>
      </c>
      <c r="G122" s="196" t="n">
        <v>8</v>
      </c>
      <c r="H122" s="196" t="n">
        <v>2</v>
      </c>
      <c r="I122" s="196" t="n">
        <v>0</v>
      </c>
      <c r="J122" s="196" t="n">
        <v>0</v>
      </c>
      <c r="K122" s="196" t="n">
        <v>0</v>
      </c>
      <c r="L122" s="197" t="n">
        <v>0</v>
      </c>
      <c r="M122" s="197" t="n">
        <v>0</v>
      </c>
      <c r="N122" s="197" t="n">
        <v>0</v>
      </c>
      <c r="O122" s="196">
        <f>H122+I122+J122+L122+M122+N122</f>
        <v/>
      </c>
      <c r="P122" s="198" t="n">
        <v>55000</v>
      </c>
      <c r="Q122" s="197" t="n">
        <v>0</v>
      </c>
      <c r="R122" s="199" t="inlineStr">
        <is>
          <t>Đảm bảo tiến độ sản xuất</t>
        </is>
      </c>
      <c r="S122" s="200" t="inlineStr">
        <is>
          <t>CÓ</t>
        </is>
      </c>
      <c r="T122" s="200" t="inlineStr">
        <is>
          <t>ĐÃ DUYỆT</t>
        </is>
      </c>
      <c r="U122" s="199" t="inlineStr">
        <is>
          <t>Quản Đốc</t>
        </is>
      </c>
      <c r="V122" s="200" t="inlineStr">
        <is>
          <t>2026-08-11 17:00:00</t>
        </is>
      </c>
      <c r="W122" s="200" t="inlineStr">
        <is>
          <t>ERP_CHAM_CONG_2026</t>
        </is>
      </c>
      <c r="X122" s="200" t="inlineStr">
        <is>
          <t>HỢP LỆ</t>
        </is>
      </c>
    </row>
    <row r="123">
      <c r="A123" s="201" t="inlineStr">
        <is>
          <t>2026-08-12</t>
        </is>
      </c>
      <c r="B123" s="201" t="inlineStr">
        <is>
          <t>2026-08-01</t>
        </is>
      </c>
      <c r="C123" s="201" t="inlineStr">
        <is>
          <t>NV02</t>
        </is>
      </c>
      <c r="D123" s="202" t="inlineStr">
        <is>
          <t>Nguyễn Trung Đông</t>
        </is>
      </c>
      <c r="E123" s="201" t="inlineStr">
        <is>
          <t>C1</t>
        </is>
      </c>
      <c r="F123" s="203" t="n">
        <v>1</v>
      </c>
      <c r="G123" s="203" t="n">
        <v>8</v>
      </c>
      <c r="H123" s="203" t="n">
        <v>0</v>
      </c>
      <c r="I123" s="203" t="n">
        <v>0</v>
      </c>
      <c r="J123" s="203" t="n">
        <v>0</v>
      </c>
      <c r="K123" s="203" t="n">
        <v>0</v>
      </c>
      <c r="L123" s="204" t="n">
        <v>0</v>
      </c>
      <c r="M123" s="204" t="n">
        <v>0</v>
      </c>
      <c r="N123" s="204" t="n">
        <v>0</v>
      </c>
      <c r="O123" s="203">
        <f>H123+I123+J123+L123+M123+N123</f>
        <v/>
      </c>
      <c r="P123" s="205" t="n">
        <v>30000</v>
      </c>
      <c r="Q123" s="204" t="n">
        <v>0</v>
      </c>
      <c r="R123" s="206" t="inlineStr"/>
      <c r="S123" s="207" t="inlineStr">
        <is>
          <t>KHÔNG</t>
        </is>
      </c>
      <c r="T123" s="207" t="inlineStr">
        <is>
          <t>ĐÃ DUYỆT</t>
        </is>
      </c>
      <c r="U123" s="206" t="inlineStr">
        <is>
          <t>Quản Đốc</t>
        </is>
      </c>
      <c r="V123" s="207" t="inlineStr">
        <is>
          <t>2026-08-12 17:00:00</t>
        </is>
      </c>
      <c r="W123" s="207" t="inlineStr">
        <is>
          <t>ERP_CHAM_CONG_2026</t>
        </is>
      </c>
      <c r="X123" s="207" t="inlineStr">
        <is>
          <t>HỢP LỆ</t>
        </is>
      </c>
    </row>
    <row r="124">
      <c r="A124" s="194" t="inlineStr">
        <is>
          <t>2026-08-12</t>
        </is>
      </c>
      <c r="B124" s="194" t="inlineStr">
        <is>
          <t>2026-08-01</t>
        </is>
      </c>
      <c r="C124" s="194" t="inlineStr">
        <is>
          <t>NV08</t>
        </is>
      </c>
      <c r="D124" s="195" t="inlineStr">
        <is>
          <t>Trần Văn Dũng</t>
        </is>
      </c>
      <c r="E124" s="194" t="inlineStr">
        <is>
          <t>C1+2</t>
        </is>
      </c>
      <c r="F124" s="196" t="n">
        <v>1</v>
      </c>
      <c r="G124" s="196" t="n">
        <v>8</v>
      </c>
      <c r="H124" s="196" t="n">
        <v>2</v>
      </c>
      <c r="I124" s="196" t="n">
        <v>0</v>
      </c>
      <c r="J124" s="196" t="n">
        <v>0</v>
      </c>
      <c r="K124" s="196" t="n">
        <v>0</v>
      </c>
      <c r="L124" s="197" t="n">
        <v>0</v>
      </c>
      <c r="M124" s="197" t="n">
        <v>0</v>
      </c>
      <c r="N124" s="197" t="n">
        <v>0</v>
      </c>
      <c r="O124" s="196">
        <f>H124+I124+J124+L124+M124+N124</f>
        <v/>
      </c>
      <c r="P124" s="198" t="n">
        <v>55000</v>
      </c>
      <c r="Q124" s="197" t="n">
        <v>0</v>
      </c>
      <c r="R124" s="199" t="inlineStr">
        <is>
          <t>Đảm bảo tiến độ sản xuất</t>
        </is>
      </c>
      <c r="S124" s="200" t="inlineStr">
        <is>
          <t>CÓ</t>
        </is>
      </c>
      <c r="T124" s="200" t="inlineStr">
        <is>
          <t>ĐÃ DUYỆT</t>
        </is>
      </c>
      <c r="U124" s="199" t="inlineStr">
        <is>
          <t>Quản Đốc</t>
        </is>
      </c>
      <c r="V124" s="200" t="inlineStr">
        <is>
          <t>2026-08-12 17:00:00</t>
        </is>
      </c>
      <c r="W124" s="200" t="inlineStr">
        <is>
          <t>ERP_CHAM_CONG_2026</t>
        </is>
      </c>
      <c r="X124" s="200" t="inlineStr">
        <is>
          <t>HỢP LỆ</t>
        </is>
      </c>
    </row>
    <row r="125">
      <c r="A125" s="201" t="inlineStr">
        <is>
          <t>2026-08-12</t>
        </is>
      </c>
      <c r="B125" s="201" t="inlineStr">
        <is>
          <t>2026-08-01</t>
        </is>
      </c>
      <c r="C125" s="201" t="inlineStr">
        <is>
          <t>NV01</t>
        </is>
      </c>
      <c r="D125" s="202" t="inlineStr">
        <is>
          <t>Hoàng Ngọc Hà</t>
        </is>
      </c>
      <c r="E125" s="201" t="inlineStr">
        <is>
          <t>C1</t>
        </is>
      </c>
      <c r="F125" s="203" t="n">
        <v>1</v>
      </c>
      <c r="G125" s="203" t="n">
        <v>8</v>
      </c>
      <c r="H125" s="203" t="n">
        <v>0</v>
      </c>
      <c r="I125" s="203" t="n">
        <v>0</v>
      </c>
      <c r="J125" s="203" t="n">
        <v>0</v>
      </c>
      <c r="K125" s="203" t="n">
        <v>0</v>
      </c>
      <c r="L125" s="204" t="n">
        <v>0</v>
      </c>
      <c r="M125" s="204" t="n">
        <v>0</v>
      </c>
      <c r="N125" s="204" t="n">
        <v>0</v>
      </c>
      <c r="O125" s="203">
        <f>H125+I125+J125+L125+M125+N125</f>
        <v/>
      </c>
      <c r="P125" s="205" t="n">
        <v>30000</v>
      </c>
      <c r="Q125" s="204" t="n">
        <v>0</v>
      </c>
      <c r="R125" s="206" t="inlineStr"/>
      <c r="S125" s="207" t="inlineStr">
        <is>
          <t>KHÔNG</t>
        </is>
      </c>
      <c r="T125" s="207" t="inlineStr">
        <is>
          <t>ĐÃ DUYỆT</t>
        </is>
      </c>
      <c r="U125" s="206" t="inlineStr">
        <is>
          <t>Quản Đốc</t>
        </is>
      </c>
      <c r="V125" s="207" t="inlineStr">
        <is>
          <t>2026-08-12 17:00:00</t>
        </is>
      </c>
      <c r="W125" s="207" t="inlineStr">
        <is>
          <t>ERP_CHAM_CONG_2026</t>
        </is>
      </c>
      <c r="X125" s="207" t="inlineStr">
        <is>
          <t>HỢP LỆ</t>
        </is>
      </c>
    </row>
    <row r="126">
      <c r="A126" s="194" t="inlineStr">
        <is>
          <t>2026-08-12</t>
        </is>
      </c>
      <c r="B126" s="194" t="inlineStr">
        <is>
          <t>2026-08-01</t>
        </is>
      </c>
      <c r="C126" s="194" t="inlineStr">
        <is>
          <t>NV03</t>
        </is>
      </c>
      <c r="D126" s="195" t="inlineStr">
        <is>
          <t>Phùng Đình Hùng</t>
        </is>
      </c>
      <c r="E126" s="194" t="inlineStr">
        <is>
          <t>C1</t>
        </is>
      </c>
      <c r="F126" s="196" t="n">
        <v>1</v>
      </c>
      <c r="G126" s="196" t="n">
        <v>8</v>
      </c>
      <c r="H126" s="196" t="n">
        <v>0</v>
      </c>
      <c r="I126" s="196" t="n">
        <v>0</v>
      </c>
      <c r="J126" s="196" t="n">
        <v>0</v>
      </c>
      <c r="K126" s="196" t="n">
        <v>0</v>
      </c>
      <c r="L126" s="197" t="n">
        <v>0</v>
      </c>
      <c r="M126" s="197" t="n">
        <v>0</v>
      </c>
      <c r="N126" s="197" t="n">
        <v>0</v>
      </c>
      <c r="O126" s="196">
        <f>H126+I126+J126+L126+M126+N126</f>
        <v/>
      </c>
      <c r="P126" s="198" t="n">
        <v>30000</v>
      </c>
      <c r="Q126" s="197" t="n">
        <v>0</v>
      </c>
      <c r="R126" s="199" t="inlineStr"/>
      <c r="S126" s="200" t="inlineStr">
        <is>
          <t>KHÔNG</t>
        </is>
      </c>
      <c r="T126" s="200" t="inlineStr">
        <is>
          <t>ĐÃ DUYỆT</t>
        </is>
      </c>
      <c r="U126" s="199" t="inlineStr">
        <is>
          <t>Quản Đốc</t>
        </is>
      </c>
      <c r="V126" s="200" t="inlineStr">
        <is>
          <t>2026-08-12 17:00:00</t>
        </is>
      </c>
      <c r="W126" s="200" t="inlineStr">
        <is>
          <t>ERP_CHAM_CONG_2026</t>
        </is>
      </c>
      <c r="X126" s="200" t="inlineStr">
        <is>
          <t>HỢP LỆ</t>
        </is>
      </c>
    </row>
    <row r="127">
      <c r="A127" s="201" t="inlineStr">
        <is>
          <t>2026-08-12</t>
        </is>
      </c>
      <c r="B127" s="201" t="inlineStr">
        <is>
          <t>2026-08-01</t>
        </is>
      </c>
      <c r="C127" s="201" t="inlineStr">
        <is>
          <t>NV15</t>
        </is>
      </c>
      <c r="D127" s="202" t="inlineStr">
        <is>
          <t>Đặng Ngọc Long</t>
        </is>
      </c>
      <c r="E127" s="201" t="inlineStr">
        <is>
          <t>C1+2</t>
        </is>
      </c>
      <c r="F127" s="203" t="n">
        <v>1</v>
      </c>
      <c r="G127" s="203" t="n">
        <v>8</v>
      </c>
      <c r="H127" s="203" t="n">
        <v>2</v>
      </c>
      <c r="I127" s="203" t="n">
        <v>0</v>
      </c>
      <c r="J127" s="203" t="n">
        <v>0</v>
      </c>
      <c r="K127" s="203" t="n">
        <v>0</v>
      </c>
      <c r="L127" s="204" t="n">
        <v>0</v>
      </c>
      <c r="M127" s="204" t="n">
        <v>0</v>
      </c>
      <c r="N127" s="204" t="n">
        <v>0</v>
      </c>
      <c r="O127" s="203">
        <f>H127+I127+J127+L127+M127+N127</f>
        <v/>
      </c>
      <c r="P127" s="205" t="n">
        <v>55000</v>
      </c>
      <c r="Q127" s="204" t="n">
        <v>0</v>
      </c>
      <c r="R127" s="206" t="inlineStr">
        <is>
          <t>Đảm bảo tiến độ sản xuất</t>
        </is>
      </c>
      <c r="S127" s="207" t="inlineStr">
        <is>
          <t>CÓ</t>
        </is>
      </c>
      <c r="T127" s="207" t="inlineStr">
        <is>
          <t>ĐÃ DUYỆT</t>
        </is>
      </c>
      <c r="U127" s="206" t="inlineStr">
        <is>
          <t>Quản Đốc</t>
        </is>
      </c>
      <c r="V127" s="207" t="inlineStr">
        <is>
          <t>2026-08-12 17:00:00</t>
        </is>
      </c>
      <c r="W127" s="207" t="inlineStr">
        <is>
          <t>ERP_CHAM_CONG_2026</t>
        </is>
      </c>
      <c r="X127" s="207" t="inlineStr">
        <is>
          <t>HỢP LỆ</t>
        </is>
      </c>
    </row>
    <row r="128">
      <c r="A128" s="194" t="inlineStr">
        <is>
          <t>2026-08-12</t>
        </is>
      </c>
      <c r="B128" s="194" t="inlineStr">
        <is>
          <t>2026-08-01</t>
        </is>
      </c>
      <c r="C128" s="194" t="inlineStr">
        <is>
          <t>NV14</t>
        </is>
      </c>
      <c r="D128" s="195" t="inlineStr">
        <is>
          <t>Đinh Văn Nhận</t>
        </is>
      </c>
      <c r="E128" s="194" t="inlineStr">
        <is>
          <t>C1+2</t>
        </is>
      </c>
      <c r="F128" s="196" t="n">
        <v>1</v>
      </c>
      <c r="G128" s="196" t="n">
        <v>8</v>
      </c>
      <c r="H128" s="196" t="n">
        <v>2</v>
      </c>
      <c r="I128" s="196" t="n">
        <v>0</v>
      </c>
      <c r="J128" s="196" t="n">
        <v>0</v>
      </c>
      <c r="K128" s="196" t="n">
        <v>0</v>
      </c>
      <c r="L128" s="197" t="n">
        <v>0</v>
      </c>
      <c r="M128" s="197" t="n">
        <v>0</v>
      </c>
      <c r="N128" s="197" t="n">
        <v>0</v>
      </c>
      <c r="O128" s="196">
        <f>H128+I128+J128+L128+M128+N128</f>
        <v/>
      </c>
      <c r="P128" s="198" t="n">
        <v>55000</v>
      </c>
      <c r="Q128" s="197" t="n">
        <v>0</v>
      </c>
      <c r="R128" s="199" t="inlineStr">
        <is>
          <t>Đảm bảo tiến độ sản xuất</t>
        </is>
      </c>
      <c r="S128" s="200" t="inlineStr">
        <is>
          <t>CÓ</t>
        </is>
      </c>
      <c r="T128" s="200" t="inlineStr">
        <is>
          <t>ĐÃ DUYỆT</t>
        </is>
      </c>
      <c r="U128" s="199" t="inlineStr">
        <is>
          <t>Quản Đốc</t>
        </is>
      </c>
      <c r="V128" s="200" t="inlineStr">
        <is>
          <t>2026-08-12 17:00:00</t>
        </is>
      </c>
      <c r="W128" s="200" t="inlineStr">
        <is>
          <t>ERP_CHAM_CONG_2026</t>
        </is>
      </c>
      <c r="X128" s="200" t="inlineStr">
        <is>
          <t>HỢP LỆ</t>
        </is>
      </c>
    </row>
    <row r="129">
      <c r="A129" s="201" t="inlineStr">
        <is>
          <t>2026-08-12</t>
        </is>
      </c>
      <c r="B129" s="201" t="inlineStr">
        <is>
          <t>2026-08-01</t>
        </is>
      </c>
      <c r="C129" s="201" t="inlineStr">
        <is>
          <t>NV07</t>
        </is>
      </c>
      <c r="D129" s="202" t="inlineStr">
        <is>
          <t>Phùng Gia Phúc</t>
        </is>
      </c>
      <c r="E129" s="201" t="inlineStr">
        <is>
          <t>C1+2</t>
        </is>
      </c>
      <c r="F129" s="203" t="n">
        <v>1</v>
      </c>
      <c r="G129" s="203" t="n">
        <v>8</v>
      </c>
      <c r="H129" s="203" t="n">
        <v>2</v>
      </c>
      <c r="I129" s="203" t="n">
        <v>0</v>
      </c>
      <c r="J129" s="203" t="n">
        <v>0</v>
      </c>
      <c r="K129" s="203" t="n">
        <v>0</v>
      </c>
      <c r="L129" s="204" t="n">
        <v>0</v>
      </c>
      <c r="M129" s="204" t="n">
        <v>0</v>
      </c>
      <c r="N129" s="204" t="n">
        <v>0</v>
      </c>
      <c r="O129" s="203">
        <f>H129+I129+J129+L129+M129+N129</f>
        <v/>
      </c>
      <c r="P129" s="205" t="n">
        <v>55000</v>
      </c>
      <c r="Q129" s="204" t="n">
        <v>0</v>
      </c>
      <c r="R129" s="206" t="inlineStr">
        <is>
          <t>Đảm bảo tiến độ sản xuất</t>
        </is>
      </c>
      <c r="S129" s="207" t="inlineStr">
        <is>
          <t>CÓ</t>
        </is>
      </c>
      <c r="T129" s="207" t="inlineStr">
        <is>
          <t>ĐÃ DUYỆT</t>
        </is>
      </c>
      <c r="U129" s="206" t="inlineStr">
        <is>
          <t>Quản Đốc</t>
        </is>
      </c>
      <c r="V129" s="207" t="inlineStr">
        <is>
          <t>2026-08-12 17:00:00</t>
        </is>
      </c>
      <c r="W129" s="207" t="inlineStr">
        <is>
          <t>ERP_CHAM_CONG_2026</t>
        </is>
      </c>
      <c r="X129" s="207" t="inlineStr">
        <is>
          <t>HỢP LỆ</t>
        </is>
      </c>
    </row>
    <row r="130">
      <c r="A130" s="194" t="inlineStr">
        <is>
          <t>2026-08-12</t>
        </is>
      </c>
      <c r="B130" s="194" t="inlineStr">
        <is>
          <t>2026-08-01</t>
        </is>
      </c>
      <c r="C130" s="194" t="inlineStr">
        <is>
          <t>NV13</t>
        </is>
      </c>
      <c r="D130" s="195" t="inlineStr">
        <is>
          <t>Trần Văn Quỳnh</t>
        </is>
      </c>
      <c r="E130" s="194" t="inlineStr">
        <is>
          <t>C1</t>
        </is>
      </c>
      <c r="F130" s="196" t="n">
        <v>1</v>
      </c>
      <c r="G130" s="196" t="n">
        <v>8</v>
      </c>
      <c r="H130" s="196" t="n">
        <v>0</v>
      </c>
      <c r="I130" s="196" t="n">
        <v>0</v>
      </c>
      <c r="J130" s="196" t="n">
        <v>0</v>
      </c>
      <c r="K130" s="196" t="n">
        <v>0</v>
      </c>
      <c r="L130" s="197" t="n">
        <v>0</v>
      </c>
      <c r="M130" s="197" t="n">
        <v>0</v>
      </c>
      <c r="N130" s="197" t="n">
        <v>0</v>
      </c>
      <c r="O130" s="196">
        <f>H130+I130+J130+L130+M130+N130</f>
        <v/>
      </c>
      <c r="P130" s="198" t="n">
        <v>30000</v>
      </c>
      <c r="Q130" s="197" t="n">
        <v>0</v>
      </c>
      <c r="R130" s="199" t="inlineStr"/>
      <c r="S130" s="200" t="inlineStr">
        <is>
          <t>KHÔNG</t>
        </is>
      </c>
      <c r="T130" s="200" t="inlineStr">
        <is>
          <t>ĐÃ DUYỆT</t>
        </is>
      </c>
      <c r="U130" s="199" t="inlineStr">
        <is>
          <t>Quản Đốc</t>
        </is>
      </c>
      <c r="V130" s="200" t="inlineStr">
        <is>
          <t>2026-08-12 17:00:00</t>
        </is>
      </c>
      <c r="W130" s="200" t="inlineStr">
        <is>
          <t>ERP_CHAM_CONG_2026</t>
        </is>
      </c>
      <c r="X130" s="200" t="inlineStr">
        <is>
          <t>HỢP LỆ</t>
        </is>
      </c>
    </row>
    <row r="131">
      <c r="A131" s="201" t="inlineStr">
        <is>
          <t>2026-08-12</t>
        </is>
      </c>
      <c r="B131" s="201" t="inlineStr">
        <is>
          <t>2026-08-01</t>
        </is>
      </c>
      <c r="C131" s="201" t="inlineStr">
        <is>
          <t>NV11</t>
        </is>
      </c>
      <c r="D131" s="202" t="inlineStr">
        <is>
          <t>Phùng Công Thắng</t>
        </is>
      </c>
      <c r="E131" s="201" t="inlineStr">
        <is>
          <t>C1+2</t>
        </is>
      </c>
      <c r="F131" s="203" t="n">
        <v>1</v>
      </c>
      <c r="G131" s="203" t="n">
        <v>8</v>
      </c>
      <c r="H131" s="203" t="n">
        <v>2</v>
      </c>
      <c r="I131" s="203" t="n">
        <v>0</v>
      </c>
      <c r="J131" s="203" t="n">
        <v>0</v>
      </c>
      <c r="K131" s="203" t="n">
        <v>0</v>
      </c>
      <c r="L131" s="204" t="n">
        <v>0</v>
      </c>
      <c r="M131" s="204" t="n">
        <v>0</v>
      </c>
      <c r="N131" s="204" t="n">
        <v>0</v>
      </c>
      <c r="O131" s="203">
        <f>H131+I131+J131+L131+M131+N131</f>
        <v/>
      </c>
      <c r="P131" s="205" t="n">
        <v>55000</v>
      </c>
      <c r="Q131" s="204" t="n">
        <v>0</v>
      </c>
      <c r="R131" s="206" t="inlineStr">
        <is>
          <t>Đảm bảo tiến độ sản xuất</t>
        </is>
      </c>
      <c r="S131" s="207" t="inlineStr">
        <is>
          <t>CÓ</t>
        </is>
      </c>
      <c r="T131" s="207" t="inlineStr">
        <is>
          <t>ĐÃ DUYỆT</t>
        </is>
      </c>
      <c r="U131" s="206" t="inlineStr">
        <is>
          <t>Quản Đốc</t>
        </is>
      </c>
      <c r="V131" s="207" t="inlineStr">
        <is>
          <t>2026-08-12 17:00:00</t>
        </is>
      </c>
      <c r="W131" s="207" t="inlineStr">
        <is>
          <t>ERP_CHAM_CONG_2026</t>
        </is>
      </c>
      <c r="X131" s="207" t="inlineStr">
        <is>
          <t>HỢP LỆ</t>
        </is>
      </c>
    </row>
    <row r="132">
      <c r="A132" s="194" t="inlineStr">
        <is>
          <t>2026-08-12</t>
        </is>
      </c>
      <c r="B132" s="194" t="inlineStr">
        <is>
          <t>2026-08-01</t>
        </is>
      </c>
      <c r="C132" s="194" t="inlineStr">
        <is>
          <t>NV06</t>
        </is>
      </c>
      <c r="D132" s="195" t="inlineStr">
        <is>
          <t>Nguyễn Văn Thanh</t>
        </is>
      </c>
      <c r="E132" s="194" t="inlineStr">
        <is>
          <t>C1+2</t>
        </is>
      </c>
      <c r="F132" s="196" t="n">
        <v>1</v>
      </c>
      <c r="G132" s="196" t="n">
        <v>8</v>
      </c>
      <c r="H132" s="196" t="n">
        <v>2</v>
      </c>
      <c r="I132" s="196" t="n">
        <v>0</v>
      </c>
      <c r="J132" s="196" t="n">
        <v>0</v>
      </c>
      <c r="K132" s="196" t="n">
        <v>0</v>
      </c>
      <c r="L132" s="197" t="n">
        <v>0</v>
      </c>
      <c r="M132" s="197" t="n">
        <v>0</v>
      </c>
      <c r="N132" s="197" t="n">
        <v>0</v>
      </c>
      <c r="O132" s="196">
        <f>H132+I132+J132+L132+M132+N132</f>
        <v/>
      </c>
      <c r="P132" s="198" t="n">
        <v>55000</v>
      </c>
      <c r="Q132" s="197" t="n">
        <v>0</v>
      </c>
      <c r="R132" s="199" t="inlineStr">
        <is>
          <t>Đảm bảo tiến độ sản xuất</t>
        </is>
      </c>
      <c r="S132" s="200" t="inlineStr">
        <is>
          <t>CÓ</t>
        </is>
      </c>
      <c r="T132" s="200" t="inlineStr">
        <is>
          <t>ĐÃ DUYỆT</t>
        </is>
      </c>
      <c r="U132" s="199" t="inlineStr">
        <is>
          <t>Quản Đốc</t>
        </is>
      </c>
      <c r="V132" s="200" t="inlineStr">
        <is>
          <t>2026-08-12 17:00:00</t>
        </is>
      </c>
      <c r="W132" s="200" t="inlineStr">
        <is>
          <t>ERP_CHAM_CONG_2026</t>
        </is>
      </c>
      <c r="X132" s="200" t="inlineStr">
        <is>
          <t>HỢP LỆ</t>
        </is>
      </c>
    </row>
    <row r="133">
      <c r="A133" s="201" t="inlineStr">
        <is>
          <t>2026-08-12</t>
        </is>
      </c>
      <c r="B133" s="201" t="inlineStr">
        <is>
          <t>2026-08-01</t>
        </is>
      </c>
      <c r="C133" s="201" t="inlineStr">
        <is>
          <t>NV04</t>
        </is>
      </c>
      <c r="D133" s="202" t="inlineStr">
        <is>
          <t>Vũ Tiến Thuận</t>
        </is>
      </c>
      <c r="E133" s="201" t="inlineStr">
        <is>
          <t>C1+2</t>
        </is>
      </c>
      <c r="F133" s="203" t="n">
        <v>1</v>
      </c>
      <c r="G133" s="203" t="n">
        <v>8</v>
      </c>
      <c r="H133" s="203" t="n">
        <v>2</v>
      </c>
      <c r="I133" s="203" t="n">
        <v>0</v>
      </c>
      <c r="J133" s="203" t="n">
        <v>0</v>
      </c>
      <c r="K133" s="203" t="n">
        <v>0</v>
      </c>
      <c r="L133" s="204" t="n">
        <v>0</v>
      </c>
      <c r="M133" s="204" t="n">
        <v>0</v>
      </c>
      <c r="N133" s="204" t="n">
        <v>0</v>
      </c>
      <c r="O133" s="203">
        <f>H133+I133+J133+L133+M133+N133</f>
        <v/>
      </c>
      <c r="P133" s="205" t="n">
        <v>55000</v>
      </c>
      <c r="Q133" s="204" t="n">
        <v>0</v>
      </c>
      <c r="R133" s="206" t="inlineStr">
        <is>
          <t>Đảm bảo tiến độ sản xuất</t>
        </is>
      </c>
      <c r="S133" s="207" t="inlineStr">
        <is>
          <t>CÓ</t>
        </is>
      </c>
      <c r="T133" s="207" t="inlineStr">
        <is>
          <t>ĐÃ DUYỆT</t>
        </is>
      </c>
      <c r="U133" s="206" t="inlineStr">
        <is>
          <t>Quản Đốc</t>
        </is>
      </c>
      <c r="V133" s="207" t="inlineStr">
        <is>
          <t>2026-08-12 17:00:00</t>
        </is>
      </c>
      <c r="W133" s="207" t="inlineStr">
        <is>
          <t>ERP_CHAM_CONG_2026</t>
        </is>
      </c>
      <c r="X133" s="207" t="inlineStr">
        <is>
          <t>HỢP LỆ</t>
        </is>
      </c>
    </row>
    <row r="134">
      <c r="A134" s="194" t="inlineStr">
        <is>
          <t>2026-08-12</t>
        </is>
      </c>
      <c r="B134" s="194" t="inlineStr">
        <is>
          <t>2026-08-01</t>
        </is>
      </c>
      <c r="C134" s="194" t="inlineStr">
        <is>
          <t>NV10</t>
        </is>
      </c>
      <c r="D134" s="195" t="inlineStr">
        <is>
          <t>Phạm Văn Tráng</t>
        </is>
      </c>
      <c r="E134" s="194" t="inlineStr">
        <is>
          <t>C1+2</t>
        </is>
      </c>
      <c r="F134" s="196" t="n">
        <v>1</v>
      </c>
      <c r="G134" s="196" t="n">
        <v>8</v>
      </c>
      <c r="H134" s="196" t="n">
        <v>2</v>
      </c>
      <c r="I134" s="196" t="n">
        <v>0</v>
      </c>
      <c r="J134" s="196" t="n">
        <v>0</v>
      </c>
      <c r="K134" s="196" t="n">
        <v>0</v>
      </c>
      <c r="L134" s="197" t="n">
        <v>0</v>
      </c>
      <c r="M134" s="197" t="n">
        <v>0</v>
      </c>
      <c r="N134" s="197" t="n">
        <v>0</v>
      </c>
      <c r="O134" s="196">
        <f>H134+I134+J134+L134+M134+N134</f>
        <v/>
      </c>
      <c r="P134" s="198" t="n">
        <v>55000</v>
      </c>
      <c r="Q134" s="197" t="n">
        <v>0</v>
      </c>
      <c r="R134" s="199" t="inlineStr">
        <is>
          <t>Đảm bảo tiến độ sản xuất</t>
        </is>
      </c>
      <c r="S134" s="200" t="inlineStr">
        <is>
          <t>CÓ</t>
        </is>
      </c>
      <c r="T134" s="200" t="inlineStr">
        <is>
          <t>ĐÃ DUYỆT</t>
        </is>
      </c>
      <c r="U134" s="199" t="inlineStr">
        <is>
          <t>Quản Đốc</t>
        </is>
      </c>
      <c r="V134" s="200" t="inlineStr">
        <is>
          <t>2026-08-12 17:00:00</t>
        </is>
      </c>
      <c r="W134" s="200" t="inlineStr">
        <is>
          <t>ERP_CHAM_CONG_2026</t>
        </is>
      </c>
      <c r="X134" s="200" t="inlineStr">
        <is>
          <t>HỢP LỆ</t>
        </is>
      </c>
    </row>
    <row r="135">
      <c r="A135" s="201" t="inlineStr">
        <is>
          <t>2026-08-13</t>
        </is>
      </c>
      <c r="B135" s="201" t="inlineStr">
        <is>
          <t>2026-08-01</t>
        </is>
      </c>
      <c r="C135" s="201" t="inlineStr">
        <is>
          <t>NV02</t>
        </is>
      </c>
      <c r="D135" s="202" t="inlineStr">
        <is>
          <t>Nguyễn Trung Đông</t>
        </is>
      </c>
      <c r="E135" s="201" t="inlineStr">
        <is>
          <t>C1</t>
        </is>
      </c>
      <c r="F135" s="203" t="n">
        <v>1</v>
      </c>
      <c r="G135" s="203" t="n">
        <v>8</v>
      </c>
      <c r="H135" s="203" t="n">
        <v>0</v>
      </c>
      <c r="I135" s="203" t="n">
        <v>0</v>
      </c>
      <c r="J135" s="203" t="n">
        <v>0</v>
      </c>
      <c r="K135" s="203" t="n">
        <v>0</v>
      </c>
      <c r="L135" s="204" t="n">
        <v>0</v>
      </c>
      <c r="M135" s="204" t="n">
        <v>0</v>
      </c>
      <c r="N135" s="204" t="n">
        <v>0</v>
      </c>
      <c r="O135" s="203">
        <f>H135+I135+J135+L135+M135+N135</f>
        <v/>
      </c>
      <c r="P135" s="205" t="n">
        <v>30000</v>
      </c>
      <c r="Q135" s="204" t="n">
        <v>0</v>
      </c>
      <c r="R135" s="206" t="inlineStr"/>
      <c r="S135" s="207" t="inlineStr">
        <is>
          <t>KHÔNG</t>
        </is>
      </c>
      <c r="T135" s="207" t="inlineStr">
        <is>
          <t>ĐÃ DUYỆT</t>
        </is>
      </c>
      <c r="U135" s="206" t="inlineStr">
        <is>
          <t>Quản Đốc</t>
        </is>
      </c>
      <c r="V135" s="207" t="inlineStr">
        <is>
          <t>2026-08-13 17:00:00</t>
        </is>
      </c>
      <c r="W135" s="207" t="inlineStr">
        <is>
          <t>ERP_CHAM_CONG_2026</t>
        </is>
      </c>
      <c r="X135" s="207" t="inlineStr">
        <is>
          <t>HỢP LỆ</t>
        </is>
      </c>
    </row>
    <row r="136">
      <c r="A136" s="194" t="inlineStr">
        <is>
          <t>2026-08-13</t>
        </is>
      </c>
      <c r="B136" s="194" t="inlineStr">
        <is>
          <t>2026-08-01</t>
        </is>
      </c>
      <c r="C136" s="194" t="inlineStr">
        <is>
          <t>NV08</t>
        </is>
      </c>
      <c r="D136" s="195" t="inlineStr">
        <is>
          <t>Trần Văn Dũng</t>
        </is>
      </c>
      <c r="E136" s="194" t="inlineStr">
        <is>
          <t>C1+2</t>
        </is>
      </c>
      <c r="F136" s="196" t="n">
        <v>1</v>
      </c>
      <c r="G136" s="196" t="n">
        <v>8</v>
      </c>
      <c r="H136" s="196" t="n">
        <v>2</v>
      </c>
      <c r="I136" s="196" t="n">
        <v>0</v>
      </c>
      <c r="J136" s="196" t="n">
        <v>0</v>
      </c>
      <c r="K136" s="196" t="n">
        <v>0</v>
      </c>
      <c r="L136" s="197" t="n">
        <v>0</v>
      </c>
      <c r="M136" s="197" t="n">
        <v>0</v>
      </c>
      <c r="N136" s="197" t="n">
        <v>0</v>
      </c>
      <c r="O136" s="196">
        <f>H136+I136+J136+L136+M136+N136</f>
        <v/>
      </c>
      <c r="P136" s="198" t="n">
        <v>55000</v>
      </c>
      <c r="Q136" s="197" t="n">
        <v>0</v>
      </c>
      <c r="R136" s="199" t="inlineStr">
        <is>
          <t>Đảm bảo tiến độ sản xuất</t>
        </is>
      </c>
      <c r="S136" s="200" t="inlineStr">
        <is>
          <t>CÓ</t>
        </is>
      </c>
      <c r="T136" s="200" t="inlineStr">
        <is>
          <t>ĐÃ DUYỆT</t>
        </is>
      </c>
      <c r="U136" s="199" t="inlineStr">
        <is>
          <t>Quản Đốc</t>
        </is>
      </c>
      <c r="V136" s="200" t="inlineStr">
        <is>
          <t>2026-08-13 17:00:00</t>
        </is>
      </c>
      <c r="W136" s="200" t="inlineStr">
        <is>
          <t>ERP_CHAM_CONG_2026</t>
        </is>
      </c>
      <c r="X136" s="200" t="inlineStr">
        <is>
          <t>HỢP LỆ</t>
        </is>
      </c>
    </row>
    <row r="137">
      <c r="A137" s="201" t="inlineStr">
        <is>
          <t>2026-08-13</t>
        </is>
      </c>
      <c r="B137" s="201" t="inlineStr">
        <is>
          <t>2026-08-01</t>
        </is>
      </c>
      <c r="C137" s="201" t="inlineStr">
        <is>
          <t>NV01</t>
        </is>
      </c>
      <c r="D137" s="202" t="inlineStr">
        <is>
          <t>Hoàng Ngọc Hà</t>
        </is>
      </c>
      <c r="E137" s="201" t="inlineStr">
        <is>
          <t>C1</t>
        </is>
      </c>
      <c r="F137" s="203" t="n">
        <v>1</v>
      </c>
      <c r="G137" s="203" t="n">
        <v>8</v>
      </c>
      <c r="H137" s="203" t="n">
        <v>0</v>
      </c>
      <c r="I137" s="203" t="n">
        <v>0</v>
      </c>
      <c r="J137" s="203" t="n">
        <v>0</v>
      </c>
      <c r="K137" s="203" t="n">
        <v>0</v>
      </c>
      <c r="L137" s="204" t="n">
        <v>0</v>
      </c>
      <c r="M137" s="204" t="n">
        <v>0</v>
      </c>
      <c r="N137" s="204" t="n">
        <v>0</v>
      </c>
      <c r="O137" s="203">
        <f>H137+I137+J137+L137+M137+N137</f>
        <v/>
      </c>
      <c r="P137" s="205" t="n">
        <v>30000</v>
      </c>
      <c r="Q137" s="204" t="n">
        <v>0</v>
      </c>
      <c r="R137" s="206" t="inlineStr"/>
      <c r="S137" s="207" t="inlineStr">
        <is>
          <t>KHÔNG</t>
        </is>
      </c>
      <c r="T137" s="207" t="inlineStr">
        <is>
          <t>ĐÃ DUYỆT</t>
        </is>
      </c>
      <c r="U137" s="206" t="inlineStr">
        <is>
          <t>Quản Đốc</t>
        </is>
      </c>
      <c r="V137" s="207" t="inlineStr">
        <is>
          <t>2026-08-13 17:00:00</t>
        </is>
      </c>
      <c r="W137" s="207" t="inlineStr">
        <is>
          <t>ERP_CHAM_CONG_2026</t>
        </is>
      </c>
      <c r="X137" s="207" t="inlineStr">
        <is>
          <t>HỢP LỆ</t>
        </is>
      </c>
    </row>
    <row r="138">
      <c r="A138" s="194" t="inlineStr">
        <is>
          <t>2026-08-13</t>
        </is>
      </c>
      <c r="B138" s="194" t="inlineStr">
        <is>
          <t>2026-08-01</t>
        </is>
      </c>
      <c r="C138" s="194" t="inlineStr">
        <is>
          <t>NV03</t>
        </is>
      </c>
      <c r="D138" s="195" t="inlineStr">
        <is>
          <t>Phùng Đình Hùng</t>
        </is>
      </c>
      <c r="E138" s="194" t="inlineStr">
        <is>
          <t>C1</t>
        </is>
      </c>
      <c r="F138" s="196" t="n">
        <v>1</v>
      </c>
      <c r="G138" s="196" t="n">
        <v>8</v>
      </c>
      <c r="H138" s="196" t="n">
        <v>0</v>
      </c>
      <c r="I138" s="196" t="n">
        <v>0</v>
      </c>
      <c r="J138" s="196" t="n">
        <v>0</v>
      </c>
      <c r="K138" s="196" t="n">
        <v>0</v>
      </c>
      <c r="L138" s="197" t="n">
        <v>0</v>
      </c>
      <c r="M138" s="197" t="n">
        <v>0</v>
      </c>
      <c r="N138" s="197" t="n">
        <v>0</v>
      </c>
      <c r="O138" s="196">
        <f>H138+I138+J138+L138+M138+N138</f>
        <v/>
      </c>
      <c r="P138" s="198" t="n">
        <v>30000</v>
      </c>
      <c r="Q138" s="197" t="n">
        <v>0</v>
      </c>
      <c r="R138" s="199" t="inlineStr"/>
      <c r="S138" s="200" t="inlineStr">
        <is>
          <t>KHÔNG</t>
        </is>
      </c>
      <c r="T138" s="200" t="inlineStr">
        <is>
          <t>ĐÃ DUYỆT</t>
        </is>
      </c>
      <c r="U138" s="199" t="inlineStr">
        <is>
          <t>Quản Đốc</t>
        </is>
      </c>
      <c r="V138" s="200" t="inlineStr">
        <is>
          <t>2026-08-13 17:00:00</t>
        </is>
      </c>
      <c r="W138" s="200" t="inlineStr">
        <is>
          <t>ERP_CHAM_CONG_2026</t>
        </is>
      </c>
      <c r="X138" s="200" t="inlineStr">
        <is>
          <t>HỢP LỆ</t>
        </is>
      </c>
    </row>
    <row r="139">
      <c r="A139" s="201" t="inlineStr">
        <is>
          <t>2026-08-13</t>
        </is>
      </c>
      <c r="B139" s="201" t="inlineStr">
        <is>
          <t>2026-08-01</t>
        </is>
      </c>
      <c r="C139" s="201" t="inlineStr">
        <is>
          <t>NV15</t>
        </is>
      </c>
      <c r="D139" s="202" t="inlineStr">
        <is>
          <t>Đặng Ngọc Long</t>
        </is>
      </c>
      <c r="E139" s="201" t="inlineStr">
        <is>
          <t>C1+2</t>
        </is>
      </c>
      <c r="F139" s="203" t="n">
        <v>1</v>
      </c>
      <c r="G139" s="203" t="n">
        <v>8</v>
      </c>
      <c r="H139" s="203" t="n">
        <v>2</v>
      </c>
      <c r="I139" s="203" t="n">
        <v>0</v>
      </c>
      <c r="J139" s="203" t="n">
        <v>0</v>
      </c>
      <c r="K139" s="203" t="n">
        <v>0</v>
      </c>
      <c r="L139" s="204" t="n">
        <v>0</v>
      </c>
      <c r="M139" s="204" t="n">
        <v>0</v>
      </c>
      <c r="N139" s="204" t="n">
        <v>0</v>
      </c>
      <c r="O139" s="203">
        <f>H139+I139+J139+L139+M139+N139</f>
        <v/>
      </c>
      <c r="P139" s="205" t="n">
        <v>55000</v>
      </c>
      <c r="Q139" s="204" t="n">
        <v>0</v>
      </c>
      <c r="R139" s="206" t="inlineStr">
        <is>
          <t>Đảm bảo tiến độ sản xuất</t>
        </is>
      </c>
      <c r="S139" s="207" t="inlineStr">
        <is>
          <t>CÓ</t>
        </is>
      </c>
      <c r="T139" s="207" t="inlineStr">
        <is>
          <t>ĐÃ DUYỆT</t>
        </is>
      </c>
      <c r="U139" s="206" t="inlineStr">
        <is>
          <t>Quản Đốc</t>
        </is>
      </c>
      <c r="V139" s="207" t="inlineStr">
        <is>
          <t>2026-08-13 17:00:00</t>
        </is>
      </c>
      <c r="W139" s="207" t="inlineStr">
        <is>
          <t>ERP_CHAM_CONG_2026</t>
        </is>
      </c>
      <c r="X139" s="207" t="inlineStr">
        <is>
          <t>HỢP LỆ</t>
        </is>
      </c>
    </row>
    <row r="140">
      <c r="A140" s="194" t="inlineStr">
        <is>
          <t>2026-08-13</t>
        </is>
      </c>
      <c r="B140" s="194" t="inlineStr">
        <is>
          <t>2026-08-01</t>
        </is>
      </c>
      <c r="C140" s="194" t="inlineStr">
        <is>
          <t>NV14</t>
        </is>
      </c>
      <c r="D140" s="195" t="inlineStr">
        <is>
          <t>Đinh Văn Nhận</t>
        </is>
      </c>
      <c r="E140" s="194" t="inlineStr">
        <is>
          <t>C1+2</t>
        </is>
      </c>
      <c r="F140" s="196" t="n">
        <v>1</v>
      </c>
      <c r="G140" s="196" t="n">
        <v>8</v>
      </c>
      <c r="H140" s="196" t="n">
        <v>2</v>
      </c>
      <c r="I140" s="196" t="n">
        <v>0</v>
      </c>
      <c r="J140" s="196" t="n">
        <v>0</v>
      </c>
      <c r="K140" s="196" t="n">
        <v>0</v>
      </c>
      <c r="L140" s="197" t="n">
        <v>0</v>
      </c>
      <c r="M140" s="197" t="n">
        <v>0</v>
      </c>
      <c r="N140" s="197" t="n">
        <v>0</v>
      </c>
      <c r="O140" s="196">
        <f>H140+I140+J140+L140+M140+N140</f>
        <v/>
      </c>
      <c r="P140" s="198" t="n">
        <v>55000</v>
      </c>
      <c r="Q140" s="197" t="n">
        <v>0</v>
      </c>
      <c r="R140" s="199" t="inlineStr">
        <is>
          <t>Đảm bảo tiến độ sản xuất</t>
        </is>
      </c>
      <c r="S140" s="200" t="inlineStr">
        <is>
          <t>CÓ</t>
        </is>
      </c>
      <c r="T140" s="200" t="inlineStr">
        <is>
          <t>ĐÃ DUYỆT</t>
        </is>
      </c>
      <c r="U140" s="199" t="inlineStr">
        <is>
          <t>Quản Đốc</t>
        </is>
      </c>
      <c r="V140" s="200" t="inlineStr">
        <is>
          <t>2026-08-13 17:00:00</t>
        </is>
      </c>
      <c r="W140" s="200" t="inlineStr">
        <is>
          <t>ERP_CHAM_CONG_2026</t>
        </is>
      </c>
      <c r="X140" s="200" t="inlineStr">
        <is>
          <t>HỢP LỆ</t>
        </is>
      </c>
    </row>
    <row r="141">
      <c r="A141" s="201" t="inlineStr">
        <is>
          <t>2026-08-13</t>
        </is>
      </c>
      <c r="B141" s="201" t="inlineStr">
        <is>
          <t>2026-08-01</t>
        </is>
      </c>
      <c r="C141" s="201" t="inlineStr">
        <is>
          <t>NV07</t>
        </is>
      </c>
      <c r="D141" s="202" t="inlineStr">
        <is>
          <t>Phùng Gia Phúc</t>
        </is>
      </c>
      <c r="E141" s="201" t="inlineStr">
        <is>
          <t>C1+2</t>
        </is>
      </c>
      <c r="F141" s="203" t="n">
        <v>1</v>
      </c>
      <c r="G141" s="203" t="n">
        <v>8</v>
      </c>
      <c r="H141" s="203" t="n">
        <v>2</v>
      </c>
      <c r="I141" s="203" t="n">
        <v>0</v>
      </c>
      <c r="J141" s="203" t="n">
        <v>0</v>
      </c>
      <c r="K141" s="203" t="n">
        <v>0</v>
      </c>
      <c r="L141" s="204" t="n">
        <v>0</v>
      </c>
      <c r="M141" s="204" t="n">
        <v>0</v>
      </c>
      <c r="N141" s="204" t="n">
        <v>0</v>
      </c>
      <c r="O141" s="203">
        <f>H141+I141+J141+L141+M141+N141</f>
        <v/>
      </c>
      <c r="P141" s="205" t="n">
        <v>55000</v>
      </c>
      <c r="Q141" s="204" t="n">
        <v>0</v>
      </c>
      <c r="R141" s="206" t="inlineStr">
        <is>
          <t>Đảm bảo tiến độ sản xuất</t>
        </is>
      </c>
      <c r="S141" s="207" t="inlineStr">
        <is>
          <t>CÓ</t>
        </is>
      </c>
      <c r="T141" s="207" t="inlineStr">
        <is>
          <t>ĐÃ DUYỆT</t>
        </is>
      </c>
      <c r="U141" s="206" t="inlineStr">
        <is>
          <t>Quản Đốc</t>
        </is>
      </c>
      <c r="V141" s="207" t="inlineStr">
        <is>
          <t>2026-08-13 17:00:00</t>
        </is>
      </c>
      <c r="W141" s="207" t="inlineStr">
        <is>
          <t>ERP_CHAM_CONG_2026</t>
        </is>
      </c>
      <c r="X141" s="207" t="inlineStr">
        <is>
          <t>HỢP LỆ</t>
        </is>
      </c>
    </row>
    <row r="142">
      <c r="A142" s="194" t="inlineStr">
        <is>
          <t>2026-08-13</t>
        </is>
      </c>
      <c r="B142" s="194" t="inlineStr">
        <is>
          <t>2026-08-01</t>
        </is>
      </c>
      <c r="C142" s="194" t="inlineStr">
        <is>
          <t>NV13</t>
        </is>
      </c>
      <c r="D142" s="195" t="inlineStr">
        <is>
          <t>Trần Văn Quỳnh</t>
        </is>
      </c>
      <c r="E142" s="194" t="inlineStr">
        <is>
          <t>C1</t>
        </is>
      </c>
      <c r="F142" s="196" t="n">
        <v>1</v>
      </c>
      <c r="G142" s="196" t="n">
        <v>8</v>
      </c>
      <c r="H142" s="196" t="n">
        <v>0</v>
      </c>
      <c r="I142" s="196" t="n">
        <v>0</v>
      </c>
      <c r="J142" s="196" t="n">
        <v>0</v>
      </c>
      <c r="K142" s="196" t="n">
        <v>0</v>
      </c>
      <c r="L142" s="197" t="n">
        <v>0</v>
      </c>
      <c r="M142" s="197" t="n">
        <v>0</v>
      </c>
      <c r="N142" s="197" t="n">
        <v>0</v>
      </c>
      <c r="O142" s="196">
        <f>H142+I142+J142+L142+M142+N142</f>
        <v/>
      </c>
      <c r="P142" s="198" t="n">
        <v>30000</v>
      </c>
      <c r="Q142" s="197" t="n">
        <v>0</v>
      </c>
      <c r="R142" s="199" t="inlineStr"/>
      <c r="S142" s="200" t="inlineStr">
        <is>
          <t>KHÔNG</t>
        </is>
      </c>
      <c r="T142" s="200" t="inlineStr">
        <is>
          <t>ĐÃ DUYỆT</t>
        </is>
      </c>
      <c r="U142" s="199" t="inlineStr">
        <is>
          <t>Quản Đốc</t>
        </is>
      </c>
      <c r="V142" s="200" t="inlineStr">
        <is>
          <t>2026-08-13 17:00:00</t>
        </is>
      </c>
      <c r="W142" s="200" t="inlineStr">
        <is>
          <t>ERP_CHAM_CONG_2026</t>
        </is>
      </c>
      <c r="X142" s="200" t="inlineStr">
        <is>
          <t>HỢP LỆ</t>
        </is>
      </c>
    </row>
    <row r="143">
      <c r="A143" s="201" t="inlineStr">
        <is>
          <t>2026-08-13</t>
        </is>
      </c>
      <c r="B143" s="201" t="inlineStr">
        <is>
          <t>2026-08-01</t>
        </is>
      </c>
      <c r="C143" s="201" t="inlineStr">
        <is>
          <t>NV11</t>
        </is>
      </c>
      <c r="D143" s="202" t="inlineStr">
        <is>
          <t>Phùng Công Thắng</t>
        </is>
      </c>
      <c r="E143" s="201" t="inlineStr">
        <is>
          <t>C1</t>
        </is>
      </c>
      <c r="F143" s="203" t="n">
        <v>1</v>
      </c>
      <c r="G143" s="203" t="n">
        <v>8</v>
      </c>
      <c r="H143" s="203" t="n">
        <v>0</v>
      </c>
      <c r="I143" s="203" t="n">
        <v>0</v>
      </c>
      <c r="J143" s="203" t="n">
        <v>0</v>
      </c>
      <c r="K143" s="203" t="n">
        <v>0</v>
      </c>
      <c r="L143" s="204" t="n">
        <v>0</v>
      </c>
      <c r="M143" s="204" t="n">
        <v>0</v>
      </c>
      <c r="N143" s="204" t="n">
        <v>0</v>
      </c>
      <c r="O143" s="203">
        <f>H143+I143+J143+L143+M143+N143</f>
        <v/>
      </c>
      <c r="P143" s="205" t="n">
        <v>30000</v>
      </c>
      <c r="Q143" s="204" t="n">
        <v>0</v>
      </c>
      <c r="R143" s="206" t="inlineStr"/>
      <c r="S143" s="207" t="inlineStr">
        <is>
          <t>KHÔNG</t>
        </is>
      </c>
      <c r="T143" s="207" t="inlineStr">
        <is>
          <t>ĐÃ DUYỆT</t>
        </is>
      </c>
      <c r="U143" s="206" t="inlineStr">
        <is>
          <t>Quản Đốc</t>
        </is>
      </c>
      <c r="V143" s="207" t="inlineStr">
        <is>
          <t>2026-08-13 17:00:00</t>
        </is>
      </c>
      <c r="W143" s="207" t="inlineStr">
        <is>
          <t>ERP_CHAM_CONG_2026</t>
        </is>
      </c>
      <c r="X143" s="207" t="inlineStr">
        <is>
          <t>HỢP LỆ</t>
        </is>
      </c>
    </row>
    <row r="144">
      <c r="A144" s="194" t="inlineStr">
        <is>
          <t>2026-08-13</t>
        </is>
      </c>
      <c r="B144" s="194" t="inlineStr">
        <is>
          <t>2026-08-01</t>
        </is>
      </c>
      <c r="C144" s="194" t="inlineStr">
        <is>
          <t>NV06</t>
        </is>
      </c>
      <c r="D144" s="195" t="inlineStr">
        <is>
          <t>Nguyễn Văn Thanh</t>
        </is>
      </c>
      <c r="E144" s="194" t="inlineStr">
        <is>
          <t>C1+2</t>
        </is>
      </c>
      <c r="F144" s="196" t="n">
        <v>1</v>
      </c>
      <c r="G144" s="196" t="n">
        <v>8</v>
      </c>
      <c r="H144" s="196" t="n">
        <v>2</v>
      </c>
      <c r="I144" s="196" t="n">
        <v>0</v>
      </c>
      <c r="J144" s="196" t="n">
        <v>0</v>
      </c>
      <c r="K144" s="196" t="n">
        <v>0</v>
      </c>
      <c r="L144" s="197" t="n">
        <v>0</v>
      </c>
      <c r="M144" s="197" t="n">
        <v>0</v>
      </c>
      <c r="N144" s="197" t="n">
        <v>0</v>
      </c>
      <c r="O144" s="196">
        <f>H144+I144+J144+L144+M144+N144</f>
        <v/>
      </c>
      <c r="P144" s="198" t="n">
        <v>55000</v>
      </c>
      <c r="Q144" s="197" t="n">
        <v>0</v>
      </c>
      <c r="R144" s="199" t="inlineStr">
        <is>
          <t>Đảm bảo tiến độ sản xuất</t>
        </is>
      </c>
      <c r="S144" s="200" t="inlineStr">
        <is>
          <t>CÓ</t>
        </is>
      </c>
      <c r="T144" s="200" t="inlineStr">
        <is>
          <t>ĐÃ DUYỆT</t>
        </is>
      </c>
      <c r="U144" s="199" t="inlineStr">
        <is>
          <t>Quản Đốc</t>
        </is>
      </c>
      <c r="V144" s="200" t="inlineStr">
        <is>
          <t>2026-08-13 17:00:00</t>
        </is>
      </c>
      <c r="W144" s="200" t="inlineStr">
        <is>
          <t>ERP_CHAM_CONG_2026</t>
        </is>
      </c>
      <c r="X144" s="200" t="inlineStr">
        <is>
          <t>HỢP LỆ</t>
        </is>
      </c>
    </row>
    <row r="145">
      <c r="A145" s="201" t="inlineStr">
        <is>
          <t>2026-08-13</t>
        </is>
      </c>
      <c r="B145" s="201" t="inlineStr">
        <is>
          <t>2026-08-01</t>
        </is>
      </c>
      <c r="C145" s="201" t="inlineStr">
        <is>
          <t>NV04</t>
        </is>
      </c>
      <c r="D145" s="202" t="inlineStr">
        <is>
          <t>Vũ Tiến Thuận</t>
        </is>
      </c>
      <c r="E145" s="201" t="inlineStr">
        <is>
          <t>C1+2</t>
        </is>
      </c>
      <c r="F145" s="203" t="n">
        <v>1</v>
      </c>
      <c r="G145" s="203" t="n">
        <v>8</v>
      </c>
      <c r="H145" s="203" t="n">
        <v>2</v>
      </c>
      <c r="I145" s="203" t="n">
        <v>0</v>
      </c>
      <c r="J145" s="203" t="n">
        <v>0</v>
      </c>
      <c r="K145" s="203" t="n">
        <v>0</v>
      </c>
      <c r="L145" s="204" t="n">
        <v>0</v>
      </c>
      <c r="M145" s="204" t="n">
        <v>0</v>
      </c>
      <c r="N145" s="204" t="n">
        <v>0</v>
      </c>
      <c r="O145" s="203">
        <f>H145+I145+J145+L145+M145+N145</f>
        <v/>
      </c>
      <c r="P145" s="205" t="n">
        <v>55000</v>
      </c>
      <c r="Q145" s="204" t="n">
        <v>0</v>
      </c>
      <c r="R145" s="206" t="inlineStr">
        <is>
          <t>Đảm bảo tiến độ sản xuất</t>
        </is>
      </c>
      <c r="S145" s="207" t="inlineStr">
        <is>
          <t>CÓ</t>
        </is>
      </c>
      <c r="T145" s="207" t="inlineStr">
        <is>
          <t>ĐÃ DUYỆT</t>
        </is>
      </c>
      <c r="U145" s="206" t="inlineStr">
        <is>
          <t>Quản Đốc</t>
        </is>
      </c>
      <c r="V145" s="207" t="inlineStr">
        <is>
          <t>2026-08-13 17:00:00</t>
        </is>
      </c>
      <c r="W145" s="207" t="inlineStr">
        <is>
          <t>ERP_CHAM_CONG_2026</t>
        </is>
      </c>
      <c r="X145" s="207" t="inlineStr">
        <is>
          <t>HỢP LỆ</t>
        </is>
      </c>
    </row>
    <row r="146">
      <c r="A146" s="194" t="inlineStr">
        <is>
          <t>2026-08-13</t>
        </is>
      </c>
      <c r="B146" s="194" t="inlineStr">
        <is>
          <t>2026-08-01</t>
        </is>
      </c>
      <c r="C146" s="194" t="inlineStr">
        <is>
          <t>NV10</t>
        </is>
      </c>
      <c r="D146" s="195" t="inlineStr">
        <is>
          <t>Phạm Văn Tráng</t>
        </is>
      </c>
      <c r="E146" s="194" t="inlineStr">
        <is>
          <t>C1+2</t>
        </is>
      </c>
      <c r="F146" s="196" t="n">
        <v>1</v>
      </c>
      <c r="G146" s="196" t="n">
        <v>8</v>
      </c>
      <c r="H146" s="196" t="n">
        <v>2</v>
      </c>
      <c r="I146" s="196" t="n">
        <v>0</v>
      </c>
      <c r="J146" s="196" t="n">
        <v>0</v>
      </c>
      <c r="K146" s="196" t="n">
        <v>0</v>
      </c>
      <c r="L146" s="197" t="n">
        <v>0</v>
      </c>
      <c r="M146" s="197" t="n">
        <v>0</v>
      </c>
      <c r="N146" s="197" t="n">
        <v>0</v>
      </c>
      <c r="O146" s="196">
        <f>H146+I146+J146+L146+M146+N146</f>
        <v/>
      </c>
      <c r="P146" s="198" t="n">
        <v>55000</v>
      </c>
      <c r="Q146" s="197" t="n">
        <v>0</v>
      </c>
      <c r="R146" s="199" t="inlineStr">
        <is>
          <t>Đảm bảo tiến độ sản xuất</t>
        </is>
      </c>
      <c r="S146" s="200" t="inlineStr">
        <is>
          <t>CÓ</t>
        </is>
      </c>
      <c r="T146" s="200" t="inlineStr">
        <is>
          <t>ĐÃ DUYỆT</t>
        </is>
      </c>
      <c r="U146" s="199" t="inlineStr">
        <is>
          <t>Quản Đốc</t>
        </is>
      </c>
      <c r="V146" s="200" t="inlineStr">
        <is>
          <t>2026-08-13 17:00:00</t>
        </is>
      </c>
      <c r="W146" s="200" t="inlineStr">
        <is>
          <t>ERP_CHAM_CONG_2026</t>
        </is>
      </c>
      <c r="X146" s="200" t="inlineStr">
        <is>
          <t>HỢP LỆ</t>
        </is>
      </c>
    </row>
    <row r="147">
      <c r="A147" s="201" t="inlineStr">
        <is>
          <t>2026-08-14</t>
        </is>
      </c>
      <c r="B147" s="201" t="inlineStr">
        <is>
          <t>2026-08-01</t>
        </is>
      </c>
      <c r="C147" s="201" t="inlineStr">
        <is>
          <t>NV02</t>
        </is>
      </c>
      <c r="D147" s="202" t="inlineStr">
        <is>
          <t>Nguyễn Trung Đông</t>
        </is>
      </c>
      <c r="E147" s="201" t="inlineStr">
        <is>
          <t>C1</t>
        </is>
      </c>
      <c r="F147" s="203" t="n">
        <v>1</v>
      </c>
      <c r="G147" s="203" t="n">
        <v>8</v>
      </c>
      <c r="H147" s="203" t="n">
        <v>0</v>
      </c>
      <c r="I147" s="203" t="n">
        <v>0</v>
      </c>
      <c r="J147" s="203" t="n">
        <v>0</v>
      </c>
      <c r="K147" s="203" t="n">
        <v>0</v>
      </c>
      <c r="L147" s="204" t="n">
        <v>0</v>
      </c>
      <c r="M147" s="204" t="n">
        <v>0</v>
      </c>
      <c r="N147" s="204" t="n">
        <v>0</v>
      </c>
      <c r="O147" s="203">
        <f>H147+I147+J147+L147+M147+N147</f>
        <v/>
      </c>
      <c r="P147" s="205" t="n">
        <v>30000</v>
      </c>
      <c r="Q147" s="204" t="n">
        <v>0</v>
      </c>
      <c r="R147" s="206" t="inlineStr"/>
      <c r="S147" s="207" t="inlineStr">
        <is>
          <t>KHÔNG</t>
        </is>
      </c>
      <c r="T147" s="207" t="inlineStr">
        <is>
          <t>ĐÃ DUYỆT</t>
        </is>
      </c>
      <c r="U147" s="206" t="inlineStr">
        <is>
          <t>Quản Đốc</t>
        </is>
      </c>
      <c r="V147" s="207" t="inlineStr">
        <is>
          <t>2026-08-14 17:00:00</t>
        </is>
      </c>
      <c r="W147" s="207" t="inlineStr">
        <is>
          <t>ERP_CHAM_CONG_2026</t>
        </is>
      </c>
      <c r="X147" s="207" t="inlineStr">
        <is>
          <t>HỢP LỆ</t>
        </is>
      </c>
    </row>
    <row r="148">
      <c r="A148" s="194" t="inlineStr">
        <is>
          <t>2026-08-14</t>
        </is>
      </c>
      <c r="B148" s="194" t="inlineStr">
        <is>
          <t>2026-08-01</t>
        </is>
      </c>
      <c r="C148" s="194" t="inlineStr">
        <is>
          <t>NV08</t>
        </is>
      </c>
      <c r="D148" s="195" t="inlineStr">
        <is>
          <t>Trần Văn Dũng</t>
        </is>
      </c>
      <c r="E148" s="194" t="inlineStr">
        <is>
          <t>C1+2</t>
        </is>
      </c>
      <c r="F148" s="196" t="n">
        <v>1</v>
      </c>
      <c r="G148" s="196" t="n">
        <v>8</v>
      </c>
      <c r="H148" s="196" t="n">
        <v>2</v>
      </c>
      <c r="I148" s="196" t="n">
        <v>0</v>
      </c>
      <c r="J148" s="196" t="n">
        <v>0</v>
      </c>
      <c r="K148" s="196" t="n">
        <v>0</v>
      </c>
      <c r="L148" s="197" t="n">
        <v>0</v>
      </c>
      <c r="M148" s="197" t="n">
        <v>0</v>
      </c>
      <c r="N148" s="197" t="n">
        <v>0</v>
      </c>
      <c r="O148" s="196">
        <f>H148+I148+J148+L148+M148+N148</f>
        <v/>
      </c>
      <c r="P148" s="198" t="n">
        <v>55000</v>
      </c>
      <c r="Q148" s="197" t="n">
        <v>0</v>
      </c>
      <c r="R148" s="199" t="inlineStr">
        <is>
          <t>Đảm bảo tiến độ sản xuất</t>
        </is>
      </c>
      <c r="S148" s="200" t="inlineStr">
        <is>
          <t>CÓ</t>
        </is>
      </c>
      <c r="T148" s="200" t="inlineStr">
        <is>
          <t>ĐÃ DUYỆT</t>
        </is>
      </c>
      <c r="U148" s="199" t="inlineStr">
        <is>
          <t>Quản Đốc</t>
        </is>
      </c>
      <c r="V148" s="200" t="inlineStr">
        <is>
          <t>2026-08-14 17:00:00</t>
        </is>
      </c>
      <c r="W148" s="200" t="inlineStr">
        <is>
          <t>ERP_CHAM_CONG_2026</t>
        </is>
      </c>
      <c r="X148" s="200" t="inlineStr">
        <is>
          <t>HỢP LỆ</t>
        </is>
      </c>
    </row>
    <row r="149">
      <c r="A149" s="201" t="inlineStr">
        <is>
          <t>2026-08-14</t>
        </is>
      </c>
      <c r="B149" s="201" t="inlineStr">
        <is>
          <t>2026-08-01</t>
        </is>
      </c>
      <c r="C149" s="201" t="inlineStr">
        <is>
          <t>NV01</t>
        </is>
      </c>
      <c r="D149" s="202" t="inlineStr">
        <is>
          <t>Hoàng Ngọc Hà</t>
        </is>
      </c>
      <c r="E149" s="201" t="inlineStr">
        <is>
          <t>C1</t>
        </is>
      </c>
      <c r="F149" s="203" t="n">
        <v>1</v>
      </c>
      <c r="G149" s="203" t="n">
        <v>8</v>
      </c>
      <c r="H149" s="203" t="n">
        <v>0</v>
      </c>
      <c r="I149" s="203" t="n">
        <v>0</v>
      </c>
      <c r="J149" s="203" t="n">
        <v>0</v>
      </c>
      <c r="K149" s="203" t="n">
        <v>0</v>
      </c>
      <c r="L149" s="204" t="n">
        <v>0</v>
      </c>
      <c r="M149" s="204" t="n">
        <v>0</v>
      </c>
      <c r="N149" s="204" t="n">
        <v>0</v>
      </c>
      <c r="O149" s="203">
        <f>H149+I149+J149+L149+M149+N149</f>
        <v/>
      </c>
      <c r="P149" s="205" t="n">
        <v>30000</v>
      </c>
      <c r="Q149" s="204" t="n">
        <v>0</v>
      </c>
      <c r="R149" s="206" t="inlineStr"/>
      <c r="S149" s="207" t="inlineStr">
        <is>
          <t>KHÔNG</t>
        </is>
      </c>
      <c r="T149" s="207" t="inlineStr">
        <is>
          <t>ĐÃ DUYỆT</t>
        </is>
      </c>
      <c r="U149" s="206" t="inlineStr">
        <is>
          <t>Quản Đốc</t>
        </is>
      </c>
      <c r="V149" s="207" t="inlineStr">
        <is>
          <t>2026-08-14 17:00:00</t>
        </is>
      </c>
      <c r="W149" s="207" t="inlineStr">
        <is>
          <t>ERP_CHAM_CONG_2026</t>
        </is>
      </c>
      <c r="X149" s="207" t="inlineStr">
        <is>
          <t>HỢP LỆ</t>
        </is>
      </c>
    </row>
    <row r="150">
      <c r="A150" s="194" t="inlineStr">
        <is>
          <t>2026-08-14</t>
        </is>
      </c>
      <c r="B150" s="194" t="inlineStr">
        <is>
          <t>2026-08-01</t>
        </is>
      </c>
      <c r="C150" s="194" t="inlineStr">
        <is>
          <t>NV03</t>
        </is>
      </c>
      <c r="D150" s="195" t="inlineStr">
        <is>
          <t>Phùng Đình Hùng</t>
        </is>
      </c>
      <c r="E150" s="194" t="inlineStr">
        <is>
          <t>C1</t>
        </is>
      </c>
      <c r="F150" s="196" t="n">
        <v>1</v>
      </c>
      <c r="G150" s="196" t="n">
        <v>8</v>
      </c>
      <c r="H150" s="196" t="n">
        <v>0</v>
      </c>
      <c r="I150" s="196" t="n">
        <v>0</v>
      </c>
      <c r="J150" s="196" t="n">
        <v>0</v>
      </c>
      <c r="K150" s="196" t="n">
        <v>0</v>
      </c>
      <c r="L150" s="197" t="n">
        <v>0</v>
      </c>
      <c r="M150" s="197" t="n">
        <v>0</v>
      </c>
      <c r="N150" s="197" t="n">
        <v>0</v>
      </c>
      <c r="O150" s="196">
        <f>H150+I150+J150+L150+M150+N150</f>
        <v/>
      </c>
      <c r="P150" s="198" t="n">
        <v>30000</v>
      </c>
      <c r="Q150" s="197" t="n">
        <v>0</v>
      </c>
      <c r="R150" s="199" t="inlineStr"/>
      <c r="S150" s="200" t="inlineStr">
        <is>
          <t>KHÔNG</t>
        </is>
      </c>
      <c r="T150" s="200" t="inlineStr">
        <is>
          <t>ĐÃ DUYỆT</t>
        </is>
      </c>
      <c r="U150" s="199" t="inlineStr">
        <is>
          <t>Quản Đốc</t>
        </is>
      </c>
      <c r="V150" s="200" t="inlineStr">
        <is>
          <t>2026-08-14 17:00:00</t>
        </is>
      </c>
      <c r="W150" s="200" t="inlineStr">
        <is>
          <t>ERP_CHAM_CONG_2026</t>
        </is>
      </c>
      <c r="X150" s="200" t="inlineStr">
        <is>
          <t>HỢP LỆ</t>
        </is>
      </c>
    </row>
    <row r="151">
      <c r="A151" s="201" t="inlineStr">
        <is>
          <t>2026-08-14</t>
        </is>
      </c>
      <c r="B151" s="201" t="inlineStr">
        <is>
          <t>2026-08-01</t>
        </is>
      </c>
      <c r="C151" s="201" t="inlineStr">
        <is>
          <t>NV15</t>
        </is>
      </c>
      <c r="D151" s="202" t="inlineStr">
        <is>
          <t>Đặng Ngọc Long</t>
        </is>
      </c>
      <c r="E151" s="201" t="inlineStr">
        <is>
          <t>C1+2</t>
        </is>
      </c>
      <c r="F151" s="203" t="n">
        <v>1</v>
      </c>
      <c r="G151" s="203" t="n">
        <v>8</v>
      </c>
      <c r="H151" s="203" t="n">
        <v>2</v>
      </c>
      <c r="I151" s="203" t="n">
        <v>0</v>
      </c>
      <c r="J151" s="203" t="n">
        <v>0</v>
      </c>
      <c r="K151" s="203" t="n">
        <v>0</v>
      </c>
      <c r="L151" s="204" t="n">
        <v>0</v>
      </c>
      <c r="M151" s="204" t="n">
        <v>0</v>
      </c>
      <c r="N151" s="204" t="n">
        <v>0</v>
      </c>
      <c r="O151" s="203">
        <f>H151+I151+J151+L151+M151+N151</f>
        <v/>
      </c>
      <c r="P151" s="205" t="n">
        <v>55000</v>
      </c>
      <c r="Q151" s="204" t="n">
        <v>0</v>
      </c>
      <c r="R151" s="206" t="inlineStr">
        <is>
          <t>Đảm bảo tiến độ sản xuất</t>
        </is>
      </c>
      <c r="S151" s="207" t="inlineStr">
        <is>
          <t>CÓ</t>
        </is>
      </c>
      <c r="T151" s="207" t="inlineStr">
        <is>
          <t>ĐÃ DUYỆT</t>
        </is>
      </c>
      <c r="U151" s="206" t="inlineStr">
        <is>
          <t>Quản Đốc</t>
        </is>
      </c>
      <c r="V151" s="207" t="inlineStr">
        <is>
          <t>2026-08-14 17:00:00</t>
        </is>
      </c>
      <c r="W151" s="207" t="inlineStr">
        <is>
          <t>ERP_CHAM_CONG_2026</t>
        </is>
      </c>
      <c r="X151" s="207" t="inlineStr">
        <is>
          <t>HỢP LỆ</t>
        </is>
      </c>
    </row>
    <row r="152">
      <c r="A152" s="194" t="inlineStr">
        <is>
          <t>2026-08-14</t>
        </is>
      </c>
      <c r="B152" s="194" t="inlineStr">
        <is>
          <t>2026-08-01</t>
        </is>
      </c>
      <c r="C152" s="194" t="inlineStr">
        <is>
          <t>NV14</t>
        </is>
      </c>
      <c r="D152" s="195" t="inlineStr">
        <is>
          <t>Đinh Văn Nhận</t>
        </is>
      </c>
      <c r="E152" s="194" t="inlineStr">
        <is>
          <t>C1+2</t>
        </is>
      </c>
      <c r="F152" s="196" t="n">
        <v>1</v>
      </c>
      <c r="G152" s="196" t="n">
        <v>8</v>
      </c>
      <c r="H152" s="196" t="n">
        <v>2</v>
      </c>
      <c r="I152" s="196" t="n">
        <v>0</v>
      </c>
      <c r="J152" s="196" t="n">
        <v>0</v>
      </c>
      <c r="K152" s="196" t="n">
        <v>0</v>
      </c>
      <c r="L152" s="197" t="n">
        <v>0</v>
      </c>
      <c r="M152" s="197" t="n">
        <v>0</v>
      </c>
      <c r="N152" s="197" t="n">
        <v>0</v>
      </c>
      <c r="O152" s="196">
        <f>H152+I152+J152+L152+M152+N152</f>
        <v/>
      </c>
      <c r="P152" s="198" t="n">
        <v>55000</v>
      </c>
      <c r="Q152" s="197" t="n">
        <v>0</v>
      </c>
      <c r="R152" s="199" t="inlineStr">
        <is>
          <t>Đảm bảo tiến độ sản xuất</t>
        </is>
      </c>
      <c r="S152" s="200" t="inlineStr">
        <is>
          <t>CÓ</t>
        </is>
      </c>
      <c r="T152" s="200" t="inlineStr">
        <is>
          <t>ĐÃ DUYỆT</t>
        </is>
      </c>
      <c r="U152" s="199" t="inlineStr">
        <is>
          <t>Quản Đốc</t>
        </is>
      </c>
      <c r="V152" s="200" t="inlineStr">
        <is>
          <t>2026-08-14 17:00:00</t>
        </is>
      </c>
      <c r="W152" s="200" t="inlineStr">
        <is>
          <t>ERP_CHAM_CONG_2026</t>
        </is>
      </c>
      <c r="X152" s="200" t="inlineStr">
        <is>
          <t>HỢP LỆ</t>
        </is>
      </c>
    </row>
    <row r="153">
      <c r="A153" s="201" t="inlineStr">
        <is>
          <t>2026-08-14</t>
        </is>
      </c>
      <c r="B153" s="201" t="inlineStr">
        <is>
          <t>2026-08-01</t>
        </is>
      </c>
      <c r="C153" s="201" t="inlineStr">
        <is>
          <t>NV07</t>
        </is>
      </c>
      <c r="D153" s="202" t="inlineStr">
        <is>
          <t>Phùng Gia Phúc</t>
        </is>
      </c>
      <c r="E153" s="201" t="inlineStr">
        <is>
          <t>C1+2</t>
        </is>
      </c>
      <c r="F153" s="203" t="n">
        <v>1</v>
      </c>
      <c r="G153" s="203" t="n">
        <v>8</v>
      </c>
      <c r="H153" s="203" t="n">
        <v>2</v>
      </c>
      <c r="I153" s="203" t="n">
        <v>0</v>
      </c>
      <c r="J153" s="203" t="n">
        <v>0</v>
      </c>
      <c r="K153" s="203" t="n">
        <v>0</v>
      </c>
      <c r="L153" s="204" t="n">
        <v>0</v>
      </c>
      <c r="M153" s="204" t="n">
        <v>0</v>
      </c>
      <c r="N153" s="204" t="n">
        <v>0</v>
      </c>
      <c r="O153" s="203">
        <f>H153+I153+J153+L153+M153+N153</f>
        <v/>
      </c>
      <c r="P153" s="205" t="n">
        <v>55000</v>
      </c>
      <c r="Q153" s="204" t="n">
        <v>0</v>
      </c>
      <c r="R153" s="206" t="inlineStr">
        <is>
          <t>Đảm bảo tiến độ sản xuất</t>
        </is>
      </c>
      <c r="S153" s="207" t="inlineStr">
        <is>
          <t>CÓ</t>
        </is>
      </c>
      <c r="T153" s="207" t="inlineStr">
        <is>
          <t>ĐÃ DUYỆT</t>
        </is>
      </c>
      <c r="U153" s="206" t="inlineStr">
        <is>
          <t>Quản Đốc</t>
        </is>
      </c>
      <c r="V153" s="207" t="inlineStr">
        <is>
          <t>2026-08-14 17:00:00</t>
        </is>
      </c>
      <c r="W153" s="207" t="inlineStr">
        <is>
          <t>ERP_CHAM_CONG_2026</t>
        </is>
      </c>
      <c r="X153" s="207" t="inlineStr">
        <is>
          <t>HỢP LỆ</t>
        </is>
      </c>
    </row>
    <row r="154">
      <c r="A154" s="194" t="inlineStr">
        <is>
          <t>2026-08-14</t>
        </is>
      </c>
      <c r="B154" s="194" t="inlineStr">
        <is>
          <t>2026-08-01</t>
        </is>
      </c>
      <c r="C154" s="194" t="inlineStr">
        <is>
          <t>NV13</t>
        </is>
      </c>
      <c r="D154" s="195" t="inlineStr">
        <is>
          <t>Trần Văn Quỳnh</t>
        </is>
      </c>
      <c r="E154" s="194" t="inlineStr">
        <is>
          <t>C1</t>
        </is>
      </c>
      <c r="F154" s="196" t="n">
        <v>1</v>
      </c>
      <c r="G154" s="196" t="n">
        <v>8</v>
      </c>
      <c r="H154" s="196" t="n">
        <v>0</v>
      </c>
      <c r="I154" s="196" t="n">
        <v>0</v>
      </c>
      <c r="J154" s="196" t="n">
        <v>0</v>
      </c>
      <c r="K154" s="196" t="n">
        <v>0</v>
      </c>
      <c r="L154" s="197" t="n">
        <v>0</v>
      </c>
      <c r="M154" s="197" t="n">
        <v>0</v>
      </c>
      <c r="N154" s="197" t="n">
        <v>0</v>
      </c>
      <c r="O154" s="196">
        <f>H154+I154+J154+L154+M154+N154</f>
        <v/>
      </c>
      <c r="P154" s="198" t="n">
        <v>30000</v>
      </c>
      <c r="Q154" s="197" t="n">
        <v>0</v>
      </c>
      <c r="R154" s="199" t="inlineStr"/>
      <c r="S154" s="200" t="inlineStr">
        <is>
          <t>KHÔNG</t>
        </is>
      </c>
      <c r="T154" s="200" t="inlineStr">
        <is>
          <t>ĐÃ DUYỆT</t>
        </is>
      </c>
      <c r="U154" s="199" t="inlineStr">
        <is>
          <t>Quản Đốc</t>
        </is>
      </c>
      <c r="V154" s="200" t="inlineStr">
        <is>
          <t>2026-08-14 17:00:00</t>
        </is>
      </c>
      <c r="W154" s="200" t="inlineStr">
        <is>
          <t>ERP_CHAM_CONG_2026</t>
        </is>
      </c>
      <c r="X154" s="200" t="inlineStr">
        <is>
          <t>HỢP LỆ</t>
        </is>
      </c>
    </row>
    <row r="155">
      <c r="A155" s="201" t="inlineStr">
        <is>
          <t>2026-08-14</t>
        </is>
      </c>
      <c r="B155" s="201" t="inlineStr">
        <is>
          <t>2026-08-01</t>
        </is>
      </c>
      <c r="C155" s="201" t="inlineStr">
        <is>
          <t>NV11</t>
        </is>
      </c>
      <c r="D155" s="202" t="inlineStr">
        <is>
          <t>Phùng Công Thắng</t>
        </is>
      </c>
      <c r="E155" s="201" t="inlineStr">
        <is>
          <t>C1+2</t>
        </is>
      </c>
      <c r="F155" s="203" t="n">
        <v>1</v>
      </c>
      <c r="G155" s="203" t="n">
        <v>8</v>
      </c>
      <c r="H155" s="203" t="n">
        <v>2</v>
      </c>
      <c r="I155" s="203" t="n">
        <v>0</v>
      </c>
      <c r="J155" s="203" t="n">
        <v>0</v>
      </c>
      <c r="K155" s="203" t="n">
        <v>0</v>
      </c>
      <c r="L155" s="204" t="n">
        <v>0</v>
      </c>
      <c r="M155" s="204" t="n">
        <v>0</v>
      </c>
      <c r="N155" s="204" t="n">
        <v>0</v>
      </c>
      <c r="O155" s="203">
        <f>H155+I155+J155+L155+M155+N155</f>
        <v/>
      </c>
      <c r="P155" s="205" t="n">
        <v>55000</v>
      </c>
      <c r="Q155" s="204" t="n">
        <v>0</v>
      </c>
      <c r="R155" s="206" t="inlineStr">
        <is>
          <t>Đảm bảo tiến độ sản xuất</t>
        </is>
      </c>
      <c r="S155" s="207" t="inlineStr">
        <is>
          <t>CÓ</t>
        </is>
      </c>
      <c r="T155" s="207" t="inlineStr">
        <is>
          <t>ĐÃ DUYỆT</t>
        </is>
      </c>
      <c r="U155" s="206" t="inlineStr">
        <is>
          <t>Quản Đốc</t>
        </is>
      </c>
      <c r="V155" s="207" t="inlineStr">
        <is>
          <t>2026-08-14 17:00:00</t>
        </is>
      </c>
      <c r="W155" s="207" t="inlineStr">
        <is>
          <t>ERP_CHAM_CONG_2026</t>
        </is>
      </c>
      <c r="X155" s="207" t="inlineStr">
        <is>
          <t>HỢP LỆ</t>
        </is>
      </c>
    </row>
    <row r="156">
      <c r="A156" s="194" t="inlineStr">
        <is>
          <t>2026-08-14</t>
        </is>
      </c>
      <c r="B156" s="194" t="inlineStr">
        <is>
          <t>2026-08-01</t>
        </is>
      </c>
      <c r="C156" s="194" t="inlineStr">
        <is>
          <t>NV06</t>
        </is>
      </c>
      <c r="D156" s="195" t="inlineStr">
        <is>
          <t>Nguyễn Văn Thanh</t>
        </is>
      </c>
      <c r="E156" s="194" t="inlineStr">
        <is>
          <t>C1+2</t>
        </is>
      </c>
      <c r="F156" s="196" t="n">
        <v>1</v>
      </c>
      <c r="G156" s="196" t="n">
        <v>8</v>
      </c>
      <c r="H156" s="196" t="n">
        <v>2</v>
      </c>
      <c r="I156" s="196" t="n">
        <v>0</v>
      </c>
      <c r="J156" s="196" t="n">
        <v>0</v>
      </c>
      <c r="K156" s="196" t="n">
        <v>0</v>
      </c>
      <c r="L156" s="197" t="n">
        <v>0</v>
      </c>
      <c r="M156" s="197" t="n">
        <v>0</v>
      </c>
      <c r="N156" s="197" t="n">
        <v>0</v>
      </c>
      <c r="O156" s="196">
        <f>H156+I156+J156+L156+M156+N156</f>
        <v/>
      </c>
      <c r="P156" s="198" t="n">
        <v>55000</v>
      </c>
      <c r="Q156" s="197" t="n">
        <v>0</v>
      </c>
      <c r="R156" s="199" t="inlineStr">
        <is>
          <t>Đảm bảo tiến độ sản xuất</t>
        </is>
      </c>
      <c r="S156" s="200" t="inlineStr">
        <is>
          <t>CÓ</t>
        </is>
      </c>
      <c r="T156" s="200" t="inlineStr">
        <is>
          <t>ĐÃ DUYỆT</t>
        </is>
      </c>
      <c r="U156" s="199" t="inlineStr">
        <is>
          <t>Quản Đốc</t>
        </is>
      </c>
      <c r="V156" s="200" t="inlineStr">
        <is>
          <t>2026-08-14 17:00:00</t>
        </is>
      </c>
      <c r="W156" s="200" t="inlineStr">
        <is>
          <t>ERP_CHAM_CONG_2026</t>
        </is>
      </c>
      <c r="X156" s="200" t="inlineStr">
        <is>
          <t>HỢP LỆ</t>
        </is>
      </c>
    </row>
    <row r="157">
      <c r="A157" s="201" t="inlineStr">
        <is>
          <t>2026-08-14</t>
        </is>
      </c>
      <c r="B157" s="201" t="inlineStr">
        <is>
          <t>2026-08-01</t>
        </is>
      </c>
      <c r="C157" s="201" t="inlineStr">
        <is>
          <t>NV04</t>
        </is>
      </c>
      <c r="D157" s="202" t="inlineStr">
        <is>
          <t>Vũ Tiến Thuận</t>
        </is>
      </c>
      <c r="E157" s="201" t="inlineStr">
        <is>
          <t>C1+2</t>
        </is>
      </c>
      <c r="F157" s="203" t="n">
        <v>1</v>
      </c>
      <c r="G157" s="203" t="n">
        <v>8</v>
      </c>
      <c r="H157" s="203" t="n">
        <v>2</v>
      </c>
      <c r="I157" s="203" t="n">
        <v>0</v>
      </c>
      <c r="J157" s="203" t="n">
        <v>0</v>
      </c>
      <c r="K157" s="203" t="n">
        <v>0</v>
      </c>
      <c r="L157" s="204" t="n">
        <v>0</v>
      </c>
      <c r="M157" s="204" t="n">
        <v>0</v>
      </c>
      <c r="N157" s="204" t="n">
        <v>0</v>
      </c>
      <c r="O157" s="203">
        <f>H157+I157+J157+L157+M157+N157</f>
        <v/>
      </c>
      <c r="P157" s="205" t="n">
        <v>55000</v>
      </c>
      <c r="Q157" s="204" t="n">
        <v>0</v>
      </c>
      <c r="R157" s="206" t="inlineStr">
        <is>
          <t>Đảm bảo tiến độ sản xuất</t>
        </is>
      </c>
      <c r="S157" s="207" t="inlineStr">
        <is>
          <t>CÓ</t>
        </is>
      </c>
      <c r="T157" s="207" t="inlineStr">
        <is>
          <t>ĐÃ DUYỆT</t>
        </is>
      </c>
      <c r="U157" s="206" t="inlineStr">
        <is>
          <t>Quản Đốc</t>
        </is>
      </c>
      <c r="V157" s="207" t="inlineStr">
        <is>
          <t>2026-08-14 17:00:00</t>
        </is>
      </c>
      <c r="W157" s="207" t="inlineStr">
        <is>
          <t>ERP_CHAM_CONG_2026</t>
        </is>
      </c>
      <c r="X157" s="207" t="inlineStr">
        <is>
          <t>HỢP LỆ</t>
        </is>
      </c>
    </row>
    <row r="158">
      <c r="A158" s="194" t="inlineStr">
        <is>
          <t>2026-08-14</t>
        </is>
      </c>
      <c r="B158" s="194" t="inlineStr">
        <is>
          <t>2026-08-01</t>
        </is>
      </c>
      <c r="C158" s="194" t="inlineStr">
        <is>
          <t>NV10</t>
        </is>
      </c>
      <c r="D158" s="195" t="inlineStr">
        <is>
          <t>Phạm Văn Tráng</t>
        </is>
      </c>
      <c r="E158" s="194" t="inlineStr">
        <is>
          <t>C1+2</t>
        </is>
      </c>
      <c r="F158" s="196" t="n">
        <v>1</v>
      </c>
      <c r="G158" s="196" t="n">
        <v>8</v>
      </c>
      <c r="H158" s="196" t="n">
        <v>2</v>
      </c>
      <c r="I158" s="196" t="n">
        <v>0</v>
      </c>
      <c r="J158" s="196" t="n">
        <v>0</v>
      </c>
      <c r="K158" s="196" t="n">
        <v>0</v>
      </c>
      <c r="L158" s="197" t="n">
        <v>0</v>
      </c>
      <c r="M158" s="197" t="n">
        <v>0</v>
      </c>
      <c r="N158" s="197" t="n">
        <v>0</v>
      </c>
      <c r="O158" s="196">
        <f>H158+I158+J158+L158+M158+N158</f>
        <v/>
      </c>
      <c r="P158" s="198" t="n">
        <v>55000</v>
      </c>
      <c r="Q158" s="197" t="n">
        <v>0</v>
      </c>
      <c r="R158" s="199" t="inlineStr">
        <is>
          <t>Đảm bảo tiến độ sản xuất</t>
        </is>
      </c>
      <c r="S158" s="200" t="inlineStr">
        <is>
          <t>CÓ</t>
        </is>
      </c>
      <c r="T158" s="200" t="inlineStr">
        <is>
          <t>ĐÃ DUYỆT</t>
        </is>
      </c>
      <c r="U158" s="199" t="inlineStr">
        <is>
          <t>Quản Đốc</t>
        </is>
      </c>
      <c r="V158" s="200" t="inlineStr">
        <is>
          <t>2026-08-14 17:00:00</t>
        </is>
      </c>
      <c r="W158" s="200" t="inlineStr">
        <is>
          <t>ERP_CHAM_CONG_2026</t>
        </is>
      </c>
      <c r="X158" s="200" t="inlineStr">
        <is>
          <t>HỢP LỆ</t>
        </is>
      </c>
    </row>
    <row r="159">
      <c r="A159" s="201" t="inlineStr">
        <is>
          <t>2026-08-15</t>
        </is>
      </c>
      <c r="B159" s="201" t="inlineStr">
        <is>
          <t>2026-08-01</t>
        </is>
      </c>
      <c r="C159" s="201" t="inlineStr">
        <is>
          <t>NV02</t>
        </is>
      </c>
      <c r="D159" s="202" t="inlineStr">
        <is>
          <t>Nguyễn Trung Đông</t>
        </is>
      </c>
      <c r="E159" s="201" t="inlineStr">
        <is>
          <t>C1</t>
        </is>
      </c>
      <c r="F159" s="203" t="n">
        <v>1</v>
      </c>
      <c r="G159" s="203" t="n">
        <v>8</v>
      </c>
      <c r="H159" s="203" t="n">
        <v>0</v>
      </c>
      <c r="I159" s="203" t="n">
        <v>0</v>
      </c>
      <c r="J159" s="203" t="n">
        <v>0</v>
      </c>
      <c r="K159" s="203" t="n">
        <v>0</v>
      </c>
      <c r="L159" s="204" t="n">
        <v>0</v>
      </c>
      <c r="M159" s="204" t="n">
        <v>0</v>
      </c>
      <c r="N159" s="204" t="n">
        <v>0</v>
      </c>
      <c r="O159" s="203">
        <f>H159+I159+J159+L159+M159+N159</f>
        <v/>
      </c>
      <c r="P159" s="205" t="n">
        <v>30000</v>
      </c>
      <c r="Q159" s="204" t="n">
        <v>0</v>
      </c>
      <c r="R159" s="206" t="inlineStr"/>
      <c r="S159" s="207" t="inlineStr">
        <is>
          <t>KHÔNG</t>
        </is>
      </c>
      <c r="T159" s="207" t="inlineStr">
        <is>
          <t>ĐÃ DUYỆT</t>
        </is>
      </c>
      <c r="U159" s="206" t="inlineStr">
        <is>
          <t>Quản Đốc</t>
        </is>
      </c>
      <c r="V159" s="207" t="inlineStr">
        <is>
          <t>2026-08-15 17:00:00</t>
        </is>
      </c>
      <c r="W159" s="207" t="inlineStr">
        <is>
          <t>ERP_CHAM_CONG_2026</t>
        </is>
      </c>
      <c r="X159" s="207" t="inlineStr">
        <is>
          <t>HỢP LỆ</t>
        </is>
      </c>
    </row>
    <row r="160">
      <c r="A160" s="194" t="inlineStr">
        <is>
          <t>2026-08-15</t>
        </is>
      </c>
      <c r="B160" s="194" t="inlineStr">
        <is>
          <t>2026-08-01</t>
        </is>
      </c>
      <c r="C160" s="194" t="inlineStr">
        <is>
          <t>NV08</t>
        </is>
      </c>
      <c r="D160" s="195" t="inlineStr">
        <is>
          <t>Trần Văn Dũng</t>
        </is>
      </c>
      <c r="E160" s="194" t="inlineStr">
        <is>
          <t>C1+2</t>
        </is>
      </c>
      <c r="F160" s="196" t="n">
        <v>1</v>
      </c>
      <c r="G160" s="196" t="n">
        <v>8</v>
      </c>
      <c r="H160" s="196" t="n">
        <v>2</v>
      </c>
      <c r="I160" s="196" t="n">
        <v>0</v>
      </c>
      <c r="J160" s="196" t="n">
        <v>0</v>
      </c>
      <c r="K160" s="196" t="n">
        <v>0</v>
      </c>
      <c r="L160" s="197" t="n">
        <v>0</v>
      </c>
      <c r="M160" s="197" t="n">
        <v>0</v>
      </c>
      <c r="N160" s="197" t="n">
        <v>0</v>
      </c>
      <c r="O160" s="196">
        <f>H160+I160+J160+L160+M160+N160</f>
        <v/>
      </c>
      <c r="P160" s="198" t="n">
        <v>55000</v>
      </c>
      <c r="Q160" s="197" t="n">
        <v>0</v>
      </c>
      <c r="R160" s="199" t="inlineStr">
        <is>
          <t>Đảm bảo tiến độ sản xuất</t>
        </is>
      </c>
      <c r="S160" s="200" t="inlineStr">
        <is>
          <t>CÓ</t>
        </is>
      </c>
      <c r="T160" s="200" t="inlineStr">
        <is>
          <t>ĐÃ DUYỆT</t>
        </is>
      </c>
      <c r="U160" s="199" t="inlineStr">
        <is>
          <t>Quản Đốc</t>
        </is>
      </c>
      <c r="V160" s="200" t="inlineStr">
        <is>
          <t>2026-08-15 17:00:00</t>
        </is>
      </c>
      <c r="W160" s="200" t="inlineStr">
        <is>
          <t>ERP_CHAM_CONG_2026</t>
        </is>
      </c>
      <c r="X160" s="200" t="inlineStr">
        <is>
          <t>HỢP LỆ</t>
        </is>
      </c>
    </row>
    <row r="161">
      <c r="A161" s="201" t="inlineStr">
        <is>
          <t>2026-08-15</t>
        </is>
      </c>
      <c r="B161" s="201" t="inlineStr">
        <is>
          <t>2026-08-01</t>
        </is>
      </c>
      <c r="C161" s="201" t="inlineStr">
        <is>
          <t>NV01</t>
        </is>
      </c>
      <c r="D161" s="202" t="inlineStr">
        <is>
          <t>Hoàng Ngọc Hà</t>
        </is>
      </c>
      <c r="E161" s="201" t="inlineStr">
        <is>
          <t>C1</t>
        </is>
      </c>
      <c r="F161" s="203" t="n">
        <v>1</v>
      </c>
      <c r="G161" s="203" t="n">
        <v>8</v>
      </c>
      <c r="H161" s="203" t="n">
        <v>0</v>
      </c>
      <c r="I161" s="203" t="n">
        <v>0</v>
      </c>
      <c r="J161" s="203" t="n">
        <v>0</v>
      </c>
      <c r="K161" s="203" t="n">
        <v>0</v>
      </c>
      <c r="L161" s="204" t="n">
        <v>0</v>
      </c>
      <c r="M161" s="204" t="n">
        <v>0</v>
      </c>
      <c r="N161" s="204" t="n">
        <v>0</v>
      </c>
      <c r="O161" s="203">
        <f>H161+I161+J161+L161+M161+N161</f>
        <v/>
      </c>
      <c r="P161" s="205" t="n">
        <v>30000</v>
      </c>
      <c r="Q161" s="204" t="n">
        <v>0</v>
      </c>
      <c r="R161" s="206" t="inlineStr"/>
      <c r="S161" s="207" t="inlineStr">
        <is>
          <t>KHÔNG</t>
        </is>
      </c>
      <c r="T161" s="207" t="inlineStr">
        <is>
          <t>ĐÃ DUYỆT</t>
        </is>
      </c>
      <c r="U161" s="206" t="inlineStr">
        <is>
          <t>Quản Đốc</t>
        </is>
      </c>
      <c r="V161" s="207" t="inlineStr">
        <is>
          <t>2026-08-15 17:00:00</t>
        </is>
      </c>
      <c r="W161" s="207" t="inlineStr">
        <is>
          <t>ERP_CHAM_CONG_2026</t>
        </is>
      </c>
      <c r="X161" s="207" t="inlineStr">
        <is>
          <t>HỢP LỆ</t>
        </is>
      </c>
    </row>
    <row r="162">
      <c r="A162" s="194" t="inlineStr">
        <is>
          <t>2026-08-15</t>
        </is>
      </c>
      <c r="B162" s="194" t="inlineStr">
        <is>
          <t>2026-08-01</t>
        </is>
      </c>
      <c r="C162" s="194" t="inlineStr">
        <is>
          <t>NV15</t>
        </is>
      </c>
      <c r="D162" s="195" t="inlineStr">
        <is>
          <t>Đặng Ngọc Long</t>
        </is>
      </c>
      <c r="E162" s="194" t="inlineStr">
        <is>
          <t>C1+2</t>
        </is>
      </c>
      <c r="F162" s="196" t="n">
        <v>1</v>
      </c>
      <c r="G162" s="196" t="n">
        <v>8</v>
      </c>
      <c r="H162" s="196" t="n">
        <v>2</v>
      </c>
      <c r="I162" s="196" t="n">
        <v>0</v>
      </c>
      <c r="J162" s="196" t="n">
        <v>0</v>
      </c>
      <c r="K162" s="196" t="n">
        <v>0</v>
      </c>
      <c r="L162" s="197" t="n">
        <v>0</v>
      </c>
      <c r="M162" s="197" t="n">
        <v>0</v>
      </c>
      <c r="N162" s="197" t="n">
        <v>0</v>
      </c>
      <c r="O162" s="196">
        <f>H162+I162+J162+L162+M162+N162</f>
        <v/>
      </c>
      <c r="P162" s="198" t="n">
        <v>55000</v>
      </c>
      <c r="Q162" s="197" t="n">
        <v>0</v>
      </c>
      <c r="R162" s="199" t="inlineStr">
        <is>
          <t>Đảm bảo tiến độ sản xuất</t>
        </is>
      </c>
      <c r="S162" s="200" t="inlineStr">
        <is>
          <t>CÓ</t>
        </is>
      </c>
      <c r="T162" s="200" t="inlineStr">
        <is>
          <t>ĐÃ DUYỆT</t>
        </is>
      </c>
      <c r="U162" s="199" t="inlineStr">
        <is>
          <t>Quản Đốc</t>
        </is>
      </c>
      <c r="V162" s="200" t="inlineStr">
        <is>
          <t>2026-08-15 17:00:00</t>
        </is>
      </c>
      <c r="W162" s="200" t="inlineStr">
        <is>
          <t>ERP_CHAM_CONG_2026</t>
        </is>
      </c>
      <c r="X162" s="200" t="inlineStr">
        <is>
          <t>HỢP LỆ</t>
        </is>
      </c>
    </row>
    <row r="163">
      <c r="A163" s="201" t="inlineStr">
        <is>
          <t>2026-08-15</t>
        </is>
      </c>
      <c r="B163" s="201" t="inlineStr">
        <is>
          <t>2026-08-01</t>
        </is>
      </c>
      <c r="C163" s="201" t="inlineStr">
        <is>
          <t>NV14</t>
        </is>
      </c>
      <c r="D163" s="202" t="inlineStr">
        <is>
          <t>Đinh Văn Nhận</t>
        </is>
      </c>
      <c r="E163" s="201" t="inlineStr">
        <is>
          <t>C1+2</t>
        </is>
      </c>
      <c r="F163" s="203" t="n">
        <v>1</v>
      </c>
      <c r="G163" s="203" t="n">
        <v>8</v>
      </c>
      <c r="H163" s="203" t="n">
        <v>2</v>
      </c>
      <c r="I163" s="203" t="n">
        <v>0</v>
      </c>
      <c r="J163" s="203" t="n">
        <v>0</v>
      </c>
      <c r="K163" s="203" t="n">
        <v>0</v>
      </c>
      <c r="L163" s="204" t="n">
        <v>0</v>
      </c>
      <c r="M163" s="204" t="n">
        <v>0</v>
      </c>
      <c r="N163" s="204" t="n">
        <v>0</v>
      </c>
      <c r="O163" s="203">
        <f>H163+I163+J163+L163+M163+N163</f>
        <v/>
      </c>
      <c r="P163" s="205" t="n">
        <v>55000</v>
      </c>
      <c r="Q163" s="204" t="n">
        <v>0</v>
      </c>
      <c r="R163" s="206" t="inlineStr">
        <is>
          <t>Đảm bảo tiến độ sản xuất</t>
        </is>
      </c>
      <c r="S163" s="207" t="inlineStr">
        <is>
          <t>CÓ</t>
        </is>
      </c>
      <c r="T163" s="207" t="inlineStr">
        <is>
          <t>ĐÃ DUYỆT</t>
        </is>
      </c>
      <c r="U163" s="206" t="inlineStr">
        <is>
          <t>Quản Đốc</t>
        </is>
      </c>
      <c r="V163" s="207" t="inlineStr">
        <is>
          <t>2026-08-15 17:00:00</t>
        </is>
      </c>
      <c r="W163" s="207" t="inlineStr">
        <is>
          <t>ERP_CHAM_CONG_2026</t>
        </is>
      </c>
      <c r="X163" s="207" t="inlineStr">
        <is>
          <t>HỢP LỆ</t>
        </is>
      </c>
    </row>
    <row r="164">
      <c r="A164" s="194" t="inlineStr">
        <is>
          <t>2026-08-15</t>
        </is>
      </c>
      <c r="B164" s="194" t="inlineStr">
        <is>
          <t>2026-08-01</t>
        </is>
      </c>
      <c r="C164" s="194" t="inlineStr">
        <is>
          <t>NV07</t>
        </is>
      </c>
      <c r="D164" s="195" t="inlineStr">
        <is>
          <t>Phùng Gia Phúc</t>
        </is>
      </c>
      <c r="E164" s="194" t="inlineStr">
        <is>
          <t>C1+2</t>
        </is>
      </c>
      <c r="F164" s="196" t="n">
        <v>1</v>
      </c>
      <c r="G164" s="196" t="n">
        <v>8</v>
      </c>
      <c r="H164" s="196" t="n">
        <v>2</v>
      </c>
      <c r="I164" s="196" t="n">
        <v>0</v>
      </c>
      <c r="J164" s="196" t="n">
        <v>0</v>
      </c>
      <c r="K164" s="196" t="n">
        <v>0</v>
      </c>
      <c r="L164" s="197" t="n">
        <v>0</v>
      </c>
      <c r="M164" s="197" t="n">
        <v>0</v>
      </c>
      <c r="N164" s="197" t="n">
        <v>0</v>
      </c>
      <c r="O164" s="196">
        <f>H164+I164+J164+L164+M164+N164</f>
        <v/>
      </c>
      <c r="P164" s="198" t="n">
        <v>55000</v>
      </c>
      <c r="Q164" s="197" t="n">
        <v>0</v>
      </c>
      <c r="R164" s="199" t="inlineStr">
        <is>
          <t>Đảm bảo tiến độ sản xuất</t>
        </is>
      </c>
      <c r="S164" s="200" t="inlineStr">
        <is>
          <t>CÓ</t>
        </is>
      </c>
      <c r="T164" s="200" t="inlineStr">
        <is>
          <t>ĐÃ DUYỆT</t>
        </is>
      </c>
      <c r="U164" s="199" t="inlineStr">
        <is>
          <t>Quản Đốc</t>
        </is>
      </c>
      <c r="V164" s="200" t="inlineStr">
        <is>
          <t>2026-08-15 17:00:00</t>
        </is>
      </c>
      <c r="W164" s="200" t="inlineStr">
        <is>
          <t>ERP_CHAM_CONG_2026</t>
        </is>
      </c>
      <c r="X164" s="200" t="inlineStr">
        <is>
          <t>HỢP LỆ</t>
        </is>
      </c>
    </row>
    <row r="165">
      <c r="A165" s="201" t="inlineStr">
        <is>
          <t>2026-08-15</t>
        </is>
      </c>
      <c r="B165" s="201" t="inlineStr">
        <is>
          <t>2026-08-01</t>
        </is>
      </c>
      <c r="C165" s="201" t="inlineStr">
        <is>
          <t>NV11</t>
        </is>
      </c>
      <c r="D165" s="202" t="inlineStr">
        <is>
          <t>Phùng Công Thắng</t>
        </is>
      </c>
      <c r="E165" s="201" t="inlineStr">
        <is>
          <t>C1</t>
        </is>
      </c>
      <c r="F165" s="203" t="n">
        <v>1</v>
      </c>
      <c r="G165" s="203" t="n">
        <v>8</v>
      </c>
      <c r="H165" s="203" t="n">
        <v>0</v>
      </c>
      <c r="I165" s="203" t="n">
        <v>0</v>
      </c>
      <c r="J165" s="203" t="n">
        <v>0</v>
      </c>
      <c r="K165" s="203" t="n">
        <v>0</v>
      </c>
      <c r="L165" s="204" t="n">
        <v>0</v>
      </c>
      <c r="M165" s="204" t="n">
        <v>0</v>
      </c>
      <c r="N165" s="204" t="n">
        <v>0</v>
      </c>
      <c r="O165" s="203">
        <f>H165+I165+J165+L165+M165+N165</f>
        <v/>
      </c>
      <c r="P165" s="205" t="n">
        <v>30000</v>
      </c>
      <c r="Q165" s="204" t="n">
        <v>0</v>
      </c>
      <c r="R165" s="206" t="inlineStr"/>
      <c r="S165" s="207" t="inlineStr">
        <is>
          <t>KHÔNG</t>
        </is>
      </c>
      <c r="T165" s="207" t="inlineStr">
        <is>
          <t>ĐÃ DUYỆT</t>
        </is>
      </c>
      <c r="U165" s="206" t="inlineStr">
        <is>
          <t>Quản Đốc</t>
        </is>
      </c>
      <c r="V165" s="207" t="inlineStr">
        <is>
          <t>2026-08-15 17:00:00</t>
        </is>
      </c>
      <c r="W165" s="207" t="inlineStr">
        <is>
          <t>ERP_CHAM_CONG_2026</t>
        </is>
      </c>
      <c r="X165" s="207" t="inlineStr">
        <is>
          <t>HỢP LỆ</t>
        </is>
      </c>
    </row>
    <row r="166">
      <c r="A166" s="194" t="inlineStr">
        <is>
          <t>2026-08-15</t>
        </is>
      </c>
      <c r="B166" s="194" t="inlineStr">
        <is>
          <t>2026-08-01</t>
        </is>
      </c>
      <c r="C166" s="194" t="inlineStr">
        <is>
          <t>NV06</t>
        </is>
      </c>
      <c r="D166" s="195" t="inlineStr">
        <is>
          <t>Nguyễn Văn Thanh</t>
        </is>
      </c>
      <c r="E166" s="194" t="inlineStr">
        <is>
          <t>C1+2</t>
        </is>
      </c>
      <c r="F166" s="196" t="n">
        <v>1</v>
      </c>
      <c r="G166" s="196" t="n">
        <v>8</v>
      </c>
      <c r="H166" s="196" t="n">
        <v>2</v>
      </c>
      <c r="I166" s="196" t="n">
        <v>0</v>
      </c>
      <c r="J166" s="196" t="n">
        <v>0</v>
      </c>
      <c r="K166" s="196" t="n">
        <v>0</v>
      </c>
      <c r="L166" s="197" t="n">
        <v>0</v>
      </c>
      <c r="M166" s="197" t="n">
        <v>0</v>
      </c>
      <c r="N166" s="197" t="n">
        <v>0</v>
      </c>
      <c r="O166" s="196">
        <f>H166+I166+J166+L166+M166+N166</f>
        <v/>
      </c>
      <c r="P166" s="198" t="n">
        <v>55000</v>
      </c>
      <c r="Q166" s="197" t="n">
        <v>0</v>
      </c>
      <c r="R166" s="199" t="inlineStr">
        <is>
          <t>Đảm bảo tiến độ sản xuất</t>
        </is>
      </c>
      <c r="S166" s="200" t="inlineStr">
        <is>
          <t>CÓ</t>
        </is>
      </c>
      <c r="T166" s="200" t="inlineStr">
        <is>
          <t>ĐÃ DUYỆT</t>
        </is>
      </c>
      <c r="U166" s="199" t="inlineStr">
        <is>
          <t>Quản Đốc</t>
        </is>
      </c>
      <c r="V166" s="200" t="inlineStr">
        <is>
          <t>2026-08-15 17:00:00</t>
        </is>
      </c>
      <c r="W166" s="200" t="inlineStr">
        <is>
          <t>ERP_CHAM_CONG_2026</t>
        </is>
      </c>
      <c r="X166" s="200" t="inlineStr">
        <is>
          <t>HỢP LỆ</t>
        </is>
      </c>
    </row>
    <row r="167">
      <c r="A167" s="201" t="inlineStr">
        <is>
          <t>2026-08-15</t>
        </is>
      </c>
      <c r="B167" s="201" t="inlineStr">
        <is>
          <t>2026-08-01</t>
        </is>
      </c>
      <c r="C167" s="201" t="inlineStr">
        <is>
          <t>NV04</t>
        </is>
      </c>
      <c r="D167" s="202" t="inlineStr">
        <is>
          <t>Vũ Tiến Thuận</t>
        </is>
      </c>
      <c r="E167" s="201" t="inlineStr">
        <is>
          <t>C1+2</t>
        </is>
      </c>
      <c r="F167" s="203" t="n">
        <v>1</v>
      </c>
      <c r="G167" s="203" t="n">
        <v>8</v>
      </c>
      <c r="H167" s="203" t="n">
        <v>2</v>
      </c>
      <c r="I167" s="203" t="n">
        <v>0</v>
      </c>
      <c r="J167" s="203" t="n">
        <v>0</v>
      </c>
      <c r="K167" s="203" t="n">
        <v>0</v>
      </c>
      <c r="L167" s="204" t="n">
        <v>0</v>
      </c>
      <c r="M167" s="204" t="n">
        <v>0</v>
      </c>
      <c r="N167" s="204" t="n">
        <v>0</v>
      </c>
      <c r="O167" s="203">
        <f>H167+I167+J167+L167+M167+N167</f>
        <v/>
      </c>
      <c r="P167" s="205" t="n">
        <v>55000</v>
      </c>
      <c r="Q167" s="204" t="n">
        <v>0</v>
      </c>
      <c r="R167" s="206" t="inlineStr">
        <is>
          <t>Đảm bảo tiến độ sản xuất</t>
        </is>
      </c>
      <c r="S167" s="207" t="inlineStr">
        <is>
          <t>CÓ</t>
        </is>
      </c>
      <c r="T167" s="207" t="inlineStr">
        <is>
          <t>ĐÃ DUYỆT</t>
        </is>
      </c>
      <c r="U167" s="206" t="inlineStr">
        <is>
          <t>Quản Đốc</t>
        </is>
      </c>
      <c r="V167" s="207" t="inlineStr">
        <is>
          <t>2026-08-15 17:00:00</t>
        </is>
      </c>
      <c r="W167" s="207" t="inlineStr">
        <is>
          <t>ERP_CHAM_CONG_2026</t>
        </is>
      </c>
      <c r="X167" s="207" t="inlineStr">
        <is>
          <t>HỢP LỆ</t>
        </is>
      </c>
    </row>
    <row r="168">
      <c r="A168" s="194" t="inlineStr">
        <is>
          <t>2026-08-15</t>
        </is>
      </c>
      <c r="B168" s="194" t="inlineStr">
        <is>
          <t>2026-08-01</t>
        </is>
      </c>
      <c r="C168" s="194" t="inlineStr">
        <is>
          <t>NV10</t>
        </is>
      </c>
      <c r="D168" s="195" t="inlineStr">
        <is>
          <t>Phạm Văn Tráng</t>
        </is>
      </c>
      <c r="E168" s="194" t="inlineStr">
        <is>
          <t>C1+2</t>
        </is>
      </c>
      <c r="F168" s="196" t="n">
        <v>1</v>
      </c>
      <c r="G168" s="196" t="n">
        <v>8</v>
      </c>
      <c r="H168" s="196" t="n">
        <v>2</v>
      </c>
      <c r="I168" s="196" t="n">
        <v>0</v>
      </c>
      <c r="J168" s="196" t="n">
        <v>0</v>
      </c>
      <c r="K168" s="196" t="n">
        <v>0</v>
      </c>
      <c r="L168" s="197" t="n">
        <v>0</v>
      </c>
      <c r="M168" s="197" t="n">
        <v>0</v>
      </c>
      <c r="N168" s="197" t="n">
        <v>0</v>
      </c>
      <c r="O168" s="196">
        <f>H168+I168+J168+L168+M168+N168</f>
        <v/>
      </c>
      <c r="P168" s="198" t="n">
        <v>55000</v>
      </c>
      <c r="Q168" s="197" t="n">
        <v>0</v>
      </c>
      <c r="R168" s="199" t="inlineStr">
        <is>
          <t>Đảm bảo tiến độ sản xuất</t>
        </is>
      </c>
      <c r="S168" s="200" t="inlineStr">
        <is>
          <t>CÓ</t>
        </is>
      </c>
      <c r="T168" s="200" t="inlineStr">
        <is>
          <t>ĐÃ DUYỆT</t>
        </is>
      </c>
      <c r="U168" s="199" t="inlineStr">
        <is>
          <t>Quản Đốc</t>
        </is>
      </c>
      <c r="V168" s="200" t="inlineStr">
        <is>
          <t>2026-08-15 17:00:00</t>
        </is>
      </c>
      <c r="W168" s="200" t="inlineStr">
        <is>
          <t>ERP_CHAM_CONG_2026</t>
        </is>
      </c>
      <c r="X168" s="200" t="inlineStr">
        <is>
          <t>HỢP LỆ</t>
        </is>
      </c>
    </row>
    <row r="169">
      <c r="A169" s="201" t="inlineStr">
        <is>
          <t>2026-08-16</t>
        </is>
      </c>
      <c r="B169" s="201" t="inlineStr">
        <is>
          <t>2026-08-01</t>
        </is>
      </c>
      <c r="C169" s="201" t="inlineStr">
        <is>
          <t>NV08</t>
        </is>
      </c>
      <c r="D169" s="202" t="inlineStr">
        <is>
          <t>Trần Văn Dũng</t>
        </is>
      </c>
      <c r="E169" s="201" t="inlineStr">
        <is>
          <t>CN</t>
        </is>
      </c>
      <c r="F169" s="203" t="n">
        <v>1</v>
      </c>
      <c r="G169" s="203" t="n">
        <v>8</v>
      </c>
      <c r="H169" s="203" t="n">
        <v>0</v>
      </c>
      <c r="I169" s="203" t="n">
        <v>0</v>
      </c>
      <c r="J169" s="203" t="n">
        <v>0</v>
      </c>
      <c r="K169" s="203" t="n">
        <v>0</v>
      </c>
      <c r="L169" s="204" t="n">
        <v>0</v>
      </c>
      <c r="M169" s="204" t="n">
        <v>0</v>
      </c>
      <c r="N169" s="204" t="n">
        <v>0</v>
      </c>
      <c r="O169" s="203">
        <f>H169+I169+J169+L169+M169+N169</f>
        <v/>
      </c>
      <c r="P169" s="205" t="n">
        <v>30000</v>
      </c>
      <c r="Q169" s="204" t="n">
        <v>0</v>
      </c>
      <c r="R169" s="206" t="inlineStr"/>
      <c r="S169" s="207" t="inlineStr">
        <is>
          <t>KHÔNG</t>
        </is>
      </c>
      <c r="T169" s="207" t="inlineStr">
        <is>
          <t>ĐÃ DUYỆT</t>
        </is>
      </c>
      <c r="U169" s="206" t="inlineStr">
        <is>
          <t>Quản Đốc</t>
        </is>
      </c>
      <c r="V169" s="207" t="inlineStr">
        <is>
          <t>2026-08-16 17:00:00</t>
        </is>
      </c>
      <c r="W169" s="207" t="inlineStr">
        <is>
          <t>ERP_CHAM_CONG_2026</t>
        </is>
      </c>
      <c r="X169" s="207" t="inlineStr">
        <is>
          <t>HỢP LỆ</t>
        </is>
      </c>
    </row>
    <row r="170">
      <c r="A170" s="194" t="inlineStr">
        <is>
          <t>2026-08-16</t>
        </is>
      </c>
      <c r="B170" s="194" t="inlineStr">
        <is>
          <t>2026-08-01</t>
        </is>
      </c>
      <c r="C170" s="194" t="inlineStr">
        <is>
          <t>NV01</t>
        </is>
      </c>
      <c r="D170" s="195" t="inlineStr">
        <is>
          <t>Hoàng Ngọc Hà</t>
        </is>
      </c>
      <c r="E170" s="194" t="inlineStr">
        <is>
          <t>CN</t>
        </is>
      </c>
      <c r="F170" s="196" t="n">
        <v>1</v>
      </c>
      <c r="G170" s="196" t="n">
        <v>8</v>
      </c>
      <c r="H170" s="196" t="n">
        <v>0</v>
      </c>
      <c r="I170" s="196" t="n">
        <v>0</v>
      </c>
      <c r="J170" s="196" t="n">
        <v>0</v>
      </c>
      <c r="K170" s="196" t="n">
        <v>0</v>
      </c>
      <c r="L170" s="197" t="n">
        <v>0</v>
      </c>
      <c r="M170" s="197" t="n">
        <v>0</v>
      </c>
      <c r="N170" s="197" t="n">
        <v>0</v>
      </c>
      <c r="O170" s="196">
        <f>H170+I170+J170+L170+M170+N170</f>
        <v/>
      </c>
      <c r="P170" s="198" t="n">
        <v>30000</v>
      </c>
      <c r="Q170" s="197" t="n">
        <v>0</v>
      </c>
      <c r="R170" s="199" t="inlineStr"/>
      <c r="S170" s="200" t="inlineStr">
        <is>
          <t>KHÔNG</t>
        </is>
      </c>
      <c r="T170" s="200" t="inlineStr">
        <is>
          <t>ĐÃ DUYỆT</t>
        </is>
      </c>
      <c r="U170" s="199" t="inlineStr">
        <is>
          <t>Quản Đốc</t>
        </is>
      </c>
      <c r="V170" s="200" t="inlineStr">
        <is>
          <t>2026-08-16 17:00:00</t>
        </is>
      </c>
      <c r="W170" s="200" t="inlineStr">
        <is>
          <t>ERP_CHAM_CONG_2026</t>
        </is>
      </c>
      <c r="X170" s="200" t="inlineStr">
        <is>
          <t>HỢP LỆ</t>
        </is>
      </c>
    </row>
    <row r="171">
      <c r="A171" s="201" t="inlineStr">
        <is>
          <t>2026-08-16</t>
        </is>
      </c>
      <c r="B171" s="201" t="inlineStr">
        <is>
          <t>2026-08-01</t>
        </is>
      </c>
      <c r="C171" s="201" t="inlineStr">
        <is>
          <t>NV15</t>
        </is>
      </c>
      <c r="D171" s="202" t="inlineStr">
        <is>
          <t>Đặng Ngọc Long</t>
        </is>
      </c>
      <c r="E171" s="201" t="inlineStr">
        <is>
          <t>CN</t>
        </is>
      </c>
      <c r="F171" s="203" t="n">
        <v>1</v>
      </c>
      <c r="G171" s="203" t="n">
        <v>8</v>
      </c>
      <c r="H171" s="203" t="n">
        <v>0</v>
      </c>
      <c r="I171" s="203" t="n">
        <v>0</v>
      </c>
      <c r="J171" s="203" t="n">
        <v>0</v>
      </c>
      <c r="K171" s="203" t="n">
        <v>0</v>
      </c>
      <c r="L171" s="204" t="n">
        <v>0</v>
      </c>
      <c r="M171" s="204" t="n">
        <v>0</v>
      </c>
      <c r="N171" s="204" t="n">
        <v>0</v>
      </c>
      <c r="O171" s="203">
        <f>H171+I171+J171+L171+M171+N171</f>
        <v/>
      </c>
      <c r="P171" s="205" t="n">
        <v>30000</v>
      </c>
      <c r="Q171" s="204" t="n">
        <v>0</v>
      </c>
      <c r="R171" s="206" t="inlineStr"/>
      <c r="S171" s="207" t="inlineStr">
        <is>
          <t>KHÔNG</t>
        </is>
      </c>
      <c r="T171" s="207" t="inlineStr">
        <is>
          <t>ĐÃ DUYỆT</t>
        </is>
      </c>
      <c r="U171" s="206" t="inlineStr">
        <is>
          <t>Quản Đốc</t>
        </is>
      </c>
      <c r="V171" s="207" t="inlineStr">
        <is>
          <t>2026-08-16 17:00:00</t>
        </is>
      </c>
      <c r="W171" s="207" t="inlineStr">
        <is>
          <t>ERP_CHAM_CONG_2026</t>
        </is>
      </c>
      <c r="X171" s="207" t="inlineStr">
        <is>
          <t>HỢP LỆ</t>
        </is>
      </c>
    </row>
    <row r="172">
      <c r="A172" s="194" t="inlineStr">
        <is>
          <t>2026-08-16</t>
        </is>
      </c>
      <c r="B172" s="194" t="inlineStr">
        <is>
          <t>2026-08-01</t>
        </is>
      </c>
      <c r="C172" s="194" t="inlineStr">
        <is>
          <t>NV14</t>
        </is>
      </c>
      <c r="D172" s="195" t="inlineStr">
        <is>
          <t>Đinh Văn Nhận</t>
        </is>
      </c>
      <c r="E172" s="194" t="inlineStr">
        <is>
          <t>CN</t>
        </is>
      </c>
      <c r="F172" s="196" t="n">
        <v>1</v>
      </c>
      <c r="G172" s="196" t="n">
        <v>8</v>
      </c>
      <c r="H172" s="196" t="n">
        <v>0</v>
      </c>
      <c r="I172" s="196" t="n">
        <v>0</v>
      </c>
      <c r="J172" s="196" t="n">
        <v>0</v>
      </c>
      <c r="K172" s="196" t="n">
        <v>0</v>
      </c>
      <c r="L172" s="197" t="n">
        <v>0</v>
      </c>
      <c r="M172" s="197" t="n">
        <v>0</v>
      </c>
      <c r="N172" s="197" t="n">
        <v>0</v>
      </c>
      <c r="O172" s="196">
        <f>H172+I172+J172+L172+M172+N172</f>
        <v/>
      </c>
      <c r="P172" s="198" t="n">
        <v>30000</v>
      </c>
      <c r="Q172" s="197" t="n">
        <v>0</v>
      </c>
      <c r="R172" s="199" t="inlineStr"/>
      <c r="S172" s="200" t="inlineStr">
        <is>
          <t>KHÔNG</t>
        </is>
      </c>
      <c r="T172" s="200" t="inlineStr">
        <is>
          <t>ĐÃ DUYỆT</t>
        </is>
      </c>
      <c r="U172" s="199" t="inlineStr">
        <is>
          <t>Quản Đốc</t>
        </is>
      </c>
      <c r="V172" s="200" t="inlineStr">
        <is>
          <t>2026-08-16 17:00:00</t>
        </is>
      </c>
      <c r="W172" s="200" t="inlineStr">
        <is>
          <t>ERP_CHAM_CONG_2026</t>
        </is>
      </c>
      <c r="X172" s="200" t="inlineStr">
        <is>
          <t>HỢP LỆ</t>
        </is>
      </c>
    </row>
    <row r="173">
      <c r="A173" s="201" t="inlineStr">
        <is>
          <t>2026-08-16</t>
        </is>
      </c>
      <c r="B173" s="201" t="inlineStr">
        <is>
          <t>2026-08-01</t>
        </is>
      </c>
      <c r="C173" s="201" t="inlineStr">
        <is>
          <t>NV07</t>
        </is>
      </c>
      <c r="D173" s="202" t="inlineStr">
        <is>
          <t>Phùng Gia Phúc</t>
        </is>
      </c>
      <c r="E173" s="201" t="inlineStr">
        <is>
          <t>CN</t>
        </is>
      </c>
      <c r="F173" s="203" t="n">
        <v>1</v>
      </c>
      <c r="G173" s="203" t="n">
        <v>8</v>
      </c>
      <c r="H173" s="203" t="n">
        <v>0</v>
      </c>
      <c r="I173" s="203" t="n">
        <v>0</v>
      </c>
      <c r="J173" s="203" t="n">
        <v>0</v>
      </c>
      <c r="K173" s="203" t="n">
        <v>0</v>
      </c>
      <c r="L173" s="204" t="n">
        <v>0</v>
      </c>
      <c r="M173" s="204" t="n">
        <v>0</v>
      </c>
      <c r="N173" s="204" t="n">
        <v>0</v>
      </c>
      <c r="O173" s="203">
        <f>H173+I173+J173+L173+M173+N173</f>
        <v/>
      </c>
      <c r="P173" s="205" t="n">
        <v>30000</v>
      </c>
      <c r="Q173" s="204" t="n">
        <v>0</v>
      </c>
      <c r="R173" s="206" t="inlineStr"/>
      <c r="S173" s="207" t="inlineStr">
        <is>
          <t>KHÔNG</t>
        </is>
      </c>
      <c r="T173" s="207" t="inlineStr">
        <is>
          <t>ĐÃ DUYỆT</t>
        </is>
      </c>
      <c r="U173" s="206" t="inlineStr">
        <is>
          <t>Quản Đốc</t>
        </is>
      </c>
      <c r="V173" s="207" t="inlineStr">
        <is>
          <t>2026-08-16 17:00:00</t>
        </is>
      </c>
      <c r="W173" s="207" t="inlineStr">
        <is>
          <t>ERP_CHAM_CONG_2026</t>
        </is>
      </c>
      <c r="X173" s="207" t="inlineStr">
        <is>
          <t>HỢP LỆ</t>
        </is>
      </c>
    </row>
    <row r="174">
      <c r="A174" s="194" t="inlineStr">
        <is>
          <t>2026-08-16</t>
        </is>
      </c>
      <c r="B174" s="194" t="inlineStr">
        <is>
          <t>2026-08-01</t>
        </is>
      </c>
      <c r="C174" s="194" t="inlineStr">
        <is>
          <t>NV13</t>
        </is>
      </c>
      <c r="D174" s="195" t="inlineStr">
        <is>
          <t>Trần Văn Quỳnh</t>
        </is>
      </c>
      <c r="E174" s="194" t="inlineStr">
        <is>
          <t>CN</t>
        </is>
      </c>
      <c r="F174" s="196" t="n">
        <v>1</v>
      </c>
      <c r="G174" s="196" t="n">
        <v>8</v>
      </c>
      <c r="H174" s="196" t="n">
        <v>0</v>
      </c>
      <c r="I174" s="196" t="n">
        <v>0</v>
      </c>
      <c r="J174" s="196" t="n">
        <v>0</v>
      </c>
      <c r="K174" s="196" t="n">
        <v>0</v>
      </c>
      <c r="L174" s="197" t="n">
        <v>0</v>
      </c>
      <c r="M174" s="197" t="n">
        <v>0</v>
      </c>
      <c r="N174" s="197" t="n">
        <v>0</v>
      </c>
      <c r="O174" s="196">
        <f>H174+I174+J174+L174+M174+N174</f>
        <v/>
      </c>
      <c r="P174" s="198" t="n">
        <v>30000</v>
      </c>
      <c r="Q174" s="197" t="n">
        <v>0</v>
      </c>
      <c r="R174" s="199" t="inlineStr"/>
      <c r="S174" s="200" t="inlineStr">
        <is>
          <t>KHÔNG</t>
        </is>
      </c>
      <c r="T174" s="200" t="inlineStr">
        <is>
          <t>ĐÃ DUYỆT</t>
        </is>
      </c>
      <c r="U174" s="199" t="inlineStr">
        <is>
          <t>Quản Đốc</t>
        </is>
      </c>
      <c r="V174" s="200" t="inlineStr">
        <is>
          <t>2026-08-16 17:00:00</t>
        </is>
      </c>
      <c r="W174" s="200" t="inlineStr">
        <is>
          <t>ERP_CHAM_CONG_2026</t>
        </is>
      </c>
      <c r="X174" s="200" t="inlineStr">
        <is>
          <t>HỢP LỆ</t>
        </is>
      </c>
    </row>
    <row r="175">
      <c r="A175" s="201" t="inlineStr">
        <is>
          <t>2026-08-16</t>
        </is>
      </c>
      <c r="B175" s="201" t="inlineStr">
        <is>
          <t>2026-08-01</t>
        </is>
      </c>
      <c r="C175" s="201" t="inlineStr">
        <is>
          <t>NV11</t>
        </is>
      </c>
      <c r="D175" s="202" t="inlineStr">
        <is>
          <t>Phùng Công Thắng</t>
        </is>
      </c>
      <c r="E175" s="201" t="inlineStr">
        <is>
          <t>CN</t>
        </is>
      </c>
      <c r="F175" s="203" t="n">
        <v>1</v>
      </c>
      <c r="G175" s="203" t="n">
        <v>8</v>
      </c>
      <c r="H175" s="203" t="n">
        <v>0</v>
      </c>
      <c r="I175" s="203" t="n">
        <v>0</v>
      </c>
      <c r="J175" s="203" t="n">
        <v>0</v>
      </c>
      <c r="K175" s="203" t="n">
        <v>0</v>
      </c>
      <c r="L175" s="204" t="n">
        <v>0</v>
      </c>
      <c r="M175" s="204" t="n">
        <v>0</v>
      </c>
      <c r="N175" s="204" t="n">
        <v>0</v>
      </c>
      <c r="O175" s="203">
        <f>H175+I175+J175+L175+M175+N175</f>
        <v/>
      </c>
      <c r="P175" s="205" t="n">
        <v>30000</v>
      </c>
      <c r="Q175" s="204" t="n">
        <v>0</v>
      </c>
      <c r="R175" s="206" t="inlineStr"/>
      <c r="S175" s="207" t="inlineStr">
        <is>
          <t>KHÔNG</t>
        </is>
      </c>
      <c r="T175" s="207" t="inlineStr">
        <is>
          <t>ĐÃ DUYỆT</t>
        </is>
      </c>
      <c r="U175" s="206" t="inlineStr">
        <is>
          <t>Quản Đốc</t>
        </is>
      </c>
      <c r="V175" s="207" t="inlineStr">
        <is>
          <t>2026-08-16 17:00:00</t>
        </is>
      </c>
      <c r="W175" s="207" t="inlineStr">
        <is>
          <t>ERP_CHAM_CONG_2026</t>
        </is>
      </c>
      <c r="X175" s="207" t="inlineStr">
        <is>
          <t>HỢP LỆ</t>
        </is>
      </c>
    </row>
    <row r="176">
      <c r="A176" s="194" t="inlineStr">
        <is>
          <t>2026-08-16</t>
        </is>
      </c>
      <c r="B176" s="194" t="inlineStr">
        <is>
          <t>2026-08-01</t>
        </is>
      </c>
      <c r="C176" s="194" t="inlineStr">
        <is>
          <t>NV06</t>
        </is>
      </c>
      <c r="D176" s="195" t="inlineStr">
        <is>
          <t>Nguyễn Văn Thanh</t>
        </is>
      </c>
      <c r="E176" s="194" t="inlineStr">
        <is>
          <t>CN</t>
        </is>
      </c>
      <c r="F176" s="196" t="n">
        <v>1</v>
      </c>
      <c r="G176" s="196" t="n">
        <v>8</v>
      </c>
      <c r="H176" s="196" t="n">
        <v>0</v>
      </c>
      <c r="I176" s="196" t="n">
        <v>0</v>
      </c>
      <c r="J176" s="196" t="n">
        <v>0</v>
      </c>
      <c r="K176" s="196" t="n">
        <v>0</v>
      </c>
      <c r="L176" s="197" t="n">
        <v>0</v>
      </c>
      <c r="M176" s="197" t="n">
        <v>0</v>
      </c>
      <c r="N176" s="197" t="n">
        <v>0</v>
      </c>
      <c r="O176" s="196">
        <f>H176+I176+J176+L176+M176+N176</f>
        <v/>
      </c>
      <c r="P176" s="198" t="n">
        <v>30000</v>
      </c>
      <c r="Q176" s="197" t="n">
        <v>0</v>
      </c>
      <c r="R176" s="199" t="inlineStr"/>
      <c r="S176" s="200" t="inlineStr">
        <is>
          <t>KHÔNG</t>
        </is>
      </c>
      <c r="T176" s="200" t="inlineStr">
        <is>
          <t>ĐÃ DUYỆT</t>
        </is>
      </c>
      <c r="U176" s="199" t="inlineStr">
        <is>
          <t>Quản Đốc</t>
        </is>
      </c>
      <c r="V176" s="200" t="inlineStr">
        <is>
          <t>2026-08-16 17:00:00</t>
        </is>
      </c>
      <c r="W176" s="200" t="inlineStr">
        <is>
          <t>ERP_CHAM_CONG_2026</t>
        </is>
      </c>
      <c r="X176" s="200" t="inlineStr">
        <is>
          <t>HỢP LỆ</t>
        </is>
      </c>
    </row>
    <row r="177">
      <c r="A177" s="201" t="inlineStr">
        <is>
          <t>2026-08-16</t>
        </is>
      </c>
      <c r="B177" s="201" t="inlineStr">
        <is>
          <t>2026-08-01</t>
        </is>
      </c>
      <c r="C177" s="201" t="inlineStr">
        <is>
          <t>NV04</t>
        </is>
      </c>
      <c r="D177" s="202" t="inlineStr">
        <is>
          <t>Vũ Tiến Thuận</t>
        </is>
      </c>
      <c r="E177" s="201" t="inlineStr">
        <is>
          <t>CN</t>
        </is>
      </c>
      <c r="F177" s="203" t="n">
        <v>1</v>
      </c>
      <c r="G177" s="203" t="n">
        <v>8</v>
      </c>
      <c r="H177" s="203" t="n">
        <v>0</v>
      </c>
      <c r="I177" s="203" t="n">
        <v>0</v>
      </c>
      <c r="J177" s="203" t="n">
        <v>0</v>
      </c>
      <c r="K177" s="203" t="n">
        <v>0</v>
      </c>
      <c r="L177" s="204" t="n">
        <v>0</v>
      </c>
      <c r="M177" s="204" t="n">
        <v>0</v>
      </c>
      <c r="N177" s="204" t="n">
        <v>0</v>
      </c>
      <c r="O177" s="203">
        <f>H177+I177+J177+L177+M177+N177</f>
        <v/>
      </c>
      <c r="P177" s="205" t="n">
        <v>30000</v>
      </c>
      <c r="Q177" s="204" t="n">
        <v>0</v>
      </c>
      <c r="R177" s="206" t="inlineStr"/>
      <c r="S177" s="207" t="inlineStr">
        <is>
          <t>KHÔNG</t>
        </is>
      </c>
      <c r="T177" s="207" t="inlineStr">
        <is>
          <t>ĐÃ DUYỆT</t>
        </is>
      </c>
      <c r="U177" s="206" t="inlineStr">
        <is>
          <t>Quản Đốc</t>
        </is>
      </c>
      <c r="V177" s="207" t="inlineStr">
        <is>
          <t>2026-08-16 17:00:00</t>
        </is>
      </c>
      <c r="W177" s="207" t="inlineStr">
        <is>
          <t>ERP_CHAM_CONG_2026</t>
        </is>
      </c>
      <c r="X177" s="207" t="inlineStr">
        <is>
          <t>HỢP LỆ</t>
        </is>
      </c>
    </row>
    <row r="178">
      <c r="A178" s="194" t="inlineStr">
        <is>
          <t>2026-08-16</t>
        </is>
      </c>
      <c r="B178" s="194" t="inlineStr">
        <is>
          <t>2026-08-01</t>
        </is>
      </c>
      <c r="C178" s="194" t="inlineStr">
        <is>
          <t>NV10</t>
        </is>
      </c>
      <c r="D178" s="195" t="inlineStr">
        <is>
          <t>Phạm Văn Tráng</t>
        </is>
      </c>
      <c r="E178" s="194" t="inlineStr">
        <is>
          <t>CN</t>
        </is>
      </c>
      <c r="F178" s="196" t="n">
        <v>1</v>
      </c>
      <c r="G178" s="196" t="n">
        <v>8</v>
      </c>
      <c r="H178" s="196" t="n">
        <v>0</v>
      </c>
      <c r="I178" s="196" t="n">
        <v>0</v>
      </c>
      <c r="J178" s="196" t="n">
        <v>0</v>
      </c>
      <c r="K178" s="196" t="n">
        <v>0</v>
      </c>
      <c r="L178" s="197" t="n">
        <v>0</v>
      </c>
      <c r="M178" s="197" t="n">
        <v>0</v>
      </c>
      <c r="N178" s="197" t="n">
        <v>0</v>
      </c>
      <c r="O178" s="196">
        <f>H178+I178+J178+L178+M178+N178</f>
        <v/>
      </c>
      <c r="P178" s="198" t="n">
        <v>30000</v>
      </c>
      <c r="Q178" s="197" t="n">
        <v>0</v>
      </c>
      <c r="R178" s="199" t="inlineStr"/>
      <c r="S178" s="200" t="inlineStr">
        <is>
          <t>KHÔNG</t>
        </is>
      </c>
      <c r="T178" s="200" t="inlineStr">
        <is>
          <t>ĐÃ DUYỆT</t>
        </is>
      </c>
      <c r="U178" s="199" t="inlineStr">
        <is>
          <t>Quản Đốc</t>
        </is>
      </c>
      <c r="V178" s="200" t="inlineStr">
        <is>
          <t>2026-08-16 17:00:00</t>
        </is>
      </c>
      <c r="W178" s="200" t="inlineStr">
        <is>
          <t>ERP_CHAM_CONG_2026</t>
        </is>
      </c>
      <c r="X178" s="200" t="inlineStr">
        <is>
          <t>HỢP LỆ</t>
        </is>
      </c>
    </row>
    <row r="179">
      <c r="A179" s="201" t="inlineStr">
        <is>
          <t>2026-08-17</t>
        </is>
      </c>
      <c r="B179" s="201" t="inlineStr">
        <is>
          <t>2026-08-01</t>
        </is>
      </c>
      <c r="C179" s="201" t="inlineStr">
        <is>
          <t>NV02</t>
        </is>
      </c>
      <c r="D179" s="202" t="inlineStr">
        <is>
          <t>Nguyễn Trung Đông</t>
        </is>
      </c>
      <c r="E179" s="201" t="inlineStr">
        <is>
          <t>C1</t>
        </is>
      </c>
      <c r="F179" s="203" t="n">
        <v>1</v>
      </c>
      <c r="G179" s="203" t="n">
        <v>8</v>
      </c>
      <c r="H179" s="203" t="n">
        <v>0</v>
      </c>
      <c r="I179" s="203" t="n">
        <v>0</v>
      </c>
      <c r="J179" s="203" t="n">
        <v>0</v>
      </c>
      <c r="K179" s="203" t="n">
        <v>0</v>
      </c>
      <c r="L179" s="204" t="n">
        <v>0</v>
      </c>
      <c r="M179" s="204" t="n">
        <v>0</v>
      </c>
      <c r="N179" s="204" t="n">
        <v>0</v>
      </c>
      <c r="O179" s="203">
        <f>H179+I179+J179+L179+M179+N179</f>
        <v/>
      </c>
      <c r="P179" s="205" t="n">
        <v>30000</v>
      </c>
      <c r="Q179" s="204" t="n">
        <v>0</v>
      </c>
      <c r="R179" s="206" t="inlineStr"/>
      <c r="S179" s="207" t="inlineStr">
        <is>
          <t>KHÔNG</t>
        </is>
      </c>
      <c r="T179" s="207" t="inlineStr">
        <is>
          <t>ĐÃ DUYỆT</t>
        </is>
      </c>
      <c r="U179" s="206" t="inlineStr">
        <is>
          <t>Quản Đốc</t>
        </is>
      </c>
      <c r="V179" s="207" t="inlineStr">
        <is>
          <t>2026-08-17 17:00:00</t>
        </is>
      </c>
      <c r="W179" s="207" t="inlineStr">
        <is>
          <t>ERP_CHAM_CONG_2026</t>
        </is>
      </c>
      <c r="X179" s="207" t="inlineStr">
        <is>
          <t>HỢP LỆ</t>
        </is>
      </c>
    </row>
    <row r="180">
      <c r="A180" s="194" t="inlineStr">
        <is>
          <t>2026-08-17</t>
        </is>
      </c>
      <c r="B180" s="194" t="inlineStr">
        <is>
          <t>2026-08-01</t>
        </is>
      </c>
      <c r="C180" s="194" t="inlineStr">
        <is>
          <t>NV08</t>
        </is>
      </c>
      <c r="D180" s="195" t="inlineStr">
        <is>
          <t>Trần Văn Dũng</t>
        </is>
      </c>
      <c r="E180" s="194" t="inlineStr">
        <is>
          <t>C1+2</t>
        </is>
      </c>
      <c r="F180" s="196" t="n">
        <v>1</v>
      </c>
      <c r="G180" s="196" t="n">
        <v>8</v>
      </c>
      <c r="H180" s="196" t="n">
        <v>2</v>
      </c>
      <c r="I180" s="196" t="n">
        <v>0</v>
      </c>
      <c r="J180" s="196" t="n">
        <v>0</v>
      </c>
      <c r="K180" s="196" t="n">
        <v>0</v>
      </c>
      <c r="L180" s="197" t="n">
        <v>0</v>
      </c>
      <c r="M180" s="197" t="n">
        <v>0</v>
      </c>
      <c r="N180" s="197" t="n">
        <v>0</v>
      </c>
      <c r="O180" s="196">
        <f>H180+I180+J180+L180+M180+N180</f>
        <v/>
      </c>
      <c r="P180" s="198" t="n">
        <v>55000</v>
      </c>
      <c r="Q180" s="197" t="n">
        <v>0</v>
      </c>
      <c r="R180" s="199" t="inlineStr">
        <is>
          <t>Đảm bảo tiến độ sản xuất</t>
        </is>
      </c>
      <c r="S180" s="200" t="inlineStr">
        <is>
          <t>CÓ</t>
        </is>
      </c>
      <c r="T180" s="200" t="inlineStr">
        <is>
          <t>ĐÃ DUYỆT</t>
        </is>
      </c>
      <c r="U180" s="199" t="inlineStr">
        <is>
          <t>Quản Đốc</t>
        </is>
      </c>
      <c r="V180" s="200" t="inlineStr">
        <is>
          <t>2026-08-17 17:00:00</t>
        </is>
      </c>
      <c r="W180" s="200" t="inlineStr">
        <is>
          <t>ERP_CHAM_CONG_2026</t>
        </is>
      </c>
      <c r="X180" s="200" t="inlineStr">
        <is>
          <t>HỢP LỆ</t>
        </is>
      </c>
    </row>
    <row r="181">
      <c r="A181" s="201" t="inlineStr">
        <is>
          <t>2026-08-17</t>
        </is>
      </c>
      <c r="B181" s="201" t="inlineStr">
        <is>
          <t>2026-08-01</t>
        </is>
      </c>
      <c r="C181" s="201" t="inlineStr">
        <is>
          <t>NV01</t>
        </is>
      </c>
      <c r="D181" s="202" t="inlineStr">
        <is>
          <t>Hoàng Ngọc Hà</t>
        </is>
      </c>
      <c r="E181" s="201" t="inlineStr">
        <is>
          <t>C1</t>
        </is>
      </c>
      <c r="F181" s="203" t="n">
        <v>1</v>
      </c>
      <c r="G181" s="203" t="n">
        <v>8</v>
      </c>
      <c r="H181" s="203" t="n">
        <v>0</v>
      </c>
      <c r="I181" s="203" t="n">
        <v>0</v>
      </c>
      <c r="J181" s="203" t="n">
        <v>0</v>
      </c>
      <c r="K181" s="203" t="n">
        <v>0</v>
      </c>
      <c r="L181" s="204" t="n">
        <v>0</v>
      </c>
      <c r="M181" s="204" t="n">
        <v>0</v>
      </c>
      <c r="N181" s="204" t="n">
        <v>0</v>
      </c>
      <c r="O181" s="203">
        <f>H181+I181+J181+L181+M181+N181</f>
        <v/>
      </c>
      <c r="P181" s="205" t="n">
        <v>30000</v>
      </c>
      <c r="Q181" s="204" t="n">
        <v>0</v>
      </c>
      <c r="R181" s="206" t="inlineStr"/>
      <c r="S181" s="207" t="inlineStr">
        <is>
          <t>KHÔNG</t>
        </is>
      </c>
      <c r="T181" s="207" t="inlineStr">
        <is>
          <t>ĐÃ DUYỆT</t>
        </is>
      </c>
      <c r="U181" s="206" t="inlineStr">
        <is>
          <t>Quản Đốc</t>
        </is>
      </c>
      <c r="V181" s="207" t="inlineStr">
        <is>
          <t>2026-08-17 17:00:00</t>
        </is>
      </c>
      <c r="W181" s="207" t="inlineStr">
        <is>
          <t>ERP_CHAM_CONG_2026</t>
        </is>
      </c>
      <c r="X181" s="207" t="inlineStr">
        <is>
          <t>HỢP LỆ</t>
        </is>
      </c>
    </row>
    <row r="182">
      <c r="A182" s="194" t="inlineStr">
        <is>
          <t>2026-08-17</t>
        </is>
      </c>
      <c r="B182" s="194" t="inlineStr">
        <is>
          <t>2026-08-01</t>
        </is>
      </c>
      <c r="C182" s="194" t="inlineStr">
        <is>
          <t>NV03</t>
        </is>
      </c>
      <c r="D182" s="195" t="inlineStr">
        <is>
          <t>Phùng Đình Hùng</t>
        </is>
      </c>
      <c r="E182" s="194" t="inlineStr">
        <is>
          <t>C1</t>
        </is>
      </c>
      <c r="F182" s="196" t="n">
        <v>1</v>
      </c>
      <c r="G182" s="196" t="n">
        <v>8</v>
      </c>
      <c r="H182" s="196" t="n">
        <v>0</v>
      </c>
      <c r="I182" s="196" t="n">
        <v>0</v>
      </c>
      <c r="J182" s="196" t="n">
        <v>0</v>
      </c>
      <c r="K182" s="196" t="n">
        <v>0</v>
      </c>
      <c r="L182" s="197" t="n">
        <v>0</v>
      </c>
      <c r="M182" s="197" t="n">
        <v>0</v>
      </c>
      <c r="N182" s="197" t="n">
        <v>0</v>
      </c>
      <c r="O182" s="196">
        <f>H182+I182+J182+L182+M182+N182</f>
        <v/>
      </c>
      <c r="P182" s="198" t="n">
        <v>30000</v>
      </c>
      <c r="Q182" s="197" t="n">
        <v>0</v>
      </c>
      <c r="R182" s="199" t="inlineStr"/>
      <c r="S182" s="200" t="inlineStr">
        <is>
          <t>KHÔNG</t>
        </is>
      </c>
      <c r="T182" s="200" t="inlineStr">
        <is>
          <t>ĐÃ DUYỆT</t>
        </is>
      </c>
      <c r="U182" s="199" t="inlineStr">
        <is>
          <t>Quản Đốc</t>
        </is>
      </c>
      <c r="V182" s="200" t="inlineStr">
        <is>
          <t>2026-08-17 17:00:00</t>
        </is>
      </c>
      <c r="W182" s="200" t="inlineStr">
        <is>
          <t>ERP_CHAM_CONG_2026</t>
        </is>
      </c>
      <c r="X182" s="200" t="inlineStr">
        <is>
          <t>HỢP LỆ</t>
        </is>
      </c>
    </row>
    <row r="183">
      <c r="A183" s="201" t="inlineStr">
        <is>
          <t>2026-08-17</t>
        </is>
      </c>
      <c r="B183" s="201" t="inlineStr">
        <is>
          <t>2026-08-01</t>
        </is>
      </c>
      <c r="C183" s="201" t="inlineStr">
        <is>
          <t>NV15</t>
        </is>
      </c>
      <c r="D183" s="202" t="inlineStr">
        <is>
          <t>Đặng Ngọc Long</t>
        </is>
      </c>
      <c r="E183" s="201" t="inlineStr">
        <is>
          <t>C1</t>
        </is>
      </c>
      <c r="F183" s="203" t="n">
        <v>1</v>
      </c>
      <c r="G183" s="203" t="n">
        <v>8</v>
      </c>
      <c r="H183" s="203" t="n">
        <v>0</v>
      </c>
      <c r="I183" s="203" t="n">
        <v>0</v>
      </c>
      <c r="J183" s="203" t="n">
        <v>0</v>
      </c>
      <c r="K183" s="203" t="n">
        <v>0</v>
      </c>
      <c r="L183" s="204" t="n">
        <v>0</v>
      </c>
      <c r="M183" s="204" t="n">
        <v>0</v>
      </c>
      <c r="N183" s="204" t="n">
        <v>0</v>
      </c>
      <c r="O183" s="203">
        <f>H183+I183+J183+L183+M183+N183</f>
        <v/>
      </c>
      <c r="P183" s="205" t="n">
        <v>30000</v>
      </c>
      <c r="Q183" s="204" t="n">
        <v>0</v>
      </c>
      <c r="R183" s="206" t="inlineStr"/>
      <c r="S183" s="207" t="inlineStr">
        <is>
          <t>KHÔNG</t>
        </is>
      </c>
      <c r="T183" s="207" t="inlineStr">
        <is>
          <t>ĐÃ DUYỆT</t>
        </is>
      </c>
      <c r="U183" s="206" t="inlineStr">
        <is>
          <t>Quản Đốc</t>
        </is>
      </c>
      <c r="V183" s="207" t="inlineStr">
        <is>
          <t>2026-08-17 17:00:00</t>
        </is>
      </c>
      <c r="W183" s="207" t="inlineStr">
        <is>
          <t>ERP_CHAM_CONG_2026</t>
        </is>
      </c>
      <c r="X183" s="207" t="inlineStr">
        <is>
          <t>HỢP LỆ</t>
        </is>
      </c>
    </row>
    <row r="184">
      <c r="A184" s="194" t="inlineStr">
        <is>
          <t>2026-08-17</t>
        </is>
      </c>
      <c r="B184" s="194" t="inlineStr">
        <is>
          <t>2026-08-01</t>
        </is>
      </c>
      <c r="C184" s="194" t="inlineStr">
        <is>
          <t>NV14</t>
        </is>
      </c>
      <c r="D184" s="195" t="inlineStr">
        <is>
          <t>Đinh Văn Nhận</t>
        </is>
      </c>
      <c r="E184" s="194" t="inlineStr">
        <is>
          <t>C1+2</t>
        </is>
      </c>
      <c r="F184" s="196" t="n">
        <v>1</v>
      </c>
      <c r="G184" s="196" t="n">
        <v>8</v>
      </c>
      <c r="H184" s="196" t="n">
        <v>2</v>
      </c>
      <c r="I184" s="196" t="n">
        <v>0</v>
      </c>
      <c r="J184" s="196" t="n">
        <v>0</v>
      </c>
      <c r="K184" s="196" t="n">
        <v>0</v>
      </c>
      <c r="L184" s="197" t="n">
        <v>0</v>
      </c>
      <c r="M184" s="197" t="n">
        <v>0</v>
      </c>
      <c r="N184" s="197" t="n">
        <v>0</v>
      </c>
      <c r="O184" s="196">
        <f>H184+I184+J184+L184+M184+N184</f>
        <v/>
      </c>
      <c r="P184" s="198" t="n">
        <v>55000</v>
      </c>
      <c r="Q184" s="197" t="n">
        <v>0</v>
      </c>
      <c r="R184" s="199" t="inlineStr">
        <is>
          <t>Đảm bảo tiến độ sản xuất</t>
        </is>
      </c>
      <c r="S184" s="200" t="inlineStr">
        <is>
          <t>CÓ</t>
        </is>
      </c>
      <c r="T184" s="200" t="inlineStr">
        <is>
          <t>ĐÃ DUYỆT</t>
        </is>
      </c>
      <c r="U184" s="199" t="inlineStr">
        <is>
          <t>Quản Đốc</t>
        </is>
      </c>
      <c r="V184" s="200" t="inlineStr">
        <is>
          <t>2026-08-17 17:00:00</t>
        </is>
      </c>
      <c r="W184" s="200" t="inlineStr">
        <is>
          <t>ERP_CHAM_CONG_2026</t>
        </is>
      </c>
      <c r="X184" s="200" t="inlineStr">
        <is>
          <t>HỢP LỆ</t>
        </is>
      </c>
    </row>
    <row r="185">
      <c r="A185" s="201" t="inlineStr">
        <is>
          <t>2026-08-17</t>
        </is>
      </c>
      <c r="B185" s="201" t="inlineStr">
        <is>
          <t>2026-08-01</t>
        </is>
      </c>
      <c r="C185" s="201" t="inlineStr">
        <is>
          <t>NV07</t>
        </is>
      </c>
      <c r="D185" s="202" t="inlineStr">
        <is>
          <t>Phùng Gia Phúc</t>
        </is>
      </c>
      <c r="E185" s="201" t="inlineStr">
        <is>
          <t>C1</t>
        </is>
      </c>
      <c r="F185" s="203" t="n">
        <v>1</v>
      </c>
      <c r="G185" s="203" t="n">
        <v>8</v>
      </c>
      <c r="H185" s="203" t="n">
        <v>0</v>
      </c>
      <c r="I185" s="203" t="n">
        <v>0</v>
      </c>
      <c r="J185" s="203" t="n">
        <v>0</v>
      </c>
      <c r="K185" s="203" t="n">
        <v>0</v>
      </c>
      <c r="L185" s="204" t="n">
        <v>0</v>
      </c>
      <c r="M185" s="204" t="n">
        <v>0</v>
      </c>
      <c r="N185" s="204" t="n">
        <v>0</v>
      </c>
      <c r="O185" s="203">
        <f>H185+I185+J185+L185+M185+N185</f>
        <v/>
      </c>
      <c r="P185" s="205" t="n">
        <v>30000</v>
      </c>
      <c r="Q185" s="204" t="n">
        <v>0</v>
      </c>
      <c r="R185" s="206" t="inlineStr"/>
      <c r="S185" s="207" t="inlineStr">
        <is>
          <t>KHÔNG</t>
        </is>
      </c>
      <c r="T185" s="207" t="inlineStr">
        <is>
          <t>ĐÃ DUYỆT</t>
        </is>
      </c>
      <c r="U185" s="206" t="inlineStr">
        <is>
          <t>Quản Đốc</t>
        </is>
      </c>
      <c r="V185" s="207" t="inlineStr">
        <is>
          <t>2026-08-17 17:00:00</t>
        </is>
      </c>
      <c r="W185" s="207" t="inlineStr">
        <is>
          <t>ERP_CHAM_CONG_2026</t>
        </is>
      </c>
      <c r="X185" s="207" t="inlineStr">
        <is>
          <t>HỢP LỆ</t>
        </is>
      </c>
    </row>
    <row r="186">
      <c r="A186" s="194" t="inlineStr">
        <is>
          <t>2026-08-17</t>
        </is>
      </c>
      <c r="B186" s="194" t="inlineStr">
        <is>
          <t>2026-08-01</t>
        </is>
      </c>
      <c r="C186" s="194" t="inlineStr">
        <is>
          <t>NV13</t>
        </is>
      </c>
      <c r="D186" s="195" t="inlineStr">
        <is>
          <t>Trần Văn Quỳnh</t>
        </is>
      </c>
      <c r="E186" s="194" t="inlineStr">
        <is>
          <t>C1+2</t>
        </is>
      </c>
      <c r="F186" s="196" t="n">
        <v>1</v>
      </c>
      <c r="G186" s="196" t="n">
        <v>8</v>
      </c>
      <c r="H186" s="196" t="n">
        <v>2</v>
      </c>
      <c r="I186" s="196" t="n">
        <v>0</v>
      </c>
      <c r="J186" s="196" t="n">
        <v>0</v>
      </c>
      <c r="K186" s="196" t="n">
        <v>0</v>
      </c>
      <c r="L186" s="197" t="n">
        <v>0</v>
      </c>
      <c r="M186" s="197" t="n">
        <v>0</v>
      </c>
      <c r="N186" s="197" t="n">
        <v>0</v>
      </c>
      <c r="O186" s="196">
        <f>H186+I186+J186+L186+M186+N186</f>
        <v/>
      </c>
      <c r="P186" s="198" t="n">
        <v>55000</v>
      </c>
      <c r="Q186" s="197" t="n">
        <v>0</v>
      </c>
      <c r="R186" s="199" t="inlineStr">
        <is>
          <t>Đảm bảo tiến độ sản xuất</t>
        </is>
      </c>
      <c r="S186" s="200" t="inlineStr">
        <is>
          <t>CÓ</t>
        </is>
      </c>
      <c r="T186" s="200" t="inlineStr">
        <is>
          <t>ĐÃ DUYỆT</t>
        </is>
      </c>
      <c r="U186" s="199" t="inlineStr">
        <is>
          <t>Quản Đốc</t>
        </is>
      </c>
      <c r="V186" s="200" t="inlineStr">
        <is>
          <t>2026-08-17 17:00:00</t>
        </is>
      </c>
      <c r="W186" s="200" t="inlineStr">
        <is>
          <t>ERP_CHAM_CONG_2026</t>
        </is>
      </c>
      <c r="X186" s="200" t="inlineStr">
        <is>
          <t>HỢP LỆ</t>
        </is>
      </c>
    </row>
    <row r="187">
      <c r="A187" s="201" t="inlineStr">
        <is>
          <t>2026-08-17</t>
        </is>
      </c>
      <c r="B187" s="201" t="inlineStr">
        <is>
          <t>2026-08-01</t>
        </is>
      </c>
      <c r="C187" s="201" t="inlineStr">
        <is>
          <t>NV11</t>
        </is>
      </c>
      <c r="D187" s="202" t="inlineStr">
        <is>
          <t>Phùng Công Thắng</t>
        </is>
      </c>
      <c r="E187" s="201" t="inlineStr">
        <is>
          <t>C1+2</t>
        </is>
      </c>
      <c r="F187" s="203" t="n">
        <v>1</v>
      </c>
      <c r="G187" s="203" t="n">
        <v>8</v>
      </c>
      <c r="H187" s="203" t="n">
        <v>2</v>
      </c>
      <c r="I187" s="203" t="n">
        <v>0</v>
      </c>
      <c r="J187" s="203" t="n">
        <v>0</v>
      </c>
      <c r="K187" s="203" t="n">
        <v>0</v>
      </c>
      <c r="L187" s="204" t="n">
        <v>0</v>
      </c>
      <c r="M187" s="204" t="n">
        <v>0</v>
      </c>
      <c r="N187" s="204" t="n">
        <v>0</v>
      </c>
      <c r="O187" s="203">
        <f>H187+I187+J187+L187+M187+N187</f>
        <v/>
      </c>
      <c r="P187" s="205" t="n">
        <v>55000</v>
      </c>
      <c r="Q187" s="204" t="n">
        <v>0</v>
      </c>
      <c r="R187" s="206" t="inlineStr">
        <is>
          <t>Đảm bảo tiến độ sản xuất</t>
        </is>
      </c>
      <c r="S187" s="207" t="inlineStr">
        <is>
          <t>CÓ</t>
        </is>
      </c>
      <c r="T187" s="207" t="inlineStr">
        <is>
          <t>ĐÃ DUYỆT</t>
        </is>
      </c>
      <c r="U187" s="206" t="inlineStr">
        <is>
          <t>Quản Đốc</t>
        </is>
      </c>
      <c r="V187" s="207" t="inlineStr">
        <is>
          <t>2026-08-17 17:00:00</t>
        </is>
      </c>
      <c r="W187" s="207" t="inlineStr">
        <is>
          <t>ERP_CHAM_CONG_2026</t>
        </is>
      </c>
      <c r="X187" s="207" t="inlineStr">
        <is>
          <t>HỢP LỆ</t>
        </is>
      </c>
    </row>
    <row r="188">
      <c r="A188" s="194" t="inlineStr">
        <is>
          <t>2026-08-17</t>
        </is>
      </c>
      <c r="B188" s="194" t="inlineStr">
        <is>
          <t>2026-08-01</t>
        </is>
      </c>
      <c r="C188" s="194" t="inlineStr">
        <is>
          <t>NV06</t>
        </is>
      </c>
      <c r="D188" s="195" t="inlineStr">
        <is>
          <t>Nguyễn Văn Thanh</t>
        </is>
      </c>
      <c r="E188" s="194" t="inlineStr">
        <is>
          <t>C1+2</t>
        </is>
      </c>
      <c r="F188" s="196" t="n">
        <v>1</v>
      </c>
      <c r="G188" s="196" t="n">
        <v>8</v>
      </c>
      <c r="H188" s="196" t="n">
        <v>2</v>
      </c>
      <c r="I188" s="196" t="n">
        <v>0</v>
      </c>
      <c r="J188" s="196" t="n">
        <v>0</v>
      </c>
      <c r="K188" s="196" t="n">
        <v>0</v>
      </c>
      <c r="L188" s="197" t="n">
        <v>0</v>
      </c>
      <c r="M188" s="197" t="n">
        <v>0</v>
      </c>
      <c r="N188" s="197" t="n">
        <v>0</v>
      </c>
      <c r="O188" s="196">
        <f>H188+I188+J188+L188+M188+N188</f>
        <v/>
      </c>
      <c r="P188" s="198" t="n">
        <v>55000</v>
      </c>
      <c r="Q188" s="197" t="n">
        <v>0</v>
      </c>
      <c r="R188" s="199" t="inlineStr">
        <is>
          <t>Đảm bảo tiến độ sản xuất</t>
        </is>
      </c>
      <c r="S188" s="200" t="inlineStr">
        <is>
          <t>CÓ</t>
        </is>
      </c>
      <c r="T188" s="200" t="inlineStr">
        <is>
          <t>ĐÃ DUYỆT</t>
        </is>
      </c>
      <c r="U188" s="199" t="inlineStr">
        <is>
          <t>Quản Đốc</t>
        </is>
      </c>
      <c r="V188" s="200" t="inlineStr">
        <is>
          <t>2026-08-17 17:00:00</t>
        </is>
      </c>
      <c r="W188" s="200" t="inlineStr">
        <is>
          <t>ERP_CHAM_CONG_2026</t>
        </is>
      </c>
      <c r="X188" s="200" t="inlineStr">
        <is>
          <t>HỢP LỆ</t>
        </is>
      </c>
    </row>
    <row r="189">
      <c r="A189" s="201" t="inlineStr">
        <is>
          <t>2026-08-17</t>
        </is>
      </c>
      <c r="B189" s="201" t="inlineStr">
        <is>
          <t>2026-08-01</t>
        </is>
      </c>
      <c r="C189" s="201" t="inlineStr">
        <is>
          <t>NV04</t>
        </is>
      </c>
      <c r="D189" s="202" t="inlineStr">
        <is>
          <t>Vũ Tiến Thuận</t>
        </is>
      </c>
      <c r="E189" s="201" t="inlineStr">
        <is>
          <t>C1</t>
        </is>
      </c>
      <c r="F189" s="203" t="n">
        <v>1</v>
      </c>
      <c r="G189" s="203" t="n">
        <v>8</v>
      </c>
      <c r="H189" s="203" t="n">
        <v>0</v>
      </c>
      <c r="I189" s="203" t="n">
        <v>0</v>
      </c>
      <c r="J189" s="203" t="n">
        <v>0</v>
      </c>
      <c r="K189" s="203" t="n">
        <v>0</v>
      </c>
      <c r="L189" s="204" t="n">
        <v>0</v>
      </c>
      <c r="M189" s="204" t="n">
        <v>0</v>
      </c>
      <c r="N189" s="204" t="n">
        <v>0</v>
      </c>
      <c r="O189" s="203">
        <f>H189+I189+J189+L189+M189+N189</f>
        <v/>
      </c>
      <c r="P189" s="205" t="n">
        <v>30000</v>
      </c>
      <c r="Q189" s="204" t="n">
        <v>0</v>
      </c>
      <c r="R189" s="206" t="inlineStr"/>
      <c r="S189" s="207" t="inlineStr">
        <is>
          <t>KHÔNG</t>
        </is>
      </c>
      <c r="T189" s="207" t="inlineStr">
        <is>
          <t>ĐÃ DUYỆT</t>
        </is>
      </c>
      <c r="U189" s="206" t="inlineStr">
        <is>
          <t>Quản Đốc</t>
        </is>
      </c>
      <c r="V189" s="207" t="inlineStr">
        <is>
          <t>2026-08-17 17:00:00</t>
        </is>
      </c>
      <c r="W189" s="207" t="inlineStr">
        <is>
          <t>ERP_CHAM_CONG_2026</t>
        </is>
      </c>
      <c r="X189" s="207" t="inlineStr">
        <is>
          <t>HỢP LỆ</t>
        </is>
      </c>
    </row>
    <row r="190">
      <c r="A190" s="194" t="inlineStr">
        <is>
          <t>2026-08-17</t>
        </is>
      </c>
      <c r="B190" s="194" t="inlineStr">
        <is>
          <t>2026-08-01</t>
        </is>
      </c>
      <c r="C190" s="194" t="inlineStr">
        <is>
          <t>NV10</t>
        </is>
      </c>
      <c r="D190" s="195" t="inlineStr">
        <is>
          <t>Phạm Văn Tráng</t>
        </is>
      </c>
      <c r="E190" s="194" t="inlineStr">
        <is>
          <t>C1+2</t>
        </is>
      </c>
      <c r="F190" s="196" t="n">
        <v>1</v>
      </c>
      <c r="G190" s="196" t="n">
        <v>8</v>
      </c>
      <c r="H190" s="196" t="n">
        <v>2</v>
      </c>
      <c r="I190" s="196" t="n">
        <v>0</v>
      </c>
      <c r="J190" s="196" t="n">
        <v>0</v>
      </c>
      <c r="K190" s="196" t="n">
        <v>0</v>
      </c>
      <c r="L190" s="197" t="n">
        <v>0</v>
      </c>
      <c r="M190" s="197" t="n">
        <v>0</v>
      </c>
      <c r="N190" s="197" t="n">
        <v>0</v>
      </c>
      <c r="O190" s="196">
        <f>H190+I190+J190+L190+M190+N190</f>
        <v/>
      </c>
      <c r="P190" s="198" t="n">
        <v>55000</v>
      </c>
      <c r="Q190" s="197" t="n">
        <v>0</v>
      </c>
      <c r="R190" s="199" t="inlineStr">
        <is>
          <t>Đảm bảo tiến độ sản xuất</t>
        </is>
      </c>
      <c r="S190" s="200" t="inlineStr">
        <is>
          <t>CÓ</t>
        </is>
      </c>
      <c r="T190" s="200" t="inlineStr">
        <is>
          <t>ĐÃ DUYỆT</t>
        </is>
      </c>
      <c r="U190" s="199" t="inlineStr">
        <is>
          <t>Quản Đốc</t>
        </is>
      </c>
      <c r="V190" s="200" t="inlineStr">
        <is>
          <t>2026-08-17 17:00:00</t>
        </is>
      </c>
      <c r="W190" s="200" t="inlineStr">
        <is>
          <t>ERP_CHAM_CONG_2026</t>
        </is>
      </c>
      <c r="X190" s="200" t="inlineStr">
        <is>
          <t>HỢP LỆ</t>
        </is>
      </c>
    </row>
    <row r="191">
      <c r="A191" s="201" t="inlineStr">
        <is>
          <t>2026-08-18</t>
        </is>
      </c>
      <c r="B191" s="201" t="inlineStr">
        <is>
          <t>2026-08-01</t>
        </is>
      </c>
      <c r="C191" s="201" t="inlineStr">
        <is>
          <t>NV02</t>
        </is>
      </c>
      <c r="D191" s="202" t="inlineStr">
        <is>
          <t>Nguyễn Trung Đông</t>
        </is>
      </c>
      <c r="E191" s="201" t="inlineStr">
        <is>
          <t>C1</t>
        </is>
      </c>
      <c r="F191" s="203" t="n">
        <v>1</v>
      </c>
      <c r="G191" s="203" t="n">
        <v>8</v>
      </c>
      <c r="H191" s="203" t="n">
        <v>0</v>
      </c>
      <c r="I191" s="203" t="n">
        <v>0</v>
      </c>
      <c r="J191" s="203" t="n">
        <v>0</v>
      </c>
      <c r="K191" s="203" t="n">
        <v>0</v>
      </c>
      <c r="L191" s="204" t="n">
        <v>0</v>
      </c>
      <c r="M191" s="204" t="n">
        <v>0</v>
      </c>
      <c r="N191" s="204" t="n">
        <v>0</v>
      </c>
      <c r="O191" s="203">
        <f>H191+I191+J191+L191+M191+N191</f>
        <v/>
      </c>
      <c r="P191" s="205" t="n">
        <v>30000</v>
      </c>
      <c r="Q191" s="204" t="n">
        <v>0</v>
      </c>
      <c r="R191" s="206" t="inlineStr"/>
      <c r="S191" s="207" t="inlineStr">
        <is>
          <t>KHÔNG</t>
        </is>
      </c>
      <c r="T191" s="207" t="inlineStr">
        <is>
          <t>ĐÃ DUYỆT</t>
        </is>
      </c>
      <c r="U191" s="206" t="inlineStr">
        <is>
          <t>Quản Đốc</t>
        </is>
      </c>
      <c r="V191" s="207" t="inlineStr">
        <is>
          <t>2026-08-18 17:00:00</t>
        </is>
      </c>
      <c r="W191" s="207" t="inlineStr">
        <is>
          <t>ERP_CHAM_CONG_2026</t>
        </is>
      </c>
      <c r="X191" s="207" t="inlineStr">
        <is>
          <t>HỢP LỆ</t>
        </is>
      </c>
    </row>
    <row r="192">
      <c r="A192" s="194" t="inlineStr">
        <is>
          <t>2026-08-18</t>
        </is>
      </c>
      <c r="B192" s="194" t="inlineStr">
        <is>
          <t>2026-08-01</t>
        </is>
      </c>
      <c r="C192" s="194" t="inlineStr">
        <is>
          <t>NV08</t>
        </is>
      </c>
      <c r="D192" s="195" t="inlineStr">
        <is>
          <t>Trần Văn Dũng</t>
        </is>
      </c>
      <c r="E192" s="194" t="inlineStr">
        <is>
          <t>C1+2</t>
        </is>
      </c>
      <c r="F192" s="196" t="n">
        <v>1</v>
      </c>
      <c r="G192" s="196" t="n">
        <v>8</v>
      </c>
      <c r="H192" s="196" t="n">
        <v>2</v>
      </c>
      <c r="I192" s="196" t="n">
        <v>0</v>
      </c>
      <c r="J192" s="196" t="n">
        <v>0</v>
      </c>
      <c r="K192" s="196" t="n">
        <v>0</v>
      </c>
      <c r="L192" s="197" t="n">
        <v>0</v>
      </c>
      <c r="M192" s="197" t="n">
        <v>0</v>
      </c>
      <c r="N192" s="197" t="n">
        <v>0</v>
      </c>
      <c r="O192" s="196">
        <f>H192+I192+J192+L192+M192+N192</f>
        <v/>
      </c>
      <c r="P192" s="198" t="n">
        <v>55000</v>
      </c>
      <c r="Q192" s="197" t="n">
        <v>0</v>
      </c>
      <c r="R192" s="199" t="inlineStr">
        <is>
          <t>Đảm bảo tiến độ sản xuất</t>
        </is>
      </c>
      <c r="S192" s="200" t="inlineStr">
        <is>
          <t>CÓ</t>
        </is>
      </c>
      <c r="T192" s="200" t="inlineStr">
        <is>
          <t>ĐÃ DUYỆT</t>
        </is>
      </c>
      <c r="U192" s="199" t="inlineStr">
        <is>
          <t>Quản Đốc</t>
        </is>
      </c>
      <c r="V192" s="200" t="inlineStr">
        <is>
          <t>2026-08-18 17:00:00</t>
        </is>
      </c>
      <c r="W192" s="200" t="inlineStr">
        <is>
          <t>ERP_CHAM_CONG_2026</t>
        </is>
      </c>
      <c r="X192" s="200" t="inlineStr">
        <is>
          <t>HỢP LỆ</t>
        </is>
      </c>
    </row>
    <row r="193">
      <c r="A193" s="201" t="inlineStr">
        <is>
          <t>2026-08-18</t>
        </is>
      </c>
      <c r="B193" s="201" t="inlineStr">
        <is>
          <t>2026-08-01</t>
        </is>
      </c>
      <c r="C193" s="201" t="inlineStr">
        <is>
          <t>NV01</t>
        </is>
      </c>
      <c r="D193" s="202" t="inlineStr">
        <is>
          <t>Hoàng Ngọc Hà</t>
        </is>
      </c>
      <c r="E193" s="201" t="inlineStr">
        <is>
          <t>C1</t>
        </is>
      </c>
      <c r="F193" s="203" t="n">
        <v>1</v>
      </c>
      <c r="G193" s="203" t="n">
        <v>8</v>
      </c>
      <c r="H193" s="203" t="n">
        <v>0</v>
      </c>
      <c r="I193" s="203" t="n">
        <v>0</v>
      </c>
      <c r="J193" s="203" t="n">
        <v>0</v>
      </c>
      <c r="K193" s="203" t="n">
        <v>0</v>
      </c>
      <c r="L193" s="204" t="n">
        <v>0</v>
      </c>
      <c r="M193" s="204" t="n">
        <v>0</v>
      </c>
      <c r="N193" s="204" t="n">
        <v>0</v>
      </c>
      <c r="O193" s="203">
        <f>H193+I193+J193+L193+M193+N193</f>
        <v/>
      </c>
      <c r="P193" s="205" t="n">
        <v>30000</v>
      </c>
      <c r="Q193" s="204" t="n">
        <v>0</v>
      </c>
      <c r="R193" s="206" t="inlineStr"/>
      <c r="S193" s="207" t="inlineStr">
        <is>
          <t>KHÔNG</t>
        </is>
      </c>
      <c r="T193" s="207" t="inlineStr">
        <is>
          <t>ĐÃ DUYỆT</t>
        </is>
      </c>
      <c r="U193" s="206" t="inlineStr">
        <is>
          <t>Quản Đốc</t>
        </is>
      </c>
      <c r="V193" s="207" t="inlineStr">
        <is>
          <t>2026-08-18 17:00:00</t>
        </is>
      </c>
      <c r="W193" s="207" t="inlineStr">
        <is>
          <t>ERP_CHAM_CONG_2026</t>
        </is>
      </c>
      <c r="X193" s="207" t="inlineStr">
        <is>
          <t>HỢP LỆ</t>
        </is>
      </c>
    </row>
    <row r="194">
      <c r="A194" s="194" t="inlineStr">
        <is>
          <t>2026-08-18</t>
        </is>
      </c>
      <c r="B194" s="194" t="inlineStr">
        <is>
          <t>2026-08-01</t>
        </is>
      </c>
      <c r="C194" s="194" t="inlineStr">
        <is>
          <t>NV03</t>
        </is>
      </c>
      <c r="D194" s="195" t="inlineStr">
        <is>
          <t>Phùng Đình Hùng</t>
        </is>
      </c>
      <c r="E194" s="194" t="inlineStr">
        <is>
          <t>C1</t>
        </is>
      </c>
      <c r="F194" s="196" t="n">
        <v>1</v>
      </c>
      <c r="G194" s="196" t="n">
        <v>8</v>
      </c>
      <c r="H194" s="196" t="n">
        <v>0</v>
      </c>
      <c r="I194" s="196" t="n">
        <v>0</v>
      </c>
      <c r="J194" s="196" t="n">
        <v>0</v>
      </c>
      <c r="K194" s="196" t="n">
        <v>0</v>
      </c>
      <c r="L194" s="197" t="n">
        <v>0</v>
      </c>
      <c r="M194" s="197" t="n">
        <v>0</v>
      </c>
      <c r="N194" s="197" t="n">
        <v>0</v>
      </c>
      <c r="O194" s="196">
        <f>H194+I194+J194+L194+M194+N194</f>
        <v/>
      </c>
      <c r="P194" s="198" t="n">
        <v>30000</v>
      </c>
      <c r="Q194" s="197" t="n">
        <v>0</v>
      </c>
      <c r="R194" s="199" t="inlineStr"/>
      <c r="S194" s="200" t="inlineStr">
        <is>
          <t>KHÔNG</t>
        </is>
      </c>
      <c r="T194" s="200" t="inlineStr">
        <is>
          <t>ĐÃ DUYỆT</t>
        </is>
      </c>
      <c r="U194" s="199" t="inlineStr">
        <is>
          <t>Quản Đốc</t>
        </is>
      </c>
      <c r="V194" s="200" t="inlineStr">
        <is>
          <t>2026-08-18 17:00:00</t>
        </is>
      </c>
      <c r="W194" s="200" t="inlineStr">
        <is>
          <t>ERP_CHAM_CONG_2026</t>
        </is>
      </c>
      <c r="X194" s="200" t="inlineStr">
        <is>
          <t>HỢP LỆ</t>
        </is>
      </c>
    </row>
    <row r="195">
      <c r="A195" s="201" t="inlineStr">
        <is>
          <t>2026-08-18</t>
        </is>
      </c>
      <c r="B195" s="201" t="inlineStr">
        <is>
          <t>2026-08-01</t>
        </is>
      </c>
      <c r="C195" s="201" t="inlineStr">
        <is>
          <t>NV15</t>
        </is>
      </c>
      <c r="D195" s="202" t="inlineStr">
        <is>
          <t>Đặng Ngọc Long</t>
        </is>
      </c>
      <c r="E195" s="201" t="inlineStr">
        <is>
          <t>C1+2</t>
        </is>
      </c>
      <c r="F195" s="203" t="n">
        <v>1</v>
      </c>
      <c r="G195" s="203" t="n">
        <v>8</v>
      </c>
      <c r="H195" s="203" t="n">
        <v>2</v>
      </c>
      <c r="I195" s="203" t="n">
        <v>0</v>
      </c>
      <c r="J195" s="203" t="n">
        <v>0</v>
      </c>
      <c r="K195" s="203" t="n">
        <v>0</v>
      </c>
      <c r="L195" s="204" t="n">
        <v>0</v>
      </c>
      <c r="M195" s="204" t="n">
        <v>0</v>
      </c>
      <c r="N195" s="204" t="n">
        <v>0</v>
      </c>
      <c r="O195" s="203">
        <f>H195+I195+J195+L195+M195+N195</f>
        <v/>
      </c>
      <c r="P195" s="205" t="n">
        <v>55000</v>
      </c>
      <c r="Q195" s="204" t="n">
        <v>0</v>
      </c>
      <c r="R195" s="206" t="inlineStr">
        <is>
          <t>Đảm bảo tiến độ sản xuất</t>
        </is>
      </c>
      <c r="S195" s="207" t="inlineStr">
        <is>
          <t>CÓ</t>
        </is>
      </c>
      <c r="T195" s="207" t="inlineStr">
        <is>
          <t>ĐÃ DUYỆT</t>
        </is>
      </c>
      <c r="U195" s="206" t="inlineStr">
        <is>
          <t>Quản Đốc</t>
        </is>
      </c>
      <c r="V195" s="207" t="inlineStr">
        <is>
          <t>2026-08-18 17:00:00</t>
        </is>
      </c>
      <c r="W195" s="207" t="inlineStr">
        <is>
          <t>ERP_CHAM_CONG_2026</t>
        </is>
      </c>
      <c r="X195" s="207" t="inlineStr">
        <is>
          <t>HỢP LỆ</t>
        </is>
      </c>
    </row>
    <row r="196">
      <c r="A196" s="194" t="inlineStr">
        <is>
          <t>2026-08-18</t>
        </is>
      </c>
      <c r="B196" s="194" t="inlineStr">
        <is>
          <t>2026-08-01</t>
        </is>
      </c>
      <c r="C196" s="194" t="inlineStr">
        <is>
          <t>NV14</t>
        </is>
      </c>
      <c r="D196" s="195" t="inlineStr">
        <is>
          <t>Đinh Văn Nhận</t>
        </is>
      </c>
      <c r="E196" s="194" t="inlineStr">
        <is>
          <t>C1+2</t>
        </is>
      </c>
      <c r="F196" s="196" t="n">
        <v>1</v>
      </c>
      <c r="G196" s="196" t="n">
        <v>8</v>
      </c>
      <c r="H196" s="196" t="n">
        <v>2</v>
      </c>
      <c r="I196" s="196" t="n">
        <v>0</v>
      </c>
      <c r="J196" s="196" t="n">
        <v>0</v>
      </c>
      <c r="K196" s="196" t="n">
        <v>0</v>
      </c>
      <c r="L196" s="197" t="n">
        <v>0</v>
      </c>
      <c r="M196" s="197" t="n">
        <v>0</v>
      </c>
      <c r="N196" s="197" t="n">
        <v>0</v>
      </c>
      <c r="O196" s="196">
        <f>H196+I196+J196+L196+M196+N196</f>
        <v/>
      </c>
      <c r="P196" s="198" t="n">
        <v>55000</v>
      </c>
      <c r="Q196" s="197" t="n">
        <v>0</v>
      </c>
      <c r="R196" s="199" t="inlineStr">
        <is>
          <t>Đảm bảo tiến độ sản xuất</t>
        </is>
      </c>
      <c r="S196" s="200" t="inlineStr">
        <is>
          <t>CÓ</t>
        </is>
      </c>
      <c r="T196" s="200" t="inlineStr">
        <is>
          <t>ĐÃ DUYỆT</t>
        </is>
      </c>
      <c r="U196" s="199" t="inlineStr">
        <is>
          <t>Quản Đốc</t>
        </is>
      </c>
      <c r="V196" s="200" t="inlineStr">
        <is>
          <t>2026-08-18 17:00:00</t>
        </is>
      </c>
      <c r="W196" s="200" t="inlineStr">
        <is>
          <t>ERP_CHAM_CONG_2026</t>
        </is>
      </c>
      <c r="X196" s="200" t="inlineStr">
        <is>
          <t>HỢP LỆ</t>
        </is>
      </c>
    </row>
    <row r="197">
      <c r="A197" s="201" t="inlineStr">
        <is>
          <t>2026-08-18</t>
        </is>
      </c>
      <c r="B197" s="201" t="inlineStr">
        <is>
          <t>2026-08-01</t>
        </is>
      </c>
      <c r="C197" s="201" t="inlineStr">
        <is>
          <t>NV07</t>
        </is>
      </c>
      <c r="D197" s="202" t="inlineStr">
        <is>
          <t>Phùng Gia Phúc</t>
        </is>
      </c>
      <c r="E197" s="201" t="inlineStr">
        <is>
          <t>C1</t>
        </is>
      </c>
      <c r="F197" s="203" t="n">
        <v>1</v>
      </c>
      <c r="G197" s="203" t="n">
        <v>8</v>
      </c>
      <c r="H197" s="203" t="n">
        <v>0</v>
      </c>
      <c r="I197" s="203" t="n">
        <v>0</v>
      </c>
      <c r="J197" s="203" t="n">
        <v>0</v>
      </c>
      <c r="K197" s="203" t="n">
        <v>0</v>
      </c>
      <c r="L197" s="204" t="n">
        <v>0</v>
      </c>
      <c r="M197" s="204" t="n">
        <v>0</v>
      </c>
      <c r="N197" s="204" t="n">
        <v>0</v>
      </c>
      <c r="O197" s="203">
        <f>H197+I197+J197+L197+M197+N197</f>
        <v/>
      </c>
      <c r="P197" s="205" t="n">
        <v>30000</v>
      </c>
      <c r="Q197" s="204" t="n">
        <v>0</v>
      </c>
      <c r="R197" s="206" t="inlineStr"/>
      <c r="S197" s="207" t="inlineStr">
        <is>
          <t>KHÔNG</t>
        </is>
      </c>
      <c r="T197" s="207" t="inlineStr">
        <is>
          <t>ĐÃ DUYỆT</t>
        </is>
      </c>
      <c r="U197" s="206" t="inlineStr">
        <is>
          <t>Quản Đốc</t>
        </is>
      </c>
      <c r="V197" s="207" t="inlineStr">
        <is>
          <t>2026-08-18 17:00:00</t>
        </is>
      </c>
      <c r="W197" s="207" t="inlineStr">
        <is>
          <t>ERP_CHAM_CONG_2026</t>
        </is>
      </c>
      <c r="X197" s="207" t="inlineStr">
        <is>
          <t>HỢP LỆ</t>
        </is>
      </c>
    </row>
    <row r="198">
      <c r="A198" s="194" t="inlineStr">
        <is>
          <t>2026-08-18</t>
        </is>
      </c>
      <c r="B198" s="194" t="inlineStr">
        <is>
          <t>2026-08-01</t>
        </is>
      </c>
      <c r="C198" s="194" t="inlineStr">
        <is>
          <t>NV13</t>
        </is>
      </c>
      <c r="D198" s="195" t="inlineStr">
        <is>
          <t>Trần Văn Quỳnh</t>
        </is>
      </c>
      <c r="E198" s="194" t="inlineStr">
        <is>
          <t>C1+2</t>
        </is>
      </c>
      <c r="F198" s="196" t="n">
        <v>1</v>
      </c>
      <c r="G198" s="196" t="n">
        <v>8</v>
      </c>
      <c r="H198" s="196" t="n">
        <v>2</v>
      </c>
      <c r="I198" s="196" t="n">
        <v>0</v>
      </c>
      <c r="J198" s="196" t="n">
        <v>0</v>
      </c>
      <c r="K198" s="196" t="n">
        <v>0</v>
      </c>
      <c r="L198" s="197" t="n">
        <v>0</v>
      </c>
      <c r="M198" s="197" t="n">
        <v>0</v>
      </c>
      <c r="N198" s="197" t="n">
        <v>0</v>
      </c>
      <c r="O198" s="196">
        <f>H198+I198+J198+L198+M198+N198</f>
        <v/>
      </c>
      <c r="P198" s="198" t="n">
        <v>55000</v>
      </c>
      <c r="Q198" s="197" t="n">
        <v>0</v>
      </c>
      <c r="R198" s="199" t="inlineStr">
        <is>
          <t>Đảm bảo tiến độ sản xuất</t>
        </is>
      </c>
      <c r="S198" s="200" t="inlineStr">
        <is>
          <t>CÓ</t>
        </is>
      </c>
      <c r="T198" s="200" t="inlineStr">
        <is>
          <t>ĐÃ DUYỆT</t>
        </is>
      </c>
      <c r="U198" s="199" t="inlineStr">
        <is>
          <t>Quản Đốc</t>
        </is>
      </c>
      <c r="V198" s="200" t="inlineStr">
        <is>
          <t>2026-08-18 17:00:00</t>
        </is>
      </c>
      <c r="W198" s="200" t="inlineStr">
        <is>
          <t>ERP_CHAM_CONG_2026</t>
        </is>
      </c>
      <c r="X198" s="200" t="inlineStr">
        <is>
          <t>HỢP LỆ</t>
        </is>
      </c>
    </row>
    <row r="199">
      <c r="A199" s="201" t="inlineStr">
        <is>
          <t>2026-08-18</t>
        </is>
      </c>
      <c r="B199" s="201" t="inlineStr">
        <is>
          <t>2026-08-01</t>
        </is>
      </c>
      <c r="C199" s="201" t="inlineStr">
        <is>
          <t>NV11</t>
        </is>
      </c>
      <c r="D199" s="202" t="inlineStr">
        <is>
          <t>Phùng Công Thắng</t>
        </is>
      </c>
      <c r="E199" s="201" t="inlineStr">
        <is>
          <t>C1+2</t>
        </is>
      </c>
      <c r="F199" s="203" t="n">
        <v>1</v>
      </c>
      <c r="G199" s="203" t="n">
        <v>8</v>
      </c>
      <c r="H199" s="203" t="n">
        <v>2</v>
      </c>
      <c r="I199" s="203" t="n">
        <v>0</v>
      </c>
      <c r="J199" s="203" t="n">
        <v>0</v>
      </c>
      <c r="K199" s="203" t="n">
        <v>0</v>
      </c>
      <c r="L199" s="204" t="n">
        <v>0</v>
      </c>
      <c r="M199" s="204" t="n">
        <v>0</v>
      </c>
      <c r="N199" s="204" t="n">
        <v>0</v>
      </c>
      <c r="O199" s="203">
        <f>H199+I199+J199+L199+M199+N199</f>
        <v/>
      </c>
      <c r="P199" s="205" t="n">
        <v>55000</v>
      </c>
      <c r="Q199" s="204" t="n">
        <v>0</v>
      </c>
      <c r="R199" s="206" t="inlineStr">
        <is>
          <t>Đảm bảo tiến độ sản xuất</t>
        </is>
      </c>
      <c r="S199" s="207" t="inlineStr">
        <is>
          <t>CÓ</t>
        </is>
      </c>
      <c r="T199" s="207" t="inlineStr">
        <is>
          <t>ĐÃ DUYỆT</t>
        </is>
      </c>
      <c r="U199" s="206" t="inlineStr">
        <is>
          <t>Quản Đốc</t>
        </is>
      </c>
      <c r="V199" s="207" t="inlineStr">
        <is>
          <t>2026-08-18 17:00:00</t>
        </is>
      </c>
      <c r="W199" s="207" t="inlineStr">
        <is>
          <t>ERP_CHAM_CONG_2026</t>
        </is>
      </c>
      <c r="X199" s="207" t="inlineStr">
        <is>
          <t>HỢP LỆ</t>
        </is>
      </c>
    </row>
    <row r="200">
      <c r="A200" s="194" t="inlineStr">
        <is>
          <t>2026-08-18</t>
        </is>
      </c>
      <c r="B200" s="194" t="inlineStr">
        <is>
          <t>2026-08-01</t>
        </is>
      </c>
      <c r="C200" s="194" t="inlineStr">
        <is>
          <t>NV06</t>
        </is>
      </c>
      <c r="D200" s="195" t="inlineStr">
        <is>
          <t>Nguyễn Văn Thanh</t>
        </is>
      </c>
      <c r="E200" s="194" t="inlineStr">
        <is>
          <t>C1+2</t>
        </is>
      </c>
      <c r="F200" s="196" t="n">
        <v>1</v>
      </c>
      <c r="G200" s="196" t="n">
        <v>8</v>
      </c>
      <c r="H200" s="196" t="n">
        <v>2</v>
      </c>
      <c r="I200" s="196" t="n">
        <v>0</v>
      </c>
      <c r="J200" s="196" t="n">
        <v>0</v>
      </c>
      <c r="K200" s="196" t="n">
        <v>0</v>
      </c>
      <c r="L200" s="197" t="n">
        <v>0</v>
      </c>
      <c r="M200" s="197" t="n">
        <v>0</v>
      </c>
      <c r="N200" s="197" t="n">
        <v>0</v>
      </c>
      <c r="O200" s="196">
        <f>H200+I200+J200+L200+M200+N200</f>
        <v/>
      </c>
      <c r="P200" s="198" t="n">
        <v>55000</v>
      </c>
      <c r="Q200" s="197" t="n">
        <v>0</v>
      </c>
      <c r="R200" s="199" t="inlineStr">
        <is>
          <t>Đảm bảo tiến độ sản xuất</t>
        </is>
      </c>
      <c r="S200" s="200" t="inlineStr">
        <is>
          <t>CÓ</t>
        </is>
      </c>
      <c r="T200" s="200" t="inlineStr">
        <is>
          <t>ĐÃ DUYỆT</t>
        </is>
      </c>
      <c r="U200" s="199" t="inlineStr">
        <is>
          <t>Quản Đốc</t>
        </is>
      </c>
      <c r="V200" s="200" t="inlineStr">
        <is>
          <t>2026-08-18 17:00:00</t>
        </is>
      </c>
      <c r="W200" s="200" t="inlineStr">
        <is>
          <t>ERP_CHAM_CONG_2026</t>
        </is>
      </c>
      <c r="X200" s="200" t="inlineStr">
        <is>
          <t>HỢP LỆ</t>
        </is>
      </c>
    </row>
    <row r="201">
      <c r="A201" s="201" t="inlineStr">
        <is>
          <t>2026-08-18</t>
        </is>
      </c>
      <c r="B201" s="201" t="inlineStr">
        <is>
          <t>2026-08-01</t>
        </is>
      </c>
      <c r="C201" s="201" t="inlineStr">
        <is>
          <t>NV04</t>
        </is>
      </c>
      <c r="D201" s="202" t="inlineStr">
        <is>
          <t>Vũ Tiến Thuận</t>
        </is>
      </c>
      <c r="E201" s="201" t="inlineStr">
        <is>
          <t>C1</t>
        </is>
      </c>
      <c r="F201" s="203" t="n">
        <v>1</v>
      </c>
      <c r="G201" s="203" t="n">
        <v>8</v>
      </c>
      <c r="H201" s="203" t="n">
        <v>0</v>
      </c>
      <c r="I201" s="203" t="n">
        <v>0</v>
      </c>
      <c r="J201" s="203" t="n">
        <v>0</v>
      </c>
      <c r="K201" s="203" t="n">
        <v>0</v>
      </c>
      <c r="L201" s="204" t="n">
        <v>0</v>
      </c>
      <c r="M201" s="204" t="n">
        <v>0</v>
      </c>
      <c r="N201" s="204" t="n">
        <v>0</v>
      </c>
      <c r="O201" s="203">
        <f>H201+I201+J201+L201+M201+N201</f>
        <v/>
      </c>
      <c r="P201" s="205" t="n">
        <v>30000</v>
      </c>
      <c r="Q201" s="204" t="n">
        <v>0</v>
      </c>
      <c r="R201" s="206" t="inlineStr"/>
      <c r="S201" s="207" t="inlineStr">
        <is>
          <t>KHÔNG</t>
        </is>
      </c>
      <c r="T201" s="207" t="inlineStr">
        <is>
          <t>ĐÃ DUYỆT</t>
        </is>
      </c>
      <c r="U201" s="206" t="inlineStr">
        <is>
          <t>Quản Đốc</t>
        </is>
      </c>
      <c r="V201" s="207" t="inlineStr">
        <is>
          <t>2026-08-18 17:00:00</t>
        </is>
      </c>
      <c r="W201" s="207" t="inlineStr">
        <is>
          <t>ERP_CHAM_CONG_2026</t>
        </is>
      </c>
      <c r="X201" s="207" t="inlineStr">
        <is>
          <t>HỢP LỆ</t>
        </is>
      </c>
    </row>
    <row r="202">
      <c r="A202" s="194" t="inlineStr">
        <is>
          <t>2026-08-18</t>
        </is>
      </c>
      <c r="B202" s="194" t="inlineStr">
        <is>
          <t>2026-08-01</t>
        </is>
      </c>
      <c r="C202" s="194" t="inlineStr">
        <is>
          <t>NV10</t>
        </is>
      </c>
      <c r="D202" s="195" t="inlineStr">
        <is>
          <t>Phạm Văn Tráng</t>
        </is>
      </c>
      <c r="E202" s="194" t="inlineStr">
        <is>
          <t>C1+2</t>
        </is>
      </c>
      <c r="F202" s="196" t="n">
        <v>1</v>
      </c>
      <c r="G202" s="196" t="n">
        <v>8</v>
      </c>
      <c r="H202" s="196" t="n">
        <v>2</v>
      </c>
      <c r="I202" s="196" t="n">
        <v>0</v>
      </c>
      <c r="J202" s="196" t="n">
        <v>0</v>
      </c>
      <c r="K202" s="196" t="n">
        <v>0</v>
      </c>
      <c r="L202" s="197" t="n">
        <v>0</v>
      </c>
      <c r="M202" s="197" t="n">
        <v>0</v>
      </c>
      <c r="N202" s="197" t="n">
        <v>0</v>
      </c>
      <c r="O202" s="196">
        <f>H202+I202+J202+L202+M202+N202</f>
        <v/>
      </c>
      <c r="P202" s="198" t="n">
        <v>55000</v>
      </c>
      <c r="Q202" s="197" t="n">
        <v>0</v>
      </c>
      <c r="R202" s="199" t="inlineStr">
        <is>
          <t>Đảm bảo tiến độ sản xuất</t>
        </is>
      </c>
      <c r="S202" s="200" t="inlineStr">
        <is>
          <t>CÓ</t>
        </is>
      </c>
      <c r="T202" s="200" t="inlineStr">
        <is>
          <t>ĐÃ DUYỆT</t>
        </is>
      </c>
      <c r="U202" s="199" t="inlineStr">
        <is>
          <t>Quản Đốc</t>
        </is>
      </c>
      <c r="V202" s="200" t="inlineStr">
        <is>
          <t>2026-08-18 17:00:00</t>
        </is>
      </c>
      <c r="W202" s="200" t="inlineStr">
        <is>
          <t>ERP_CHAM_CONG_2026</t>
        </is>
      </c>
      <c r="X202" s="200" t="inlineStr">
        <is>
          <t>HỢP LỆ</t>
        </is>
      </c>
    </row>
    <row r="203">
      <c r="A203" s="201" t="inlineStr">
        <is>
          <t>2026-08-19</t>
        </is>
      </c>
      <c r="B203" s="201" t="inlineStr">
        <is>
          <t>2026-08-01</t>
        </is>
      </c>
      <c r="C203" s="201" t="inlineStr">
        <is>
          <t>NV02</t>
        </is>
      </c>
      <c r="D203" s="202" t="inlineStr">
        <is>
          <t>Nguyễn Trung Đông</t>
        </is>
      </c>
      <c r="E203" s="201" t="inlineStr">
        <is>
          <t>C1</t>
        </is>
      </c>
      <c r="F203" s="203" t="n">
        <v>1</v>
      </c>
      <c r="G203" s="203" t="n">
        <v>8</v>
      </c>
      <c r="H203" s="203" t="n">
        <v>0</v>
      </c>
      <c r="I203" s="203" t="n">
        <v>0</v>
      </c>
      <c r="J203" s="203" t="n">
        <v>0</v>
      </c>
      <c r="K203" s="203" t="n">
        <v>0</v>
      </c>
      <c r="L203" s="204" t="n">
        <v>0</v>
      </c>
      <c r="M203" s="204" t="n">
        <v>0</v>
      </c>
      <c r="N203" s="204" t="n">
        <v>0</v>
      </c>
      <c r="O203" s="203">
        <f>H203+I203+J203+L203+M203+N203</f>
        <v/>
      </c>
      <c r="P203" s="205" t="n">
        <v>30000</v>
      </c>
      <c r="Q203" s="204" t="n">
        <v>0</v>
      </c>
      <c r="R203" s="206" t="inlineStr"/>
      <c r="S203" s="207" t="inlineStr">
        <is>
          <t>KHÔNG</t>
        </is>
      </c>
      <c r="T203" s="207" t="inlineStr">
        <is>
          <t>ĐÃ DUYỆT</t>
        </is>
      </c>
      <c r="U203" s="206" t="inlineStr">
        <is>
          <t>Quản Đốc</t>
        </is>
      </c>
      <c r="V203" s="207" t="inlineStr">
        <is>
          <t>2026-08-19 17:00:00</t>
        </is>
      </c>
      <c r="W203" s="207" t="inlineStr">
        <is>
          <t>ERP_CHAM_CONG_2026</t>
        </is>
      </c>
      <c r="X203" s="207" t="inlineStr">
        <is>
          <t>HỢP LỆ</t>
        </is>
      </c>
    </row>
    <row r="204">
      <c r="A204" s="194" t="inlineStr">
        <is>
          <t>2026-08-19</t>
        </is>
      </c>
      <c r="B204" s="194" t="inlineStr">
        <is>
          <t>2026-08-01</t>
        </is>
      </c>
      <c r="C204" s="194" t="inlineStr">
        <is>
          <t>NV08</t>
        </is>
      </c>
      <c r="D204" s="195" t="inlineStr">
        <is>
          <t>Trần Văn Dũng</t>
        </is>
      </c>
      <c r="E204" s="194" t="inlineStr">
        <is>
          <t>C1+2</t>
        </is>
      </c>
      <c r="F204" s="196" t="n">
        <v>1</v>
      </c>
      <c r="G204" s="196" t="n">
        <v>8</v>
      </c>
      <c r="H204" s="196" t="n">
        <v>2</v>
      </c>
      <c r="I204" s="196" t="n">
        <v>0</v>
      </c>
      <c r="J204" s="196" t="n">
        <v>0</v>
      </c>
      <c r="K204" s="196" t="n">
        <v>0</v>
      </c>
      <c r="L204" s="197" t="n">
        <v>0</v>
      </c>
      <c r="M204" s="197" t="n">
        <v>0</v>
      </c>
      <c r="N204" s="197" t="n">
        <v>0</v>
      </c>
      <c r="O204" s="196">
        <f>H204+I204+J204+L204+M204+N204</f>
        <v/>
      </c>
      <c r="P204" s="198" t="n">
        <v>55000</v>
      </c>
      <c r="Q204" s="197" t="n">
        <v>0</v>
      </c>
      <c r="R204" s="199" t="inlineStr">
        <is>
          <t>Đảm bảo tiến độ sản xuất</t>
        </is>
      </c>
      <c r="S204" s="200" t="inlineStr">
        <is>
          <t>CÓ</t>
        </is>
      </c>
      <c r="T204" s="200" t="inlineStr">
        <is>
          <t>ĐÃ DUYỆT</t>
        </is>
      </c>
      <c r="U204" s="199" t="inlineStr">
        <is>
          <t>Quản Đốc</t>
        </is>
      </c>
      <c r="V204" s="200" t="inlineStr">
        <is>
          <t>2026-08-19 17:00:00</t>
        </is>
      </c>
      <c r="W204" s="200" t="inlineStr">
        <is>
          <t>ERP_CHAM_CONG_2026</t>
        </is>
      </c>
      <c r="X204" s="200" t="inlineStr">
        <is>
          <t>HỢP LỆ</t>
        </is>
      </c>
    </row>
    <row r="205">
      <c r="A205" s="201" t="inlineStr">
        <is>
          <t>2026-08-19</t>
        </is>
      </c>
      <c r="B205" s="201" t="inlineStr">
        <is>
          <t>2026-08-01</t>
        </is>
      </c>
      <c r="C205" s="201" t="inlineStr">
        <is>
          <t>NV01</t>
        </is>
      </c>
      <c r="D205" s="202" t="inlineStr">
        <is>
          <t>Hoàng Ngọc Hà</t>
        </is>
      </c>
      <c r="E205" s="201" t="inlineStr">
        <is>
          <t>C1</t>
        </is>
      </c>
      <c r="F205" s="203" t="n">
        <v>1</v>
      </c>
      <c r="G205" s="203" t="n">
        <v>8</v>
      </c>
      <c r="H205" s="203" t="n">
        <v>0</v>
      </c>
      <c r="I205" s="203" t="n">
        <v>0</v>
      </c>
      <c r="J205" s="203" t="n">
        <v>0</v>
      </c>
      <c r="K205" s="203" t="n">
        <v>0</v>
      </c>
      <c r="L205" s="204" t="n">
        <v>0</v>
      </c>
      <c r="M205" s="204" t="n">
        <v>0</v>
      </c>
      <c r="N205" s="204" t="n">
        <v>0</v>
      </c>
      <c r="O205" s="203">
        <f>H205+I205+J205+L205+M205+N205</f>
        <v/>
      </c>
      <c r="P205" s="205" t="n">
        <v>30000</v>
      </c>
      <c r="Q205" s="204" t="n">
        <v>0</v>
      </c>
      <c r="R205" s="206" t="inlineStr"/>
      <c r="S205" s="207" t="inlineStr">
        <is>
          <t>KHÔNG</t>
        </is>
      </c>
      <c r="T205" s="207" t="inlineStr">
        <is>
          <t>ĐÃ DUYỆT</t>
        </is>
      </c>
      <c r="U205" s="206" t="inlineStr">
        <is>
          <t>Quản Đốc</t>
        </is>
      </c>
      <c r="V205" s="207" t="inlineStr">
        <is>
          <t>2026-08-19 17:00:00</t>
        </is>
      </c>
      <c r="W205" s="207" t="inlineStr">
        <is>
          <t>ERP_CHAM_CONG_2026</t>
        </is>
      </c>
      <c r="X205" s="207" t="inlineStr">
        <is>
          <t>HỢP LỆ</t>
        </is>
      </c>
    </row>
    <row r="206">
      <c r="A206" s="194" t="inlineStr">
        <is>
          <t>2026-08-19</t>
        </is>
      </c>
      <c r="B206" s="194" t="inlineStr">
        <is>
          <t>2026-08-01</t>
        </is>
      </c>
      <c r="C206" s="194" t="inlineStr">
        <is>
          <t>NV15</t>
        </is>
      </c>
      <c r="D206" s="195" t="inlineStr">
        <is>
          <t>Đặng Ngọc Long</t>
        </is>
      </c>
      <c r="E206" s="194" t="inlineStr">
        <is>
          <t>C1+2</t>
        </is>
      </c>
      <c r="F206" s="196" t="n">
        <v>1</v>
      </c>
      <c r="G206" s="196" t="n">
        <v>8</v>
      </c>
      <c r="H206" s="196" t="n">
        <v>2</v>
      </c>
      <c r="I206" s="196" t="n">
        <v>0</v>
      </c>
      <c r="J206" s="196" t="n">
        <v>0</v>
      </c>
      <c r="K206" s="196" t="n">
        <v>0</v>
      </c>
      <c r="L206" s="197" t="n">
        <v>0</v>
      </c>
      <c r="M206" s="197" t="n">
        <v>0</v>
      </c>
      <c r="N206" s="197" t="n">
        <v>0</v>
      </c>
      <c r="O206" s="196">
        <f>H206+I206+J206+L206+M206+N206</f>
        <v/>
      </c>
      <c r="P206" s="198" t="n">
        <v>55000</v>
      </c>
      <c r="Q206" s="197" t="n">
        <v>0</v>
      </c>
      <c r="R206" s="199" t="inlineStr">
        <is>
          <t>Đảm bảo tiến độ sản xuất</t>
        </is>
      </c>
      <c r="S206" s="200" t="inlineStr">
        <is>
          <t>CÓ</t>
        </is>
      </c>
      <c r="T206" s="200" t="inlineStr">
        <is>
          <t>ĐÃ DUYỆT</t>
        </is>
      </c>
      <c r="U206" s="199" t="inlineStr">
        <is>
          <t>Quản Đốc</t>
        </is>
      </c>
      <c r="V206" s="200" t="inlineStr">
        <is>
          <t>2026-08-19 17:00:00</t>
        </is>
      </c>
      <c r="W206" s="200" t="inlineStr">
        <is>
          <t>ERP_CHAM_CONG_2026</t>
        </is>
      </c>
      <c r="X206" s="200" t="inlineStr">
        <is>
          <t>HỢP LỆ</t>
        </is>
      </c>
    </row>
    <row r="207">
      <c r="A207" s="201" t="inlineStr">
        <is>
          <t>2026-08-19</t>
        </is>
      </c>
      <c r="B207" s="201" t="inlineStr">
        <is>
          <t>2026-08-01</t>
        </is>
      </c>
      <c r="C207" s="201" t="inlineStr">
        <is>
          <t>NV14</t>
        </is>
      </c>
      <c r="D207" s="202" t="inlineStr">
        <is>
          <t>Đinh Văn Nhận</t>
        </is>
      </c>
      <c r="E207" s="201" t="inlineStr">
        <is>
          <t>C1+2</t>
        </is>
      </c>
      <c r="F207" s="203" t="n">
        <v>1</v>
      </c>
      <c r="G207" s="203" t="n">
        <v>8</v>
      </c>
      <c r="H207" s="203" t="n">
        <v>2</v>
      </c>
      <c r="I207" s="203" t="n">
        <v>0</v>
      </c>
      <c r="J207" s="203" t="n">
        <v>0</v>
      </c>
      <c r="K207" s="203" t="n">
        <v>0</v>
      </c>
      <c r="L207" s="204" t="n">
        <v>0</v>
      </c>
      <c r="M207" s="204" t="n">
        <v>0</v>
      </c>
      <c r="N207" s="204" t="n">
        <v>0</v>
      </c>
      <c r="O207" s="203">
        <f>H207+I207+J207+L207+M207+N207</f>
        <v/>
      </c>
      <c r="P207" s="205" t="n">
        <v>55000</v>
      </c>
      <c r="Q207" s="204" t="n">
        <v>0</v>
      </c>
      <c r="R207" s="206" t="inlineStr">
        <is>
          <t>Đảm bảo tiến độ sản xuất</t>
        </is>
      </c>
      <c r="S207" s="207" t="inlineStr">
        <is>
          <t>CÓ</t>
        </is>
      </c>
      <c r="T207" s="207" t="inlineStr">
        <is>
          <t>ĐÃ DUYỆT</t>
        </is>
      </c>
      <c r="U207" s="206" t="inlineStr">
        <is>
          <t>Quản Đốc</t>
        </is>
      </c>
      <c r="V207" s="207" t="inlineStr">
        <is>
          <t>2026-08-19 17:00:00</t>
        </is>
      </c>
      <c r="W207" s="207" t="inlineStr">
        <is>
          <t>ERP_CHAM_CONG_2026</t>
        </is>
      </c>
      <c r="X207" s="207" t="inlineStr">
        <is>
          <t>HỢP LỆ</t>
        </is>
      </c>
    </row>
    <row r="208">
      <c r="A208" s="194" t="inlineStr">
        <is>
          <t>2026-08-19</t>
        </is>
      </c>
      <c r="B208" s="194" t="inlineStr">
        <is>
          <t>2026-08-01</t>
        </is>
      </c>
      <c r="C208" s="194" t="inlineStr">
        <is>
          <t>NV07</t>
        </is>
      </c>
      <c r="D208" s="195" t="inlineStr">
        <is>
          <t>Phùng Gia Phúc</t>
        </is>
      </c>
      <c r="E208" s="194" t="inlineStr">
        <is>
          <t>C1</t>
        </is>
      </c>
      <c r="F208" s="196" t="n">
        <v>1</v>
      </c>
      <c r="G208" s="196" t="n">
        <v>8</v>
      </c>
      <c r="H208" s="196" t="n">
        <v>0</v>
      </c>
      <c r="I208" s="196" t="n">
        <v>0</v>
      </c>
      <c r="J208" s="196" t="n">
        <v>0</v>
      </c>
      <c r="K208" s="196" t="n">
        <v>0</v>
      </c>
      <c r="L208" s="197" t="n">
        <v>0</v>
      </c>
      <c r="M208" s="197" t="n">
        <v>0</v>
      </c>
      <c r="N208" s="197" t="n">
        <v>0</v>
      </c>
      <c r="O208" s="196">
        <f>H208+I208+J208+L208+M208+N208</f>
        <v/>
      </c>
      <c r="P208" s="198" t="n">
        <v>30000</v>
      </c>
      <c r="Q208" s="197" t="n">
        <v>0</v>
      </c>
      <c r="R208" s="199" t="inlineStr"/>
      <c r="S208" s="200" t="inlineStr">
        <is>
          <t>KHÔNG</t>
        </is>
      </c>
      <c r="T208" s="200" t="inlineStr">
        <is>
          <t>ĐÃ DUYỆT</t>
        </is>
      </c>
      <c r="U208" s="199" t="inlineStr">
        <is>
          <t>Quản Đốc</t>
        </is>
      </c>
      <c r="V208" s="200" t="inlineStr">
        <is>
          <t>2026-08-19 17:00:00</t>
        </is>
      </c>
      <c r="W208" s="200" t="inlineStr">
        <is>
          <t>ERP_CHAM_CONG_2026</t>
        </is>
      </c>
      <c r="X208" s="200" t="inlineStr">
        <is>
          <t>HỢP LỆ</t>
        </is>
      </c>
    </row>
    <row r="209">
      <c r="A209" s="201" t="inlineStr">
        <is>
          <t>2026-08-19</t>
        </is>
      </c>
      <c r="B209" s="201" t="inlineStr">
        <is>
          <t>2026-08-01</t>
        </is>
      </c>
      <c r="C209" s="201" t="inlineStr">
        <is>
          <t>NV13</t>
        </is>
      </c>
      <c r="D209" s="202" t="inlineStr">
        <is>
          <t>Trần Văn Quỳnh</t>
        </is>
      </c>
      <c r="E209" s="201" t="inlineStr">
        <is>
          <t>C1</t>
        </is>
      </c>
      <c r="F209" s="203" t="n">
        <v>1</v>
      </c>
      <c r="G209" s="203" t="n">
        <v>8</v>
      </c>
      <c r="H209" s="203" t="n">
        <v>0</v>
      </c>
      <c r="I209" s="203" t="n">
        <v>0</v>
      </c>
      <c r="J209" s="203" t="n">
        <v>0</v>
      </c>
      <c r="K209" s="203" t="n">
        <v>0</v>
      </c>
      <c r="L209" s="204" t="n">
        <v>0</v>
      </c>
      <c r="M209" s="204" t="n">
        <v>0</v>
      </c>
      <c r="N209" s="204" t="n">
        <v>0</v>
      </c>
      <c r="O209" s="203">
        <f>H209+I209+J209+L209+M209+N209</f>
        <v/>
      </c>
      <c r="P209" s="205" t="n">
        <v>30000</v>
      </c>
      <c r="Q209" s="204" t="n">
        <v>0</v>
      </c>
      <c r="R209" s="206" t="inlineStr"/>
      <c r="S209" s="207" t="inlineStr">
        <is>
          <t>KHÔNG</t>
        </is>
      </c>
      <c r="T209" s="207" t="inlineStr">
        <is>
          <t>ĐÃ DUYỆT</t>
        </is>
      </c>
      <c r="U209" s="206" t="inlineStr">
        <is>
          <t>Quản Đốc</t>
        </is>
      </c>
      <c r="V209" s="207" t="inlineStr">
        <is>
          <t>2026-08-19 17:00:00</t>
        </is>
      </c>
      <c r="W209" s="207" t="inlineStr">
        <is>
          <t>ERP_CHAM_CONG_2026</t>
        </is>
      </c>
      <c r="X209" s="207" t="inlineStr">
        <is>
          <t>HỢP LỆ</t>
        </is>
      </c>
    </row>
    <row r="210">
      <c r="A210" s="194" t="inlineStr">
        <is>
          <t>2026-08-19</t>
        </is>
      </c>
      <c r="B210" s="194" t="inlineStr">
        <is>
          <t>2026-08-01</t>
        </is>
      </c>
      <c r="C210" s="194" t="inlineStr">
        <is>
          <t>NV11</t>
        </is>
      </c>
      <c r="D210" s="195" t="inlineStr">
        <is>
          <t>Phùng Công Thắng</t>
        </is>
      </c>
      <c r="E210" s="194" t="inlineStr">
        <is>
          <t>C1+2</t>
        </is>
      </c>
      <c r="F210" s="196" t="n">
        <v>1</v>
      </c>
      <c r="G210" s="196" t="n">
        <v>8</v>
      </c>
      <c r="H210" s="196" t="n">
        <v>2</v>
      </c>
      <c r="I210" s="196" t="n">
        <v>0</v>
      </c>
      <c r="J210" s="196" t="n">
        <v>0</v>
      </c>
      <c r="K210" s="196" t="n">
        <v>0</v>
      </c>
      <c r="L210" s="197" t="n">
        <v>0</v>
      </c>
      <c r="M210" s="197" t="n">
        <v>0</v>
      </c>
      <c r="N210" s="197" t="n">
        <v>0</v>
      </c>
      <c r="O210" s="196">
        <f>H210+I210+J210+L210+M210+N210</f>
        <v/>
      </c>
      <c r="P210" s="198" t="n">
        <v>55000</v>
      </c>
      <c r="Q210" s="197" t="n">
        <v>0</v>
      </c>
      <c r="R210" s="199" t="inlineStr">
        <is>
          <t>Đảm bảo tiến độ sản xuất</t>
        </is>
      </c>
      <c r="S210" s="200" t="inlineStr">
        <is>
          <t>CÓ</t>
        </is>
      </c>
      <c r="T210" s="200" t="inlineStr">
        <is>
          <t>ĐÃ DUYỆT</t>
        </is>
      </c>
      <c r="U210" s="199" t="inlineStr">
        <is>
          <t>Quản Đốc</t>
        </is>
      </c>
      <c r="V210" s="200" t="inlineStr">
        <is>
          <t>2026-08-19 17:00:00</t>
        </is>
      </c>
      <c r="W210" s="200" t="inlineStr">
        <is>
          <t>ERP_CHAM_CONG_2026</t>
        </is>
      </c>
      <c r="X210" s="200" t="inlineStr">
        <is>
          <t>HỢP LỆ</t>
        </is>
      </c>
    </row>
    <row r="211">
      <c r="A211" s="201" t="inlineStr">
        <is>
          <t>2026-08-19</t>
        </is>
      </c>
      <c r="B211" s="201" t="inlineStr">
        <is>
          <t>2026-08-01</t>
        </is>
      </c>
      <c r="C211" s="201" t="inlineStr">
        <is>
          <t>NV06</t>
        </is>
      </c>
      <c r="D211" s="202" t="inlineStr">
        <is>
          <t>Nguyễn Văn Thanh</t>
        </is>
      </c>
      <c r="E211" s="201" t="inlineStr">
        <is>
          <t>C1+2</t>
        </is>
      </c>
      <c r="F211" s="203" t="n">
        <v>1</v>
      </c>
      <c r="G211" s="203" t="n">
        <v>8</v>
      </c>
      <c r="H211" s="203" t="n">
        <v>2</v>
      </c>
      <c r="I211" s="203" t="n">
        <v>0</v>
      </c>
      <c r="J211" s="203" t="n">
        <v>0</v>
      </c>
      <c r="K211" s="203" t="n">
        <v>0</v>
      </c>
      <c r="L211" s="204" t="n">
        <v>0</v>
      </c>
      <c r="M211" s="204" t="n">
        <v>0</v>
      </c>
      <c r="N211" s="204" t="n">
        <v>0</v>
      </c>
      <c r="O211" s="203">
        <f>H211+I211+J211+L211+M211+N211</f>
        <v/>
      </c>
      <c r="P211" s="205" t="n">
        <v>55000</v>
      </c>
      <c r="Q211" s="204" t="n">
        <v>0</v>
      </c>
      <c r="R211" s="206" t="inlineStr">
        <is>
          <t>Đảm bảo tiến độ sản xuất</t>
        </is>
      </c>
      <c r="S211" s="207" t="inlineStr">
        <is>
          <t>CÓ</t>
        </is>
      </c>
      <c r="T211" s="207" t="inlineStr">
        <is>
          <t>ĐÃ DUYỆT</t>
        </is>
      </c>
      <c r="U211" s="206" t="inlineStr">
        <is>
          <t>Quản Đốc</t>
        </is>
      </c>
      <c r="V211" s="207" t="inlineStr">
        <is>
          <t>2026-08-19 17:00:00</t>
        </is>
      </c>
      <c r="W211" s="207" t="inlineStr">
        <is>
          <t>ERP_CHAM_CONG_2026</t>
        </is>
      </c>
      <c r="X211" s="207" t="inlineStr">
        <is>
          <t>HỢP LỆ</t>
        </is>
      </c>
    </row>
    <row r="212">
      <c r="A212" s="194" t="inlineStr">
        <is>
          <t>2026-08-19</t>
        </is>
      </c>
      <c r="B212" s="194" t="inlineStr">
        <is>
          <t>2026-08-01</t>
        </is>
      </c>
      <c r="C212" s="194" t="inlineStr">
        <is>
          <t>NV04</t>
        </is>
      </c>
      <c r="D212" s="195" t="inlineStr">
        <is>
          <t>Vũ Tiến Thuận</t>
        </is>
      </c>
      <c r="E212" s="194" t="inlineStr">
        <is>
          <t>C1</t>
        </is>
      </c>
      <c r="F212" s="196" t="n">
        <v>1</v>
      </c>
      <c r="G212" s="196" t="n">
        <v>8</v>
      </c>
      <c r="H212" s="196" t="n">
        <v>0</v>
      </c>
      <c r="I212" s="196" t="n">
        <v>0</v>
      </c>
      <c r="J212" s="196" t="n">
        <v>0</v>
      </c>
      <c r="K212" s="196" t="n">
        <v>0</v>
      </c>
      <c r="L212" s="197" t="n">
        <v>0</v>
      </c>
      <c r="M212" s="197" t="n">
        <v>0</v>
      </c>
      <c r="N212" s="197" t="n">
        <v>0</v>
      </c>
      <c r="O212" s="196">
        <f>H212+I212+J212+L212+M212+N212</f>
        <v/>
      </c>
      <c r="P212" s="198" t="n">
        <v>30000</v>
      </c>
      <c r="Q212" s="197" t="n">
        <v>0</v>
      </c>
      <c r="R212" s="199" t="inlineStr"/>
      <c r="S212" s="200" t="inlineStr">
        <is>
          <t>KHÔNG</t>
        </is>
      </c>
      <c r="T212" s="200" t="inlineStr">
        <is>
          <t>ĐÃ DUYỆT</t>
        </is>
      </c>
      <c r="U212" s="199" t="inlineStr">
        <is>
          <t>Quản Đốc</t>
        </is>
      </c>
      <c r="V212" s="200" t="inlineStr">
        <is>
          <t>2026-08-19 17:00:00</t>
        </is>
      </c>
      <c r="W212" s="200" t="inlineStr">
        <is>
          <t>ERP_CHAM_CONG_2026</t>
        </is>
      </c>
      <c r="X212" s="200" t="inlineStr">
        <is>
          <t>HỢP LỆ</t>
        </is>
      </c>
    </row>
    <row r="213">
      <c r="A213" s="201" t="inlineStr">
        <is>
          <t>2026-08-19</t>
        </is>
      </c>
      <c r="B213" s="201" t="inlineStr">
        <is>
          <t>2026-08-01</t>
        </is>
      </c>
      <c r="C213" s="201" t="inlineStr">
        <is>
          <t>NV10</t>
        </is>
      </c>
      <c r="D213" s="202" t="inlineStr">
        <is>
          <t>Phạm Văn Tráng</t>
        </is>
      </c>
      <c r="E213" s="201" t="inlineStr">
        <is>
          <t>C1</t>
        </is>
      </c>
      <c r="F213" s="203" t="n">
        <v>1</v>
      </c>
      <c r="G213" s="203" t="n">
        <v>8</v>
      </c>
      <c r="H213" s="203" t="n">
        <v>0</v>
      </c>
      <c r="I213" s="203" t="n">
        <v>0</v>
      </c>
      <c r="J213" s="203" t="n">
        <v>0</v>
      </c>
      <c r="K213" s="203" t="n">
        <v>0</v>
      </c>
      <c r="L213" s="204" t="n">
        <v>0</v>
      </c>
      <c r="M213" s="204" t="n">
        <v>0</v>
      </c>
      <c r="N213" s="204" t="n">
        <v>0</v>
      </c>
      <c r="O213" s="203">
        <f>H213+I213+J213+L213+M213+N213</f>
        <v/>
      </c>
      <c r="P213" s="205" t="n">
        <v>30000</v>
      </c>
      <c r="Q213" s="204" t="n">
        <v>0</v>
      </c>
      <c r="R213" s="206" t="inlineStr"/>
      <c r="S213" s="207" t="inlineStr">
        <is>
          <t>KHÔNG</t>
        </is>
      </c>
      <c r="T213" s="207" t="inlineStr">
        <is>
          <t>ĐÃ DUYỆT</t>
        </is>
      </c>
      <c r="U213" s="206" t="inlineStr">
        <is>
          <t>Quản Đốc</t>
        </is>
      </c>
      <c r="V213" s="207" t="inlineStr">
        <is>
          <t>2026-08-19 17:00:00</t>
        </is>
      </c>
      <c r="W213" s="207" t="inlineStr">
        <is>
          <t>ERP_CHAM_CONG_2026</t>
        </is>
      </c>
      <c r="X213" s="207" t="inlineStr">
        <is>
          <t>HỢP LỆ</t>
        </is>
      </c>
    </row>
    <row r="214">
      <c r="A214" s="194" t="inlineStr">
        <is>
          <t>2026-09-03</t>
        </is>
      </c>
      <c r="B214" s="194" t="inlineStr">
        <is>
          <t>2026-09-01</t>
        </is>
      </c>
      <c r="C214" s="194" t="inlineStr">
        <is>
          <t>NV02</t>
        </is>
      </c>
      <c r="D214" s="195" t="inlineStr">
        <is>
          <t>Nguyễn Trung Đông</t>
        </is>
      </c>
      <c r="E214" s="194" t="inlineStr">
        <is>
          <t>C1+2</t>
        </is>
      </c>
      <c r="F214" s="196" t="n">
        <v>1</v>
      </c>
      <c r="G214" s="196" t="n">
        <v>8</v>
      </c>
      <c r="H214" s="196" t="n">
        <v>2</v>
      </c>
      <c r="I214" s="196" t="n">
        <v>0</v>
      </c>
      <c r="J214" s="196" t="n">
        <v>0</v>
      </c>
      <c r="K214" s="196" t="n">
        <v>0</v>
      </c>
      <c r="L214" s="197" t="n">
        <v>0</v>
      </c>
      <c r="M214" s="197" t="n">
        <v>0</v>
      </c>
      <c r="N214" s="197" t="n">
        <v>0</v>
      </c>
      <c r="O214" s="196">
        <f>H214+I214+J214+L214+M214+N214</f>
        <v/>
      </c>
      <c r="P214" s="198" t="n">
        <v>15000</v>
      </c>
      <c r="Q214" s="197" t="n">
        <v>0</v>
      </c>
      <c r="R214" s="199" t="inlineStr">
        <is>
          <t>Đảm bảo tiến độ sản xuất</t>
        </is>
      </c>
      <c r="S214" s="200" t="inlineStr">
        <is>
          <t>CÓ</t>
        </is>
      </c>
      <c r="T214" s="200" t="inlineStr">
        <is>
          <t>ĐÃ DUYỆT</t>
        </is>
      </c>
      <c r="U214" s="199" t="inlineStr">
        <is>
          <t>Quản Đốc</t>
        </is>
      </c>
      <c r="V214" s="200" t="inlineStr">
        <is>
          <t>2026-09-03 17:00:00</t>
        </is>
      </c>
      <c r="W214" s="200" t="inlineStr">
        <is>
          <t>ERP_CHAM_CONG_2026</t>
        </is>
      </c>
      <c r="X214" s="200" t="inlineStr">
        <is>
          <t>HỢP LỆ</t>
        </is>
      </c>
    </row>
    <row r="215">
      <c r="A215" s="201" t="inlineStr">
        <is>
          <t>2026-09-04</t>
        </is>
      </c>
      <c r="B215" s="201" t="inlineStr">
        <is>
          <t>2026-09-01</t>
        </is>
      </c>
      <c r="C215" s="201" t="inlineStr">
        <is>
          <t>NV02</t>
        </is>
      </c>
      <c r="D215" s="202" t="inlineStr">
        <is>
          <t>Nguyễn Trung Đông</t>
        </is>
      </c>
      <c r="E215" s="201" t="inlineStr">
        <is>
          <t>C1+2</t>
        </is>
      </c>
      <c r="F215" s="203" t="n">
        <v>1</v>
      </c>
      <c r="G215" s="203" t="n">
        <v>8</v>
      </c>
      <c r="H215" s="203" t="n">
        <v>2</v>
      </c>
      <c r="I215" s="203" t="n">
        <v>0</v>
      </c>
      <c r="J215" s="203" t="n">
        <v>0</v>
      </c>
      <c r="K215" s="203" t="n">
        <v>0</v>
      </c>
      <c r="L215" s="204" t="n">
        <v>0</v>
      </c>
      <c r="M215" s="204" t="n">
        <v>0</v>
      </c>
      <c r="N215" s="204" t="n">
        <v>0</v>
      </c>
      <c r="O215" s="203">
        <f>H215+I215+J215+L215+M215+N215</f>
        <v/>
      </c>
      <c r="P215" s="205" t="n">
        <v>15000</v>
      </c>
      <c r="Q215" s="204" t="n">
        <v>0</v>
      </c>
      <c r="R215" s="206" t="inlineStr">
        <is>
          <t>Đảm bảo tiến độ sản xuất</t>
        </is>
      </c>
      <c r="S215" s="207" t="inlineStr">
        <is>
          <t>CÓ</t>
        </is>
      </c>
      <c r="T215" s="207" t="inlineStr">
        <is>
          <t>ĐÃ DUYỆT</t>
        </is>
      </c>
      <c r="U215" s="206" t="inlineStr">
        <is>
          <t>Quản Đốc</t>
        </is>
      </c>
      <c r="V215" s="207" t="inlineStr">
        <is>
          <t>2026-09-04 17:00:00</t>
        </is>
      </c>
      <c r="W215" s="207" t="inlineStr">
        <is>
          <t>ERP_CHAM_CONG_2026</t>
        </is>
      </c>
      <c r="X215" s="207" t="inlineStr">
        <is>
          <t>HỢP LỆ</t>
        </is>
      </c>
    </row>
    <row r="216">
      <c r="A216" s="194" t="inlineStr">
        <is>
          <t>2026-09-05</t>
        </is>
      </c>
      <c r="B216" s="194" t="inlineStr">
        <is>
          <t>2026-09-01</t>
        </is>
      </c>
      <c r="C216" s="194" t="inlineStr">
        <is>
          <t>NV02</t>
        </is>
      </c>
      <c r="D216" s="195" t="inlineStr">
        <is>
          <t>Nguyễn Trung Đông</t>
        </is>
      </c>
      <c r="E216" s="194" t="inlineStr">
        <is>
          <t>C1+2</t>
        </is>
      </c>
      <c r="F216" s="196" t="n">
        <v>1</v>
      </c>
      <c r="G216" s="196" t="n">
        <v>8</v>
      </c>
      <c r="H216" s="196" t="n">
        <v>2</v>
      </c>
      <c r="I216" s="196" t="n">
        <v>0</v>
      </c>
      <c r="J216" s="196" t="n">
        <v>0</v>
      </c>
      <c r="K216" s="196" t="n">
        <v>0</v>
      </c>
      <c r="L216" s="197" t="n">
        <v>0</v>
      </c>
      <c r="M216" s="197" t="n">
        <v>0</v>
      </c>
      <c r="N216" s="197" t="n">
        <v>0</v>
      </c>
      <c r="O216" s="196">
        <f>H216+I216+J216+L216+M216+N216</f>
        <v/>
      </c>
      <c r="P216" s="198" t="n">
        <v>15000</v>
      </c>
      <c r="Q216" s="197" t="n">
        <v>0</v>
      </c>
      <c r="R216" s="199" t="inlineStr">
        <is>
          <t>Đảm bảo tiến độ sản xuất</t>
        </is>
      </c>
      <c r="S216" s="200" t="inlineStr">
        <is>
          <t>CÓ</t>
        </is>
      </c>
      <c r="T216" s="200" t="inlineStr">
        <is>
          <t>ĐÃ DUYỆT</t>
        </is>
      </c>
      <c r="U216" s="199" t="inlineStr">
        <is>
          <t>Quản Đốc</t>
        </is>
      </c>
      <c r="V216" s="200" t="inlineStr">
        <is>
          <t>2026-09-05 17:00:00</t>
        </is>
      </c>
      <c r="W216" s="200" t="inlineStr">
        <is>
          <t>ERP_CHAM_CONG_2026</t>
        </is>
      </c>
      <c r="X216" s="200" t="inlineStr">
        <is>
          <t>HỢP LỆ</t>
        </is>
      </c>
    </row>
    <row r="217">
      <c r="A217" s="201" t="inlineStr">
        <is>
          <t>2026-09-07</t>
        </is>
      </c>
      <c r="B217" s="201" t="inlineStr">
        <is>
          <t>2026-09-01</t>
        </is>
      </c>
      <c r="C217" s="201" t="inlineStr">
        <is>
          <t>NV02</t>
        </is>
      </c>
      <c r="D217" s="202" t="inlineStr">
        <is>
          <t>Nguyễn Trung Đông</t>
        </is>
      </c>
      <c r="E217" s="201" t="inlineStr">
        <is>
          <t>C1+2</t>
        </is>
      </c>
      <c r="F217" s="203" t="n">
        <v>1</v>
      </c>
      <c r="G217" s="203" t="n">
        <v>8</v>
      </c>
      <c r="H217" s="203" t="n">
        <v>2</v>
      </c>
      <c r="I217" s="203" t="n">
        <v>0</v>
      </c>
      <c r="J217" s="203" t="n">
        <v>0</v>
      </c>
      <c r="K217" s="203" t="n">
        <v>0</v>
      </c>
      <c r="L217" s="204" t="n">
        <v>0</v>
      </c>
      <c r="M217" s="204" t="n">
        <v>0</v>
      </c>
      <c r="N217" s="204" t="n">
        <v>0</v>
      </c>
      <c r="O217" s="203">
        <f>H217+I217+J217+L217+M217+N217</f>
        <v/>
      </c>
      <c r="P217" s="205" t="n">
        <v>15000</v>
      </c>
      <c r="Q217" s="204" t="n">
        <v>0</v>
      </c>
      <c r="R217" s="206" t="inlineStr">
        <is>
          <t>Đảm bảo tiến độ sản xuất</t>
        </is>
      </c>
      <c r="S217" s="207" t="inlineStr">
        <is>
          <t>CÓ</t>
        </is>
      </c>
      <c r="T217" s="207" t="inlineStr">
        <is>
          <t>ĐÃ DUYỆT</t>
        </is>
      </c>
      <c r="U217" s="206" t="inlineStr">
        <is>
          <t>Quản Đốc</t>
        </is>
      </c>
      <c r="V217" s="207" t="inlineStr">
        <is>
          <t>2026-09-07 17:00:00</t>
        </is>
      </c>
      <c r="W217" s="207" t="inlineStr">
        <is>
          <t>ERP_CHAM_CONG_2026</t>
        </is>
      </c>
      <c r="X217" s="207" t="inlineStr">
        <is>
          <t>HỢP LỆ</t>
        </is>
      </c>
    </row>
    <row r="218">
      <c r="A218" s="194" t="inlineStr">
        <is>
          <t>2026-09-08</t>
        </is>
      </c>
      <c r="B218" s="194" t="inlineStr">
        <is>
          <t>2026-09-01</t>
        </is>
      </c>
      <c r="C218" s="194" t="inlineStr">
        <is>
          <t>NV02</t>
        </is>
      </c>
      <c r="D218" s="195" t="inlineStr">
        <is>
          <t>Nguyễn Trung Đông</t>
        </is>
      </c>
      <c r="E218" s="194" t="inlineStr">
        <is>
          <t>C1+2</t>
        </is>
      </c>
      <c r="F218" s="196" t="n">
        <v>1</v>
      </c>
      <c r="G218" s="196" t="n">
        <v>8</v>
      </c>
      <c r="H218" s="196" t="n">
        <v>2</v>
      </c>
      <c r="I218" s="196" t="n">
        <v>0</v>
      </c>
      <c r="J218" s="196" t="n">
        <v>0</v>
      </c>
      <c r="K218" s="196" t="n">
        <v>0</v>
      </c>
      <c r="L218" s="197" t="n">
        <v>0</v>
      </c>
      <c r="M218" s="197" t="n">
        <v>0</v>
      </c>
      <c r="N218" s="197" t="n">
        <v>0</v>
      </c>
      <c r="O218" s="196">
        <f>H218+I218+J218+L218+M218+N218</f>
        <v/>
      </c>
      <c r="P218" s="198" t="n">
        <v>15000</v>
      </c>
      <c r="Q218" s="197" t="n">
        <v>0</v>
      </c>
      <c r="R218" s="199" t="inlineStr">
        <is>
          <t>Đảm bảo tiến độ sản xuất</t>
        </is>
      </c>
      <c r="S218" s="200" t="inlineStr">
        <is>
          <t>CÓ</t>
        </is>
      </c>
      <c r="T218" s="200" t="inlineStr">
        <is>
          <t>ĐÃ DUYỆT</t>
        </is>
      </c>
      <c r="U218" s="199" t="inlineStr">
        <is>
          <t>Quản Đốc</t>
        </is>
      </c>
      <c r="V218" s="200" t="inlineStr">
        <is>
          <t>2026-09-08 17:00:00</t>
        </is>
      </c>
      <c r="W218" s="200" t="inlineStr">
        <is>
          <t>ERP_CHAM_CONG_2026</t>
        </is>
      </c>
      <c r="X218" s="200" t="inlineStr">
        <is>
          <t>HỢP LỆ</t>
        </is>
      </c>
    </row>
    <row r="219">
      <c r="A219" s="201" t="inlineStr">
        <is>
          <t>2026-09-09</t>
        </is>
      </c>
      <c r="B219" s="201" t="inlineStr">
        <is>
          <t>2026-09-01</t>
        </is>
      </c>
      <c r="C219" s="201" t="inlineStr">
        <is>
          <t>NV02</t>
        </is>
      </c>
      <c r="D219" s="202" t="inlineStr">
        <is>
          <t>Nguyễn Trung Đông</t>
        </is>
      </c>
      <c r="E219" s="201" t="inlineStr">
        <is>
          <t>C3</t>
        </is>
      </c>
      <c r="F219" s="203" t="n">
        <v>1</v>
      </c>
      <c r="G219" s="203" t="n">
        <v>8</v>
      </c>
      <c r="H219" s="203" t="n">
        <v>0</v>
      </c>
      <c r="I219" s="203" t="n">
        <v>0</v>
      </c>
      <c r="J219" s="203" t="n">
        <v>0</v>
      </c>
      <c r="K219" s="203" t="n">
        <v>8</v>
      </c>
      <c r="L219" s="204" t="n">
        <v>0</v>
      </c>
      <c r="M219" s="204" t="n">
        <v>0</v>
      </c>
      <c r="N219" s="204" t="n">
        <v>0</v>
      </c>
      <c r="O219" s="203">
        <f>H219+I219+J219+L219+M219+N219</f>
        <v/>
      </c>
      <c r="P219" s="205" t="n">
        <v>15000</v>
      </c>
      <c r="Q219" s="204" t="n">
        <v>0</v>
      </c>
      <c r="R219" s="206" t="inlineStr"/>
      <c r="S219" s="207" t="inlineStr">
        <is>
          <t>KHÔNG</t>
        </is>
      </c>
      <c r="T219" s="207" t="inlineStr">
        <is>
          <t>ĐÃ DUYỆT</t>
        </is>
      </c>
      <c r="U219" s="206" t="inlineStr">
        <is>
          <t>Quản Đốc</t>
        </is>
      </c>
      <c r="V219" s="207" t="inlineStr">
        <is>
          <t>2026-09-09 17:00:00</t>
        </is>
      </c>
      <c r="W219" s="207" t="inlineStr">
        <is>
          <t>ERP_CHAM_CONG_2026</t>
        </is>
      </c>
      <c r="X219" s="207" t="inlineStr">
        <is>
          <t>HỢP LỆ</t>
        </is>
      </c>
    </row>
    <row r="220">
      <c r="A220" s="194" t="inlineStr">
        <is>
          <t>2026-09-10</t>
        </is>
      </c>
      <c r="B220" s="194" t="inlineStr">
        <is>
          <t>2026-09-01</t>
        </is>
      </c>
      <c r="C220" s="194" t="inlineStr">
        <is>
          <t>NV02</t>
        </is>
      </c>
      <c r="D220" s="195" t="inlineStr">
        <is>
          <t>Nguyễn Trung Đông</t>
        </is>
      </c>
      <c r="E220" s="194" t="inlineStr">
        <is>
          <t>C3</t>
        </is>
      </c>
      <c r="F220" s="196" t="n">
        <v>1</v>
      </c>
      <c r="G220" s="196" t="n">
        <v>8</v>
      </c>
      <c r="H220" s="196" t="n">
        <v>0</v>
      </c>
      <c r="I220" s="196" t="n">
        <v>0</v>
      </c>
      <c r="J220" s="196" t="n">
        <v>0</v>
      </c>
      <c r="K220" s="196" t="n">
        <v>8</v>
      </c>
      <c r="L220" s="197" t="n">
        <v>0</v>
      </c>
      <c r="M220" s="197" t="n">
        <v>0</v>
      </c>
      <c r="N220" s="197" t="n">
        <v>0</v>
      </c>
      <c r="O220" s="196">
        <f>H220+I220+J220+L220+M220+N220</f>
        <v/>
      </c>
      <c r="P220" s="198" t="n">
        <v>15000</v>
      </c>
      <c r="Q220" s="197" t="n">
        <v>0</v>
      </c>
      <c r="R220" s="199" t="inlineStr"/>
      <c r="S220" s="200" t="inlineStr">
        <is>
          <t>KHÔNG</t>
        </is>
      </c>
      <c r="T220" s="200" t="inlineStr">
        <is>
          <t>ĐÃ DUYỆT</t>
        </is>
      </c>
      <c r="U220" s="199" t="inlineStr">
        <is>
          <t>Quản Đốc</t>
        </is>
      </c>
      <c r="V220" s="200" t="inlineStr">
        <is>
          <t>2026-09-10 17:00:00</t>
        </is>
      </c>
      <c r="W220" s="200" t="inlineStr">
        <is>
          <t>ERP_CHAM_CONG_2026</t>
        </is>
      </c>
      <c r="X220" s="200" t="inlineStr">
        <is>
          <t>HỢP LỆ</t>
        </is>
      </c>
    </row>
    <row r="221">
      <c r="A221" s="201" t="inlineStr">
        <is>
          <t>2026-09-11</t>
        </is>
      </c>
      <c r="B221" s="201" t="inlineStr">
        <is>
          <t>2026-09-01</t>
        </is>
      </c>
      <c r="C221" s="201" t="inlineStr">
        <is>
          <t>NV02</t>
        </is>
      </c>
      <c r="D221" s="202" t="inlineStr">
        <is>
          <t>Nguyễn Trung Đông</t>
        </is>
      </c>
      <c r="E221" s="201" t="inlineStr">
        <is>
          <t>C3</t>
        </is>
      </c>
      <c r="F221" s="203" t="n">
        <v>1</v>
      </c>
      <c r="G221" s="203" t="n">
        <v>8</v>
      </c>
      <c r="H221" s="203" t="n">
        <v>0</v>
      </c>
      <c r="I221" s="203" t="n">
        <v>0</v>
      </c>
      <c r="J221" s="203" t="n">
        <v>0</v>
      </c>
      <c r="K221" s="203" t="n">
        <v>8</v>
      </c>
      <c r="L221" s="204" t="n">
        <v>0</v>
      </c>
      <c r="M221" s="204" t="n">
        <v>0</v>
      </c>
      <c r="N221" s="204" t="n">
        <v>0</v>
      </c>
      <c r="O221" s="203">
        <f>H221+I221+J221+L221+M221+N221</f>
        <v/>
      </c>
      <c r="P221" s="205" t="n">
        <v>15000</v>
      </c>
      <c r="Q221" s="204" t="n">
        <v>0</v>
      </c>
      <c r="R221" s="206" t="inlineStr"/>
      <c r="S221" s="207" t="inlineStr">
        <is>
          <t>KHÔNG</t>
        </is>
      </c>
      <c r="T221" s="207" t="inlineStr">
        <is>
          <t>ĐÃ DUYỆT</t>
        </is>
      </c>
      <c r="U221" s="206" t="inlineStr">
        <is>
          <t>Quản Đốc</t>
        </is>
      </c>
      <c r="V221" s="207" t="inlineStr">
        <is>
          <t>2026-09-11 17:00:00</t>
        </is>
      </c>
      <c r="W221" s="207" t="inlineStr">
        <is>
          <t>ERP_CHAM_CONG_2026</t>
        </is>
      </c>
      <c r="X221" s="207" t="inlineStr">
        <is>
          <t>HỢP LỆ</t>
        </is>
      </c>
    </row>
    <row r="222">
      <c r="A222" s="194" t="inlineStr">
        <is>
          <t>2026-09-12</t>
        </is>
      </c>
      <c r="B222" s="194" t="inlineStr">
        <is>
          <t>2026-09-01</t>
        </is>
      </c>
      <c r="C222" s="194" t="inlineStr">
        <is>
          <t>NV02</t>
        </is>
      </c>
      <c r="D222" s="195" t="inlineStr">
        <is>
          <t>Nguyễn Trung Đông</t>
        </is>
      </c>
      <c r="E222" s="194" t="inlineStr">
        <is>
          <t>C3</t>
        </is>
      </c>
      <c r="F222" s="196" t="n">
        <v>1</v>
      </c>
      <c r="G222" s="196" t="n">
        <v>8</v>
      </c>
      <c r="H222" s="196" t="n">
        <v>0</v>
      </c>
      <c r="I222" s="196" t="n">
        <v>0</v>
      </c>
      <c r="J222" s="196" t="n">
        <v>0</v>
      </c>
      <c r="K222" s="196" t="n">
        <v>8</v>
      </c>
      <c r="L222" s="197" t="n">
        <v>0</v>
      </c>
      <c r="M222" s="197" t="n">
        <v>0</v>
      </c>
      <c r="N222" s="197" t="n">
        <v>0</v>
      </c>
      <c r="O222" s="196">
        <f>H222+I222+J222+L222+M222+N222</f>
        <v/>
      </c>
      <c r="P222" s="198" t="n">
        <v>15000</v>
      </c>
      <c r="Q222" s="197" t="n">
        <v>0</v>
      </c>
      <c r="R222" s="199" t="inlineStr"/>
      <c r="S222" s="200" t="inlineStr">
        <is>
          <t>KHÔNG</t>
        </is>
      </c>
      <c r="T222" s="200" t="inlineStr">
        <is>
          <t>ĐÃ DUYỆT</t>
        </is>
      </c>
      <c r="U222" s="199" t="inlineStr">
        <is>
          <t>Quản Đốc</t>
        </is>
      </c>
      <c r="V222" s="200" t="inlineStr">
        <is>
          <t>2026-09-12 17:00:00</t>
        </is>
      </c>
      <c r="W222" s="200" t="inlineStr">
        <is>
          <t>ERP_CHAM_CONG_2026</t>
        </is>
      </c>
      <c r="X222" s="200" t="inlineStr">
        <is>
          <t>HỢP LỆ</t>
        </is>
      </c>
    </row>
    <row r="223">
      <c r="A223" s="201" t="inlineStr">
        <is>
          <t>2026-09-13</t>
        </is>
      </c>
      <c r="B223" s="201" t="inlineStr">
        <is>
          <t>2026-09-01</t>
        </is>
      </c>
      <c r="C223" s="201" t="inlineStr">
        <is>
          <t>NV02</t>
        </is>
      </c>
      <c r="D223" s="202" t="inlineStr">
        <is>
          <t>Nguyễn Trung Đông</t>
        </is>
      </c>
      <c r="E223" s="201" t="inlineStr">
        <is>
          <t>CN</t>
        </is>
      </c>
      <c r="F223" s="203" t="n">
        <v>0</v>
      </c>
      <c r="G223" s="203" t="n">
        <v>0</v>
      </c>
      <c r="H223" s="203" t="n">
        <v>0</v>
      </c>
      <c r="I223" s="203" t="n">
        <v>8</v>
      </c>
      <c r="J223" s="203" t="n">
        <v>0</v>
      </c>
      <c r="K223" s="203" t="n">
        <v>0</v>
      </c>
      <c r="L223" s="204" t="n">
        <v>0</v>
      </c>
      <c r="M223" s="204" t="n">
        <v>0</v>
      </c>
      <c r="N223" s="204" t="n">
        <v>0</v>
      </c>
      <c r="O223" s="203">
        <f>H223+I223+J223+L223+M223+N223</f>
        <v/>
      </c>
      <c r="P223" s="205" t="n">
        <v>30000</v>
      </c>
      <c r="Q223" s="204" t="n">
        <v>0</v>
      </c>
      <c r="R223" s="206" t="inlineStr">
        <is>
          <t>Đảm bảo tiến độ sản xuất</t>
        </is>
      </c>
      <c r="S223" s="207" t="inlineStr">
        <is>
          <t>CÓ</t>
        </is>
      </c>
      <c r="T223" s="207" t="inlineStr">
        <is>
          <t>ĐÃ DUYỆT</t>
        </is>
      </c>
      <c r="U223" s="206" t="inlineStr">
        <is>
          <t>Quản Đốc</t>
        </is>
      </c>
      <c r="V223" s="207" t="inlineStr">
        <is>
          <t>2026-09-13 17:00:00</t>
        </is>
      </c>
      <c r="W223" s="207" t="inlineStr">
        <is>
          <t>ERP_CHAM_CONG_2026</t>
        </is>
      </c>
      <c r="X223" s="207" t="inlineStr">
        <is>
          <t>HỢP LỆ</t>
        </is>
      </c>
    </row>
    <row r="224">
      <c r="A224" s="194" t="inlineStr">
        <is>
          <t>2026-09-14</t>
        </is>
      </c>
      <c r="B224" s="194" t="inlineStr">
        <is>
          <t>2026-09-01</t>
        </is>
      </c>
      <c r="C224" s="194" t="inlineStr">
        <is>
          <t>NV02</t>
        </is>
      </c>
      <c r="D224" s="195" t="inlineStr">
        <is>
          <t>Nguyễn Trung Đông</t>
        </is>
      </c>
      <c r="E224" s="194" t="inlineStr">
        <is>
          <t>C1</t>
        </is>
      </c>
      <c r="F224" s="196" t="n">
        <v>1</v>
      </c>
      <c r="G224" s="196" t="n">
        <v>8</v>
      </c>
      <c r="H224" s="196" t="n">
        <v>0</v>
      </c>
      <c r="I224" s="196" t="n">
        <v>0</v>
      </c>
      <c r="J224" s="196" t="n">
        <v>0</v>
      </c>
      <c r="K224" s="196" t="n">
        <v>0</v>
      </c>
      <c r="L224" s="197" t="n">
        <v>0</v>
      </c>
      <c r="M224" s="197" t="n">
        <v>0</v>
      </c>
      <c r="N224" s="197" t="n">
        <v>0</v>
      </c>
      <c r="O224" s="196">
        <f>H224+I224+J224+L224+M224+N224</f>
        <v/>
      </c>
      <c r="P224" s="198" t="n">
        <v>15000</v>
      </c>
      <c r="Q224" s="197" t="n">
        <v>0</v>
      </c>
      <c r="R224" s="199" t="inlineStr"/>
      <c r="S224" s="200" t="inlineStr">
        <is>
          <t>KHÔNG</t>
        </is>
      </c>
      <c r="T224" s="200" t="inlineStr">
        <is>
          <t>ĐÃ DUYỆT</t>
        </is>
      </c>
      <c r="U224" s="199" t="inlineStr">
        <is>
          <t>Quản Đốc</t>
        </is>
      </c>
      <c r="V224" s="200" t="inlineStr">
        <is>
          <t>2026-09-14 17:00:00</t>
        </is>
      </c>
      <c r="W224" s="200" t="inlineStr">
        <is>
          <t>ERP_CHAM_CONG_2026</t>
        </is>
      </c>
      <c r="X224" s="200" t="inlineStr">
        <is>
          <t>HỢP LỆ</t>
        </is>
      </c>
    </row>
    <row r="225">
      <c r="A225" s="201" t="inlineStr">
        <is>
          <t>2026-09-03</t>
        </is>
      </c>
      <c r="B225" s="201" t="inlineStr">
        <is>
          <t>2026-09-01</t>
        </is>
      </c>
      <c r="C225" s="201" t="inlineStr">
        <is>
          <t>NV08</t>
        </is>
      </c>
      <c r="D225" s="202" t="inlineStr">
        <is>
          <t>Trần Văn Dũng</t>
        </is>
      </c>
      <c r="E225" s="201" t="inlineStr">
        <is>
          <t>C3+2</t>
        </is>
      </c>
      <c r="F225" s="203" t="n">
        <v>1</v>
      </c>
      <c r="G225" s="203" t="n">
        <v>8</v>
      </c>
      <c r="H225" s="203" t="n">
        <v>2</v>
      </c>
      <c r="I225" s="203" t="n">
        <v>0</v>
      </c>
      <c r="J225" s="203" t="n">
        <v>0</v>
      </c>
      <c r="K225" s="203" t="n">
        <v>8</v>
      </c>
      <c r="L225" s="204" t="n">
        <v>0</v>
      </c>
      <c r="M225" s="204" t="n">
        <v>0</v>
      </c>
      <c r="N225" s="204" t="n">
        <v>0</v>
      </c>
      <c r="O225" s="203">
        <f>H225+I225+J225+L225+M225+N225</f>
        <v/>
      </c>
      <c r="P225" s="205" t="n">
        <v>10000</v>
      </c>
      <c r="Q225" s="204" t="n">
        <v>0</v>
      </c>
      <c r="R225" s="206" t="inlineStr">
        <is>
          <t>Đảm bảo tiến độ sản xuất</t>
        </is>
      </c>
      <c r="S225" s="207" t="inlineStr">
        <is>
          <t>CÓ</t>
        </is>
      </c>
      <c r="T225" s="207" t="inlineStr">
        <is>
          <t>ĐÃ DUYỆT</t>
        </is>
      </c>
      <c r="U225" s="206" t="inlineStr">
        <is>
          <t>Quản Đốc</t>
        </is>
      </c>
      <c r="V225" s="207" t="inlineStr">
        <is>
          <t>2026-09-03 17:00:00</t>
        </is>
      </c>
      <c r="W225" s="207" t="inlineStr">
        <is>
          <t>ERP_CHAM_CONG_2026</t>
        </is>
      </c>
      <c r="X225" s="207" t="inlineStr">
        <is>
          <t>HỢP LỆ</t>
        </is>
      </c>
    </row>
    <row r="226">
      <c r="A226" s="194" t="inlineStr">
        <is>
          <t>2026-09-04</t>
        </is>
      </c>
      <c r="B226" s="194" t="inlineStr">
        <is>
          <t>2026-09-01</t>
        </is>
      </c>
      <c r="C226" s="194" t="inlineStr">
        <is>
          <t>NV08</t>
        </is>
      </c>
      <c r="D226" s="195" t="inlineStr">
        <is>
          <t>Trần Văn Dũng</t>
        </is>
      </c>
      <c r="E226" s="194" t="inlineStr">
        <is>
          <t>C1+2</t>
        </is>
      </c>
      <c r="F226" s="196" t="n">
        <v>1</v>
      </c>
      <c r="G226" s="196" t="n">
        <v>8</v>
      </c>
      <c r="H226" s="196" t="n">
        <v>2</v>
      </c>
      <c r="I226" s="196" t="n">
        <v>0</v>
      </c>
      <c r="J226" s="196" t="n">
        <v>0</v>
      </c>
      <c r="K226" s="196" t="n">
        <v>0</v>
      </c>
      <c r="L226" s="197" t="n">
        <v>0</v>
      </c>
      <c r="M226" s="197" t="n">
        <v>0</v>
      </c>
      <c r="N226" s="197" t="n">
        <v>0</v>
      </c>
      <c r="O226" s="196">
        <f>H226+I226+J226+L226+M226+N226</f>
        <v/>
      </c>
      <c r="P226" s="198" t="n">
        <v>15000</v>
      </c>
      <c r="Q226" s="197" t="n">
        <v>0</v>
      </c>
      <c r="R226" s="199" t="inlineStr">
        <is>
          <t>Đảm bảo tiến độ sản xuất</t>
        </is>
      </c>
      <c r="S226" s="200" t="inlineStr">
        <is>
          <t>CÓ</t>
        </is>
      </c>
      <c r="T226" s="200" t="inlineStr">
        <is>
          <t>ĐÃ DUYỆT</t>
        </is>
      </c>
      <c r="U226" s="199" t="inlineStr">
        <is>
          <t>Quản Đốc</t>
        </is>
      </c>
      <c r="V226" s="200" t="inlineStr">
        <is>
          <t>2026-09-04 17:00:00</t>
        </is>
      </c>
      <c r="W226" s="200" t="inlineStr">
        <is>
          <t>ERP_CHAM_CONG_2026</t>
        </is>
      </c>
      <c r="X226" s="200" t="inlineStr">
        <is>
          <t>HỢP LỆ</t>
        </is>
      </c>
    </row>
    <row r="227">
      <c r="A227" s="201" t="inlineStr">
        <is>
          <t>2026-09-05</t>
        </is>
      </c>
      <c r="B227" s="201" t="inlineStr">
        <is>
          <t>2026-09-01</t>
        </is>
      </c>
      <c r="C227" s="201" t="inlineStr">
        <is>
          <t>NV08</t>
        </is>
      </c>
      <c r="D227" s="202" t="inlineStr">
        <is>
          <t>Trần Văn Dũng</t>
        </is>
      </c>
      <c r="E227" s="201" t="inlineStr">
        <is>
          <t>C1</t>
        </is>
      </c>
      <c r="F227" s="203" t="n">
        <v>1</v>
      </c>
      <c r="G227" s="203" t="n">
        <v>8</v>
      </c>
      <c r="H227" s="203" t="n">
        <v>0</v>
      </c>
      <c r="I227" s="203" t="n">
        <v>0</v>
      </c>
      <c r="J227" s="203" t="n">
        <v>0</v>
      </c>
      <c r="K227" s="203" t="n">
        <v>0</v>
      </c>
      <c r="L227" s="204" t="n">
        <v>0</v>
      </c>
      <c r="M227" s="204" t="n">
        <v>0</v>
      </c>
      <c r="N227" s="204" t="n">
        <v>0</v>
      </c>
      <c r="O227" s="203">
        <f>H227+I227+J227+L227+M227+N227</f>
        <v/>
      </c>
      <c r="P227" s="205" t="n">
        <v>0</v>
      </c>
      <c r="Q227" s="204" t="n">
        <v>0</v>
      </c>
      <c r="R227" s="206" t="inlineStr"/>
      <c r="S227" s="207" t="inlineStr">
        <is>
          <t>KHÔNG</t>
        </is>
      </c>
      <c r="T227" s="207" t="inlineStr">
        <is>
          <t>ĐÃ DUYỆT</t>
        </is>
      </c>
      <c r="U227" s="206" t="inlineStr">
        <is>
          <t>Quản Đốc</t>
        </is>
      </c>
      <c r="V227" s="207" t="inlineStr">
        <is>
          <t>2026-09-05 17:00:00</t>
        </is>
      </c>
      <c r="W227" s="207" t="inlineStr">
        <is>
          <t>ERP_CHAM_CONG_2026</t>
        </is>
      </c>
      <c r="X227" s="207" t="inlineStr">
        <is>
          <t>HỢP LỆ</t>
        </is>
      </c>
    </row>
    <row r="228">
      <c r="A228" s="194" t="inlineStr">
        <is>
          <t>2026-09-06</t>
        </is>
      </c>
      <c r="B228" s="194" t="inlineStr">
        <is>
          <t>2026-09-01</t>
        </is>
      </c>
      <c r="C228" s="194" t="inlineStr">
        <is>
          <t>NV08</t>
        </is>
      </c>
      <c r="D228" s="195" t="inlineStr">
        <is>
          <t>Trần Văn Dũng</t>
        </is>
      </c>
      <c r="E228" s="194" t="inlineStr">
        <is>
          <t>CN</t>
        </is>
      </c>
      <c r="F228" s="196" t="n">
        <v>0</v>
      </c>
      <c r="G228" s="196" t="n">
        <v>0</v>
      </c>
      <c r="H228" s="196" t="n">
        <v>0</v>
      </c>
      <c r="I228" s="196" t="n">
        <v>8</v>
      </c>
      <c r="J228" s="196" t="n">
        <v>0</v>
      </c>
      <c r="K228" s="196" t="n">
        <v>0</v>
      </c>
      <c r="L228" s="197" t="n">
        <v>0</v>
      </c>
      <c r="M228" s="197" t="n">
        <v>0</v>
      </c>
      <c r="N228" s="197" t="n">
        <v>0</v>
      </c>
      <c r="O228" s="196">
        <f>H228+I228+J228+L228+M228+N228</f>
        <v/>
      </c>
      <c r="P228" s="198" t="n">
        <v>30000</v>
      </c>
      <c r="Q228" s="197" t="n">
        <v>0</v>
      </c>
      <c r="R228" s="199" t="inlineStr">
        <is>
          <t>Đảm bảo tiến độ sản xuất</t>
        </is>
      </c>
      <c r="S228" s="200" t="inlineStr">
        <is>
          <t>CÓ</t>
        </is>
      </c>
      <c r="T228" s="200" t="inlineStr">
        <is>
          <t>ĐÃ DUYỆT</t>
        </is>
      </c>
      <c r="U228" s="199" t="inlineStr">
        <is>
          <t>Quản Đốc</t>
        </is>
      </c>
      <c r="V228" s="200" t="inlineStr">
        <is>
          <t>2026-09-06 17:00:00</t>
        </is>
      </c>
      <c r="W228" s="200" t="inlineStr">
        <is>
          <t>ERP_CHAM_CONG_2026</t>
        </is>
      </c>
      <c r="X228" s="200" t="inlineStr">
        <is>
          <t>HỢP LỆ</t>
        </is>
      </c>
    </row>
    <row r="229">
      <c r="A229" s="201" t="inlineStr">
        <is>
          <t>2026-09-07</t>
        </is>
      </c>
      <c r="B229" s="201" t="inlineStr">
        <is>
          <t>2026-09-01</t>
        </is>
      </c>
      <c r="C229" s="201" t="inlineStr">
        <is>
          <t>NV08</t>
        </is>
      </c>
      <c r="D229" s="202" t="inlineStr">
        <is>
          <t>Trần Văn Dũng</t>
        </is>
      </c>
      <c r="E229" s="201" t="inlineStr">
        <is>
          <t>C3+2</t>
        </is>
      </c>
      <c r="F229" s="203" t="n">
        <v>1</v>
      </c>
      <c r="G229" s="203" t="n">
        <v>8</v>
      </c>
      <c r="H229" s="203" t="n">
        <v>2</v>
      </c>
      <c r="I229" s="203" t="n">
        <v>0</v>
      </c>
      <c r="J229" s="203" t="n">
        <v>0</v>
      </c>
      <c r="K229" s="203" t="n">
        <v>8</v>
      </c>
      <c r="L229" s="204" t="n">
        <v>0</v>
      </c>
      <c r="M229" s="204" t="n">
        <v>0</v>
      </c>
      <c r="N229" s="204" t="n">
        <v>0</v>
      </c>
      <c r="O229" s="203">
        <f>H229+I229+J229+L229+M229+N229</f>
        <v/>
      </c>
      <c r="P229" s="205" t="n">
        <v>15000</v>
      </c>
      <c r="Q229" s="204" t="n">
        <v>0</v>
      </c>
      <c r="R229" s="206" t="inlineStr">
        <is>
          <t>Đảm bảo tiến độ sản xuất</t>
        </is>
      </c>
      <c r="S229" s="207" t="inlineStr">
        <is>
          <t>CÓ</t>
        </is>
      </c>
      <c r="T229" s="207" t="inlineStr">
        <is>
          <t>ĐÃ DUYỆT</t>
        </is>
      </c>
      <c r="U229" s="206" t="inlineStr">
        <is>
          <t>Quản Đốc</t>
        </is>
      </c>
      <c r="V229" s="207" t="inlineStr">
        <is>
          <t>2026-09-07 17:00:00</t>
        </is>
      </c>
      <c r="W229" s="207" t="inlineStr">
        <is>
          <t>ERP_CHAM_CONG_2026</t>
        </is>
      </c>
      <c r="X229" s="207" t="inlineStr">
        <is>
          <t>HỢP LỆ</t>
        </is>
      </c>
    </row>
    <row r="230">
      <c r="A230" s="194" t="inlineStr">
        <is>
          <t>2026-09-08</t>
        </is>
      </c>
      <c r="B230" s="194" t="inlineStr">
        <is>
          <t>2026-09-01</t>
        </is>
      </c>
      <c r="C230" s="194" t="inlineStr">
        <is>
          <t>NV08</t>
        </is>
      </c>
      <c r="D230" s="195" t="inlineStr">
        <is>
          <t>Trần Văn Dũng</t>
        </is>
      </c>
      <c r="E230" s="194" t="inlineStr">
        <is>
          <t>C3+2</t>
        </is>
      </c>
      <c r="F230" s="196" t="n">
        <v>1</v>
      </c>
      <c r="G230" s="196" t="n">
        <v>8</v>
      </c>
      <c r="H230" s="196" t="n">
        <v>2</v>
      </c>
      <c r="I230" s="196" t="n">
        <v>0</v>
      </c>
      <c r="J230" s="196" t="n">
        <v>0</v>
      </c>
      <c r="K230" s="196" t="n">
        <v>8</v>
      </c>
      <c r="L230" s="197" t="n">
        <v>0</v>
      </c>
      <c r="M230" s="197" t="n">
        <v>0</v>
      </c>
      <c r="N230" s="197" t="n">
        <v>0</v>
      </c>
      <c r="O230" s="196">
        <f>H230+I230+J230+L230+M230+N230</f>
        <v/>
      </c>
      <c r="P230" s="198" t="n">
        <v>15000</v>
      </c>
      <c r="Q230" s="197" t="n">
        <v>0</v>
      </c>
      <c r="R230" s="199" t="inlineStr">
        <is>
          <t>Đảm bảo tiến độ sản xuất</t>
        </is>
      </c>
      <c r="S230" s="200" t="inlineStr">
        <is>
          <t>CÓ</t>
        </is>
      </c>
      <c r="T230" s="200" t="inlineStr">
        <is>
          <t>ĐÃ DUYỆT</t>
        </is>
      </c>
      <c r="U230" s="199" t="inlineStr">
        <is>
          <t>Quản Đốc</t>
        </is>
      </c>
      <c r="V230" s="200" t="inlineStr">
        <is>
          <t>2026-09-08 17:00:00</t>
        </is>
      </c>
      <c r="W230" s="200" t="inlineStr">
        <is>
          <t>ERP_CHAM_CONG_2026</t>
        </is>
      </c>
      <c r="X230" s="200" t="inlineStr">
        <is>
          <t>HỢP LỆ</t>
        </is>
      </c>
    </row>
    <row r="231">
      <c r="A231" s="201" t="inlineStr">
        <is>
          <t>2026-09-09</t>
        </is>
      </c>
      <c r="B231" s="201" t="inlineStr">
        <is>
          <t>2026-09-01</t>
        </is>
      </c>
      <c r="C231" s="201" t="inlineStr">
        <is>
          <t>NV08</t>
        </is>
      </c>
      <c r="D231" s="202" t="inlineStr">
        <is>
          <t>Trần Văn Dũng</t>
        </is>
      </c>
      <c r="E231" s="201" t="inlineStr">
        <is>
          <t>C3+2</t>
        </is>
      </c>
      <c r="F231" s="203" t="n">
        <v>1</v>
      </c>
      <c r="G231" s="203" t="n">
        <v>8</v>
      </c>
      <c r="H231" s="203" t="n">
        <v>2</v>
      </c>
      <c r="I231" s="203" t="n">
        <v>0</v>
      </c>
      <c r="J231" s="203" t="n">
        <v>0</v>
      </c>
      <c r="K231" s="203" t="n">
        <v>8</v>
      </c>
      <c r="L231" s="204" t="n">
        <v>0</v>
      </c>
      <c r="M231" s="204" t="n">
        <v>0</v>
      </c>
      <c r="N231" s="204" t="n">
        <v>0</v>
      </c>
      <c r="O231" s="203">
        <f>H231+I231+J231+L231+M231+N231</f>
        <v/>
      </c>
      <c r="P231" s="205" t="n">
        <v>15000</v>
      </c>
      <c r="Q231" s="204" t="n">
        <v>0</v>
      </c>
      <c r="R231" s="206" t="inlineStr">
        <is>
          <t>Đảm bảo tiến độ sản xuất</t>
        </is>
      </c>
      <c r="S231" s="207" t="inlineStr">
        <is>
          <t>CÓ</t>
        </is>
      </c>
      <c r="T231" s="207" t="inlineStr">
        <is>
          <t>ĐÃ DUYỆT</t>
        </is>
      </c>
      <c r="U231" s="206" t="inlineStr">
        <is>
          <t>Quản Đốc</t>
        </is>
      </c>
      <c r="V231" s="207" t="inlineStr">
        <is>
          <t>2026-09-09 17:00:00</t>
        </is>
      </c>
      <c r="W231" s="207" t="inlineStr">
        <is>
          <t>ERP_CHAM_CONG_2026</t>
        </is>
      </c>
      <c r="X231" s="207" t="inlineStr">
        <is>
          <t>HỢP LỆ</t>
        </is>
      </c>
    </row>
    <row r="232">
      <c r="A232" s="194" t="inlineStr">
        <is>
          <t>2026-09-10</t>
        </is>
      </c>
      <c r="B232" s="194" t="inlineStr">
        <is>
          <t>2026-09-01</t>
        </is>
      </c>
      <c r="C232" s="194" t="inlineStr">
        <is>
          <t>NV08</t>
        </is>
      </c>
      <c r="D232" s="195" t="inlineStr">
        <is>
          <t>Trần Văn Dũng</t>
        </is>
      </c>
      <c r="E232" s="194" t="inlineStr">
        <is>
          <t>C3+2</t>
        </is>
      </c>
      <c r="F232" s="196" t="n">
        <v>1</v>
      </c>
      <c r="G232" s="196" t="n">
        <v>8</v>
      </c>
      <c r="H232" s="196" t="n">
        <v>2</v>
      </c>
      <c r="I232" s="196" t="n">
        <v>0</v>
      </c>
      <c r="J232" s="196" t="n">
        <v>0</v>
      </c>
      <c r="K232" s="196" t="n">
        <v>8</v>
      </c>
      <c r="L232" s="197" t="n">
        <v>0</v>
      </c>
      <c r="M232" s="197" t="n">
        <v>0</v>
      </c>
      <c r="N232" s="197" t="n">
        <v>0</v>
      </c>
      <c r="O232" s="196">
        <f>H232+I232+J232+L232+M232+N232</f>
        <v/>
      </c>
      <c r="P232" s="198" t="n">
        <v>15000</v>
      </c>
      <c r="Q232" s="197" t="n">
        <v>0</v>
      </c>
      <c r="R232" s="199" t="inlineStr">
        <is>
          <t>Đảm bảo tiến độ sản xuất</t>
        </is>
      </c>
      <c r="S232" s="200" t="inlineStr">
        <is>
          <t>CÓ</t>
        </is>
      </c>
      <c r="T232" s="200" t="inlineStr">
        <is>
          <t>ĐÃ DUYỆT</t>
        </is>
      </c>
      <c r="U232" s="199" t="inlineStr">
        <is>
          <t>Quản Đốc</t>
        </is>
      </c>
      <c r="V232" s="200" t="inlineStr">
        <is>
          <t>2026-09-10 17:00:00</t>
        </is>
      </c>
      <c r="W232" s="200" t="inlineStr">
        <is>
          <t>ERP_CHAM_CONG_2026</t>
        </is>
      </c>
      <c r="X232" s="200" t="inlineStr">
        <is>
          <t>HỢP LỆ</t>
        </is>
      </c>
    </row>
    <row r="233">
      <c r="A233" s="201" t="inlineStr">
        <is>
          <t>2026-09-11</t>
        </is>
      </c>
      <c r="B233" s="201" t="inlineStr">
        <is>
          <t>2026-09-01</t>
        </is>
      </c>
      <c r="C233" s="201" t="inlineStr">
        <is>
          <t>NV08</t>
        </is>
      </c>
      <c r="D233" s="202" t="inlineStr">
        <is>
          <t>Trần Văn Dũng</t>
        </is>
      </c>
      <c r="E233" s="201" t="inlineStr">
        <is>
          <t>C3+2</t>
        </is>
      </c>
      <c r="F233" s="203" t="n">
        <v>1</v>
      </c>
      <c r="G233" s="203" t="n">
        <v>8</v>
      </c>
      <c r="H233" s="203" t="n">
        <v>2</v>
      </c>
      <c r="I233" s="203" t="n">
        <v>0</v>
      </c>
      <c r="J233" s="203" t="n">
        <v>0</v>
      </c>
      <c r="K233" s="203" t="n">
        <v>8</v>
      </c>
      <c r="L233" s="204" t="n">
        <v>0</v>
      </c>
      <c r="M233" s="204" t="n">
        <v>0</v>
      </c>
      <c r="N233" s="204" t="n">
        <v>0</v>
      </c>
      <c r="O233" s="203">
        <f>H233+I233+J233+L233+M233+N233</f>
        <v/>
      </c>
      <c r="P233" s="205" t="n">
        <v>15000</v>
      </c>
      <c r="Q233" s="204" t="n">
        <v>0</v>
      </c>
      <c r="R233" s="206" t="inlineStr">
        <is>
          <t>Đảm bảo tiến độ sản xuất</t>
        </is>
      </c>
      <c r="S233" s="207" t="inlineStr">
        <is>
          <t>CÓ</t>
        </is>
      </c>
      <c r="T233" s="207" t="inlineStr">
        <is>
          <t>ĐÃ DUYỆT</t>
        </is>
      </c>
      <c r="U233" s="206" t="inlineStr">
        <is>
          <t>Quản Đốc</t>
        </is>
      </c>
      <c r="V233" s="207" t="inlineStr">
        <is>
          <t>2026-09-11 17:00:00</t>
        </is>
      </c>
      <c r="W233" s="207" t="inlineStr">
        <is>
          <t>ERP_CHAM_CONG_2026</t>
        </is>
      </c>
      <c r="X233" s="207" t="inlineStr">
        <is>
          <t>HỢP LỆ</t>
        </is>
      </c>
    </row>
    <row r="234">
      <c r="A234" s="194" t="inlineStr">
        <is>
          <t>2026-09-12</t>
        </is>
      </c>
      <c r="B234" s="194" t="inlineStr">
        <is>
          <t>2026-09-01</t>
        </is>
      </c>
      <c r="C234" s="194" t="inlineStr">
        <is>
          <t>NV08</t>
        </is>
      </c>
      <c r="D234" s="195" t="inlineStr">
        <is>
          <t>Trần Văn Dũng</t>
        </is>
      </c>
      <c r="E234" s="194" t="inlineStr">
        <is>
          <t>C3+2</t>
        </is>
      </c>
      <c r="F234" s="196" t="n">
        <v>1</v>
      </c>
      <c r="G234" s="196" t="n">
        <v>8</v>
      </c>
      <c r="H234" s="196" t="n">
        <v>2</v>
      </c>
      <c r="I234" s="196" t="n">
        <v>0</v>
      </c>
      <c r="J234" s="196" t="n">
        <v>0</v>
      </c>
      <c r="K234" s="196" t="n">
        <v>8</v>
      </c>
      <c r="L234" s="197" t="n">
        <v>0</v>
      </c>
      <c r="M234" s="197" t="n">
        <v>0</v>
      </c>
      <c r="N234" s="197" t="n">
        <v>0</v>
      </c>
      <c r="O234" s="196">
        <f>H234+I234+J234+L234+M234+N234</f>
        <v/>
      </c>
      <c r="P234" s="198" t="n">
        <v>15000</v>
      </c>
      <c r="Q234" s="197" t="n">
        <v>0</v>
      </c>
      <c r="R234" s="199" t="inlineStr">
        <is>
          <t>Đảm bảo tiến độ sản xuất</t>
        </is>
      </c>
      <c r="S234" s="200" t="inlineStr">
        <is>
          <t>CÓ</t>
        </is>
      </c>
      <c r="T234" s="200" t="inlineStr">
        <is>
          <t>ĐÃ DUYỆT</t>
        </is>
      </c>
      <c r="U234" s="199" t="inlineStr">
        <is>
          <t>Quản Đốc</t>
        </is>
      </c>
      <c r="V234" s="200" t="inlineStr">
        <is>
          <t>2026-09-12 17:00:00</t>
        </is>
      </c>
      <c r="W234" s="200" t="inlineStr">
        <is>
          <t>ERP_CHAM_CONG_2026</t>
        </is>
      </c>
      <c r="X234" s="200" t="inlineStr">
        <is>
          <t>HỢP LỆ</t>
        </is>
      </c>
    </row>
    <row r="235">
      <c r="A235" s="201" t="inlineStr">
        <is>
          <t>2026-09-13</t>
        </is>
      </c>
      <c r="B235" s="201" t="inlineStr">
        <is>
          <t>2026-09-01</t>
        </is>
      </c>
      <c r="C235" s="201" t="inlineStr">
        <is>
          <t>NV08</t>
        </is>
      </c>
      <c r="D235" s="202" t="inlineStr">
        <is>
          <t>Trần Văn Dũng</t>
        </is>
      </c>
      <c r="E235" s="201" t="inlineStr">
        <is>
          <t>CN</t>
        </is>
      </c>
      <c r="F235" s="203" t="n">
        <v>0</v>
      </c>
      <c r="G235" s="203" t="n">
        <v>0</v>
      </c>
      <c r="H235" s="203" t="n">
        <v>0</v>
      </c>
      <c r="I235" s="203" t="n">
        <v>8</v>
      </c>
      <c r="J235" s="203" t="n">
        <v>0</v>
      </c>
      <c r="K235" s="203" t="n">
        <v>0</v>
      </c>
      <c r="L235" s="204" t="n">
        <v>0</v>
      </c>
      <c r="M235" s="204" t="n">
        <v>0</v>
      </c>
      <c r="N235" s="204" t="n">
        <v>0</v>
      </c>
      <c r="O235" s="203">
        <f>H235+I235+J235+L235+M235+N235</f>
        <v/>
      </c>
      <c r="P235" s="205" t="n">
        <v>30000</v>
      </c>
      <c r="Q235" s="204" t="n">
        <v>0</v>
      </c>
      <c r="R235" s="206" t="inlineStr">
        <is>
          <t>Đảm bảo tiến độ sản xuất</t>
        </is>
      </c>
      <c r="S235" s="207" t="inlineStr">
        <is>
          <t>CÓ</t>
        </is>
      </c>
      <c r="T235" s="207" t="inlineStr">
        <is>
          <t>ĐÃ DUYỆT</t>
        </is>
      </c>
      <c r="U235" s="206" t="inlineStr">
        <is>
          <t>Quản Đốc</t>
        </is>
      </c>
      <c r="V235" s="207" t="inlineStr">
        <is>
          <t>2026-09-13 17:00:00</t>
        </is>
      </c>
      <c r="W235" s="207" t="inlineStr">
        <is>
          <t>ERP_CHAM_CONG_2026</t>
        </is>
      </c>
      <c r="X235" s="207" t="inlineStr">
        <is>
          <t>HỢP LỆ</t>
        </is>
      </c>
    </row>
    <row r="236">
      <c r="A236" s="194" t="inlineStr">
        <is>
          <t>2026-09-14</t>
        </is>
      </c>
      <c r="B236" s="194" t="inlineStr">
        <is>
          <t>2026-09-01</t>
        </is>
      </c>
      <c r="C236" s="194" t="inlineStr">
        <is>
          <t>NV08</t>
        </is>
      </c>
      <c r="D236" s="195" t="inlineStr">
        <is>
          <t>Trần Văn Dũng</t>
        </is>
      </c>
      <c r="E236" s="194" t="inlineStr">
        <is>
          <t>C1</t>
        </is>
      </c>
      <c r="F236" s="196" t="n">
        <v>1</v>
      </c>
      <c r="G236" s="196" t="n">
        <v>8</v>
      </c>
      <c r="H236" s="196" t="n">
        <v>0</v>
      </c>
      <c r="I236" s="196" t="n">
        <v>0</v>
      </c>
      <c r="J236" s="196" t="n">
        <v>0</v>
      </c>
      <c r="K236" s="196" t="n">
        <v>0</v>
      </c>
      <c r="L236" s="197" t="n">
        <v>0</v>
      </c>
      <c r="M236" s="197" t="n">
        <v>0</v>
      </c>
      <c r="N236" s="197" t="n">
        <v>0</v>
      </c>
      <c r="O236" s="196">
        <f>H236+I236+J236+L236+M236+N236</f>
        <v/>
      </c>
      <c r="P236" s="198" t="n">
        <v>15000</v>
      </c>
      <c r="Q236" s="197" t="n">
        <v>0</v>
      </c>
      <c r="R236" s="199" t="inlineStr"/>
      <c r="S236" s="200" t="inlineStr">
        <is>
          <t>KHÔNG</t>
        </is>
      </c>
      <c r="T236" s="200" t="inlineStr">
        <is>
          <t>ĐÃ DUYỆT</t>
        </is>
      </c>
      <c r="U236" s="199" t="inlineStr">
        <is>
          <t>Quản Đốc</t>
        </is>
      </c>
      <c r="V236" s="200" t="inlineStr">
        <is>
          <t>2026-09-14 17:00:00</t>
        </is>
      </c>
      <c r="W236" s="200" t="inlineStr">
        <is>
          <t>ERP_CHAM_CONG_2026</t>
        </is>
      </c>
      <c r="X236" s="200" t="inlineStr">
        <is>
          <t>HỢP LỆ</t>
        </is>
      </c>
    </row>
    <row r="237">
      <c r="A237" s="201" t="inlineStr">
        <is>
          <t>2026-09-03</t>
        </is>
      </c>
      <c r="B237" s="201" t="inlineStr">
        <is>
          <t>2026-09-01</t>
        </is>
      </c>
      <c r="C237" s="201" t="inlineStr">
        <is>
          <t>NV01</t>
        </is>
      </c>
      <c r="D237" s="202" t="inlineStr">
        <is>
          <t>Hoàng Ngọc Hà</t>
        </is>
      </c>
      <c r="E237" s="201" t="inlineStr">
        <is>
          <t>C1</t>
        </is>
      </c>
      <c r="F237" s="203" t="n">
        <v>1</v>
      </c>
      <c r="G237" s="203" t="n">
        <v>8</v>
      </c>
      <c r="H237" s="203" t="n">
        <v>0</v>
      </c>
      <c r="I237" s="203" t="n">
        <v>0</v>
      </c>
      <c r="J237" s="203" t="n">
        <v>0</v>
      </c>
      <c r="K237" s="203" t="n">
        <v>0</v>
      </c>
      <c r="L237" s="204" t="n">
        <v>0</v>
      </c>
      <c r="M237" s="204" t="n">
        <v>0</v>
      </c>
      <c r="N237" s="204" t="n">
        <v>0</v>
      </c>
      <c r="O237" s="203">
        <f>H237+I237+J237+L237+M237+N237</f>
        <v/>
      </c>
      <c r="P237" s="205" t="n">
        <v>0</v>
      </c>
      <c r="Q237" s="204" t="n">
        <v>0</v>
      </c>
      <c r="R237" s="206" t="inlineStr"/>
      <c r="S237" s="207" t="inlineStr">
        <is>
          <t>KHÔNG</t>
        </is>
      </c>
      <c r="T237" s="207" t="inlineStr">
        <is>
          <t>ĐÃ DUYỆT</t>
        </is>
      </c>
      <c r="U237" s="206" t="inlineStr">
        <is>
          <t>Quản Đốc</t>
        </is>
      </c>
      <c r="V237" s="207" t="inlineStr">
        <is>
          <t>2026-09-03 17:00:00</t>
        </is>
      </c>
      <c r="W237" s="207" t="inlineStr">
        <is>
          <t>ERP_CHAM_CONG_2026</t>
        </is>
      </c>
      <c r="X237" s="207" t="inlineStr">
        <is>
          <t>HỢP LỆ</t>
        </is>
      </c>
    </row>
    <row r="238">
      <c r="A238" s="194" t="inlineStr">
        <is>
          <t>2026-09-04</t>
        </is>
      </c>
      <c r="B238" s="194" t="inlineStr">
        <is>
          <t>2026-09-01</t>
        </is>
      </c>
      <c r="C238" s="194" t="inlineStr">
        <is>
          <t>NV01</t>
        </is>
      </c>
      <c r="D238" s="195" t="inlineStr">
        <is>
          <t>Hoàng Ngọc Hà</t>
        </is>
      </c>
      <c r="E238" s="194" t="inlineStr">
        <is>
          <t>C1</t>
        </is>
      </c>
      <c r="F238" s="196" t="n">
        <v>1</v>
      </c>
      <c r="G238" s="196" t="n">
        <v>8</v>
      </c>
      <c r="H238" s="196" t="n">
        <v>0</v>
      </c>
      <c r="I238" s="196" t="n">
        <v>0</v>
      </c>
      <c r="J238" s="196" t="n">
        <v>0</v>
      </c>
      <c r="K238" s="196" t="n">
        <v>0</v>
      </c>
      <c r="L238" s="197" t="n">
        <v>0</v>
      </c>
      <c r="M238" s="197" t="n">
        <v>0</v>
      </c>
      <c r="N238" s="197" t="n">
        <v>0</v>
      </c>
      <c r="O238" s="196">
        <f>H238+I238+J238+L238+M238+N238</f>
        <v/>
      </c>
      <c r="P238" s="198" t="n">
        <v>0</v>
      </c>
      <c r="Q238" s="197" t="n">
        <v>0</v>
      </c>
      <c r="R238" s="199" t="inlineStr"/>
      <c r="S238" s="200" t="inlineStr">
        <is>
          <t>KHÔNG</t>
        </is>
      </c>
      <c r="T238" s="200" t="inlineStr">
        <is>
          <t>ĐÃ DUYỆT</t>
        </is>
      </c>
      <c r="U238" s="199" t="inlineStr">
        <is>
          <t>Quản Đốc</t>
        </is>
      </c>
      <c r="V238" s="200" t="inlineStr">
        <is>
          <t>2026-09-04 17:00:00</t>
        </is>
      </c>
      <c r="W238" s="200" t="inlineStr">
        <is>
          <t>ERP_CHAM_CONG_2026</t>
        </is>
      </c>
      <c r="X238" s="200" t="inlineStr">
        <is>
          <t>HỢP LỆ</t>
        </is>
      </c>
    </row>
    <row r="239">
      <c r="A239" s="201" t="inlineStr">
        <is>
          <t>2026-09-05</t>
        </is>
      </c>
      <c r="B239" s="201" t="inlineStr">
        <is>
          <t>2026-09-01</t>
        </is>
      </c>
      <c r="C239" s="201" t="inlineStr">
        <is>
          <t>NV01</t>
        </is>
      </c>
      <c r="D239" s="202" t="inlineStr">
        <is>
          <t>Hoàng Ngọc Hà</t>
        </is>
      </c>
      <c r="E239" s="201" t="inlineStr">
        <is>
          <t>C1</t>
        </is>
      </c>
      <c r="F239" s="203" t="n">
        <v>1</v>
      </c>
      <c r="G239" s="203" t="n">
        <v>8</v>
      </c>
      <c r="H239" s="203" t="n">
        <v>0</v>
      </c>
      <c r="I239" s="203" t="n">
        <v>0</v>
      </c>
      <c r="J239" s="203" t="n">
        <v>0</v>
      </c>
      <c r="K239" s="203" t="n">
        <v>0</v>
      </c>
      <c r="L239" s="204" t="n">
        <v>0</v>
      </c>
      <c r="M239" s="204" t="n">
        <v>0</v>
      </c>
      <c r="N239" s="204" t="n">
        <v>0</v>
      </c>
      <c r="O239" s="203">
        <f>H239+I239+J239+L239+M239+N239</f>
        <v/>
      </c>
      <c r="P239" s="205" t="n">
        <v>0</v>
      </c>
      <c r="Q239" s="204" t="n">
        <v>0</v>
      </c>
      <c r="R239" s="206" t="inlineStr"/>
      <c r="S239" s="207" t="inlineStr">
        <is>
          <t>KHÔNG</t>
        </is>
      </c>
      <c r="T239" s="207" t="inlineStr">
        <is>
          <t>ĐÃ DUYỆT</t>
        </is>
      </c>
      <c r="U239" s="206" t="inlineStr">
        <is>
          <t>Quản Đốc</t>
        </is>
      </c>
      <c r="V239" s="207" t="inlineStr">
        <is>
          <t>2026-09-05 17:00:00</t>
        </is>
      </c>
      <c r="W239" s="207" t="inlineStr">
        <is>
          <t>ERP_CHAM_CONG_2026</t>
        </is>
      </c>
      <c r="X239" s="207" t="inlineStr">
        <is>
          <t>HỢP LỆ</t>
        </is>
      </c>
    </row>
    <row r="240">
      <c r="A240" s="194" t="inlineStr">
        <is>
          <t>2026-09-06</t>
        </is>
      </c>
      <c r="B240" s="194" t="inlineStr">
        <is>
          <t>2026-09-01</t>
        </is>
      </c>
      <c r="C240" s="194" t="inlineStr">
        <is>
          <t>NV01</t>
        </is>
      </c>
      <c r="D240" s="195" t="inlineStr">
        <is>
          <t>Hoàng Ngọc Hà</t>
        </is>
      </c>
      <c r="E240" s="194" t="inlineStr">
        <is>
          <t>CN</t>
        </is>
      </c>
      <c r="F240" s="196" t="n">
        <v>0</v>
      </c>
      <c r="G240" s="196" t="n">
        <v>0</v>
      </c>
      <c r="H240" s="196" t="n">
        <v>0</v>
      </c>
      <c r="I240" s="196" t="n">
        <v>13.5</v>
      </c>
      <c r="J240" s="196" t="n">
        <v>0</v>
      </c>
      <c r="K240" s="196" t="n">
        <v>0</v>
      </c>
      <c r="L240" s="197" t="n">
        <v>0</v>
      </c>
      <c r="M240" s="197" t="n">
        <v>0</v>
      </c>
      <c r="N240" s="197" t="n">
        <v>0</v>
      </c>
      <c r="O240" s="196">
        <f>H240+I240+J240+L240+M240+N240</f>
        <v/>
      </c>
      <c r="P240" s="198" t="n">
        <v>30000</v>
      </c>
      <c r="Q240" s="197" t="n">
        <v>0</v>
      </c>
      <c r="R240" s="199" t="inlineStr">
        <is>
          <t>Đảm bảo tiến độ sản xuất</t>
        </is>
      </c>
      <c r="S240" s="200" t="inlineStr">
        <is>
          <t>CÓ</t>
        </is>
      </c>
      <c r="T240" s="200" t="inlineStr">
        <is>
          <t>ĐÃ DUYỆT</t>
        </is>
      </c>
      <c r="U240" s="199" t="inlineStr">
        <is>
          <t>Quản Đốc</t>
        </is>
      </c>
      <c r="V240" s="200" t="inlineStr">
        <is>
          <t>2026-09-06 17:00:00</t>
        </is>
      </c>
      <c r="W240" s="200" t="inlineStr">
        <is>
          <t>ERP_CHAM_CONG_2026</t>
        </is>
      </c>
      <c r="X240" s="200" t="inlineStr">
        <is>
          <t>HỢP LỆ</t>
        </is>
      </c>
    </row>
    <row r="241">
      <c r="A241" s="201" t="inlineStr">
        <is>
          <t>2026-09-07</t>
        </is>
      </c>
      <c r="B241" s="201" t="inlineStr">
        <is>
          <t>2026-09-01</t>
        </is>
      </c>
      <c r="C241" s="201" t="inlineStr">
        <is>
          <t>NV01</t>
        </is>
      </c>
      <c r="D241" s="202" t="inlineStr">
        <is>
          <t>Hoàng Ngọc Hà</t>
        </is>
      </c>
      <c r="E241" s="201" t="inlineStr">
        <is>
          <t>C1</t>
        </is>
      </c>
      <c r="F241" s="203" t="n">
        <v>1</v>
      </c>
      <c r="G241" s="203" t="n">
        <v>8</v>
      </c>
      <c r="H241" s="203" t="n">
        <v>0</v>
      </c>
      <c r="I241" s="203" t="n">
        <v>0</v>
      </c>
      <c r="J241" s="203" t="n">
        <v>0</v>
      </c>
      <c r="K241" s="203" t="n">
        <v>0</v>
      </c>
      <c r="L241" s="204" t="n">
        <v>0</v>
      </c>
      <c r="M241" s="204" t="n">
        <v>0</v>
      </c>
      <c r="N241" s="204" t="n">
        <v>0</v>
      </c>
      <c r="O241" s="203">
        <f>H241+I241+J241+L241+M241+N241</f>
        <v/>
      </c>
      <c r="P241" s="205" t="n">
        <v>0</v>
      </c>
      <c r="Q241" s="204" t="n">
        <v>0</v>
      </c>
      <c r="R241" s="206" t="inlineStr"/>
      <c r="S241" s="207" t="inlineStr">
        <is>
          <t>KHÔNG</t>
        </is>
      </c>
      <c r="T241" s="207" t="inlineStr">
        <is>
          <t>ĐÃ DUYỆT</t>
        </is>
      </c>
      <c r="U241" s="206" t="inlineStr">
        <is>
          <t>Quản Đốc</t>
        </is>
      </c>
      <c r="V241" s="207" t="inlineStr">
        <is>
          <t>2026-09-07 17:00:00</t>
        </is>
      </c>
      <c r="W241" s="207" t="inlineStr">
        <is>
          <t>ERP_CHAM_CONG_2026</t>
        </is>
      </c>
      <c r="X241" s="207" t="inlineStr">
        <is>
          <t>HỢP LỆ</t>
        </is>
      </c>
    </row>
    <row r="242">
      <c r="A242" s="194" t="inlineStr">
        <is>
          <t>2026-09-08</t>
        </is>
      </c>
      <c r="B242" s="194" t="inlineStr">
        <is>
          <t>2026-09-01</t>
        </is>
      </c>
      <c r="C242" s="194" t="inlineStr">
        <is>
          <t>NV01</t>
        </is>
      </c>
      <c r="D242" s="195" t="inlineStr">
        <is>
          <t>Hoàng Ngọc Hà</t>
        </is>
      </c>
      <c r="E242" s="194" t="inlineStr">
        <is>
          <t>C1</t>
        </is>
      </c>
      <c r="F242" s="196" t="n">
        <v>1</v>
      </c>
      <c r="G242" s="196" t="n">
        <v>8</v>
      </c>
      <c r="H242" s="196" t="n">
        <v>0</v>
      </c>
      <c r="I242" s="196" t="n">
        <v>0</v>
      </c>
      <c r="J242" s="196" t="n">
        <v>0</v>
      </c>
      <c r="K242" s="196" t="n">
        <v>0</v>
      </c>
      <c r="L242" s="197" t="n">
        <v>0</v>
      </c>
      <c r="M242" s="197" t="n">
        <v>0</v>
      </c>
      <c r="N242" s="197" t="n">
        <v>0</v>
      </c>
      <c r="O242" s="196">
        <f>H242+I242+J242+L242+M242+N242</f>
        <v/>
      </c>
      <c r="P242" s="198" t="n">
        <v>0</v>
      </c>
      <c r="Q242" s="197" t="n">
        <v>0</v>
      </c>
      <c r="R242" s="199" t="inlineStr"/>
      <c r="S242" s="200" t="inlineStr">
        <is>
          <t>KHÔNG</t>
        </is>
      </c>
      <c r="T242" s="200" t="inlineStr">
        <is>
          <t>ĐÃ DUYỆT</t>
        </is>
      </c>
      <c r="U242" s="199" t="inlineStr">
        <is>
          <t>Quản Đốc</t>
        </is>
      </c>
      <c r="V242" s="200" t="inlineStr">
        <is>
          <t>2026-09-08 17:00:00</t>
        </is>
      </c>
      <c r="W242" s="200" t="inlineStr">
        <is>
          <t>ERP_CHAM_CONG_2026</t>
        </is>
      </c>
      <c r="X242" s="200" t="inlineStr">
        <is>
          <t>HỢP LỆ</t>
        </is>
      </c>
    </row>
    <row r="243">
      <c r="A243" s="201" t="inlineStr">
        <is>
          <t>2026-09-09</t>
        </is>
      </c>
      <c r="B243" s="201" t="inlineStr">
        <is>
          <t>2026-09-01</t>
        </is>
      </c>
      <c r="C243" s="201" t="inlineStr">
        <is>
          <t>NV01</t>
        </is>
      </c>
      <c r="D243" s="202" t="inlineStr">
        <is>
          <t>Hoàng Ngọc Hà</t>
        </is>
      </c>
      <c r="E243" s="201" t="inlineStr">
        <is>
          <t>C1</t>
        </is>
      </c>
      <c r="F243" s="203" t="n">
        <v>1</v>
      </c>
      <c r="G243" s="203" t="n">
        <v>8</v>
      </c>
      <c r="H243" s="203" t="n">
        <v>0</v>
      </c>
      <c r="I243" s="203" t="n">
        <v>0</v>
      </c>
      <c r="J243" s="203" t="n">
        <v>0</v>
      </c>
      <c r="K243" s="203" t="n">
        <v>0</v>
      </c>
      <c r="L243" s="204" t="n">
        <v>0</v>
      </c>
      <c r="M243" s="204" t="n">
        <v>0</v>
      </c>
      <c r="N243" s="204" t="n">
        <v>0</v>
      </c>
      <c r="O243" s="203">
        <f>H243+I243+J243+L243+M243+N243</f>
        <v/>
      </c>
      <c r="P243" s="205" t="n">
        <v>0</v>
      </c>
      <c r="Q243" s="204" t="n">
        <v>0</v>
      </c>
      <c r="R243" s="206" t="inlineStr"/>
      <c r="S243" s="207" t="inlineStr">
        <is>
          <t>KHÔNG</t>
        </is>
      </c>
      <c r="T243" s="207" t="inlineStr">
        <is>
          <t>ĐÃ DUYỆT</t>
        </is>
      </c>
      <c r="U243" s="206" t="inlineStr">
        <is>
          <t>Quản Đốc</t>
        </is>
      </c>
      <c r="V243" s="207" t="inlineStr">
        <is>
          <t>2026-09-09 17:00:00</t>
        </is>
      </c>
      <c r="W243" s="207" t="inlineStr">
        <is>
          <t>ERP_CHAM_CONG_2026</t>
        </is>
      </c>
      <c r="X243" s="207" t="inlineStr">
        <is>
          <t>HỢP LỆ</t>
        </is>
      </c>
    </row>
    <row r="244">
      <c r="A244" s="194" t="inlineStr">
        <is>
          <t>2026-09-10</t>
        </is>
      </c>
      <c r="B244" s="194" t="inlineStr">
        <is>
          <t>2026-09-01</t>
        </is>
      </c>
      <c r="C244" s="194" t="inlineStr">
        <is>
          <t>NV01</t>
        </is>
      </c>
      <c r="D244" s="195" t="inlineStr">
        <is>
          <t>Hoàng Ngọc Hà</t>
        </is>
      </c>
      <c r="E244" s="194" t="inlineStr">
        <is>
          <t>C1</t>
        </is>
      </c>
      <c r="F244" s="196" t="n">
        <v>1</v>
      </c>
      <c r="G244" s="196" t="n">
        <v>8</v>
      </c>
      <c r="H244" s="196" t="n">
        <v>0</v>
      </c>
      <c r="I244" s="196" t="n">
        <v>0</v>
      </c>
      <c r="J244" s="196" t="n">
        <v>0</v>
      </c>
      <c r="K244" s="196" t="n">
        <v>0</v>
      </c>
      <c r="L244" s="197" t="n">
        <v>0</v>
      </c>
      <c r="M244" s="197" t="n">
        <v>0</v>
      </c>
      <c r="N244" s="197" t="n">
        <v>0</v>
      </c>
      <c r="O244" s="196">
        <f>H244+I244+J244+L244+M244+N244</f>
        <v/>
      </c>
      <c r="P244" s="198" t="n">
        <v>0</v>
      </c>
      <c r="Q244" s="197" t="n">
        <v>0</v>
      </c>
      <c r="R244" s="199" t="inlineStr"/>
      <c r="S244" s="200" t="inlineStr">
        <is>
          <t>KHÔNG</t>
        </is>
      </c>
      <c r="T244" s="200" t="inlineStr">
        <is>
          <t>ĐÃ DUYỆT</t>
        </is>
      </c>
      <c r="U244" s="199" t="inlineStr">
        <is>
          <t>Quản Đốc</t>
        </is>
      </c>
      <c r="V244" s="200" t="inlineStr">
        <is>
          <t>2026-09-10 17:00:00</t>
        </is>
      </c>
      <c r="W244" s="200" t="inlineStr">
        <is>
          <t>ERP_CHAM_CONG_2026</t>
        </is>
      </c>
      <c r="X244" s="200" t="inlineStr">
        <is>
          <t>HỢP LỆ</t>
        </is>
      </c>
    </row>
    <row r="245">
      <c r="A245" s="201" t="inlineStr">
        <is>
          <t>2026-09-11</t>
        </is>
      </c>
      <c r="B245" s="201" t="inlineStr">
        <is>
          <t>2026-09-01</t>
        </is>
      </c>
      <c r="C245" s="201" t="inlineStr">
        <is>
          <t>NV01</t>
        </is>
      </c>
      <c r="D245" s="202" t="inlineStr">
        <is>
          <t>Hoàng Ngọc Hà</t>
        </is>
      </c>
      <c r="E245" s="201" t="inlineStr">
        <is>
          <t>C1</t>
        </is>
      </c>
      <c r="F245" s="203" t="n">
        <v>1</v>
      </c>
      <c r="G245" s="203" t="n">
        <v>8</v>
      </c>
      <c r="H245" s="203" t="n">
        <v>0</v>
      </c>
      <c r="I245" s="203" t="n">
        <v>0</v>
      </c>
      <c r="J245" s="203" t="n">
        <v>0</v>
      </c>
      <c r="K245" s="203" t="n">
        <v>0</v>
      </c>
      <c r="L245" s="204" t="n">
        <v>0</v>
      </c>
      <c r="M245" s="204" t="n">
        <v>0</v>
      </c>
      <c r="N245" s="204" t="n">
        <v>0</v>
      </c>
      <c r="O245" s="203">
        <f>H245+I245+J245+L245+M245+N245</f>
        <v/>
      </c>
      <c r="P245" s="205" t="n">
        <v>0</v>
      </c>
      <c r="Q245" s="204" t="n">
        <v>0</v>
      </c>
      <c r="R245" s="206" t="inlineStr"/>
      <c r="S245" s="207" t="inlineStr">
        <is>
          <t>KHÔNG</t>
        </is>
      </c>
      <c r="T245" s="207" t="inlineStr">
        <is>
          <t>ĐÃ DUYỆT</t>
        </is>
      </c>
      <c r="U245" s="206" t="inlineStr">
        <is>
          <t>Quản Đốc</t>
        </is>
      </c>
      <c r="V245" s="207" t="inlineStr">
        <is>
          <t>2026-09-11 17:00:00</t>
        </is>
      </c>
      <c r="W245" s="207" t="inlineStr">
        <is>
          <t>ERP_CHAM_CONG_2026</t>
        </is>
      </c>
      <c r="X245" s="207" t="inlineStr">
        <is>
          <t>HỢP LỆ</t>
        </is>
      </c>
    </row>
    <row r="246">
      <c r="A246" s="194" t="inlineStr">
        <is>
          <t>2026-09-12</t>
        </is>
      </c>
      <c r="B246" s="194" t="inlineStr">
        <is>
          <t>2026-09-01</t>
        </is>
      </c>
      <c r="C246" s="194" t="inlineStr">
        <is>
          <t>NV01</t>
        </is>
      </c>
      <c r="D246" s="195" t="inlineStr">
        <is>
          <t>Hoàng Ngọc Hà</t>
        </is>
      </c>
      <c r="E246" s="194" t="inlineStr">
        <is>
          <t>C1</t>
        </is>
      </c>
      <c r="F246" s="196" t="n">
        <v>1</v>
      </c>
      <c r="G246" s="196" t="n">
        <v>8</v>
      </c>
      <c r="H246" s="196" t="n">
        <v>0</v>
      </c>
      <c r="I246" s="196" t="n">
        <v>0</v>
      </c>
      <c r="J246" s="196" t="n">
        <v>0</v>
      </c>
      <c r="K246" s="196" t="n">
        <v>0</v>
      </c>
      <c r="L246" s="197" t="n">
        <v>0</v>
      </c>
      <c r="M246" s="197" t="n">
        <v>0</v>
      </c>
      <c r="N246" s="197" t="n">
        <v>0</v>
      </c>
      <c r="O246" s="196">
        <f>H246+I246+J246+L246+M246+N246</f>
        <v/>
      </c>
      <c r="P246" s="198" t="n">
        <v>0</v>
      </c>
      <c r="Q246" s="197" t="n">
        <v>0</v>
      </c>
      <c r="R246" s="199" t="inlineStr"/>
      <c r="S246" s="200" t="inlineStr">
        <is>
          <t>KHÔNG</t>
        </is>
      </c>
      <c r="T246" s="200" t="inlineStr">
        <is>
          <t>ĐÃ DUYỆT</t>
        </is>
      </c>
      <c r="U246" s="199" t="inlineStr">
        <is>
          <t>Quản Đốc</t>
        </is>
      </c>
      <c r="V246" s="200" t="inlineStr">
        <is>
          <t>2026-09-12 17:00:00</t>
        </is>
      </c>
      <c r="W246" s="200" t="inlineStr">
        <is>
          <t>ERP_CHAM_CONG_2026</t>
        </is>
      </c>
      <c r="X246" s="200" t="inlineStr">
        <is>
          <t>HỢP LỆ</t>
        </is>
      </c>
    </row>
    <row r="247">
      <c r="A247" s="201" t="inlineStr">
        <is>
          <t>2026-09-14</t>
        </is>
      </c>
      <c r="B247" s="201" t="inlineStr">
        <is>
          <t>2026-09-01</t>
        </is>
      </c>
      <c r="C247" s="201" t="inlineStr">
        <is>
          <t>NV01</t>
        </is>
      </c>
      <c r="D247" s="202" t="inlineStr">
        <is>
          <t>Hoàng Ngọc Hà</t>
        </is>
      </c>
      <c r="E247" s="201" t="inlineStr">
        <is>
          <t>C1</t>
        </is>
      </c>
      <c r="F247" s="203" t="n">
        <v>1</v>
      </c>
      <c r="G247" s="203" t="n">
        <v>8</v>
      </c>
      <c r="H247" s="203" t="n">
        <v>0</v>
      </c>
      <c r="I247" s="203" t="n">
        <v>0</v>
      </c>
      <c r="J247" s="203" t="n">
        <v>0</v>
      </c>
      <c r="K247" s="203" t="n">
        <v>0</v>
      </c>
      <c r="L247" s="204" t="n">
        <v>0</v>
      </c>
      <c r="M247" s="204" t="n">
        <v>0</v>
      </c>
      <c r="N247" s="204" t="n">
        <v>0</v>
      </c>
      <c r="O247" s="203">
        <f>H247+I247+J247+L247+M247+N247</f>
        <v/>
      </c>
      <c r="P247" s="205" t="n">
        <v>15000</v>
      </c>
      <c r="Q247" s="204" t="n">
        <v>0</v>
      </c>
      <c r="R247" s="206" t="inlineStr"/>
      <c r="S247" s="207" t="inlineStr">
        <is>
          <t>KHÔNG</t>
        </is>
      </c>
      <c r="T247" s="207" t="inlineStr">
        <is>
          <t>ĐÃ DUYỆT</t>
        </is>
      </c>
      <c r="U247" s="206" t="inlineStr">
        <is>
          <t>Quản Đốc</t>
        </is>
      </c>
      <c r="V247" s="207" t="inlineStr">
        <is>
          <t>2026-09-14 17:00:00</t>
        </is>
      </c>
      <c r="W247" s="207" t="inlineStr">
        <is>
          <t>ERP_CHAM_CONG_2026</t>
        </is>
      </c>
      <c r="X247" s="207" t="inlineStr">
        <is>
          <t>HỢP LỆ</t>
        </is>
      </c>
    </row>
    <row r="248">
      <c r="A248" s="194" t="inlineStr">
        <is>
          <t>2026-09-03</t>
        </is>
      </c>
      <c r="B248" s="194" t="inlineStr">
        <is>
          <t>2026-09-01</t>
        </is>
      </c>
      <c r="C248" s="194" t="inlineStr">
        <is>
          <t>NV03</t>
        </is>
      </c>
      <c r="D248" s="195" t="inlineStr">
        <is>
          <t>Phùng Đình Hùng</t>
        </is>
      </c>
      <c r="E248" s="194" t="inlineStr">
        <is>
          <t>C1</t>
        </is>
      </c>
      <c r="F248" s="196" t="n">
        <v>1</v>
      </c>
      <c r="G248" s="196" t="n">
        <v>8</v>
      </c>
      <c r="H248" s="196" t="n">
        <v>0</v>
      </c>
      <c r="I248" s="196" t="n">
        <v>0</v>
      </c>
      <c r="J248" s="196" t="n">
        <v>0</v>
      </c>
      <c r="K248" s="196" t="n">
        <v>0</v>
      </c>
      <c r="L248" s="197" t="n">
        <v>0</v>
      </c>
      <c r="M248" s="197" t="n">
        <v>0</v>
      </c>
      <c r="N248" s="197" t="n">
        <v>0</v>
      </c>
      <c r="O248" s="196">
        <f>H248+I248+J248+L248+M248+N248</f>
        <v/>
      </c>
      <c r="P248" s="198" t="n">
        <v>0</v>
      </c>
      <c r="Q248" s="197" t="n">
        <v>0</v>
      </c>
      <c r="R248" s="199" t="inlineStr"/>
      <c r="S248" s="200" t="inlineStr">
        <is>
          <t>KHÔNG</t>
        </is>
      </c>
      <c r="T248" s="200" t="inlineStr">
        <is>
          <t>ĐÃ DUYỆT</t>
        </is>
      </c>
      <c r="U248" s="199" t="inlineStr">
        <is>
          <t>Quản Đốc</t>
        </is>
      </c>
      <c r="V248" s="200" t="inlineStr">
        <is>
          <t>2026-09-03 17:00:00</t>
        </is>
      </c>
      <c r="W248" s="200" t="inlineStr">
        <is>
          <t>ERP_CHAM_CONG_2026</t>
        </is>
      </c>
      <c r="X248" s="200" t="inlineStr">
        <is>
          <t>HỢP LỆ</t>
        </is>
      </c>
    </row>
    <row r="249">
      <c r="A249" s="201" t="inlineStr">
        <is>
          <t>2026-09-04</t>
        </is>
      </c>
      <c r="B249" s="201" t="inlineStr">
        <is>
          <t>2026-09-01</t>
        </is>
      </c>
      <c r="C249" s="201" t="inlineStr">
        <is>
          <t>NV03</t>
        </is>
      </c>
      <c r="D249" s="202" t="inlineStr">
        <is>
          <t>Phùng Đình Hùng</t>
        </is>
      </c>
      <c r="E249" s="201" t="inlineStr">
        <is>
          <t>C1</t>
        </is>
      </c>
      <c r="F249" s="203" t="n">
        <v>1</v>
      </c>
      <c r="G249" s="203" t="n">
        <v>8</v>
      </c>
      <c r="H249" s="203" t="n">
        <v>0</v>
      </c>
      <c r="I249" s="203" t="n">
        <v>0</v>
      </c>
      <c r="J249" s="203" t="n">
        <v>0</v>
      </c>
      <c r="K249" s="203" t="n">
        <v>0</v>
      </c>
      <c r="L249" s="204" t="n">
        <v>0</v>
      </c>
      <c r="M249" s="204" t="n">
        <v>0</v>
      </c>
      <c r="N249" s="204" t="n">
        <v>0</v>
      </c>
      <c r="O249" s="203">
        <f>H249+I249+J249+L249+M249+N249</f>
        <v/>
      </c>
      <c r="P249" s="205" t="n">
        <v>0</v>
      </c>
      <c r="Q249" s="204" t="n">
        <v>0</v>
      </c>
      <c r="R249" s="206" t="inlineStr"/>
      <c r="S249" s="207" t="inlineStr">
        <is>
          <t>KHÔNG</t>
        </is>
      </c>
      <c r="T249" s="207" t="inlineStr">
        <is>
          <t>ĐÃ DUYỆT</t>
        </is>
      </c>
      <c r="U249" s="206" t="inlineStr">
        <is>
          <t>Quản Đốc</t>
        </is>
      </c>
      <c r="V249" s="207" t="inlineStr">
        <is>
          <t>2026-09-04 17:00:00</t>
        </is>
      </c>
      <c r="W249" s="207" t="inlineStr">
        <is>
          <t>ERP_CHAM_CONG_2026</t>
        </is>
      </c>
      <c r="X249" s="207" t="inlineStr">
        <is>
          <t>HỢP LỆ</t>
        </is>
      </c>
    </row>
    <row r="250">
      <c r="A250" s="194" t="inlineStr">
        <is>
          <t>2026-09-05</t>
        </is>
      </c>
      <c r="B250" s="194" t="inlineStr">
        <is>
          <t>2026-09-01</t>
        </is>
      </c>
      <c r="C250" s="194" t="inlineStr">
        <is>
          <t>NV03</t>
        </is>
      </c>
      <c r="D250" s="195" t="inlineStr">
        <is>
          <t>Phùng Đình Hùng</t>
        </is>
      </c>
      <c r="E250" s="194" t="inlineStr">
        <is>
          <t>C1</t>
        </is>
      </c>
      <c r="F250" s="196" t="n">
        <v>1</v>
      </c>
      <c r="G250" s="196" t="n">
        <v>8</v>
      </c>
      <c r="H250" s="196" t="n">
        <v>0</v>
      </c>
      <c r="I250" s="196" t="n">
        <v>0</v>
      </c>
      <c r="J250" s="196" t="n">
        <v>0</v>
      </c>
      <c r="K250" s="196" t="n">
        <v>0</v>
      </c>
      <c r="L250" s="197" t="n">
        <v>0</v>
      </c>
      <c r="M250" s="197" t="n">
        <v>0</v>
      </c>
      <c r="N250" s="197" t="n">
        <v>0</v>
      </c>
      <c r="O250" s="196">
        <f>H250+I250+J250+L250+M250+N250</f>
        <v/>
      </c>
      <c r="P250" s="198" t="n">
        <v>0</v>
      </c>
      <c r="Q250" s="197" t="n">
        <v>0</v>
      </c>
      <c r="R250" s="199" t="inlineStr"/>
      <c r="S250" s="200" t="inlineStr">
        <is>
          <t>KHÔNG</t>
        </is>
      </c>
      <c r="T250" s="200" t="inlineStr">
        <is>
          <t>ĐÃ DUYỆT</t>
        </is>
      </c>
      <c r="U250" s="199" t="inlineStr">
        <is>
          <t>Quản Đốc</t>
        </is>
      </c>
      <c r="V250" s="200" t="inlineStr">
        <is>
          <t>2026-09-05 17:00:00</t>
        </is>
      </c>
      <c r="W250" s="200" t="inlineStr">
        <is>
          <t>ERP_CHAM_CONG_2026</t>
        </is>
      </c>
      <c r="X250" s="200" t="inlineStr">
        <is>
          <t>HỢP LỆ</t>
        </is>
      </c>
    </row>
    <row r="251">
      <c r="A251" s="201" t="inlineStr">
        <is>
          <t>2026-09-06</t>
        </is>
      </c>
      <c r="B251" s="201" t="inlineStr">
        <is>
          <t>2026-09-01</t>
        </is>
      </c>
      <c r="C251" s="201" t="inlineStr">
        <is>
          <t>NV03</t>
        </is>
      </c>
      <c r="D251" s="202" t="inlineStr">
        <is>
          <t>Phùng Đình Hùng</t>
        </is>
      </c>
      <c r="E251" s="201" t="inlineStr">
        <is>
          <t>CN</t>
        </is>
      </c>
      <c r="F251" s="203" t="n">
        <v>0</v>
      </c>
      <c r="G251" s="203" t="n">
        <v>0</v>
      </c>
      <c r="H251" s="203" t="n">
        <v>0</v>
      </c>
      <c r="I251" s="203" t="n">
        <v>8</v>
      </c>
      <c r="J251" s="203" t="n">
        <v>0</v>
      </c>
      <c r="K251" s="203" t="n">
        <v>0</v>
      </c>
      <c r="L251" s="204" t="n">
        <v>0</v>
      </c>
      <c r="M251" s="204" t="n">
        <v>0</v>
      </c>
      <c r="N251" s="204" t="n">
        <v>0</v>
      </c>
      <c r="O251" s="203">
        <f>H251+I251+J251+L251+M251+N251</f>
        <v/>
      </c>
      <c r="P251" s="205" t="n">
        <v>30000</v>
      </c>
      <c r="Q251" s="204" t="n">
        <v>0</v>
      </c>
      <c r="R251" s="206" t="inlineStr">
        <is>
          <t>Đảm bảo tiến độ sản xuất</t>
        </is>
      </c>
      <c r="S251" s="207" t="inlineStr">
        <is>
          <t>CÓ</t>
        </is>
      </c>
      <c r="T251" s="207" t="inlineStr">
        <is>
          <t>ĐÃ DUYỆT</t>
        </is>
      </c>
      <c r="U251" s="206" t="inlineStr">
        <is>
          <t>Quản Đốc</t>
        </is>
      </c>
      <c r="V251" s="207" t="inlineStr">
        <is>
          <t>2026-09-06 17:00:00</t>
        </is>
      </c>
      <c r="W251" s="207" t="inlineStr">
        <is>
          <t>ERP_CHAM_CONG_2026</t>
        </is>
      </c>
      <c r="X251" s="207" t="inlineStr">
        <is>
          <t>HỢP LỆ</t>
        </is>
      </c>
    </row>
    <row r="252">
      <c r="A252" s="194" t="inlineStr">
        <is>
          <t>2026-09-07</t>
        </is>
      </c>
      <c r="B252" s="194" t="inlineStr">
        <is>
          <t>2026-09-01</t>
        </is>
      </c>
      <c r="C252" s="194" t="inlineStr">
        <is>
          <t>NV03</t>
        </is>
      </c>
      <c r="D252" s="195" t="inlineStr">
        <is>
          <t>Phùng Đình Hùng</t>
        </is>
      </c>
      <c r="E252" s="194" t="inlineStr">
        <is>
          <t>C1</t>
        </is>
      </c>
      <c r="F252" s="196" t="n">
        <v>1</v>
      </c>
      <c r="G252" s="196" t="n">
        <v>8</v>
      </c>
      <c r="H252" s="196" t="n">
        <v>0</v>
      </c>
      <c r="I252" s="196" t="n">
        <v>0</v>
      </c>
      <c r="J252" s="196" t="n">
        <v>0</v>
      </c>
      <c r="K252" s="196" t="n">
        <v>0</v>
      </c>
      <c r="L252" s="197" t="n">
        <v>0</v>
      </c>
      <c r="M252" s="197" t="n">
        <v>0</v>
      </c>
      <c r="N252" s="197" t="n">
        <v>0</v>
      </c>
      <c r="O252" s="196">
        <f>H252+I252+J252+L252+M252+N252</f>
        <v/>
      </c>
      <c r="P252" s="198" t="n">
        <v>15000</v>
      </c>
      <c r="Q252" s="197" t="n">
        <v>0</v>
      </c>
      <c r="R252" s="199" t="inlineStr"/>
      <c r="S252" s="200" t="inlineStr">
        <is>
          <t>KHÔNG</t>
        </is>
      </c>
      <c r="T252" s="200" t="inlineStr">
        <is>
          <t>ĐÃ DUYỆT</t>
        </is>
      </c>
      <c r="U252" s="199" t="inlineStr">
        <is>
          <t>Quản Đốc</t>
        </is>
      </c>
      <c r="V252" s="200" t="inlineStr">
        <is>
          <t>2026-09-07 17:00:00</t>
        </is>
      </c>
      <c r="W252" s="200" t="inlineStr">
        <is>
          <t>ERP_CHAM_CONG_2026</t>
        </is>
      </c>
      <c r="X252" s="200" t="inlineStr">
        <is>
          <t>HỢP LỆ</t>
        </is>
      </c>
    </row>
    <row r="253">
      <c r="A253" s="201" t="inlineStr">
        <is>
          <t>2026-09-08</t>
        </is>
      </c>
      <c r="B253" s="201" t="inlineStr">
        <is>
          <t>2026-09-01</t>
        </is>
      </c>
      <c r="C253" s="201" t="inlineStr">
        <is>
          <t>NV03</t>
        </is>
      </c>
      <c r="D253" s="202" t="inlineStr">
        <is>
          <t>Phùng Đình Hùng</t>
        </is>
      </c>
      <c r="E253" s="201" t="inlineStr">
        <is>
          <t>C1</t>
        </is>
      </c>
      <c r="F253" s="203" t="n">
        <v>1</v>
      </c>
      <c r="G253" s="203" t="n">
        <v>8</v>
      </c>
      <c r="H253" s="203" t="n">
        <v>0</v>
      </c>
      <c r="I253" s="203" t="n">
        <v>0</v>
      </c>
      <c r="J253" s="203" t="n">
        <v>0</v>
      </c>
      <c r="K253" s="203" t="n">
        <v>0</v>
      </c>
      <c r="L253" s="204" t="n">
        <v>0</v>
      </c>
      <c r="M253" s="204" t="n">
        <v>0</v>
      </c>
      <c r="N253" s="204" t="n">
        <v>0</v>
      </c>
      <c r="O253" s="203">
        <f>H253+I253+J253+L253+M253+N253</f>
        <v/>
      </c>
      <c r="P253" s="205" t="n">
        <v>15000</v>
      </c>
      <c r="Q253" s="204" t="n">
        <v>0</v>
      </c>
      <c r="R253" s="206" t="inlineStr"/>
      <c r="S253" s="207" t="inlineStr">
        <is>
          <t>KHÔNG</t>
        </is>
      </c>
      <c r="T253" s="207" t="inlineStr">
        <is>
          <t>ĐÃ DUYỆT</t>
        </is>
      </c>
      <c r="U253" s="206" t="inlineStr">
        <is>
          <t>Quản Đốc</t>
        </is>
      </c>
      <c r="V253" s="207" t="inlineStr">
        <is>
          <t>2026-09-08 17:00:00</t>
        </is>
      </c>
      <c r="W253" s="207" t="inlineStr">
        <is>
          <t>ERP_CHAM_CONG_2026</t>
        </is>
      </c>
      <c r="X253" s="207" t="inlineStr">
        <is>
          <t>HỢP LỆ</t>
        </is>
      </c>
    </row>
    <row r="254">
      <c r="A254" s="194" t="inlineStr">
        <is>
          <t>2026-09-09</t>
        </is>
      </c>
      <c r="B254" s="194" t="inlineStr">
        <is>
          <t>2026-09-01</t>
        </is>
      </c>
      <c r="C254" s="194" t="inlineStr">
        <is>
          <t>NV03</t>
        </is>
      </c>
      <c r="D254" s="195" t="inlineStr">
        <is>
          <t>Phùng Đình Hùng</t>
        </is>
      </c>
      <c r="E254" s="194" t="inlineStr">
        <is>
          <t>C1</t>
        </is>
      </c>
      <c r="F254" s="196" t="n">
        <v>1</v>
      </c>
      <c r="G254" s="196" t="n">
        <v>8</v>
      </c>
      <c r="H254" s="196" t="n">
        <v>0</v>
      </c>
      <c r="I254" s="196" t="n">
        <v>0</v>
      </c>
      <c r="J254" s="196" t="n">
        <v>0</v>
      </c>
      <c r="K254" s="196" t="n">
        <v>0</v>
      </c>
      <c r="L254" s="197" t="n">
        <v>0</v>
      </c>
      <c r="M254" s="197" t="n">
        <v>0</v>
      </c>
      <c r="N254" s="197" t="n">
        <v>0</v>
      </c>
      <c r="O254" s="196">
        <f>H254+I254+J254+L254+M254+N254</f>
        <v/>
      </c>
      <c r="P254" s="198" t="n">
        <v>15000</v>
      </c>
      <c r="Q254" s="197" t="n">
        <v>0</v>
      </c>
      <c r="R254" s="199" t="inlineStr"/>
      <c r="S254" s="200" t="inlineStr">
        <is>
          <t>KHÔNG</t>
        </is>
      </c>
      <c r="T254" s="200" t="inlineStr">
        <is>
          <t>ĐÃ DUYỆT</t>
        </is>
      </c>
      <c r="U254" s="199" t="inlineStr">
        <is>
          <t>Quản Đốc</t>
        </is>
      </c>
      <c r="V254" s="200" t="inlineStr">
        <is>
          <t>2026-09-09 17:00:00</t>
        </is>
      </c>
      <c r="W254" s="200" t="inlineStr">
        <is>
          <t>ERP_CHAM_CONG_2026</t>
        </is>
      </c>
      <c r="X254" s="200" t="inlineStr">
        <is>
          <t>HỢP LỆ</t>
        </is>
      </c>
    </row>
    <row r="255">
      <c r="A255" s="201" t="inlineStr">
        <is>
          <t>2026-09-10</t>
        </is>
      </c>
      <c r="B255" s="201" t="inlineStr">
        <is>
          <t>2026-09-01</t>
        </is>
      </c>
      <c r="C255" s="201" t="inlineStr">
        <is>
          <t>NV03</t>
        </is>
      </c>
      <c r="D255" s="202" t="inlineStr">
        <is>
          <t>Phùng Đình Hùng</t>
        </is>
      </c>
      <c r="E255" s="201" t="inlineStr">
        <is>
          <t>C1</t>
        </is>
      </c>
      <c r="F255" s="203" t="n">
        <v>1</v>
      </c>
      <c r="G255" s="203" t="n">
        <v>8</v>
      </c>
      <c r="H255" s="203" t="n">
        <v>0</v>
      </c>
      <c r="I255" s="203" t="n">
        <v>0</v>
      </c>
      <c r="J255" s="203" t="n">
        <v>0</v>
      </c>
      <c r="K255" s="203" t="n">
        <v>0</v>
      </c>
      <c r="L255" s="204" t="n">
        <v>0</v>
      </c>
      <c r="M255" s="204" t="n">
        <v>0</v>
      </c>
      <c r="N255" s="204" t="n">
        <v>0</v>
      </c>
      <c r="O255" s="203">
        <f>H255+I255+J255+L255+M255+N255</f>
        <v/>
      </c>
      <c r="P255" s="205" t="n">
        <v>15000</v>
      </c>
      <c r="Q255" s="204" t="n">
        <v>0</v>
      </c>
      <c r="R255" s="206" t="inlineStr"/>
      <c r="S255" s="207" t="inlineStr">
        <is>
          <t>KHÔNG</t>
        </is>
      </c>
      <c r="T255" s="207" t="inlineStr">
        <is>
          <t>ĐÃ DUYỆT</t>
        </is>
      </c>
      <c r="U255" s="206" t="inlineStr">
        <is>
          <t>Quản Đốc</t>
        </is>
      </c>
      <c r="V255" s="207" t="inlineStr">
        <is>
          <t>2026-09-10 17:00:00</t>
        </is>
      </c>
      <c r="W255" s="207" t="inlineStr">
        <is>
          <t>ERP_CHAM_CONG_2026</t>
        </is>
      </c>
      <c r="X255" s="207" t="inlineStr">
        <is>
          <t>HỢP LỆ</t>
        </is>
      </c>
    </row>
    <row r="256">
      <c r="A256" s="194" t="inlineStr">
        <is>
          <t>2026-09-11</t>
        </is>
      </c>
      <c r="B256" s="194" t="inlineStr">
        <is>
          <t>2026-09-01</t>
        </is>
      </c>
      <c r="C256" s="194" t="inlineStr">
        <is>
          <t>NV03</t>
        </is>
      </c>
      <c r="D256" s="195" t="inlineStr">
        <is>
          <t>Phùng Đình Hùng</t>
        </is>
      </c>
      <c r="E256" s="194" t="inlineStr">
        <is>
          <t>C1</t>
        </is>
      </c>
      <c r="F256" s="196" t="n">
        <v>1</v>
      </c>
      <c r="G256" s="196" t="n">
        <v>8</v>
      </c>
      <c r="H256" s="196" t="n">
        <v>0</v>
      </c>
      <c r="I256" s="196" t="n">
        <v>0</v>
      </c>
      <c r="J256" s="196" t="n">
        <v>0</v>
      </c>
      <c r="K256" s="196" t="n">
        <v>0</v>
      </c>
      <c r="L256" s="197" t="n">
        <v>0</v>
      </c>
      <c r="M256" s="197" t="n">
        <v>0</v>
      </c>
      <c r="N256" s="197" t="n">
        <v>0</v>
      </c>
      <c r="O256" s="196">
        <f>H256+I256+J256+L256+M256+N256</f>
        <v/>
      </c>
      <c r="P256" s="198" t="n">
        <v>15000</v>
      </c>
      <c r="Q256" s="197" t="n">
        <v>0</v>
      </c>
      <c r="R256" s="199" t="inlineStr"/>
      <c r="S256" s="200" t="inlineStr">
        <is>
          <t>KHÔNG</t>
        </is>
      </c>
      <c r="T256" s="200" t="inlineStr">
        <is>
          <t>ĐÃ DUYỆT</t>
        </is>
      </c>
      <c r="U256" s="199" t="inlineStr">
        <is>
          <t>Quản Đốc</t>
        </is>
      </c>
      <c r="V256" s="200" t="inlineStr">
        <is>
          <t>2026-09-11 17:00:00</t>
        </is>
      </c>
      <c r="W256" s="200" t="inlineStr">
        <is>
          <t>ERP_CHAM_CONG_2026</t>
        </is>
      </c>
      <c r="X256" s="200" t="inlineStr">
        <is>
          <t>HỢP LỆ</t>
        </is>
      </c>
    </row>
    <row r="257">
      <c r="A257" s="201" t="inlineStr">
        <is>
          <t>2026-09-12</t>
        </is>
      </c>
      <c r="B257" s="201" t="inlineStr">
        <is>
          <t>2026-09-01</t>
        </is>
      </c>
      <c r="C257" s="201" t="inlineStr">
        <is>
          <t>NV03</t>
        </is>
      </c>
      <c r="D257" s="202" t="inlineStr">
        <is>
          <t>Phùng Đình Hùng</t>
        </is>
      </c>
      <c r="E257" s="201" t="inlineStr">
        <is>
          <t>C1</t>
        </is>
      </c>
      <c r="F257" s="203" t="n">
        <v>1</v>
      </c>
      <c r="G257" s="203" t="n">
        <v>8</v>
      </c>
      <c r="H257" s="203" t="n">
        <v>0</v>
      </c>
      <c r="I257" s="203" t="n">
        <v>0</v>
      </c>
      <c r="J257" s="203" t="n">
        <v>0</v>
      </c>
      <c r="K257" s="203" t="n">
        <v>0</v>
      </c>
      <c r="L257" s="204" t="n">
        <v>0</v>
      </c>
      <c r="M257" s="204" t="n">
        <v>0</v>
      </c>
      <c r="N257" s="204" t="n">
        <v>0</v>
      </c>
      <c r="O257" s="203">
        <f>H257+I257+J257+L257+M257+N257</f>
        <v/>
      </c>
      <c r="P257" s="205" t="n">
        <v>15000</v>
      </c>
      <c r="Q257" s="204" t="n">
        <v>0</v>
      </c>
      <c r="R257" s="206" t="inlineStr"/>
      <c r="S257" s="207" t="inlineStr">
        <is>
          <t>KHÔNG</t>
        </is>
      </c>
      <c r="T257" s="207" t="inlineStr">
        <is>
          <t>ĐÃ DUYỆT</t>
        </is>
      </c>
      <c r="U257" s="206" t="inlineStr">
        <is>
          <t>Quản Đốc</t>
        </is>
      </c>
      <c r="V257" s="207" t="inlineStr">
        <is>
          <t>2026-09-12 17:00:00</t>
        </is>
      </c>
      <c r="W257" s="207" t="inlineStr">
        <is>
          <t>ERP_CHAM_CONG_2026</t>
        </is>
      </c>
      <c r="X257" s="207" t="inlineStr">
        <is>
          <t>HỢP LỆ</t>
        </is>
      </c>
    </row>
    <row r="258">
      <c r="A258" s="194" t="inlineStr">
        <is>
          <t>2026-09-13</t>
        </is>
      </c>
      <c r="B258" s="194" t="inlineStr">
        <is>
          <t>2026-09-01</t>
        </is>
      </c>
      <c r="C258" s="194" t="inlineStr">
        <is>
          <t>NV03</t>
        </is>
      </c>
      <c r="D258" s="195" t="inlineStr">
        <is>
          <t>Phùng Đình Hùng</t>
        </is>
      </c>
      <c r="E258" s="194" t="inlineStr">
        <is>
          <t>CN</t>
        </is>
      </c>
      <c r="F258" s="196" t="n">
        <v>0</v>
      </c>
      <c r="G258" s="196" t="n">
        <v>0</v>
      </c>
      <c r="H258" s="196" t="n">
        <v>0</v>
      </c>
      <c r="I258" s="196" t="n">
        <v>8</v>
      </c>
      <c r="J258" s="196" t="n">
        <v>0</v>
      </c>
      <c r="K258" s="196" t="n">
        <v>0</v>
      </c>
      <c r="L258" s="197" t="n">
        <v>0</v>
      </c>
      <c r="M258" s="197" t="n">
        <v>0</v>
      </c>
      <c r="N258" s="197" t="n">
        <v>0</v>
      </c>
      <c r="O258" s="196">
        <f>H258+I258+J258+L258+M258+N258</f>
        <v/>
      </c>
      <c r="P258" s="198" t="n">
        <v>30000</v>
      </c>
      <c r="Q258" s="197" t="n">
        <v>0</v>
      </c>
      <c r="R258" s="199" t="inlineStr">
        <is>
          <t>Đảm bảo tiến độ sản xuất</t>
        </is>
      </c>
      <c r="S258" s="200" t="inlineStr">
        <is>
          <t>CÓ</t>
        </is>
      </c>
      <c r="T258" s="200" t="inlineStr">
        <is>
          <t>ĐÃ DUYỆT</t>
        </is>
      </c>
      <c r="U258" s="199" t="inlineStr">
        <is>
          <t>Quản Đốc</t>
        </is>
      </c>
      <c r="V258" s="200" t="inlineStr">
        <is>
          <t>2026-09-13 17:00:00</t>
        </is>
      </c>
      <c r="W258" s="200" t="inlineStr">
        <is>
          <t>ERP_CHAM_CONG_2026</t>
        </is>
      </c>
      <c r="X258" s="200" t="inlineStr">
        <is>
          <t>HỢP LỆ</t>
        </is>
      </c>
    </row>
    <row r="259">
      <c r="A259" s="201" t="inlineStr">
        <is>
          <t>2026-09-14</t>
        </is>
      </c>
      <c r="B259" s="201" t="inlineStr">
        <is>
          <t>2026-09-01</t>
        </is>
      </c>
      <c r="C259" s="201" t="inlineStr">
        <is>
          <t>NV03</t>
        </is>
      </c>
      <c r="D259" s="202" t="inlineStr">
        <is>
          <t>Phùng Đình Hùng</t>
        </is>
      </c>
      <c r="E259" s="201" t="inlineStr">
        <is>
          <t>C1</t>
        </is>
      </c>
      <c r="F259" s="203" t="n">
        <v>1</v>
      </c>
      <c r="G259" s="203" t="n">
        <v>8</v>
      </c>
      <c r="H259" s="203" t="n">
        <v>0</v>
      </c>
      <c r="I259" s="203" t="n">
        <v>0</v>
      </c>
      <c r="J259" s="203" t="n">
        <v>0</v>
      </c>
      <c r="K259" s="203" t="n">
        <v>0</v>
      </c>
      <c r="L259" s="204" t="n">
        <v>0</v>
      </c>
      <c r="M259" s="204" t="n">
        <v>0</v>
      </c>
      <c r="N259" s="204" t="n">
        <v>0</v>
      </c>
      <c r="O259" s="203">
        <f>H259+I259+J259+L259+M259+N259</f>
        <v/>
      </c>
      <c r="P259" s="205" t="n">
        <v>0</v>
      </c>
      <c r="Q259" s="204" t="n">
        <v>0</v>
      </c>
      <c r="R259" s="206" t="inlineStr"/>
      <c r="S259" s="207" t="inlineStr">
        <is>
          <t>KHÔNG</t>
        </is>
      </c>
      <c r="T259" s="207" t="inlineStr">
        <is>
          <t>ĐÃ DUYỆT</t>
        </is>
      </c>
      <c r="U259" s="206" t="inlineStr">
        <is>
          <t>Quản Đốc</t>
        </is>
      </c>
      <c r="V259" s="207" t="inlineStr">
        <is>
          <t>2026-09-14 17:00:00</t>
        </is>
      </c>
      <c r="W259" s="207" t="inlineStr">
        <is>
          <t>ERP_CHAM_CONG_2026</t>
        </is>
      </c>
      <c r="X259" s="207" t="inlineStr">
        <is>
          <t>HỢP LỆ</t>
        </is>
      </c>
    </row>
    <row r="260">
      <c r="A260" s="194" t="inlineStr">
        <is>
          <t>2026-09-03</t>
        </is>
      </c>
      <c r="B260" s="194" t="inlineStr">
        <is>
          <t>2026-09-01</t>
        </is>
      </c>
      <c r="C260" s="194" t="inlineStr">
        <is>
          <t>NV15</t>
        </is>
      </c>
      <c r="D260" s="195" t="inlineStr">
        <is>
          <t>Đặng Ngọc Long</t>
        </is>
      </c>
      <c r="E260" s="194" t="inlineStr">
        <is>
          <t>C1+2</t>
        </is>
      </c>
      <c r="F260" s="196" t="n">
        <v>1</v>
      </c>
      <c r="G260" s="196" t="n">
        <v>8</v>
      </c>
      <c r="H260" s="196" t="n">
        <v>2</v>
      </c>
      <c r="I260" s="196" t="n">
        <v>0</v>
      </c>
      <c r="J260" s="196" t="n">
        <v>0</v>
      </c>
      <c r="K260" s="196" t="n">
        <v>0</v>
      </c>
      <c r="L260" s="197" t="n">
        <v>0</v>
      </c>
      <c r="M260" s="197" t="n">
        <v>0</v>
      </c>
      <c r="N260" s="197" t="n">
        <v>0</v>
      </c>
      <c r="O260" s="196">
        <f>H260+I260+J260+L260+M260+N260</f>
        <v/>
      </c>
      <c r="P260" s="198" t="n">
        <v>15000</v>
      </c>
      <c r="Q260" s="197" t="n">
        <v>0</v>
      </c>
      <c r="R260" s="199" t="inlineStr">
        <is>
          <t>Đảm bảo tiến độ sản xuất</t>
        </is>
      </c>
      <c r="S260" s="200" t="inlineStr">
        <is>
          <t>CÓ</t>
        </is>
      </c>
      <c r="T260" s="200" t="inlineStr">
        <is>
          <t>ĐÃ DUYỆT</t>
        </is>
      </c>
      <c r="U260" s="199" t="inlineStr">
        <is>
          <t>Quản Đốc</t>
        </is>
      </c>
      <c r="V260" s="200" t="inlineStr">
        <is>
          <t>2026-09-03 17:00:00</t>
        </is>
      </c>
      <c r="W260" s="200" t="inlineStr">
        <is>
          <t>ERP_CHAM_CONG_2026</t>
        </is>
      </c>
      <c r="X260" s="200" t="inlineStr">
        <is>
          <t>HỢP LỆ</t>
        </is>
      </c>
    </row>
    <row r="261">
      <c r="A261" s="201" t="inlineStr">
        <is>
          <t>2026-09-04</t>
        </is>
      </c>
      <c r="B261" s="201" t="inlineStr">
        <is>
          <t>2026-09-01</t>
        </is>
      </c>
      <c r="C261" s="201" t="inlineStr">
        <is>
          <t>NV15</t>
        </is>
      </c>
      <c r="D261" s="202" t="inlineStr">
        <is>
          <t>Đặng Ngọc Long</t>
        </is>
      </c>
      <c r="E261" s="201" t="inlineStr">
        <is>
          <t>C1+2</t>
        </is>
      </c>
      <c r="F261" s="203" t="n">
        <v>1</v>
      </c>
      <c r="G261" s="203" t="n">
        <v>8</v>
      </c>
      <c r="H261" s="203" t="n">
        <v>2</v>
      </c>
      <c r="I261" s="203" t="n">
        <v>0</v>
      </c>
      <c r="J261" s="203" t="n">
        <v>0</v>
      </c>
      <c r="K261" s="203" t="n">
        <v>0</v>
      </c>
      <c r="L261" s="204" t="n">
        <v>0</v>
      </c>
      <c r="M261" s="204" t="n">
        <v>0</v>
      </c>
      <c r="N261" s="204" t="n">
        <v>0</v>
      </c>
      <c r="O261" s="203">
        <f>H261+I261+J261+L261+M261+N261</f>
        <v/>
      </c>
      <c r="P261" s="205" t="n">
        <v>15000</v>
      </c>
      <c r="Q261" s="204" t="n">
        <v>0</v>
      </c>
      <c r="R261" s="206" t="inlineStr">
        <is>
          <t>Đảm bảo tiến độ sản xuất</t>
        </is>
      </c>
      <c r="S261" s="207" t="inlineStr">
        <is>
          <t>CÓ</t>
        </is>
      </c>
      <c r="T261" s="207" t="inlineStr">
        <is>
          <t>ĐÃ DUYỆT</t>
        </is>
      </c>
      <c r="U261" s="206" t="inlineStr">
        <is>
          <t>Quản Đốc</t>
        </is>
      </c>
      <c r="V261" s="207" t="inlineStr">
        <is>
          <t>2026-09-04 17:00:00</t>
        </is>
      </c>
      <c r="W261" s="207" t="inlineStr">
        <is>
          <t>ERP_CHAM_CONG_2026</t>
        </is>
      </c>
      <c r="X261" s="207" t="inlineStr">
        <is>
          <t>HỢP LỆ</t>
        </is>
      </c>
    </row>
    <row r="262">
      <c r="A262" s="194" t="inlineStr">
        <is>
          <t>2026-09-05</t>
        </is>
      </c>
      <c r="B262" s="194" t="inlineStr">
        <is>
          <t>2026-09-01</t>
        </is>
      </c>
      <c r="C262" s="194" t="inlineStr">
        <is>
          <t>NV15</t>
        </is>
      </c>
      <c r="D262" s="195" t="inlineStr">
        <is>
          <t>Đặng Ngọc Long</t>
        </is>
      </c>
      <c r="E262" s="194" t="inlineStr">
        <is>
          <t>C1+2</t>
        </is>
      </c>
      <c r="F262" s="196" t="n">
        <v>1</v>
      </c>
      <c r="G262" s="196" t="n">
        <v>8</v>
      </c>
      <c r="H262" s="196" t="n">
        <v>2</v>
      </c>
      <c r="I262" s="196" t="n">
        <v>0</v>
      </c>
      <c r="J262" s="196" t="n">
        <v>0</v>
      </c>
      <c r="K262" s="196" t="n">
        <v>0</v>
      </c>
      <c r="L262" s="197" t="n">
        <v>0</v>
      </c>
      <c r="M262" s="197" t="n">
        <v>0</v>
      </c>
      <c r="N262" s="197" t="n">
        <v>0</v>
      </c>
      <c r="O262" s="196">
        <f>H262+I262+J262+L262+M262+N262</f>
        <v/>
      </c>
      <c r="P262" s="198" t="n">
        <v>15000</v>
      </c>
      <c r="Q262" s="197" t="n">
        <v>0</v>
      </c>
      <c r="R262" s="199" t="inlineStr">
        <is>
          <t>Đảm bảo tiến độ sản xuất</t>
        </is>
      </c>
      <c r="S262" s="200" t="inlineStr">
        <is>
          <t>CÓ</t>
        </is>
      </c>
      <c r="T262" s="200" t="inlineStr">
        <is>
          <t>ĐÃ DUYỆT</t>
        </is>
      </c>
      <c r="U262" s="199" t="inlineStr">
        <is>
          <t>Quản Đốc</t>
        </is>
      </c>
      <c r="V262" s="200" t="inlineStr">
        <is>
          <t>2026-09-05 17:00:00</t>
        </is>
      </c>
      <c r="W262" s="200" t="inlineStr">
        <is>
          <t>ERP_CHAM_CONG_2026</t>
        </is>
      </c>
      <c r="X262" s="200" t="inlineStr">
        <is>
          <t>HỢP LỆ</t>
        </is>
      </c>
    </row>
    <row r="263">
      <c r="A263" s="201" t="inlineStr">
        <is>
          <t>2026-09-06</t>
        </is>
      </c>
      <c r="B263" s="201" t="inlineStr">
        <is>
          <t>2026-09-01</t>
        </is>
      </c>
      <c r="C263" s="201" t="inlineStr">
        <is>
          <t>NV15</t>
        </is>
      </c>
      <c r="D263" s="202" t="inlineStr">
        <is>
          <t>Đặng Ngọc Long</t>
        </is>
      </c>
      <c r="E263" s="201" t="inlineStr">
        <is>
          <t>CN</t>
        </is>
      </c>
      <c r="F263" s="203" t="n">
        <v>0</v>
      </c>
      <c r="G263" s="203" t="n">
        <v>0</v>
      </c>
      <c r="H263" s="203" t="n">
        <v>0</v>
      </c>
      <c r="I263" s="203" t="n">
        <v>8</v>
      </c>
      <c r="J263" s="203" t="n">
        <v>0</v>
      </c>
      <c r="K263" s="203" t="n">
        <v>0</v>
      </c>
      <c r="L263" s="204" t="n">
        <v>0</v>
      </c>
      <c r="M263" s="204" t="n">
        <v>0</v>
      </c>
      <c r="N263" s="204" t="n">
        <v>0</v>
      </c>
      <c r="O263" s="203">
        <f>H263+I263+J263+L263+M263+N263</f>
        <v/>
      </c>
      <c r="P263" s="205" t="n">
        <v>30000</v>
      </c>
      <c r="Q263" s="204" t="n">
        <v>0</v>
      </c>
      <c r="R263" s="206" t="inlineStr">
        <is>
          <t>Đảm bảo tiến độ sản xuất</t>
        </is>
      </c>
      <c r="S263" s="207" t="inlineStr">
        <is>
          <t>CÓ</t>
        </is>
      </c>
      <c r="T263" s="207" t="inlineStr">
        <is>
          <t>ĐÃ DUYỆT</t>
        </is>
      </c>
      <c r="U263" s="206" t="inlineStr">
        <is>
          <t>Quản Đốc</t>
        </is>
      </c>
      <c r="V263" s="207" t="inlineStr">
        <is>
          <t>2026-09-06 17:00:00</t>
        </is>
      </c>
      <c r="W263" s="207" t="inlineStr">
        <is>
          <t>ERP_CHAM_CONG_2026</t>
        </is>
      </c>
      <c r="X263" s="207" t="inlineStr">
        <is>
          <t>HỢP LỆ</t>
        </is>
      </c>
    </row>
    <row r="264">
      <c r="A264" s="194" t="inlineStr">
        <is>
          <t>2026-09-07</t>
        </is>
      </c>
      <c r="B264" s="194" t="inlineStr">
        <is>
          <t>2026-09-01</t>
        </is>
      </c>
      <c r="C264" s="194" t="inlineStr">
        <is>
          <t>NV15</t>
        </is>
      </c>
      <c r="D264" s="195" t="inlineStr">
        <is>
          <t>Đặng Ngọc Long</t>
        </is>
      </c>
      <c r="E264" s="194" t="inlineStr">
        <is>
          <t>C1+2</t>
        </is>
      </c>
      <c r="F264" s="196" t="n">
        <v>1</v>
      </c>
      <c r="G264" s="196" t="n">
        <v>8</v>
      </c>
      <c r="H264" s="196" t="n">
        <v>2</v>
      </c>
      <c r="I264" s="196" t="n">
        <v>0</v>
      </c>
      <c r="J264" s="196" t="n">
        <v>0</v>
      </c>
      <c r="K264" s="196" t="n">
        <v>0</v>
      </c>
      <c r="L264" s="197" t="n">
        <v>0</v>
      </c>
      <c r="M264" s="197" t="n">
        <v>0</v>
      </c>
      <c r="N264" s="197" t="n">
        <v>0</v>
      </c>
      <c r="O264" s="196">
        <f>H264+I264+J264+L264+M264+N264</f>
        <v/>
      </c>
      <c r="P264" s="198" t="n">
        <v>15000</v>
      </c>
      <c r="Q264" s="197" t="n">
        <v>0</v>
      </c>
      <c r="R264" s="199" t="inlineStr">
        <is>
          <t>Đảm bảo tiến độ sản xuất</t>
        </is>
      </c>
      <c r="S264" s="200" t="inlineStr">
        <is>
          <t>CÓ</t>
        </is>
      </c>
      <c r="T264" s="200" t="inlineStr">
        <is>
          <t>ĐÃ DUYỆT</t>
        </is>
      </c>
      <c r="U264" s="199" t="inlineStr">
        <is>
          <t>Quản Đốc</t>
        </is>
      </c>
      <c r="V264" s="200" t="inlineStr">
        <is>
          <t>2026-09-07 17:00:00</t>
        </is>
      </c>
      <c r="W264" s="200" t="inlineStr">
        <is>
          <t>ERP_CHAM_CONG_2026</t>
        </is>
      </c>
      <c r="X264" s="200" t="inlineStr">
        <is>
          <t>HỢP LỆ</t>
        </is>
      </c>
    </row>
    <row r="265">
      <c r="A265" s="201" t="inlineStr">
        <is>
          <t>2026-09-09</t>
        </is>
      </c>
      <c r="B265" s="201" t="inlineStr">
        <is>
          <t>2026-09-01</t>
        </is>
      </c>
      <c r="C265" s="201" t="inlineStr">
        <is>
          <t>NV15</t>
        </is>
      </c>
      <c r="D265" s="202" t="inlineStr">
        <is>
          <t>Đặng Ngọc Long</t>
        </is>
      </c>
      <c r="E265" s="201" t="inlineStr">
        <is>
          <t>C1+2</t>
        </is>
      </c>
      <c r="F265" s="203" t="n">
        <v>1</v>
      </c>
      <c r="G265" s="203" t="n">
        <v>8</v>
      </c>
      <c r="H265" s="203" t="n">
        <v>2</v>
      </c>
      <c r="I265" s="203" t="n">
        <v>0</v>
      </c>
      <c r="J265" s="203" t="n">
        <v>0</v>
      </c>
      <c r="K265" s="203" t="n">
        <v>0</v>
      </c>
      <c r="L265" s="204" t="n">
        <v>0</v>
      </c>
      <c r="M265" s="204" t="n">
        <v>0</v>
      </c>
      <c r="N265" s="204" t="n">
        <v>0</v>
      </c>
      <c r="O265" s="203">
        <f>H265+I265+J265+L265+M265+N265</f>
        <v/>
      </c>
      <c r="P265" s="205" t="n">
        <v>15000</v>
      </c>
      <c r="Q265" s="204" t="n">
        <v>0</v>
      </c>
      <c r="R265" s="206" t="inlineStr">
        <is>
          <t>Đảm bảo tiến độ sản xuất</t>
        </is>
      </c>
      <c r="S265" s="207" t="inlineStr">
        <is>
          <t>CÓ</t>
        </is>
      </c>
      <c r="T265" s="207" t="inlineStr">
        <is>
          <t>ĐÃ DUYỆT</t>
        </is>
      </c>
      <c r="U265" s="206" t="inlineStr">
        <is>
          <t>Quản Đốc</t>
        </is>
      </c>
      <c r="V265" s="207" t="inlineStr">
        <is>
          <t>2026-09-09 17:00:00</t>
        </is>
      </c>
      <c r="W265" s="207" t="inlineStr">
        <is>
          <t>ERP_CHAM_CONG_2026</t>
        </is>
      </c>
      <c r="X265" s="207" t="inlineStr">
        <is>
          <t>HỢP LỆ</t>
        </is>
      </c>
    </row>
    <row r="266">
      <c r="A266" s="194" t="inlineStr">
        <is>
          <t>2026-09-10</t>
        </is>
      </c>
      <c r="B266" s="194" t="inlineStr">
        <is>
          <t>2026-09-01</t>
        </is>
      </c>
      <c r="C266" s="194" t="inlineStr">
        <is>
          <t>NV15</t>
        </is>
      </c>
      <c r="D266" s="195" t="inlineStr">
        <is>
          <t>Đặng Ngọc Long</t>
        </is>
      </c>
      <c r="E266" s="194" t="inlineStr">
        <is>
          <t>C1+2</t>
        </is>
      </c>
      <c r="F266" s="196" t="n">
        <v>1</v>
      </c>
      <c r="G266" s="196" t="n">
        <v>8</v>
      </c>
      <c r="H266" s="196" t="n">
        <v>2</v>
      </c>
      <c r="I266" s="196" t="n">
        <v>0</v>
      </c>
      <c r="J266" s="196" t="n">
        <v>0</v>
      </c>
      <c r="K266" s="196" t="n">
        <v>0</v>
      </c>
      <c r="L266" s="197" t="n">
        <v>0</v>
      </c>
      <c r="M266" s="197" t="n">
        <v>0</v>
      </c>
      <c r="N266" s="197" t="n">
        <v>0</v>
      </c>
      <c r="O266" s="196">
        <f>H266+I266+J266+L266+M266+N266</f>
        <v/>
      </c>
      <c r="P266" s="198" t="n">
        <v>15000</v>
      </c>
      <c r="Q266" s="197" t="n">
        <v>0</v>
      </c>
      <c r="R266" s="199" t="inlineStr">
        <is>
          <t>Đảm bảo tiến độ sản xuất</t>
        </is>
      </c>
      <c r="S266" s="200" t="inlineStr">
        <is>
          <t>CÓ</t>
        </is>
      </c>
      <c r="T266" s="200" t="inlineStr">
        <is>
          <t>ĐÃ DUYỆT</t>
        </is>
      </c>
      <c r="U266" s="199" t="inlineStr">
        <is>
          <t>Quản Đốc</t>
        </is>
      </c>
      <c r="V266" s="200" t="inlineStr">
        <is>
          <t>2026-09-10 17:00:00</t>
        </is>
      </c>
      <c r="W266" s="200" t="inlineStr">
        <is>
          <t>ERP_CHAM_CONG_2026</t>
        </is>
      </c>
      <c r="X266" s="200" t="inlineStr">
        <is>
          <t>HỢP LỆ</t>
        </is>
      </c>
    </row>
    <row r="267">
      <c r="A267" s="201" t="inlineStr">
        <is>
          <t>2026-09-11</t>
        </is>
      </c>
      <c r="B267" s="201" t="inlineStr">
        <is>
          <t>2026-09-01</t>
        </is>
      </c>
      <c r="C267" s="201" t="inlineStr">
        <is>
          <t>NV15</t>
        </is>
      </c>
      <c r="D267" s="202" t="inlineStr">
        <is>
          <t>Đặng Ngọc Long</t>
        </is>
      </c>
      <c r="E267" s="201" t="inlineStr">
        <is>
          <t>C1+2</t>
        </is>
      </c>
      <c r="F267" s="203" t="n">
        <v>1</v>
      </c>
      <c r="G267" s="203" t="n">
        <v>8</v>
      </c>
      <c r="H267" s="203" t="n">
        <v>2</v>
      </c>
      <c r="I267" s="203" t="n">
        <v>0</v>
      </c>
      <c r="J267" s="203" t="n">
        <v>0</v>
      </c>
      <c r="K267" s="203" t="n">
        <v>0</v>
      </c>
      <c r="L267" s="204" t="n">
        <v>0</v>
      </c>
      <c r="M267" s="204" t="n">
        <v>0</v>
      </c>
      <c r="N267" s="204" t="n">
        <v>0</v>
      </c>
      <c r="O267" s="203">
        <f>H267+I267+J267+L267+M267+N267</f>
        <v/>
      </c>
      <c r="P267" s="205" t="n">
        <v>15000</v>
      </c>
      <c r="Q267" s="204" t="n">
        <v>0</v>
      </c>
      <c r="R267" s="206" t="inlineStr">
        <is>
          <t>Đảm bảo tiến độ sản xuất</t>
        </is>
      </c>
      <c r="S267" s="207" t="inlineStr">
        <is>
          <t>CÓ</t>
        </is>
      </c>
      <c r="T267" s="207" t="inlineStr">
        <is>
          <t>ĐÃ DUYỆT</t>
        </is>
      </c>
      <c r="U267" s="206" t="inlineStr">
        <is>
          <t>Quản Đốc</t>
        </is>
      </c>
      <c r="V267" s="207" t="inlineStr">
        <is>
          <t>2026-09-11 17:00:00</t>
        </is>
      </c>
      <c r="W267" s="207" t="inlineStr">
        <is>
          <t>ERP_CHAM_CONG_2026</t>
        </is>
      </c>
      <c r="X267" s="207" t="inlineStr">
        <is>
          <t>HỢP LỆ</t>
        </is>
      </c>
    </row>
    <row r="268">
      <c r="A268" s="194" t="inlineStr">
        <is>
          <t>2026-09-12</t>
        </is>
      </c>
      <c r="B268" s="194" t="inlineStr">
        <is>
          <t>2026-09-01</t>
        </is>
      </c>
      <c r="C268" s="194" t="inlineStr">
        <is>
          <t>NV15</t>
        </is>
      </c>
      <c r="D268" s="195" t="inlineStr">
        <is>
          <t>Đặng Ngọc Long</t>
        </is>
      </c>
      <c r="E268" s="194" t="inlineStr">
        <is>
          <t>C1+2</t>
        </is>
      </c>
      <c r="F268" s="196" t="n">
        <v>1</v>
      </c>
      <c r="G268" s="196" t="n">
        <v>8</v>
      </c>
      <c r="H268" s="196" t="n">
        <v>2</v>
      </c>
      <c r="I268" s="196" t="n">
        <v>0</v>
      </c>
      <c r="J268" s="196" t="n">
        <v>0</v>
      </c>
      <c r="K268" s="196" t="n">
        <v>0</v>
      </c>
      <c r="L268" s="197" t="n">
        <v>0</v>
      </c>
      <c r="M268" s="197" t="n">
        <v>0</v>
      </c>
      <c r="N268" s="197" t="n">
        <v>0</v>
      </c>
      <c r="O268" s="196">
        <f>H268+I268+J268+L268+M268+N268</f>
        <v/>
      </c>
      <c r="P268" s="198" t="n">
        <v>15000</v>
      </c>
      <c r="Q268" s="197" t="n">
        <v>0</v>
      </c>
      <c r="R268" s="199" t="inlineStr">
        <is>
          <t>Đảm bảo tiến độ sản xuất</t>
        </is>
      </c>
      <c r="S268" s="200" t="inlineStr">
        <is>
          <t>CÓ</t>
        </is>
      </c>
      <c r="T268" s="200" t="inlineStr">
        <is>
          <t>ĐÃ DUYỆT</t>
        </is>
      </c>
      <c r="U268" s="199" t="inlineStr">
        <is>
          <t>Quản Đốc</t>
        </is>
      </c>
      <c r="V268" s="200" t="inlineStr">
        <is>
          <t>2026-09-12 17:00:00</t>
        </is>
      </c>
      <c r="W268" s="200" t="inlineStr">
        <is>
          <t>ERP_CHAM_CONG_2026</t>
        </is>
      </c>
      <c r="X268" s="200" t="inlineStr">
        <is>
          <t>HỢP LỆ</t>
        </is>
      </c>
    </row>
    <row r="269">
      <c r="A269" s="201" t="inlineStr">
        <is>
          <t>2026-09-13</t>
        </is>
      </c>
      <c r="B269" s="201" t="inlineStr">
        <is>
          <t>2026-09-01</t>
        </is>
      </c>
      <c r="C269" s="201" t="inlineStr">
        <is>
          <t>NV15</t>
        </is>
      </c>
      <c r="D269" s="202" t="inlineStr">
        <is>
          <t>Đặng Ngọc Long</t>
        </is>
      </c>
      <c r="E269" s="201" t="inlineStr">
        <is>
          <t>CN</t>
        </is>
      </c>
      <c r="F269" s="203" t="n">
        <v>0</v>
      </c>
      <c r="G269" s="203" t="n">
        <v>0</v>
      </c>
      <c r="H269" s="203" t="n">
        <v>0</v>
      </c>
      <c r="I269" s="203" t="n">
        <v>8</v>
      </c>
      <c r="J269" s="203" t="n">
        <v>0</v>
      </c>
      <c r="K269" s="203" t="n">
        <v>0</v>
      </c>
      <c r="L269" s="204" t="n">
        <v>0</v>
      </c>
      <c r="M269" s="204" t="n">
        <v>0</v>
      </c>
      <c r="N269" s="204" t="n">
        <v>0</v>
      </c>
      <c r="O269" s="203">
        <f>H269+I269+J269+L269+M269+N269</f>
        <v/>
      </c>
      <c r="P269" s="205" t="n">
        <v>30000</v>
      </c>
      <c r="Q269" s="204" t="n">
        <v>0</v>
      </c>
      <c r="R269" s="206" t="inlineStr">
        <is>
          <t>Đảm bảo tiến độ sản xuất</t>
        </is>
      </c>
      <c r="S269" s="207" t="inlineStr">
        <is>
          <t>CÓ</t>
        </is>
      </c>
      <c r="T269" s="207" t="inlineStr">
        <is>
          <t>ĐÃ DUYỆT</t>
        </is>
      </c>
      <c r="U269" s="206" t="inlineStr">
        <is>
          <t>Quản Đốc</t>
        </is>
      </c>
      <c r="V269" s="207" t="inlineStr">
        <is>
          <t>2026-09-13 17:00:00</t>
        </is>
      </c>
      <c r="W269" s="207" t="inlineStr">
        <is>
          <t>ERP_CHAM_CONG_2026</t>
        </is>
      </c>
      <c r="X269" s="207" t="inlineStr">
        <is>
          <t>HỢP LỆ</t>
        </is>
      </c>
    </row>
    <row r="270">
      <c r="A270" s="194" t="inlineStr">
        <is>
          <t>2026-09-14</t>
        </is>
      </c>
      <c r="B270" s="194" t="inlineStr">
        <is>
          <t>2026-09-01</t>
        </is>
      </c>
      <c r="C270" s="194" t="inlineStr">
        <is>
          <t>NV15</t>
        </is>
      </c>
      <c r="D270" s="195" t="inlineStr">
        <is>
          <t>Đặng Ngọc Long</t>
        </is>
      </c>
      <c r="E270" s="194" t="inlineStr">
        <is>
          <t>C1+2</t>
        </is>
      </c>
      <c r="F270" s="196" t="n">
        <v>1</v>
      </c>
      <c r="G270" s="196" t="n">
        <v>8</v>
      </c>
      <c r="H270" s="196" t="n">
        <v>2</v>
      </c>
      <c r="I270" s="196" t="n">
        <v>0</v>
      </c>
      <c r="J270" s="196" t="n">
        <v>0</v>
      </c>
      <c r="K270" s="196" t="n">
        <v>0</v>
      </c>
      <c r="L270" s="197" t="n">
        <v>0</v>
      </c>
      <c r="M270" s="197" t="n">
        <v>0</v>
      </c>
      <c r="N270" s="197" t="n">
        <v>0</v>
      </c>
      <c r="O270" s="196">
        <f>H270+I270+J270+L270+M270+N270</f>
        <v/>
      </c>
      <c r="P270" s="198" t="n">
        <v>15000</v>
      </c>
      <c r="Q270" s="197" t="n">
        <v>0</v>
      </c>
      <c r="R270" s="199" t="inlineStr">
        <is>
          <t>Đảm bảo tiến độ sản xuất</t>
        </is>
      </c>
      <c r="S270" s="200" t="inlineStr">
        <is>
          <t>CÓ</t>
        </is>
      </c>
      <c r="T270" s="200" t="inlineStr">
        <is>
          <t>ĐÃ DUYỆT</t>
        </is>
      </c>
      <c r="U270" s="199" t="inlineStr">
        <is>
          <t>Quản Đốc</t>
        </is>
      </c>
      <c r="V270" s="200" t="inlineStr">
        <is>
          <t>2026-09-14 17:00:00</t>
        </is>
      </c>
      <c r="W270" s="200" t="inlineStr">
        <is>
          <t>ERP_CHAM_CONG_2026</t>
        </is>
      </c>
      <c r="X270" s="200" t="inlineStr">
        <is>
          <t>HỢP LỆ</t>
        </is>
      </c>
    </row>
    <row r="271">
      <c r="A271" s="201" t="inlineStr">
        <is>
          <t>2026-09-03</t>
        </is>
      </c>
      <c r="B271" s="201" t="inlineStr">
        <is>
          <t>2026-09-01</t>
        </is>
      </c>
      <c r="C271" s="201" t="inlineStr">
        <is>
          <t>NV14</t>
        </is>
      </c>
      <c r="D271" s="202" t="inlineStr">
        <is>
          <t>Đinh Văn Nhận</t>
        </is>
      </c>
      <c r="E271" s="201" t="inlineStr">
        <is>
          <t>C1+2</t>
        </is>
      </c>
      <c r="F271" s="203" t="n">
        <v>1</v>
      </c>
      <c r="G271" s="203" t="n">
        <v>8</v>
      </c>
      <c r="H271" s="203" t="n">
        <v>2</v>
      </c>
      <c r="I271" s="203" t="n">
        <v>0</v>
      </c>
      <c r="J271" s="203" t="n">
        <v>0</v>
      </c>
      <c r="K271" s="203" t="n">
        <v>0</v>
      </c>
      <c r="L271" s="204" t="n">
        <v>0</v>
      </c>
      <c r="M271" s="204" t="n">
        <v>0</v>
      </c>
      <c r="N271" s="204" t="n">
        <v>0</v>
      </c>
      <c r="O271" s="203">
        <f>H271+I271+J271+L271+M271+N271</f>
        <v/>
      </c>
      <c r="P271" s="205" t="n">
        <v>15000</v>
      </c>
      <c r="Q271" s="204" t="n">
        <v>0</v>
      </c>
      <c r="R271" s="206" t="inlineStr">
        <is>
          <t>Đảm bảo tiến độ sản xuất</t>
        </is>
      </c>
      <c r="S271" s="207" t="inlineStr">
        <is>
          <t>CÓ</t>
        </is>
      </c>
      <c r="T271" s="207" t="inlineStr">
        <is>
          <t>ĐÃ DUYỆT</t>
        </is>
      </c>
      <c r="U271" s="206" t="inlineStr">
        <is>
          <t>Quản Đốc</t>
        </is>
      </c>
      <c r="V271" s="207" t="inlineStr">
        <is>
          <t>2026-09-03 17:00:00</t>
        </is>
      </c>
      <c r="W271" s="207" t="inlineStr">
        <is>
          <t>ERP_CHAM_CONG_2026</t>
        </is>
      </c>
      <c r="X271" s="207" t="inlineStr">
        <is>
          <t>HỢP LỆ</t>
        </is>
      </c>
    </row>
    <row r="272">
      <c r="A272" s="194" t="inlineStr">
        <is>
          <t>2026-09-04</t>
        </is>
      </c>
      <c r="B272" s="194" t="inlineStr">
        <is>
          <t>2026-09-01</t>
        </is>
      </c>
      <c r="C272" s="194" t="inlineStr">
        <is>
          <t>NV14</t>
        </is>
      </c>
      <c r="D272" s="195" t="inlineStr">
        <is>
          <t>Đinh Văn Nhận</t>
        </is>
      </c>
      <c r="E272" s="194" t="inlineStr">
        <is>
          <t>C1+2</t>
        </is>
      </c>
      <c r="F272" s="196" t="n">
        <v>1</v>
      </c>
      <c r="G272" s="196" t="n">
        <v>8</v>
      </c>
      <c r="H272" s="196" t="n">
        <v>2</v>
      </c>
      <c r="I272" s="196" t="n">
        <v>0</v>
      </c>
      <c r="J272" s="196" t="n">
        <v>0</v>
      </c>
      <c r="K272" s="196" t="n">
        <v>0</v>
      </c>
      <c r="L272" s="197" t="n">
        <v>0</v>
      </c>
      <c r="M272" s="197" t="n">
        <v>0</v>
      </c>
      <c r="N272" s="197" t="n">
        <v>0</v>
      </c>
      <c r="O272" s="196">
        <f>H272+I272+J272+L272+M272+N272</f>
        <v/>
      </c>
      <c r="P272" s="198" t="n">
        <v>15000</v>
      </c>
      <c r="Q272" s="197" t="n">
        <v>0</v>
      </c>
      <c r="R272" s="199" t="inlineStr">
        <is>
          <t>Đảm bảo tiến độ sản xuất</t>
        </is>
      </c>
      <c r="S272" s="200" t="inlineStr">
        <is>
          <t>CÓ</t>
        </is>
      </c>
      <c r="T272" s="200" t="inlineStr">
        <is>
          <t>ĐÃ DUYỆT</t>
        </is>
      </c>
      <c r="U272" s="199" t="inlineStr">
        <is>
          <t>Quản Đốc</t>
        </is>
      </c>
      <c r="V272" s="200" t="inlineStr">
        <is>
          <t>2026-09-04 17:00:00</t>
        </is>
      </c>
      <c r="W272" s="200" t="inlineStr">
        <is>
          <t>ERP_CHAM_CONG_2026</t>
        </is>
      </c>
      <c r="X272" s="200" t="inlineStr">
        <is>
          <t>HỢP LỆ</t>
        </is>
      </c>
    </row>
    <row r="273">
      <c r="A273" s="201" t="inlineStr">
        <is>
          <t>2026-09-05</t>
        </is>
      </c>
      <c r="B273" s="201" t="inlineStr">
        <is>
          <t>2026-09-01</t>
        </is>
      </c>
      <c r="C273" s="201" t="inlineStr">
        <is>
          <t>NV14</t>
        </is>
      </c>
      <c r="D273" s="202" t="inlineStr">
        <is>
          <t>Đinh Văn Nhận</t>
        </is>
      </c>
      <c r="E273" s="201" t="inlineStr">
        <is>
          <t>C1+2</t>
        </is>
      </c>
      <c r="F273" s="203" t="n">
        <v>1</v>
      </c>
      <c r="G273" s="203" t="n">
        <v>8</v>
      </c>
      <c r="H273" s="203" t="n">
        <v>2</v>
      </c>
      <c r="I273" s="203" t="n">
        <v>0</v>
      </c>
      <c r="J273" s="203" t="n">
        <v>0</v>
      </c>
      <c r="K273" s="203" t="n">
        <v>0</v>
      </c>
      <c r="L273" s="204" t="n">
        <v>0</v>
      </c>
      <c r="M273" s="204" t="n">
        <v>0</v>
      </c>
      <c r="N273" s="204" t="n">
        <v>0</v>
      </c>
      <c r="O273" s="203">
        <f>H273+I273+J273+L273+M273+N273</f>
        <v/>
      </c>
      <c r="P273" s="205" t="n">
        <v>15000</v>
      </c>
      <c r="Q273" s="204" t="n">
        <v>0</v>
      </c>
      <c r="R273" s="206" t="inlineStr">
        <is>
          <t>Đảm bảo tiến độ sản xuất</t>
        </is>
      </c>
      <c r="S273" s="207" t="inlineStr">
        <is>
          <t>CÓ</t>
        </is>
      </c>
      <c r="T273" s="207" t="inlineStr">
        <is>
          <t>ĐÃ DUYỆT</t>
        </is>
      </c>
      <c r="U273" s="206" t="inlineStr">
        <is>
          <t>Quản Đốc</t>
        </is>
      </c>
      <c r="V273" s="207" t="inlineStr">
        <is>
          <t>2026-09-05 17:00:00</t>
        </is>
      </c>
      <c r="W273" s="207" t="inlineStr">
        <is>
          <t>ERP_CHAM_CONG_2026</t>
        </is>
      </c>
      <c r="X273" s="207" t="inlineStr">
        <is>
          <t>HỢP LỆ</t>
        </is>
      </c>
    </row>
    <row r="274">
      <c r="A274" s="194" t="inlineStr">
        <is>
          <t>2026-09-06</t>
        </is>
      </c>
      <c r="B274" s="194" t="inlineStr">
        <is>
          <t>2026-09-01</t>
        </is>
      </c>
      <c r="C274" s="194" t="inlineStr">
        <is>
          <t>NV14</t>
        </is>
      </c>
      <c r="D274" s="195" t="inlineStr">
        <is>
          <t>Đinh Văn Nhận</t>
        </is>
      </c>
      <c r="E274" s="194" t="inlineStr">
        <is>
          <t>CN</t>
        </is>
      </c>
      <c r="F274" s="196" t="n">
        <v>0</v>
      </c>
      <c r="G274" s="196" t="n">
        <v>0</v>
      </c>
      <c r="H274" s="196" t="n">
        <v>0</v>
      </c>
      <c r="I274" s="196" t="n">
        <v>8</v>
      </c>
      <c r="J274" s="196" t="n">
        <v>0</v>
      </c>
      <c r="K274" s="196" t="n">
        <v>0</v>
      </c>
      <c r="L274" s="197" t="n">
        <v>0</v>
      </c>
      <c r="M274" s="197" t="n">
        <v>0</v>
      </c>
      <c r="N274" s="197" t="n">
        <v>0</v>
      </c>
      <c r="O274" s="196">
        <f>H274+I274+J274+L274+M274+N274</f>
        <v/>
      </c>
      <c r="P274" s="198" t="n">
        <v>30000</v>
      </c>
      <c r="Q274" s="197" t="n">
        <v>0</v>
      </c>
      <c r="R274" s="199" t="inlineStr">
        <is>
          <t>Đảm bảo tiến độ sản xuất</t>
        </is>
      </c>
      <c r="S274" s="200" t="inlineStr">
        <is>
          <t>CÓ</t>
        </is>
      </c>
      <c r="T274" s="200" t="inlineStr">
        <is>
          <t>ĐÃ DUYỆT</t>
        </is>
      </c>
      <c r="U274" s="199" t="inlineStr">
        <is>
          <t>Quản Đốc</t>
        </is>
      </c>
      <c r="V274" s="200" t="inlineStr">
        <is>
          <t>2026-09-06 17:00:00</t>
        </is>
      </c>
      <c r="W274" s="200" t="inlineStr">
        <is>
          <t>ERP_CHAM_CONG_2026</t>
        </is>
      </c>
      <c r="X274" s="200" t="inlineStr">
        <is>
          <t>HỢP LỆ</t>
        </is>
      </c>
    </row>
    <row r="275">
      <c r="A275" s="201" t="inlineStr">
        <is>
          <t>2026-09-07</t>
        </is>
      </c>
      <c r="B275" s="201" t="inlineStr">
        <is>
          <t>2026-09-01</t>
        </is>
      </c>
      <c r="C275" s="201" t="inlineStr">
        <is>
          <t>NV14</t>
        </is>
      </c>
      <c r="D275" s="202" t="inlineStr">
        <is>
          <t>Đinh Văn Nhận</t>
        </is>
      </c>
      <c r="E275" s="201" t="inlineStr">
        <is>
          <t>C3+2</t>
        </is>
      </c>
      <c r="F275" s="203" t="n">
        <v>1</v>
      </c>
      <c r="G275" s="203" t="n">
        <v>8</v>
      </c>
      <c r="H275" s="203" t="n">
        <v>2</v>
      </c>
      <c r="I275" s="203" t="n">
        <v>0</v>
      </c>
      <c r="J275" s="203" t="n">
        <v>0</v>
      </c>
      <c r="K275" s="203" t="n">
        <v>8</v>
      </c>
      <c r="L275" s="204" t="n">
        <v>0</v>
      </c>
      <c r="M275" s="204" t="n">
        <v>0</v>
      </c>
      <c r="N275" s="204" t="n">
        <v>0</v>
      </c>
      <c r="O275" s="203">
        <f>H275+I275+J275+L275+M275+N275</f>
        <v/>
      </c>
      <c r="P275" s="205" t="n">
        <v>10000</v>
      </c>
      <c r="Q275" s="204" t="n">
        <v>0</v>
      </c>
      <c r="R275" s="206" t="inlineStr">
        <is>
          <t>Đảm bảo tiến độ sản xuất</t>
        </is>
      </c>
      <c r="S275" s="207" t="inlineStr">
        <is>
          <t>CÓ</t>
        </is>
      </c>
      <c r="T275" s="207" t="inlineStr">
        <is>
          <t>ĐÃ DUYỆT</t>
        </is>
      </c>
      <c r="U275" s="206" t="inlineStr">
        <is>
          <t>Quản Đốc</t>
        </is>
      </c>
      <c r="V275" s="207" t="inlineStr">
        <is>
          <t>2026-09-07 17:00:00</t>
        </is>
      </c>
      <c r="W275" s="207" t="inlineStr">
        <is>
          <t>ERP_CHAM_CONG_2026</t>
        </is>
      </c>
      <c r="X275" s="207" t="inlineStr">
        <is>
          <t>HỢP LỆ</t>
        </is>
      </c>
    </row>
    <row r="276">
      <c r="A276" s="194" t="inlineStr">
        <is>
          <t>2026-09-08</t>
        </is>
      </c>
      <c r="B276" s="194" t="inlineStr">
        <is>
          <t>2026-09-01</t>
        </is>
      </c>
      <c r="C276" s="194" t="inlineStr">
        <is>
          <t>NV14</t>
        </is>
      </c>
      <c r="D276" s="195" t="inlineStr">
        <is>
          <t>Đinh Văn Nhận</t>
        </is>
      </c>
      <c r="E276" s="194" t="inlineStr">
        <is>
          <t>C3+2</t>
        </is>
      </c>
      <c r="F276" s="196" t="n">
        <v>1</v>
      </c>
      <c r="G276" s="196" t="n">
        <v>8</v>
      </c>
      <c r="H276" s="196" t="n">
        <v>2</v>
      </c>
      <c r="I276" s="196" t="n">
        <v>0</v>
      </c>
      <c r="J276" s="196" t="n">
        <v>0</v>
      </c>
      <c r="K276" s="196" t="n">
        <v>8</v>
      </c>
      <c r="L276" s="197" t="n">
        <v>0</v>
      </c>
      <c r="M276" s="197" t="n">
        <v>0</v>
      </c>
      <c r="N276" s="197" t="n">
        <v>0</v>
      </c>
      <c r="O276" s="196">
        <f>H276+I276+J276+L276+M276+N276</f>
        <v/>
      </c>
      <c r="P276" s="198" t="n">
        <v>10000</v>
      </c>
      <c r="Q276" s="197" t="n">
        <v>0</v>
      </c>
      <c r="R276" s="199" t="inlineStr">
        <is>
          <t>Đảm bảo tiến độ sản xuất</t>
        </is>
      </c>
      <c r="S276" s="200" t="inlineStr">
        <is>
          <t>CÓ</t>
        </is>
      </c>
      <c r="T276" s="200" t="inlineStr">
        <is>
          <t>ĐÃ DUYỆT</t>
        </is>
      </c>
      <c r="U276" s="199" t="inlineStr">
        <is>
          <t>Quản Đốc</t>
        </is>
      </c>
      <c r="V276" s="200" t="inlineStr">
        <is>
          <t>2026-09-08 17:00:00</t>
        </is>
      </c>
      <c r="W276" s="200" t="inlineStr">
        <is>
          <t>ERP_CHAM_CONG_2026</t>
        </is>
      </c>
      <c r="X276" s="200" t="inlineStr">
        <is>
          <t>HỢP LỆ</t>
        </is>
      </c>
    </row>
    <row r="277">
      <c r="A277" s="201" t="inlineStr">
        <is>
          <t>2026-09-09</t>
        </is>
      </c>
      <c r="B277" s="201" t="inlineStr">
        <is>
          <t>2026-09-01</t>
        </is>
      </c>
      <c r="C277" s="201" t="inlineStr">
        <is>
          <t>NV14</t>
        </is>
      </c>
      <c r="D277" s="202" t="inlineStr">
        <is>
          <t>Đinh Văn Nhận</t>
        </is>
      </c>
      <c r="E277" s="201" t="inlineStr">
        <is>
          <t>C3+2</t>
        </is>
      </c>
      <c r="F277" s="203" t="n">
        <v>1</v>
      </c>
      <c r="G277" s="203" t="n">
        <v>8</v>
      </c>
      <c r="H277" s="203" t="n">
        <v>2</v>
      </c>
      <c r="I277" s="203" t="n">
        <v>0</v>
      </c>
      <c r="J277" s="203" t="n">
        <v>0</v>
      </c>
      <c r="K277" s="203" t="n">
        <v>8</v>
      </c>
      <c r="L277" s="204" t="n">
        <v>0</v>
      </c>
      <c r="M277" s="204" t="n">
        <v>0</v>
      </c>
      <c r="N277" s="204" t="n">
        <v>0</v>
      </c>
      <c r="O277" s="203">
        <f>H277+I277+J277+L277+M277+N277</f>
        <v/>
      </c>
      <c r="P277" s="205" t="n">
        <v>10000</v>
      </c>
      <c r="Q277" s="204" t="n">
        <v>0</v>
      </c>
      <c r="R277" s="206" t="inlineStr">
        <is>
          <t>Đảm bảo tiến độ sản xuất</t>
        </is>
      </c>
      <c r="S277" s="207" t="inlineStr">
        <is>
          <t>CÓ</t>
        </is>
      </c>
      <c r="T277" s="207" t="inlineStr">
        <is>
          <t>ĐÃ DUYỆT</t>
        </is>
      </c>
      <c r="U277" s="206" t="inlineStr">
        <is>
          <t>Quản Đốc</t>
        </is>
      </c>
      <c r="V277" s="207" t="inlineStr">
        <is>
          <t>2026-09-09 17:00:00</t>
        </is>
      </c>
      <c r="W277" s="207" t="inlineStr">
        <is>
          <t>ERP_CHAM_CONG_2026</t>
        </is>
      </c>
      <c r="X277" s="207" t="inlineStr">
        <is>
          <t>HỢP LỆ</t>
        </is>
      </c>
    </row>
    <row r="278">
      <c r="A278" s="194" t="inlineStr">
        <is>
          <t>2026-09-10</t>
        </is>
      </c>
      <c r="B278" s="194" t="inlineStr">
        <is>
          <t>2026-09-01</t>
        </is>
      </c>
      <c r="C278" s="194" t="inlineStr">
        <is>
          <t>NV14</t>
        </is>
      </c>
      <c r="D278" s="195" t="inlineStr">
        <is>
          <t>Đinh Văn Nhận</t>
        </is>
      </c>
      <c r="E278" s="194" t="inlineStr">
        <is>
          <t>C1+2</t>
        </is>
      </c>
      <c r="F278" s="196" t="n">
        <v>1</v>
      </c>
      <c r="G278" s="196" t="n">
        <v>8</v>
      </c>
      <c r="H278" s="196" t="n">
        <v>2</v>
      </c>
      <c r="I278" s="196" t="n">
        <v>0</v>
      </c>
      <c r="J278" s="196" t="n">
        <v>0</v>
      </c>
      <c r="K278" s="196" t="n">
        <v>0</v>
      </c>
      <c r="L278" s="197" t="n">
        <v>0</v>
      </c>
      <c r="M278" s="197" t="n">
        <v>0</v>
      </c>
      <c r="N278" s="197" t="n">
        <v>0</v>
      </c>
      <c r="O278" s="196">
        <f>H278+I278+J278+L278+M278+N278</f>
        <v/>
      </c>
      <c r="P278" s="198" t="n">
        <v>10000</v>
      </c>
      <c r="Q278" s="197" t="n">
        <v>0</v>
      </c>
      <c r="R278" s="199" t="inlineStr">
        <is>
          <t>Đảm bảo tiến độ sản xuất</t>
        </is>
      </c>
      <c r="S278" s="200" t="inlineStr">
        <is>
          <t>CÓ</t>
        </is>
      </c>
      <c r="T278" s="200" t="inlineStr">
        <is>
          <t>ĐÃ DUYỆT</t>
        </is>
      </c>
      <c r="U278" s="199" t="inlineStr">
        <is>
          <t>Quản Đốc</t>
        </is>
      </c>
      <c r="V278" s="200" t="inlineStr">
        <is>
          <t>2026-09-10 17:00:00</t>
        </is>
      </c>
      <c r="W278" s="200" t="inlineStr">
        <is>
          <t>ERP_CHAM_CONG_2026</t>
        </is>
      </c>
      <c r="X278" s="200" t="inlineStr">
        <is>
          <t>HỢP LỆ</t>
        </is>
      </c>
    </row>
    <row r="279">
      <c r="A279" s="201" t="inlineStr">
        <is>
          <t>2026-09-11</t>
        </is>
      </c>
      <c r="B279" s="201" t="inlineStr">
        <is>
          <t>2026-09-01</t>
        </is>
      </c>
      <c r="C279" s="201" t="inlineStr">
        <is>
          <t>NV14</t>
        </is>
      </c>
      <c r="D279" s="202" t="inlineStr">
        <is>
          <t>Đinh Văn Nhận</t>
        </is>
      </c>
      <c r="E279" s="201" t="inlineStr">
        <is>
          <t>C1+2</t>
        </is>
      </c>
      <c r="F279" s="203" t="n">
        <v>1</v>
      </c>
      <c r="G279" s="203" t="n">
        <v>8</v>
      </c>
      <c r="H279" s="203" t="n">
        <v>2</v>
      </c>
      <c r="I279" s="203" t="n">
        <v>0</v>
      </c>
      <c r="J279" s="203" t="n">
        <v>0</v>
      </c>
      <c r="K279" s="203" t="n">
        <v>0</v>
      </c>
      <c r="L279" s="204" t="n">
        <v>0</v>
      </c>
      <c r="M279" s="204" t="n">
        <v>0</v>
      </c>
      <c r="N279" s="204" t="n">
        <v>0</v>
      </c>
      <c r="O279" s="203">
        <f>H279+I279+J279+L279+M279+N279</f>
        <v/>
      </c>
      <c r="P279" s="205" t="n">
        <v>10000</v>
      </c>
      <c r="Q279" s="204" t="n">
        <v>0</v>
      </c>
      <c r="R279" s="206" t="inlineStr">
        <is>
          <t>Đảm bảo tiến độ sản xuất</t>
        </is>
      </c>
      <c r="S279" s="207" t="inlineStr">
        <is>
          <t>CÓ</t>
        </is>
      </c>
      <c r="T279" s="207" t="inlineStr">
        <is>
          <t>ĐÃ DUYỆT</t>
        </is>
      </c>
      <c r="U279" s="206" t="inlineStr">
        <is>
          <t>Quản Đốc</t>
        </is>
      </c>
      <c r="V279" s="207" t="inlineStr">
        <is>
          <t>2026-09-11 17:00:00</t>
        </is>
      </c>
      <c r="W279" s="207" t="inlineStr">
        <is>
          <t>ERP_CHAM_CONG_2026</t>
        </is>
      </c>
      <c r="X279" s="207" t="inlineStr">
        <is>
          <t>HỢP LỆ</t>
        </is>
      </c>
    </row>
    <row r="280">
      <c r="A280" s="194" t="inlineStr">
        <is>
          <t>2026-09-12</t>
        </is>
      </c>
      <c r="B280" s="194" t="inlineStr">
        <is>
          <t>2026-09-01</t>
        </is>
      </c>
      <c r="C280" s="194" t="inlineStr">
        <is>
          <t>NV14</t>
        </is>
      </c>
      <c r="D280" s="195" t="inlineStr">
        <is>
          <t>Đinh Văn Nhận</t>
        </is>
      </c>
      <c r="E280" s="194" t="inlineStr">
        <is>
          <t>C1+2</t>
        </is>
      </c>
      <c r="F280" s="196" t="n">
        <v>1</v>
      </c>
      <c r="G280" s="196" t="n">
        <v>8</v>
      </c>
      <c r="H280" s="196" t="n">
        <v>2</v>
      </c>
      <c r="I280" s="196" t="n">
        <v>0</v>
      </c>
      <c r="J280" s="196" t="n">
        <v>0</v>
      </c>
      <c r="K280" s="196" t="n">
        <v>0</v>
      </c>
      <c r="L280" s="197" t="n">
        <v>0</v>
      </c>
      <c r="M280" s="197" t="n">
        <v>0</v>
      </c>
      <c r="N280" s="197" t="n">
        <v>0</v>
      </c>
      <c r="O280" s="196">
        <f>H280+I280+J280+L280+M280+N280</f>
        <v/>
      </c>
      <c r="P280" s="198" t="n">
        <v>10000</v>
      </c>
      <c r="Q280" s="197" t="n">
        <v>0</v>
      </c>
      <c r="R280" s="199" t="inlineStr">
        <is>
          <t>Đảm bảo tiến độ sản xuất</t>
        </is>
      </c>
      <c r="S280" s="200" t="inlineStr">
        <is>
          <t>CÓ</t>
        </is>
      </c>
      <c r="T280" s="200" t="inlineStr">
        <is>
          <t>ĐÃ DUYỆT</t>
        </is>
      </c>
      <c r="U280" s="199" t="inlineStr">
        <is>
          <t>Quản Đốc</t>
        </is>
      </c>
      <c r="V280" s="200" t="inlineStr">
        <is>
          <t>2026-09-12 17:00:00</t>
        </is>
      </c>
      <c r="W280" s="200" t="inlineStr">
        <is>
          <t>ERP_CHAM_CONG_2026</t>
        </is>
      </c>
      <c r="X280" s="200" t="inlineStr">
        <is>
          <t>HỢP LỆ</t>
        </is>
      </c>
    </row>
    <row r="281">
      <c r="A281" s="201" t="inlineStr">
        <is>
          <t>2026-09-13</t>
        </is>
      </c>
      <c r="B281" s="201" t="inlineStr">
        <is>
          <t>2026-09-01</t>
        </is>
      </c>
      <c r="C281" s="201" t="inlineStr">
        <is>
          <t>NV14</t>
        </is>
      </c>
      <c r="D281" s="202" t="inlineStr">
        <is>
          <t>Đinh Văn Nhận</t>
        </is>
      </c>
      <c r="E281" s="201" t="inlineStr">
        <is>
          <t>CN</t>
        </is>
      </c>
      <c r="F281" s="203" t="n">
        <v>0</v>
      </c>
      <c r="G281" s="203" t="n">
        <v>0</v>
      </c>
      <c r="H281" s="203" t="n">
        <v>0</v>
      </c>
      <c r="I281" s="203" t="n">
        <v>8</v>
      </c>
      <c r="J281" s="203" t="n">
        <v>0</v>
      </c>
      <c r="K281" s="203" t="n">
        <v>0</v>
      </c>
      <c r="L281" s="204" t="n">
        <v>0</v>
      </c>
      <c r="M281" s="204" t="n">
        <v>0</v>
      </c>
      <c r="N281" s="204" t="n">
        <v>0</v>
      </c>
      <c r="O281" s="203">
        <f>H281+I281+J281+L281+M281+N281</f>
        <v/>
      </c>
      <c r="P281" s="205" t="n">
        <v>30000</v>
      </c>
      <c r="Q281" s="204" t="n">
        <v>0</v>
      </c>
      <c r="R281" s="206" t="inlineStr">
        <is>
          <t>Đảm bảo tiến độ sản xuất</t>
        </is>
      </c>
      <c r="S281" s="207" t="inlineStr">
        <is>
          <t>CÓ</t>
        </is>
      </c>
      <c r="T281" s="207" t="inlineStr">
        <is>
          <t>ĐÃ DUYỆT</t>
        </is>
      </c>
      <c r="U281" s="206" t="inlineStr">
        <is>
          <t>Quản Đốc</t>
        </is>
      </c>
      <c r="V281" s="207" t="inlineStr">
        <is>
          <t>2026-09-13 17:00:00</t>
        </is>
      </c>
      <c r="W281" s="207" t="inlineStr">
        <is>
          <t>ERP_CHAM_CONG_2026</t>
        </is>
      </c>
      <c r="X281" s="207" t="inlineStr">
        <is>
          <t>HỢP LỆ</t>
        </is>
      </c>
    </row>
    <row r="282">
      <c r="A282" s="194" t="inlineStr">
        <is>
          <t>2026-09-14</t>
        </is>
      </c>
      <c r="B282" s="194" t="inlineStr">
        <is>
          <t>2026-09-01</t>
        </is>
      </c>
      <c r="C282" s="194" t="inlineStr">
        <is>
          <t>NV14</t>
        </is>
      </c>
      <c r="D282" s="195" t="inlineStr">
        <is>
          <t>Đinh Văn Nhận</t>
        </is>
      </c>
      <c r="E282" s="194" t="inlineStr">
        <is>
          <t>C1+2</t>
        </is>
      </c>
      <c r="F282" s="196" t="n">
        <v>1</v>
      </c>
      <c r="G282" s="196" t="n">
        <v>8</v>
      </c>
      <c r="H282" s="196" t="n">
        <v>2</v>
      </c>
      <c r="I282" s="196" t="n">
        <v>0</v>
      </c>
      <c r="J282" s="196" t="n">
        <v>0</v>
      </c>
      <c r="K282" s="196" t="n">
        <v>0</v>
      </c>
      <c r="L282" s="197" t="n">
        <v>0</v>
      </c>
      <c r="M282" s="197" t="n">
        <v>0</v>
      </c>
      <c r="N282" s="197" t="n">
        <v>0</v>
      </c>
      <c r="O282" s="196">
        <f>H282+I282+J282+L282+M282+N282</f>
        <v/>
      </c>
      <c r="P282" s="198" t="n">
        <v>15000</v>
      </c>
      <c r="Q282" s="197" t="n">
        <v>0</v>
      </c>
      <c r="R282" s="199" t="inlineStr">
        <is>
          <t>Đảm bảo tiến độ sản xuất</t>
        </is>
      </c>
      <c r="S282" s="200" t="inlineStr">
        <is>
          <t>CÓ</t>
        </is>
      </c>
      <c r="T282" s="200" t="inlineStr">
        <is>
          <t>ĐÃ DUYỆT</t>
        </is>
      </c>
      <c r="U282" s="199" t="inlineStr">
        <is>
          <t>Quản Đốc</t>
        </is>
      </c>
      <c r="V282" s="200" t="inlineStr">
        <is>
          <t>2026-09-14 17:00:00</t>
        </is>
      </c>
      <c r="W282" s="200" t="inlineStr">
        <is>
          <t>ERP_CHAM_CONG_2026</t>
        </is>
      </c>
      <c r="X282" s="200" t="inlineStr">
        <is>
          <t>HỢP LỆ</t>
        </is>
      </c>
    </row>
    <row r="283">
      <c r="A283" s="201" t="inlineStr">
        <is>
          <t>2026-09-03</t>
        </is>
      </c>
      <c r="B283" s="201" t="inlineStr">
        <is>
          <t>2026-09-01</t>
        </is>
      </c>
      <c r="C283" s="201" t="inlineStr">
        <is>
          <t>NV07</t>
        </is>
      </c>
      <c r="D283" s="202" t="inlineStr">
        <is>
          <t>Phùng Gia Phúc</t>
        </is>
      </c>
      <c r="E283" s="201" t="inlineStr">
        <is>
          <t>C1+2</t>
        </is>
      </c>
      <c r="F283" s="203" t="n">
        <v>1</v>
      </c>
      <c r="G283" s="203" t="n">
        <v>8</v>
      </c>
      <c r="H283" s="203" t="n">
        <v>2</v>
      </c>
      <c r="I283" s="203" t="n">
        <v>0</v>
      </c>
      <c r="J283" s="203" t="n">
        <v>0</v>
      </c>
      <c r="K283" s="203" t="n">
        <v>0</v>
      </c>
      <c r="L283" s="204" t="n">
        <v>0</v>
      </c>
      <c r="M283" s="204" t="n">
        <v>0</v>
      </c>
      <c r="N283" s="204" t="n">
        <v>0</v>
      </c>
      <c r="O283" s="203">
        <f>H283+I283+J283+L283+M283+N283</f>
        <v/>
      </c>
      <c r="P283" s="205" t="n">
        <v>15000</v>
      </c>
      <c r="Q283" s="204" t="n">
        <v>0</v>
      </c>
      <c r="R283" s="206" t="inlineStr">
        <is>
          <t>Đảm bảo tiến độ sản xuất</t>
        </is>
      </c>
      <c r="S283" s="207" t="inlineStr">
        <is>
          <t>CÓ</t>
        </is>
      </c>
      <c r="T283" s="207" t="inlineStr">
        <is>
          <t>ĐÃ DUYỆT</t>
        </is>
      </c>
      <c r="U283" s="206" t="inlineStr">
        <is>
          <t>Quản Đốc</t>
        </is>
      </c>
      <c r="V283" s="207" t="inlineStr">
        <is>
          <t>2026-09-03 17:00:00</t>
        </is>
      </c>
      <c r="W283" s="207" t="inlineStr">
        <is>
          <t>ERP_CHAM_CONG_2026</t>
        </is>
      </c>
      <c r="X283" s="207" t="inlineStr">
        <is>
          <t>HỢP LỆ</t>
        </is>
      </c>
    </row>
    <row r="284">
      <c r="A284" s="194" t="inlineStr">
        <is>
          <t>2026-09-04</t>
        </is>
      </c>
      <c r="B284" s="194" t="inlineStr">
        <is>
          <t>2026-09-01</t>
        </is>
      </c>
      <c r="C284" s="194" t="inlineStr">
        <is>
          <t>NV07</t>
        </is>
      </c>
      <c r="D284" s="195" t="inlineStr">
        <is>
          <t>Phùng Gia Phúc</t>
        </is>
      </c>
      <c r="E284" s="194" t="inlineStr">
        <is>
          <t>C1+2</t>
        </is>
      </c>
      <c r="F284" s="196" t="n">
        <v>1</v>
      </c>
      <c r="G284" s="196" t="n">
        <v>8</v>
      </c>
      <c r="H284" s="196" t="n">
        <v>2</v>
      </c>
      <c r="I284" s="196" t="n">
        <v>0</v>
      </c>
      <c r="J284" s="196" t="n">
        <v>0</v>
      </c>
      <c r="K284" s="196" t="n">
        <v>0</v>
      </c>
      <c r="L284" s="197" t="n">
        <v>0</v>
      </c>
      <c r="M284" s="197" t="n">
        <v>0</v>
      </c>
      <c r="N284" s="197" t="n">
        <v>0</v>
      </c>
      <c r="O284" s="196">
        <f>H284+I284+J284+L284+M284+N284</f>
        <v/>
      </c>
      <c r="P284" s="198" t="n">
        <v>15000</v>
      </c>
      <c r="Q284" s="197" t="n">
        <v>0</v>
      </c>
      <c r="R284" s="199" t="inlineStr">
        <is>
          <t>Đảm bảo tiến độ sản xuất</t>
        </is>
      </c>
      <c r="S284" s="200" t="inlineStr">
        <is>
          <t>CÓ</t>
        </is>
      </c>
      <c r="T284" s="200" t="inlineStr">
        <is>
          <t>ĐÃ DUYỆT</t>
        </is>
      </c>
      <c r="U284" s="199" t="inlineStr">
        <is>
          <t>Quản Đốc</t>
        </is>
      </c>
      <c r="V284" s="200" t="inlineStr">
        <is>
          <t>2026-09-04 17:00:00</t>
        </is>
      </c>
      <c r="W284" s="200" t="inlineStr">
        <is>
          <t>ERP_CHAM_CONG_2026</t>
        </is>
      </c>
      <c r="X284" s="200" t="inlineStr">
        <is>
          <t>HỢP LỆ</t>
        </is>
      </c>
    </row>
    <row r="285">
      <c r="A285" s="201" t="inlineStr">
        <is>
          <t>2026-09-05</t>
        </is>
      </c>
      <c r="B285" s="201" t="inlineStr">
        <is>
          <t>2026-09-01</t>
        </is>
      </c>
      <c r="C285" s="201" t="inlineStr">
        <is>
          <t>NV07</t>
        </is>
      </c>
      <c r="D285" s="202" t="inlineStr">
        <is>
          <t>Phùng Gia Phúc</t>
        </is>
      </c>
      <c r="E285" s="201" t="inlineStr">
        <is>
          <t>C1+2</t>
        </is>
      </c>
      <c r="F285" s="203" t="n">
        <v>1</v>
      </c>
      <c r="G285" s="203" t="n">
        <v>8</v>
      </c>
      <c r="H285" s="203" t="n">
        <v>2</v>
      </c>
      <c r="I285" s="203" t="n">
        <v>0</v>
      </c>
      <c r="J285" s="203" t="n">
        <v>0</v>
      </c>
      <c r="K285" s="203" t="n">
        <v>0</v>
      </c>
      <c r="L285" s="208" t="n">
        <v>0</v>
      </c>
      <c r="M285" s="208" t="n">
        <v>0</v>
      </c>
      <c r="N285" s="208" t="n">
        <v>0</v>
      </c>
      <c r="O285" s="203">
        <f>H285+I285+J285+L285+M285+N285</f>
        <v/>
      </c>
      <c r="P285" s="205" t="n">
        <v>15000</v>
      </c>
      <c r="Q285" s="208" t="n">
        <v>0</v>
      </c>
      <c r="R285" s="209" t="inlineStr">
        <is>
          <t>Đảm bảo tiến độ sản xuất</t>
        </is>
      </c>
      <c r="S285" s="209" t="inlineStr">
        <is>
          <t>CÓ</t>
        </is>
      </c>
      <c r="T285" s="209" t="inlineStr">
        <is>
          <t>ĐÃ DUYỆT</t>
        </is>
      </c>
      <c r="U285" s="209" t="inlineStr">
        <is>
          <t>Quản Đốc</t>
        </is>
      </c>
      <c r="V285" s="209" t="inlineStr">
        <is>
          <t>2026-09-05 17:00:00</t>
        </is>
      </c>
      <c r="W285" s="209" t="inlineStr">
        <is>
          <t>ERP_CHAM_CONG_2026</t>
        </is>
      </c>
      <c r="X285" s="209" t="inlineStr">
        <is>
          <t>HỢP LỆ</t>
        </is>
      </c>
    </row>
    <row r="286">
      <c r="A286" s="194" t="inlineStr">
        <is>
          <t>2026-09-06</t>
        </is>
      </c>
      <c r="B286" s="194" t="inlineStr">
        <is>
          <t>2026-09-01</t>
        </is>
      </c>
      <c r="C286" s="194" t="inlineStr">
        <is>
          <t>NV07</t>
        </is>
      </c>
      <c r="D286" s="195" t="inlineStr">
        <is>
          <t>Phùng Gia Phúc</t>
        </is>
      </c>
      <c r="E286" s="194" t="inlineStr">
        <is>
          <t>CN</t>
        </is>
      </c>
      <c r="F286" s="196" t="n">
        <v>0</v>
      </c>
      <c r="G286" s="196" t="n">
        <v>0</v>
      </c>
      <c r="H286" s="196" t="n">
        <v>0</v>
      </c>
      <c r="I286" s="196" t="n">
        <v>8</v>
      </c>
      <c r="J286" s="196" t="n">
        <v>0</v>
      </c>
      <c r="K286" s="196" t="n">
        <v>0</v>
      </c>
      <c r="L286" s="210" t="n">
        <v>0</v>
      </c>
      <c r="M286" s="210" t="n">
        <v>0</v>
      </c>
      <c r="N286" s="210" t="n">
        <v>0</v>
      </c>
      <c r="O286" s="196">
        <f>H286+I286+J286+L286+M286+N286</f>
        <v/>
      </c>
      <c r="P286" s="198" t="n">
        <v>30000</v>
      </c>
      <c r="Q286" s="210" t="n">
        <v>0</v>
      </c>
      <c r="R286" s="211" t="inlineStr">
        <is>
          <t>Đảm bảo tiến độ sản xuất</t>
        </is>
      </c>
      <c r="S286" s="211" t="inlineStr">
        <is>
          <t>CÓ</t>
        </is>
      </c>
      <c r="T286" s="211" t="inlineStr">
        <is>
          <t>ĐÃ DUYỆT</t>
        </is>
      </c>
      <c r="U286" s="211" t="inlineStr">
        <is>
          <t>Quản Đốc</t>
        </is>
      </c>
      <c r="V286" s="211" t="inlineStr">
        <is>
          <t>2026-09-06 17:00:00</t>
        </is>
      </c>
      <c r="W286" s="211" t="inlineStr">
        <is>
          <t>ERP_CHAM_CONG_2026</t>
        </is>
      </c>
      <c r="X286" s="211" t="inlineStr">
        <is>
          <t>HỢP LỆ</t>
        </is>
      </c>
    </row>
    <row r="287">
      <c r="A287" s="201" t="inlineStr">
        <is>
          <t>2026-09-07</t>
        </is>
      </c>
      <c r="B287" s="201" t="inlineStr">
        <is>
          <t>2026-09-01</t>
        </is>
      </c>
      <c r="C287" s="201" t="inlineStr">
        <is>
          <t>NV07</t>
        </is>
      </c>
      <c r="D287" s="202" t="inlineStr">
        <is>
          <t>Phùng Gia Phúc</t>
        </is>
      </c>
      <c r="E287" s="201" t="inlineStr">
        <is>
          <t>C3</t>
        </is>
      </c>
      <c r="F287" s="203" t="n">
        <v>1</v>
      </c>
      <c r="G287" s="203" t="n">
        <v>8</v>
      </c>
      <c r="H287" s="203" t="n">
        <v>0</v>
      </c>
      <c r="I287" s="203" t="n">
        <v>0</v>
      </c>
      <c r="J287" s="203" t="n">
        <v>0</v>
      </c>
      <c r="K287" s="203" t="n">
        <v>8</v>
      </c>
      <c r="L287" s="208" t="n">
        <v>0</v>
      </c>
      <c r="M287" s="208" t="n">
        <v>0</v>
      </c>
      <c r="N287" s="208" t="n">
        <v>0</v>
      </c>
      <c r="O287" s="203">
        <f>H287+I287+J287+L287+M287+N287</f>
        <v/>
      </c>
      <c r="P287" s="205" t="n">
        <v>0</v>
      </c>
      <c r="Q287" s="208" t="n">
        <v>0</v>
      </c>
      <c r="R287" s="209" t="inlineStr"/>
      <c r="S287" s="209" t="inlineStr">
        <is>
          <t>KHÔNG</t>
        </is>
      </c>
      <c r="T287" s="209" t="inlineStr">
        <is>
          <t>ĐÃ DUYỆT</t>
        </is>
      </c>
      <c r="U287" s="209" t="inlineStr">
        <is>
          <t>Quản Đốc</t>
        </is>
      </c>
      <c r="V287" s="209" t="inlineStr">
        <is>
          <t>2026-09-07 17:00:00</t>
        </is>
      </c>
      <c r="W287" s="209" t="inlineStr">
        <is>
          <t>ERP_CHAM_CONG_2026</t>
        </is>
      </c>
      <c r="X287" s="209" t="inlineStr">
        <is>
          <t>HỢP LỆ</t>
        </is>
      </c>
    </row>
    <row r="288">
      <c r="A288" s="194" t="inlineStr">
        <is>
          <t>2026-09-08</t>
        </is>
      </c>
      <c r="B288" s="194" t="inlineStr">
        <is>
          <t>2026-09-01</t>
        </is>
      </c>
      <c r="C288" s="194" t="inlineStr">
        <is>
          <t>NV07</t>
        </is>
      </c>
      <c r="D288" s="195" t="inlineStr">
        <is>
          <t>Phùng Gia Phúc</t>
        </is>
      </c>
      <c r="E288" s="194" t="inlineStr">
        <is>
          <t>C3</t>
        </is>
      </c>
      <c r="F288" s="196" t="n">
        <v>1</v>
      </c>
      <c r="G288" s="196" t="n">
        <v>8</v>
      </c>
      <c r="H288" s="196" t="n">
        <v>0</v>
      </c>
      <c r="I288" s="196" t="n">
        <v>0</v>
      </c>
      <c r="J288" s="196" t="n">
        <v>0</v>
      </c>
      <c r="K288" s="196" t="n">
        <v>8</v>
      </c>
      <c r="L288" s="210" t="n">
        <v>0</v>
      </c>
      <c r="M288" s="210" t="n">
        <v>0</v>
      </c>
      <c r="N288" s="210" t="n">
        <v>0</v>
      </c>
      <c r="O288" s="196">
        <f>H288+I288+J288+L288+M288+N288</f>
        <v/>
      </c>
      <c r="P288" s="198" t="n">
        <v>0</v>
      </c>
      <c r="Q288" s="210" t="n">
        <v>0</v>
      </c>
      <c r="R288" s="211" t="inlineStr"/>
      <c r="S288" s="211" t="inlineStr">
        <is>
          <t>KHÔNG</t>
        </is>
      </c>
      <c r="T288" s="211" t="inlineStr">
        <is>
          <t>ĐÃ DUYỆT</t>
        </is>
      </c>
      <c r="U288" s="211" t="inlineStr">
        <is>
          <t>Quản Đốc</t>
        </is>
      </c>
      <c r="V288" s="211" t="inlineStr">
        <is>
          <t>2026-09-08 17:00:00</t>
        </is>
      </c>
      <c r="W288" s="211" t="inlineStr">
        <is>
          <t>ERP_CHAM_CONG_2026</t>
        </is>
      </c>
      <c r="X288" s="211" t="inlineStr">
        <is>
          <t>HỢP LỆ</t>
        </is>
      </c>
    </row>
    <row r="289">
      <c r="A289" s="201" t="inlineStr">
        <is>
          <t>2026-09-09</t>
        </is>
      </c>
      <c r="B289" s="201" t="inlineStr">
        <is>
          <t>2026-09-01</t>
        </is>
      </c>
      <c r="C289" s="201" t="inlineStr">
        <is>
          <t>NV07</t>
        </is>
      </c>
      <c r="D289" s="202" t="inlineStr">
        <is>
          <t>Phùng Gia Phúc</t>
        </is>
      </c>
      <c r="E289" s="201" t="inlineStr">
        <is>
          <t>C3</t>
        </is>
      </c>
      <c r="F289" s="203" t="n">
        <v>1</v>
      </c>
      <c r="G289" s="203" t="n">
        <v>8</v>
      </c>
      <c r="H289" s="203" t="n">
        <v>0</v>
      </c>
      <c r="I289" s="203" t="n">
        <v>0</v>
      </c>
      <c r="J289" s="203" t="n">
        <v>0</v>
      </c>
      <c r="K289" s="203" t="n">
        <v>8</v>
      </c>
      <c r="L289" s="208" t="n">
        <v>0</v>
      </c>
      <c r="M289" s="208" t="n">
        <v>0</v>
      </c>
      <c r="N289" s="208" t="n">
        <v>0</v>
      </c>
      <c r="O289" s="203">
        <f>H289+I289+J289+L289+M289+N289</f>
        <v/>
      </c>
      <c r="P289" s="205" t="n">
        <v>0</v>
      </c>
      <c r="Q289" s="208" t="n">
        <v>0</v>
      </c>
      <c r="R289" s="209" t="inlineStr"/>
      <c r="S289" s="209" t="inlineStr">
        <is>
          <t>KHÔNG</t>
        </is>
      </c>
      <c r="T289" s="209" t="inlineStr">
        <is>
          <t>ĐÃ DUYỆT</t>
        </is>
      </c>
      <c r="U289" s="209" t="inlineStr">
        <is>
          <t>Quản Đốc</t>
        </is>
      </c>
      <c r="V289" s="209" t="inlineStr">
        <is>
          <t>2026-09-09 17:00:00</t>
        </is>
      </c>
      <c r="W289" s="209" t="inlineStr">
        <is>
          <t>ERP_CHAM_CONG_2026</t>
        </is>
      </c>
      <c r="X289" s="209" t="inlineStr">
        <is>
          <t>HỢP LỆ</t>
        </is>
      </c>
    </row>
    <row r="290">
      <c r="A290" s="194" t="inlineStr">
        <is>
          <t>2026-09-10</t>
        </is>
      </c>
      <c r="B290" s="194" t="inlineStr">
        <is>
          <t>2026-09-01</t>
        </is>
      </c>
      <c r="C290" s="194" t="inlineStr">
        <is>
          <t>NV07</t>
        </is>
      </c>
      <c r="D290" s="195" t="inlineStr">
        <is>
          <t>Phùng Gia Phúc</t>
        </is>
      </c>
      <c r="E290" s="194" t="inlineStr">
        <is>
          <t>C1</t>
        </is>
      </c>
      <c r="F290" s="196" t="n">
        <v>1</v>
      </c>
      <c r="G290" s="196" t="n">
        <v>8</v>
      </c>
      <c r="H290" s="196" t="n">
        <v>0</v>
      </c>
      <c r="I290" s="196" t="n">
        <v>0</v>
      </c>
      <c r="J290" s="196" t="n">
        <v>0</v>
      </c>
      <c r="K290" s="196" t="n">
        <v>0</v>
      </c>
      <c r="L290" s="210" t="n">
        <v>0</v>
      </c>
      <c r="M290" s="210" t="n">
        <v>0</v>
      </c>
      <c r="N290" s="210" t="n">
        <v>0</v>
      </c>
      <c r="O290" s="196">
        <f>H290+I290+J290+L290+M290+N290</f>
        <v/>
      </c>
      <c r="P290" s="198" t="n">
        <v>0</v>
      </c>
      <c r="Q290" s="210" t="n">
        <v>0</v>
      </c>
      <c r="R290" s="211" t="inlineStr"/>
      <c r="S290" s="211" t="inlineStr">
        <is>
          <t>KHÔNG</t>
        </is>
      </c>
      <c r="T290" s="211" t="inlineStr">
        <is>
          <t>ĐÃ DUYỆT</t>
        </is>
      </c>
      <c r="U290" s="211" t="inlineStr">
        <is>
          <t>Quản Đốc</t>
        </is>
      </c>
      <c r="V290" s="211" t="inlineStr">
        <is>
          <t>2026-09-10 17:00:00</t>
        </is>
      </c>
      <c r="W290" s="211" t="inlineStr">
        <is>
          <t>ERP_CHAM_CONG_2026</t>
        </is>
      </c>
      <c r="X290" s="211" t="inlineStr">
        <is>
          <t>HỢP LỆ</t>
        </is>
      </c>
    </row>
    <row r="291">
      <c r="A291" s="201" t="inlineStr">
        <is>
          <t>2026-09-11</t>
        </is>
      </c>
      <c r="B291" s="201" t="inlineStr">
        <is>
          <t>2026-09-01</t>
        </is>
      </c>
      <c r="C291" s="201" t="inlineStr">
        <is>
          <t>NV07</t>
        </is>
      </c>
      <c r="D291" s="202" t="inlineStr">
        <is>
          <t>Phùng Gia Phúc</t>
        </is>
      </c>
      <c r="E291" s="201" t="inlineStr">
        <is>
          <t>C1</t>
        </is>
      </c>
      <c r="F291" s="203" t="n">
        <v>1</v>
      </c>
      <c r="G291" s="203" t="n">
        <v>8</v>
      </c>
      <c r="H291" s="203" t="n">
        <v>0</v>
      </c>
      <c r="I291" s="203" t="n">
        <v>0</v>
      </c>
      <c r="J291" s="203" t="n">
        <v>0</v>
      </c>
      <c r="K291" s="203" t="n">
        <v>0</v>
      </c>
      <c r="L291" s="208" t="n">
        <v>0</v>
      </c>
      <c r="M291" s="208" t="n">
        <v>0</v>
      </c>
      <c r="N291" s="208" t="n">
        <v>0</v>
      </c>
      <c r="O291" s="203">
        <f>H291+I291+J291+L291+M291+N291</f>
        <v/>
      </c>
      <c r="P291" s="205" t="n">
        <v>0</v>
      </c>
      <c r="Q291" s="208" t="n">
        <v>0</v>
      </c>
      <c r="R291" s="209" t="inlineStr"/>
      <c r="S291" s="209" t="inlineStr">
        <is>
          <t>KHÔNG</t>
        </is>
      </c>
      <c r="T291" s="209" t="inlineStr">
        <is>
          <t>ĐÃ DUYỆT</t>
        </is>
      </c>
      <c r="U291" s="209" t="inlineStr">
        <is>
          <t>Quản Đốc</t>
        </is>
      </c>
      <c r="V291" s="209" t="inlineStr">
        <is>
          <t>2026-09-11 17:00:00</t>
        </is>
      </c>
      <c r="W291" s="209" t="inlineStr">
        <is>
          <t>ERP_CHAM_CONG_2026</t>
        </is>
      </c>
      <c r="X291" s="209" t="inlineStr">
        <is>
          <t>HỢP LỆ</t>
        </is>
      </c>
    </row>
    <row r="292">
      <c r="A292" s="194" t="inlineStr">
        <is>
          <t>2026-09-12</t>
        </is>
      </c>
      <c r="B292" s="194" t="inlineStr">
        <is>
          <t>2026-09-01</t>
        </is>
      </c>
      <c r="C292" s="194" t="inlineStr">
        <is>
          <t>NV07</t>
        </is>
      </c>
      <c r="D292" s="195" t="inlineStr">
        <is>
          <t>Phùng Gia Phúc</t>
        </is>
      </c>
      <c r="E292" s="194" t="inlineStr">
        <is>
          <t>C1</t>
        </is>
      </c>
      <c r="F292" s="196" t="n">
        <v>1</v>
      </c>
      <c r="G292" s="196" t="n">
        <v>8</v>
      </c>
      <c r="H292" s="196" t="n">
        <v>0</v>
      </c>
      <c r="I292" s="196" t="n">
        <v>0</v>
      </c>
      <c r="J292" s="196" t="n">
        <v>0</v>
      </c>
      <c r="K292" s="196" t="n">
        <v>0</v>
      </c>
      <c r="L292" s="210" t="n">
        <v>0</v>
      </c>
      <c r="M292" s="210" t="n">
        <v>0</v>
      </c>
      <c r="N292" s="210" t="n">
        <v>0</v>
      </c>
      <c r="O292" s="196">
        <f>H292+I292+J292+L292+M292+N292</f>
        <v/>
      </c>
      <c r="P292" s="198" t="n">
        <v>0</v>
      </c>
      <c r="Q292" s="210" t="n">
        <v>0</v>
      </c>
      <c r="R292" s="211" t="inlineStr"/>
      <c r="S292" s="211" t="inlineStr">
        <is>
          <t>KHÔNG</t>
        </is>
      </c>
      <c r="T292" s="211" t="inlineStr">
        <is>
          <t>ĐÃ DUYỆT</t>
        </is>
      </c>
      <c r="U292" s="211" t="inlineStr">
        <is>
          <t>Quản Đốc</t>
        </is>
      </c>
      <c r="V292" s="211" t="inlineStr">
        <is>
          <t>2026-09-12 17:00:00</t>
        </is>
      </c>
      <c r="W292" s="211" t="inlineStr">
        <is>
          <t>ERP_CHAM_CONG_2026</t>
        </is>
      </c>
      <c r="X292" s="211" t="inlineStr">
        <is>
          <t>HỢP LỆ</t>
        </is>
      </c>
    </row>
    <row r="293">
      <c r="A293" s="201" t="inlineStr">
        <is>
          <t>2026-09-13</t>
        </is>
      </c>
      <c r="B293" s="201" t="inlineStr">
        <is>
          <t>2026-09-01</t>
        </is>
      </c>
      <c r="C293" s="201" t="inlineStr">
        <is>
          <t>NV07</t>
        </is>
      </c>
      <c r="D293" s="202" t="inlineStr">
        <is>
          <t>Phùng Gia Phúc</t>
        </is>
      </c>
      <c r="E293" s="201" t="inlineStr">
        <is>
          <t>CN</t>
        </is>
      </c>
      <c r="F293" s="203" t="n">
        <v>0</v>
      </c>
      <c r="G293" s="203" t="n">
        <v>0</v>
      </c>
      <c r="H293" s="203" t="n">
        <v>0</v>
      </c>
      <c r="I293" s="203" t="n">
        <v>8</v>
      </c>
      <c r="J293" s="203" t="n">
        <v>0</v>
      </c>
      <c r="K293" s="203" t="n">
        <v>0</v>
      </c>
      <c r="L293" s="208" t="n">
        <v>0</v>
      </c>
      <c r="M293" s="208" t="n">
        <v>0</v>
      </c>
      <c r="N293" s="208" t="n">
        <v>0</v>
      </c>
      <c r="O293" s="203">
        <f>H293+I293+J293+L293+M293+N293</f>
        <v/>
      </c>
      <c r="P293" s="205" t="n">
        <v>30000</v>
      </c>
      <c r="Q293" s="208" t="n">
        <v>0</v>
      </c>
      <c r="R293" s="209" t="inlineStr">
        <is>
          <t>Đảm bảo tiến độ sản xuất</t>
        </is>
      </c>
      <c r="S293" s="209" t="inlineStr">
        <is>
          <t>CÓ</t>
        </is>
      </c>
      <c r="T293" s="209" t="inlineStr">
        <is>
          <t>ĐÃ DUYỆT</t>
        </is>
      </c>
      <c r="U293" s="209" t="inlineStr">
        <is>
          <t>Quản Đốc</t>
        </is>
      </c>
      <c r="V293" s="209" t="inlineStr">
        <is>
          <t>2026-09-13 17:00:00</t>
        </is>
      </c>
      <c r="W293" s="209" t="inlineStr">
        <is>
          <t>ERP_CHAM_CONG_2026</t>
        </is>
      </c>
      <c r="X293" s="209" t="inlineStr">
        <is>
          <t>HỢP LỆ</t>
        </is>
      </c>
    </row>
    <row r="294">
      <c r="A294" s="194" t="inlineStr">
        <is>
          <t>2026-09-14</t>
        </is>
      </c>
      <c r="B294" s="194" t="inlineStr">
        <is>
          <t>2026-09-01</t>
        </is>
      </c>
      <c r="C294" s="194" t="inlineStr">
        <is>
          <t>NV07</t>
        </is>
      </c>
      <c r="D294" s="195" t="inlineStr">
        <is>
          <t>Phùng Gia Phúc</t>
        </is>
      </c>
      <c r="E294" s="194" t="inlineStr">
        <is>
          <t>C1</t>
        </is>
      </c>
      <c r="F294" s="196" t="n">
        <v>1</v>
      </c>
      <c r="G294" s="196" t="n">
        <v>8</v>
      </c>
      <c r="H294" s="196" t="n">
        <v>0</v>
      </c>
      <c r="I294" s="196" t="n">
        <v>0</v>
      </c>
      <c r="J294" s="196" t="n">
        <v>0</v>
      </c>
      <c r="K294" s="196" t="n">
        <v>0</v>
      </c>
      <c r="L294" s="210" t="n">
        <v>0</v>
      </c>
      <c r="M294" s="210" t="n">
        <v>0</v>
      </c>
      <c r="N294" s="210" t="n">
        <v>0</v>
      </c>
      <c r="O294" s="196">
        <f>H294+I294+J294+L294+M294+N294</f>
        <v/>
      </c>
      <c r="P294" s="198" t="n">
        <v>15000</v>
      </c>
      <c r="Q294" s="210" t="n">
        <v>0</v>
      </c>
      <c r="R294" s="211" t="inlineStr"/>
      <c r="S294" s="211" t="inlineStr">
        <is>
          <t>KHÔNG</t>
        </is>
      </c>
      <c r="T294" s="211" t="inlineStr">
        <is>
          <t>ĐÃ DUYỆT</t>
        </is>
      </c>
      <c r="U294" s="211" t="inlineStr">
        <is>
          <t>Quản Đốc</t>
        </is>
      </c>
      <c r="V294" s="211" t="inlineStr">
        <is>
          <t>2026-09-14 17:00:00</t>
        </is>
      </c>
      <c r="W294" s="211" t="inlineStr">
        <is>
          <t>ERP_CHAM_CONG_2026</t>
        </is>
      </c>
      <c r="X294" s="211" t="inlineStr">
        <is>
          <t>HỢP LỆ</t>
        </is>
      </c>
    </row>
    <row r="295">
      <c r="A295" s="201" t="inlineStr">
        <is>
          <t>2026-09-03</t>
        </is>
      </c>
      <c r="B295" s="201" t="inlineStr">
        <is>
          <t>2026-09-01</t>
        </is>
      </c>
      <c r="C295" s="201" t="inlineStr">
        <is>
          <t>NV13</t>
        </is>
      </c>
      <c r="D295" s="202" t="inlineStr">
        <is>
          <t>Trần Văn Quỳnh</t>
        </is>
      </c>
      <c r="E295" s="201" t="inlineStr">
        <is>
          <t>C1+2</t>
        </is>
      </c>
      <c r="F295" s="203" t="n">
        <v>1</v>
      </c>
      <c r="G295" s="203" t="n">
        <v>8</v>
      </c>
      <c r="H295" s="203" t="n">
        <v>2</v>
      </c>
      <c r="I295" s="203" t="n">
        <v>0</v>
      </c>
      <c r="J295" s="203" t="n">
        <v>0</v>
      </c>
      <c r="K295" s="203" t="n">
        <v>0</v>
      </c>
      <c r="L295" s="208" t="n">
        <v>0</v>
      </c>
      <c r="M295" s="208" t="n">
        <v>0</v>
      </c>
      <c r="N295" s="208" t="n">
        <v>0</v>
      </c>
      <c r="O295" s="203">
        <f>H295+I295+J295+L295+M295+N295</f>
        <v/>
      </c>
      <c r="P295" s="205" t="n">
        <v>15000</v>
      </c>
      <c r="Q295" s="208" t="n">
        <v>0</v>
      </c>
      <c r="R295" s="209" t="inlineStr">
        <is>
          <t>Đảm bảo tiến độ sản xuất</t>
        </is>
      </c>
      <c r="S295" s="209" t="inlineStr">
        <is>
          <t>CÓ</t>
        </is>
      </c>
      <c r="T295" s="209" t="inlineStr">
        <is>
          <t>ĐÃ DUYỆT</t>
        </is>
      </c>
      <c r="U295" s="209" t="inlineStr">
        <is>
          <t>Quản Đốc</t>
        </is>
      </c>
      <c r="V295" s="209" t="inlineStr">
        <is>
          <t>2026-09-03 17:00:00</t>
        </is>
      </c>
      <c r="W295" s="209" t="inlineStr">
        <is>
          <t>ERP_CHAM_CONG_2026</t>
        </is>
      </c>
      <c r="X295" s="209" t="inlineStr">
        <is>
          <t>HỢP LỆ</t>
        </is>
      </c>
    </row>
    <row r="296">
      <c r="A296" s="194" t="inlineStr">
        <is>
          <t>2026-09-04</t>
        </is>
      </c>
      <c r="B296" s="194" t="inlineStr">
        <is>
          <t>2026-09-01</t>
        </is>
      </c>
      <c r="C296" s="194" t="inlineStr">
        <is>
          <t>NV13</t>
        </is>
      </c>
      <c r="D296" s="195" t="inlineStr">
        <is>
          <t>Trần Văn Quỳnh</t>
        </is>
      </c>
      <c r="E296" s="194" t="inlineStr">
        <is>
          <t>C1+2</t>
        </is>
      </c>
      <c r="F296" s="196" t="n">
        <v>1</v>
      </c>
      <c r="G296" s="196" t="n">
        <v>8</v>
      </c>
      <c r="H296" s="196" t="n">
        <v>2</v>
      </c>
      <c r="I296" s="196" t="n">
        <v>0</v>
      </c>
      <c r="J296" s="196" t="n">
        <v>0</v>
      </c>
      <c r="K296" s="196" t="n">
        <v>0</v>
      </c>
      <c r="L296" s="210" t="n">
        <v>0</v>
      </c>
      <c r="M296" s="210" t="n">
        <v>0</v>
      </c>
      <c r="N296" s="210" t="n">
        <v>0</v>
      </c>
      <c r="O296" s="196">
        <f>H296+I296+J296+L296+M296+N296</f>
        <v/>
      </c>
      <c r="P296" s="198" t="n">
        <v>15000</v>
      </c>
      <c r="Q296" s="210" t="n">
        <v>0</v>
      </c>
      <c r="R296" s="211" t="inlineStr">
        <is>
          <t>Đảm bảo tiến độ sản xuất</t>
        </is>
      </c>
      <c r="S296" s="211" t="inlineStr">
        <is>
          <t>CÓ</t>
        </is>
      </c>
      <c r="T296" s="211" t="inlineStr">
        <is>
          <t>ĐÃ DUYỆT</t>
        </is>
      </c>
      <c r="U296" s="211" t="inlineStr">
        <is>
          <t>Quản Đốc</t>
        </is>
      </c>
      <c r="V296" s="211" t="inlineStr">
        <is>
          <t>2026-09-04 17:00:00</t>
        </is>
      </c>
      <c r="W296" s="211" t="inlineStr">
        <is>
          <t>ERP_CHAM_CONG_2026</t>
        </is>
      </c>
      <c r="X296" s="211" t="inlineStr">
        <is>
          <t>HỢP LỆ</t>
        </is>
      </c>
    </row>
    <row r="297">
      <c r="A297" s="201" t="inlineStr">
        <is>
          <t>2026-09-05</t>
        </is>
      </c>
      <c r="B297" s="201" t="inlineStr">
        <is>
          <t>2026-09-01</t>
        </is>
      </c>
      <c r="C297" s="201" t="inlineStr">
        <is>
          <t>NV13</t>
        </is>
      </c>
      <c r="D297" s="202" t="inlineStr">
        <is>
          <t>Trần Văn Quỳnh</t>
        </is>
      </c>
      <c r="E297" s="201" t="inlineStr">
        <is>
          <t>C1+2</t>
        </is>
      </c>
      <c r="F297" s="203" t="n">
        <v>1</v>
      </c>
      <c r="G297" s="203" t="n">
        <v>8</v>
      </c>
      <c r="H297" s="203" t="n">
        <v>2</v>
      </c>
      <c r="I297" s="203" t="n">
        <v>0</v>
      </c>
      <c r="J297" s="203" t="n">
        <v>0</v>
      </c>
      <c r="K297" s="203" t="n">
        <v>0</v>
      </c>
      <c r="L297" s="208" t="n">
        <v>0</v>
      </c>
      <c r="M297" s="208" t="n">
        <v>0</v>
      </c>
      <c r="N297" s="208" t="n">
        <v>0</v>
      </c>
      <c r="O297" s="203">
        <f>H297+I297+J297+L297+M297+N297</f>
        <v/>
      </c>
      <c r="P297" s="205" t="n">
        <v>15000</v>
      </c>
      <c r="Q297" s="208" t="n">
        <v>0</v>
      </c>
      <c r="R297" s="209" t="inlineStr">
        <is>
          <t>Đảm bảo tiến độ sản xuất</t>
        </is>
      </c>
      <c r="S297" s="209" t="inlineStr">
        <is>
          <t>CÓ</t>
        </is>
      </c>
      <c r="T297" s="209" t="inlineStr">
        <is>
          <t>ĐÃ DUYỆT</t>
        </is>
      </c>
      <c r="U297" s="209" t="inlineStr">
        <is>
          <t>Quản Đốc</t>
        </is>
      </c>
      <c r="V297" s="209" t="inlineStr">
        <is>
          <t>2026-09-05 17:00:00</t>
        </is>
      </c>
      <c r="W297" s="209" t="inlineStr">
        <is>
          <t>ERP_CHAM_CONG_2026</t>
        </is>
      </c>
      <c r="X297" s="209" t="inlineStr">
        <is>
          <t>HỢP LỆ</t>
        </is>
      </c>
    </row>
    <row r="298">
      <c r="A298" s="194" t="inlineStr">
        <is>
          <t>2026-09-06</t>
        </is>
      </c>
      <c r="B298" s="194" t="inlineStr">
        <is>
          <t>2026-09-01</t>
        </is>
      </c>
      <c r="C298" s="194" t="inlineStr">
        <is>
          <t>NV13</t>
        </is>
      </c>
      <c r="D298" s="195" t="inlineStr">
        <is>
          <t>Trần Văn Quỳnh</t>
        </is>
      </c>
      <c r="E298" s="194" t="inlineStr">
        <is>
          <t>CN</t>
        </is>
      </c>
      <c r="F298" s="196" t="n">
        <v>0</v>
      </c>
      <c r="G298" s="196" t="n">
        <v>0</v>
      </c>
      <c r="H298" s="196" t="n">
        <v>0</v>
      </c>
      <c r="I298" s="196" t="n">
        <v>8</v>
      </c>
      <c r="J298" s="196" t="n">
        <v>0</v>
      </c>
      <c r="K298" s="196" t="n">
        <v>0</v>
      </c>
      <c r="L298" s="210" t="n">
        <v>0</v>
      </c>
      <c r="M298" s="210" t="n">
        <v>0</v>
      </c>
      <c r="N298" s="210" t="n">
        <v>0</v>
      </c>
      <c r="O298" s="196">
        <f>H298+I298+J298+L298+M298+N298</f>
        <v/>
      </c>
      <c r="P298" s="198" t="n">
        <v>30000</v>
      </c>
      <c r="Q298" s="210" t="n">
        <v>0</v>
      </c>
      <c r="R298" s="211" t="inlineStr">
        <is>
          <t>Đảm bảo tiến độ sản xuất</t>
        </is>
      </c>
      <c r="S298" s="211" t="inlineStr">
        <is>
          <t>CÓ</t>
        </is>
      </c>
      <c r="T298" s="211" t="inlineStr">
        <is>
          <t>ĐÃ DUYỆT</t>
        </is>
      </c>
      <c r="U298" s="211" t="inlineStr">
        <is>
          <t>Quản Đốc</t>
        </is>
      </c>
      <c r="V298" s="211" t="inlineStr">
        <is>
          <t>2026-09-06 17:00:00</t>
        </is>
      </c>
      <c r="W298" s="211" t="inlineStr">
        <is>
          <t>ERP_CHAM_CONG_2026</t>
        </is>
      </c>
      <c r="X298" s="211" t="inlineStr">
        <is>
          <t>HỢP LỆ</t>
        </is>
      </c>
    </row>
    <row r="299">
      <c r="A299" s="201" t="inlineStr">
        <is>
          <t>2026-09-07</t>
        </is>
      </c>
      <c r="B299" s="201" t="inlineStr">
        <is>
          <t>2026-09-01</t>
        </is>
      </c>
      <c r="C299" s="201" t="inlineStr">
        <is>
          <t>NV13</t>
        </is>
      </c>
      <c r="D299" s="202" t="inlineStr">
        <is>
          <t>Trần Văn Quỳnh</t>
        </is>
      </c>
      <c r="E299" s="201" t="inlineStr">
        <is>
          <t>C1+2</t>
        </is>
      </c>
      <c r="F299" s="203" t="n">
        <v>1</v>
      </c>
      <c r="G299" s="203" t="n">
        <v>8</v>
      </c>
      <c r="H299" s="203" t="n">
        <v>2</v>
      </c>
      <c r="I299" s="203" t="n">
        <v>0</v>
      </c>
      <c r="J299" s="203" t="n">
        <v>0</v>
      </c>
      <c r="K299" s="203" t="n">
        <v>0</v>
      </c>
      <c r="L299" s="208" t="n">
        <v>0</v>
      </c>
      <c r="M299" s="208" t="n">
        <v>0</v>
      </c>
      <c r="N299" s="208" t="n">
        <v>0</v>
      </c>
      <c r="O299" s="203">
        <f>H299+I299+J299+L299+M299+N299</f>
        <v/>
      </c>
      <c r="P299" s="205" t="n">
        <v>15000</v>
      </c>
      <c r="Q299" s="208" t="n">
        <v>0</v>
      </c>
      <c r="R299" s="209" t="inlineStr">
        <is>
          <t>Đảm bảo tiến độ sản xuất</t>
        </is>
      </c>
      <c r="S299" s="209" t="inlineStr">
        <is>
          <t>CÓ</t>
        </is>
      </c>
      <c r="T299" s="209" t="inlineStr">
        <is>
          <t>ĐÃ DUYỆT</t>
        </is>
      </c>
      <c r="U299" s="209" t="inlineStr">
        <is>
          <t>Quản Đốc</t>
        </is>
      </c>
      <c r="V299" s="209" t="inlineStr">
        <is>
          <t>2026-09-07 17:00:00</t>
        </is>
      </c>
      <c r="W299" s="209" t="inlineStr">
        <is>
          <t>ERP_CHAM_CONG_2026</t>
        </is>
      </c>
      <c r="X299" s="209" t="inlineStr">
        <is>
          <t>HỢP LỆ</t>
        </is>
      </c>
    </row>
    <row r="300">
      <c r="A300" s="194" t="inlineStr">
        <is>
          <t>2026-09-08</t>
        </is>
      </c>
      <c r="B300" s="194" t="inlineStr">
        <is>
          <t>2026-09-01</t>
        </is>
      </c>
      <c r="C300" s="194" t="inlineStr">
        <is>
          <t>NV13</t>
        </is>
      </c>
      <c r="D300" s="195" t="inlineStr">
        <is>
          <t>Trần Văn Quỳnh</t>
        </is>
      </c>
      <c r="E300" s="194" t="inlineStr">
        <is>
          <t>C1+2.5</t>
        </is>
      </c>
      <c r="F300" s="196" t="n">
        <v>1</v>
      </c>
      <c r="G300" s="196" t="n">
        <v>8</v>
      </c>
      <c r="H300" s="196" t="n">
        <v>2.5</v>
      </c>
      <c r="I300" s="196" t="n">
        <v>0</v>
      </c>
      <c r="J300" s="196" t="n">
        <v>0</v>
      </c>
      <c r="K300" s="196" t="n">
        <v>0</v>
      </c>
      <c r="L300" s="210" t="n">
        <v>0</v>
      </c>
      <c r="M300" s="210" t="n">
        <v>0</v>
      </c>
      <c r="N300" s="210" t="n">
        <v>0</v>
      </c>
      <c r="O300" s="196">
        <f>H300+I300+J300+L300+M300+N300</f>
        <v/>
      </c>
      <c r="P300" s="198" t="n">
        <v>10000</v>
      </c>
      <c r="Q300" s="210" t="n">
        <v>0</v>
      </c>
      <c r="R300" s="211" t="inlineStr">
        <is>
          <t>Đảm bảo tiến độ sản xuất</t>
        </is>
      </c>
      <c r="S300" s="211" t="inlineStr">
        <is>
          <t>CÓ</t>
        </is>
      </c>
      <c r="T300" s="211" t="inlineStr">
        <is>
          <t>ĐÃ DUYỆT</t>
        </is>
      </c>
      <c r="U300" s="211" t="inlineStr">
        <is>
          <t>Quản Đốc</t>
        </is>
      </c>
      <c r="V300" s="211" t="inlineStr">
        <is>
          <t>2026-09-08 17:00:00</t>
        </is>
      </c>
      <c r="W300" s="211" t="inlineStr">
        <is>
          <t>ERP_CHAM_CONG_2026</t>
        </is>
      </c>
      <c r="X300" s="211" t="inlineStr">
        <is>
          <t>HỢP LỆ</t>
        </is>
      </c>
    </row>
    <row r="301">
      <c r="A301" s="201" t="inlineStr">
        <is>
          <t>2026-09-09</t>
        </is>
      </c>
      <c r="B301" s="201" t="inlineStr">
        <is>
          <t>2026-09-01</t>
        </is>
      </c>
      <c r="C301" s="201" t="inlineStr">
        <is>
          <t>NV13</t>
        </is>
      </c>
      <c r="D301" s="202" t="inlineStr">
        <is>
          <t>Trần Văn Quỳnh</t>
        </is>
      </c>
      <c r="E301" s="201" t="inlineStr">
        <is>
          <t>C1</t>
        </is>
      </c>
      <c r="F301" s="203" t="n">
        <v>1</v>
      </c>
      <c r="G301" s="203" t="n">
        <v>8</v>
      </c>
      <c r="H301" s="203" t="n">
        <v>0</v>
      </c>
      <c r="I301" s="203" t="n">
        <v>0</v>
      </c>
      <c r="J301" s="203" t="n">
        <v>0</v>
      </c>
      <c r="K301" s="203" t="n">
        <v>0</v>
      </c>
      <c r="L301" s="208" t="n">
        <v>0</v>
      </c>
      <c r="M301" s="208" t="n">
        <v>0</v>
      </c>
      <c r="N301" s="208" t="n">
        <v>0</v>
      </c>
      <c r="O301" s="203">
        <f>H301+I301+J301+L301+M301+N301</f>
        <v/>
      </c>
      <c r="P301" s="205" t="n">
        <v>15000</v>
      </c>
      <c r="Q301" s="208" t="n">
        <v>0</v>
      </c>
      <c r="R301" s="209" t="inlineStr"/>
      <c r="S301" s="209" t="inlineStr">
        <is>
          <t>KHÔNG</t>
        </is>
      </c>
      <c r="T301" s="209" t="inlineStr">
        <is>
          <t>ĐÃ DUYỆT</t>
        </is>
      </c>
      <c r="U301" s="209" t="inlineStr">
        <is>
          <t>Quản Đốc</t>
        </is>
      </c>
      <c r="V301" s="209" t="inlineStr">
        <is>
          <t>2026-09-09 17:00:00</t>
        </is>
      </c>
      <c r="W301" s="209" t="inlineStr">
        <is>
          <t>ERP_CHAM_CONG_2026</t>
        </is>
      </c>
      <c r="X301" s="209" t="inlineStr">
        <is>
          <t>HỢP LỆ</t>
        </is>
      </c>
    </row>
    <row r="302">
      <c r="A302" s="194" t="inlineStr">
        <is>
          <t>2026-09-10</t>
        </is>
      </c>
      <c r="B302" s="194" t="inlineStr">
        <is>
          <t>2026-09-01</t>
        </is>
      </c>
      <c r="C302" s="194" t="inlineStr">
        <is>
          <t>NV13</t>
        </is>
      </c>
      <c r="D302" s="195" t="inlineStr">
        <is>
          <t>Trần Văn Quỳnh</t>
        </is>
      </c>
      <c r="E302" s="194" t="inlineStr">
        <is>
          <t>C1</t>
        </is>
      </c>
      <c r="F302" s="196" t="n">
        <v>1</v>
      </c>
      <c r="G302" s="196" t="n">
        <v>8</v>
      </c>
      <c r="H302" s="196" t="n">
        <v>0</v>
      </c>
      <c r="I302" s="196" t="n">
        <v>0</v>
      </c>
      <c r="J302" s="196" t="n">
        <v>0</v>
      </c>
      <c r="K302" s="196" t="n">
        <v>0</v>
      </c>
      <c r="L302" s="210" t="n">
        <v>0</v>
      </c>
      <c r="M302" s="210" t="n">
        <v>0</v>
      </c>
      <c r="N302" s="210" t="n">
        <v>0</v>
      </c>
      <c r="O302" s="196">
        <f>H302+I302+J302+L302+M302+N302</f>
        <v/>
      </c>
      <c r="P302" s="198" t="n">
        <v>15000</v>
      </c>
      <c r="Q302" s="210" t="n">
        <v>0</v>
      </c>
      <c r="R302" s="211" t="inlineStr"/>
      <c r="S302" s="211" t="inlineStr">
        <is>
          <t>KHÔNG</t>
        </is>
      </c>
      <c r="T302" s="211" t="inlineStr">
        <is>
          <t>ĐÃ DUYỆT</t>
        </is>
      </c>
      <c r="U302" s="211" t="inlineStr">
        <is>
          <t>Quản Đốc</t>
        </is>
      </c>
      <c r="V302" s="211" t="inlineStr">
        <is>
          <t>2026-09-10 17:00:00</t>
        </is>
      </c>
      <c r="W302" s="211" t="inlineStr">
        <is>
          <t>ERP_CHAM_CONG_2026</t>
        </is>
      </c>
      <c r="X302" s="211" t="inlineStr">
        <is>
          <t>HỢP LỆ</t>
        </is>
      </c>
    </row>
    <row r="303">
      <c r="A303" s="201" t="inlineStr">
        <is>
          <t>2026-09-11</t>
        </is>
      </c>
      <c r="B303" s="201" t="inlineStr">
        <is>
          <t>2026-09-01</t>
        </is>
      </c>
      <c r="C303" s="201" t="inlineStr">
        <is>
          <t>NV13</t>
        </is>
      </c>
      <c r="D303" s="202" t="inlineStr">
        <is>
          <t>Trần Văn Quỳnh</t>
        </is>
      </c>
      <c r="E303" s="201" t="inlineStr">
        <is>
          <t>C1</t>
        </is>
      </c>
      <c r="F303" s="203" t="n">
        <v>1</v>
      </c>
      <c r="G303" s="203" t="n">
        <v>8</v>
      </c>
      <c r="H303" s="203" t="n">
        <v>0</v>
      </c>
      <c r="I303" s="203" t="n">
        <v>0</v>
      </c>
      <c r="J303" s="203" t="n">
        <v>0</v>
      </c>
      <c r="K303" s="203" t="n">
        <v>0</v>
      </c>
      <c r="L303" s="208" t="n">
        <v>0</v>
      </c>
      <c r="M303" s="208" t="n">
        <v>0</v>
      </c>
      <c r="N303" s="208" t="n">
        <v>0</v>
      </c>
      <c r="O303" s="203">
        <f>H303+I303+J303+L303+M303+N303</f>
        <v/>
      </c>
      <c r="P303" s="205" t="n">
        <v>15000</v>
      </c>
      <c r="Q303" s="208" t="n">
        <v>0</v>
      </c>
      <c r="R303" s="209" t="inlineStr"/>
      <c r="S303" s="209" t="inlineStr">
        <is>
          <t>KHÔNG</t>
        </is>
      </c>
      <c r="T303" s="209" t="inlineStr">
        <is>
          <t>ĐÃ DUYỆT</t>
        </is>
      </c>
      <c r="U303" s="209" t="inlineStr">
        <is>
          <t>Quản Đốc</t>
        </is>
      </c>
      <c r="V303" s="209" t="inlineStr">
        <is>
          <t>2026-09-11 17:00:00</t>
        </is>
      </c>
      <c r="W303" s="209" t="inlineStr">
        <is>
          <t>ERP_CHAM_CONG_2026</t>
        </is>
      </c>
      <c r="X303" s="209" t="inlineStr">
        <is>
          <t>HỢP LỆ</t>
        </is>
      </c>
    </row>
    <row r="304">
      <c r="A304" s="194" t="inlineStr">
        <is>
          <t>2026-09-12</t>
        </is>
      </c>
      <c r="B304" s="194" t="inlineStr">
        <is>
          <t>2026-09-01</t>
        </is>
      </c>
      <c r="C304" s="194" t="inlineStr">
        <is>
          <t>NV13</t>
        </is>
      </c>
      <c r="D304" s="195" t="inlineStr">
        <is>
          <t>Trần Văn Quỳnh</t>
        </is>
      </c>
      <c r="E304" s="194" t="inlineStr">
        <is>
          <t>C1</t>
        </is>
      </c>
      <c r="F304" s="196" t="n">
        <v>1</v>
      </c>
      <c r="G304" s="196" t="n">
        <v>8</v>
      </c>
      <c r="H304" s="196" t="n">
        <v>0</v>
      </c>
      <c r="I304" s="196" t="n">
        <v>0</v>
      </c>
      <c r="J304" s="196" t="n">
        <v>0</v>
      </c>
      <c r="K304" s="196" t="n">
        <v>0</v>
      </c>
      <c r="L304" s="210" t="n">
        <v>0</v>
      </c>
      <c r="M304" s="210" t="n">
        <v>0</v>
      </c>
      <c r="N304" s="210" t="n">
        <v>0</v>
      </c>
      <c r="O304" s="196">
        <f>H304+I304+J304+L304+M304+N304</f>
        <v/>
      </c>
      <c r="P304" s="198" t="n">
        <v>15000</v>
      </c>
      <c r="Q304" s="210" t="n">
        <v>0</v>
      </c>
      <c r="R304" s="211" t="inlineStr"/>
      <c r="S304" s="211" t="inlineStr">
        <is>
          <t>KHÔNG</t>
        </is>
      </c>
      <c r="T304" s="211" t="inlineStr">
        <is>
          <t>ĐÃ DUYỆT</t>
        </is>
      </c>
      <c r="U304" s="211" t="inlineStr">
        <is>
          <t>Quản Đốc</t>
        </is>
      </c>
      <c r="V304" s="211" t="inlineStr">
        <is>
          <t>2026-09-12 17:00:00</t>
        </is>
      </c>
      <c r="W304" s="211" t="inlineStr">
        <is>
          <t>ERP_CHAM_CONG_2026</t>
        </is>
      </c>
      <c r="X304" s="211" t="inlineStr">
        <is>
          <t>HỢP LỆ</t>
        </is>
      </c>
    </row>
    <row r="305">
      <c r="A305" s="201" t="inlineStr">
        <is>
          <t>2026-09-13</t>
        </is>
      </c>
      <c r="B305" s="201" t="inlineStr">
        <is>
          <t>2026-09-01</t>
        </is>
      </c>
      <c r="C305" s="201" t="inlineStr">
        <is>
          <t>NV13</t>
        </is>
      </c>
      <c r="D305" s="202" t="inlineStr">
        <is>
          <t>Trần Văn Quỳnh</t>
        </is>
      </c>
      <c r="E305" s="201" t="inlineStr">
        <is>
          <t>CN</t>
        </is>
      </c>
      <c r="F305" s="203" t="n">
        <v>0</v>
      </c>
      <c r="G305" s="203" t="n">
        <v>0</v>
      </c>
      <c r="H305" s="203" t="n">
        <v>0</v>
      </c>
      <c r="I305" s="203" t="n">
        <v>8</v>
      </c>
      <c r="J305" s="203" t="n">
        <v>0</v>
      </c>
      <c r="K305" s="203" t="n">
        <v>0</v>
      </c>
      <c r="L305" s="208" t="n">
        <v>0</v>
      </c>
      <c r="M305" s="208" t="n">
        <v>0</v>
      </c>
      <c r="N305" s="208" t="n">
        <v>0</v>
      </c>
      <c r="O305" s="203">
        <f>H305+I305+J305+L305+M305+N305</f>
        <v/>
      </c>
      <c r="P305" s="205" t="n">
        <v>30000</v>
      </c>
      <c r="Q305" s="208" t="n">
        <v>0</v>
      </c>
      <c r="R305" s="209" t="inlineStr">
        <is>
          <t>Đảm bảo tiến độ sản xuất</t>
        </is>
      </c>
      <c r="S305" s="209" t="inlineStr">
        <is>
          <t>CÓ</t>
        </is>
      </c>
      <c r="T305" s="209" t="inlineStr">
        <is>
          <t>ĐÃ DUYỆT</t>
        </is>
      </c>
      <c r="U305" s="209" t="inlineStr">
        <is>
          <t>Quản Đốc</t>
        </is>
      </c>
      <c r="V305" s="209" t="inlineStr">
        <is>
          <t>2026-09-13 17:00:00</t>
        </is>
      </c>
      <c r="W305" s="209" t="inlineStr">
        <is>
          <t>ERP_CHAM_CONG_2026</t>
        </is>
      </c>
      <c r="X305" s="209" t="inlineStr">
        <is>
          <t>HỢP LỆ</t>
        </is>
      </c>
    </row>
    <row r="306">
      <c r="A306" s="194" t="inlineStr">
        <is>
          <t>2026-09-14</t>
        </is>
      </c>
      <c r="B306" s="194" t="inlineStr">
        <is>
          <t>2026-09-01</t>
        </is>
      </c>
      <c r="C306" s="194" t="inlineStr">
        <is>
          <t>NV13</t>
        </is>
      </c>
      <c r="D306" s="195" t="inlineStr">
        <is>
          <t>Trần Văn Quỳnh</t>
        </is>
      </c>
      <c r="E306" s="194" t="inlineStr">
        <is>
          <t>C1</t>
        </is>
      </c>
      <c r="F306" s="196" t="n">
        <v>1</v>
      </c>
      <c r="G306" s="196" t="n">
        <v>8</v>
      </c>
      <c r="H306" s="196" t="n">
        <v>0</v>
      </c>
      <c r="I306" s="196" t="n">
        <v>0</v>
      </c>
      <c r="J306" s="196" t="n">
        <v>0</v>
      </c>
      <c r="K306" s="196" t="n">
        <v>0</v>
      </c>
      <c r="L306" s="210" t="n">
        <v>0</v>
      </c>
      <c r="M306" s="210" t="n">
        <v>0</v>
      </c>
      <c r="N306" s="210" t="n">
        <v>0</v>
      </c>
      <c r="O306" s="196">
        <f>H306+I306+J306+L306+M306+N306</f>
        <v/>
      </c>
      <c r="P306" s="198" t="n">
        <v>0</v>
      </c>
      <c r="Q306" s="210" t="n">
        <v>0</v>
      </c>
      <c r="R306" s="211" t="inlineStr"/>
      <c r="S306" s="211" t="inlineStr">
        <is>
          <t>KHÔNG</t>
        </is>
      </c>
      <c r="T306" s="211" t="inlineStr">
        <is>
          <t>ĐÃ DUYỆT</t>
        </is>
      </c>
      <c r="U306" s="211" t="inlineStr">
        <is>
          <t>Quản Đốc</t>
        </is>
      </c>
      <c r="V306" s="211" t="inlineStr">
        <is>
          <t>2026-09-14 17:00:00</t>
        </is>
      </c>
      <c r="W306" s="211" t="inlineStr">
        <is>
          <t>ERP_CHAM_CONG_2026</t>
        </is>
      </c>
      <c r="X306" s="211" t="inlineStr">
        <is>
          <t>HỢP LỆ</t>
        </is>
      </c>
    </row>
    <row r="307">
      <c r="A307" s="201" t="inlineStr">
        <is>
          <t>2026-09-03</t>
        </is>
      </c>
      <c r="B307" s="201" t="inlineStr">
        <is>
          <t>2026-09-01</t>
        </is>
      </c>
      <c r="C307" s="201" t="inlineStr">
        <is>
          <t>NV12</t>
        </is>
      </c>
      <c r="D307" s="202" t="inlineStr">
        <is>
          <t>Phạm Văn Sam</t>
        </is>
      </c>
      <c r="E307" s="201" t="inlineStr">
        <is>
          <t>C1+2</t>
        </is>
      </c>
      <c r="F307" s="203" t="n">
        <v>1</v>
      </c>
      <c r="G307" s="203" t="n">
        <v>8</v>
      </c>
      <c r="H307" s="203" t="n">
        <v>2</v>
      </c>
      <c r="I307" s="203" t="n">
        <v>0</v>
      </c>
      <c r="J307" s="203" t="n">
        <v>0</v>
      </c>
      <c r="K307" s="203" t="n">
        <v>0</v>
      </c>
      <c r="L307" s="208" t="n">
        <v>0</v>
      </c>
      <c r="M307" s="208" t="n">
        <v>0</v>
      </c>
      <c r="N307" s="208" t="n">
        <v>0</v>
      </c>
      <c r="O307" s="203">
        <f>H307+I307+J307+L307+M307+N307</f>
        <v/>
      </c>
      <c r="P307" s="205" t="n">
        <v>15000</v>
      </c>
      <c r="Q307" s="208" t="n">
        <v>0</v>
      </c>
      <c r="R307" s="209" t="inlineStr">
        <is>
          <t>Đảm bảo tiến độ sản xuất</t>
        </is>
      </c>
      <c r="S307" s="209" t="inlineStr">
        <is>
          <t>CÓ</t>
        </is>
      </c>
      <c r="T307" s="209" t="inlineStr">
        <is>
          <t>ĐÃ DUYỆT</t>
        </is>
      </c>
      <c r="U307" s="209" t="inlineStr">
        <is>
          <t>Quản Đốc</t>
        </is>
      </c>
      <c r="V307" s="209" t="inlineStr">
        <is>
          <t>2026-09-03 17:00:00</t>
        </is>
      </c>
      <c r="W307" s="209" t="inlineStr">
        <is>
          <t>ERP_CHAM_CONG_2026</t>
        </is>
      </c>
      <c r="X307" s="209" t="inlineStr">
        <is>
          <t>HỢP LỆ</t>
        </is>
      </c>
    </row>
    <row r="308">
      <c r="A308" s="194" t="inlineStr">
        <is>
          <t>2026-09-04</t>
        </is>
      </c>
      <c r="B308" s="194" t="inlineStr">
        <is>
          <t>2026-09-01</t>
        </is>
      </c>
      <c r="C308" s="194" t="inlineStr">
        <is>
          <t>NV12</t>
        </is>
      </c>
      <c r="D308" s="195" t="inlineStr">
        <is>
          <t>Phạm Văn Sam</t>
        </is>
      </c>
      <c r="E308" s="194" t="inlineStr">
        <is>
          <t>C1+2</t>
        </is>
      </c>
      <c r="F308" s="196" t="n">
        <v>1</v>
      </c>
      <c r="G308" s="196" t="n">
        <v>8</v>
      </c>
      <c r="H308" s="196" t="n">
        <v>2</v>
      </c>
      <c r="I308" s="196" t="n">
        <v>0</v>
      </c>
      <c r="J308" s="196" t="n">
        <v>0</v>
      </c>
      <c r="K308" s="196" t="n">
        <v>0</v>
      </c>
      <c r="L308" s="210" t="n">
        <v>0</v>
      </c>
      <c r="M308" s="210" t="n">
        <v>0</v>
      </c>
      <c r="N308" s="210" t="n">
        <v>0</v>
      </c>
      <c r="O308" s="196">
        <f>H308+I308+J308+L308+M308+N308</f>
        <v/>
      </c>
      <c r="P308" s="198" t="n">
        <v>15000</v>
      </c>
      <c r="Q308" s="210" t="n">
        <v>0</v>
      </c>
      <c r="R308" s="211" t="inlineStr">
        <is>
          <t>Đảm bảo tiến độ sản xuất</t>
        </is>
      </c>
      <c r="S308" s="211" t="inlineStr">
        <is>
          <t>CÓ</t>
        </is>
      </c>
      <c r="T308" s="211" t="inlineStr">
        <is>
          <t>ĐÃ DUYỆT</t>
        </is>
      </c>
      <c r="U308" s="211" t="inlineStr">
        <is>
          <t>Quản Đốc</t>
        </is>
      </c>
      <c r="V308" s="211" t="inlineStr">
        <is>
          <t>2026-09-04 17:00:00</t>
        </is>
      </c>
      <c r="W308" s="211" t="inlineStr">
        <is>
          <t>ERP_CHAM_CONG_2026</t>
        </is>
      </c>
      <c r="X308" s="211" t="inlineStr">
        <is>
          <t>HỢP LỆ</t>
        </is>
      </c>
    </row>
    <row r="309">
      <c r="A309" s="201" t="inlineStr">
        <is>
          <t>2026-09-05</t>
        </is>
      </c>
      <c r="B309" s="201" t="inlineStr">
        <is>
          <t>2026-09-01</t>
        </is>
      </c>
      <c r="C309" s="201" t="inlineStr">
        <is>
          <t>NV12</t>
        </is>
      </c>
      <c r="D309" s="202" t="inlineStr">
        <is>
          <t>Phạm Văn Sam</t>
        </is>
      </c>
      <c r="E309" s="201" t="inlineStr">
        <is>
          <t>C1+2</t>
        </is>
      </c>
      <c r="F309" s="203" t="n">
        <v>1</v>
      </c>
      <c r="G309" s="203" t="n">
        <v>8</v>
      </c>
      <c r="H309" s="203" t="n">
        <v>2</v>
      </c>
      <c r="I309" s="203" t="n">
        <v>0</v>
      </c>
      <c r="J309" s="203" t="n">
        <v>0</v>
      </c>
      <c r="K309" s="203" t="n">
        <v>0</v>
      </c>
      <c r="L309" s="208" t="n">
        <v>0</v>
      </c>
      <c r="M309" s="208" t="n">
        <v>0</v>
      </c>
      <c r="N309" s="208" t="n">
        <v>0</v>
      </c>
      <c r="O309" s="203">
        <f>H309+I309+J309+L309+M309+N309</f>
        <v/>
      </c>
      <c r="P309" s="205" t="n">
        <v>15000</v>
      </c>
      <c r="Q309" s="208" t="n">
        <v>0</v>
      </c>
      <c r="R309" s="209" t="inlineStr">
        <is>
          <t>Đảm bảo tiến độ sản xuất</t>
        </is>
      </c>
      <c r="S309" s="209" t="inlineStr">
        <is>
          <t>CÓ</t>
        </is>
      </c>
      <c r="T309" s="209" t="inlineStr">
        <is>
          <t>ĐÃ DUYỆT</t>
        </is>
      </c>
      <c r="U309" s="209" t="inlineStr">
        <is>
          <t>Quản Đốc</t>
        </is>
      </c>
      <c r="V309" s="209" t="inlineStr">
        <is>
          <t>2026-09-05 17:00:00</t>
        </is>
      </c>
      <c r="W309" s="209" t="inlineStr">
        <is>
          <t>ERP_CHAM_CONG_2026</t>
        </is>
      </c>
      <c r="X309" s="209" t="inlineStr">
        <is>
          <t>HỢP LỆ</t>
        </is>
      </c>
    </row>
    <row r="310">
      <c r="A310" s="194" t="inlineStr">
        <is>
          <t>2026-09-06</t>
        </is>
      </c>
      <c r="B310" s="194" t="inlineStr">
        <is>
          <t>2026-09-01</t>
        </is>
      </c>
      <c r="C310" s="194" t="inlineStr">
        <is>
          <t>NV12</t>
        </is>
      </c>
      <c r="D310" s="195" t="inlineStr">
        <is>
          <t>Phạm Văn Sam</t>
        </is>
      </c>
      <c r="E310" s="194" t="inlineStr">
        <is>
          <t>CN</t>
        </is>
      </c>
      <c r="F310" s="196" t="n">
        <v>0</v>
      </c>
      <c r="G310" s="196" t="n">
        <v>0</v>
      </c>
      <c r="H310" s="196" t="n">
        <v>0</v>
      </c>
      <c r="I310" s="196" t="n">
        <v>8</v>
      </c>
      <c r="J310" s="196" t="n">
        <v>0</v>
      </c>
      <c r="K310" s="196" t="n">
        <v>0</v>
      </c>
      <c r="L310" s="210" t="n">
        <v>0</v>
      </c>
      <c r="M310" s="210" t="n">
        <v>0</v>
      </c>
      <c r="N310" s="210" t="n">
        <v>0</v>
      </c>
      <c r="O310" s="196">
        <f>H310+I310+J310+L310+M310+N310</f>
        <v/>
      </c>
      <c r="P310" s="198" t="n">
        <v>30000</v>
      </c>
      <c r="Q310" s="210" t="n">
        <v>0</v>
      </c>
      <c r="R310" s="211" t="inlineStr">
        <is>
          <t>Đảm bảo tiến độ sản xuất</t>
        </is>
      </c>
      <c r="S310" s="211" t="inlineStr">
        <is>
          <t>CÓ</t>
        </is>
      </c>
      <c r="T310" s="211" t="inlineStr">
        <is>
          <t>ĐÃ DUYỆT</t>
        </is>
      </c>
      <c r="U310" s="211" t="inlineStr">
        <is>
          <t>Quản Đốc</t>
        </is>
      </c>
      <c r="V310" s="211" t="inlineStr">
        <is>
          <t>2026-09-06 17:00:00</t>
        </is>
      </c>
      <c r="W310" s="211" t="inlineStr">
        <is>
          <t>ERP_CHAM_CONG_2026</t>
        </is>
      </c>
      <c r="X310" s="211" t="inlineStr">
        <is>
          <t>HỢP LỆ</t>
        </is>
      </c>
    </row>
    <row r="311">
      <c r="A311" s="201" t="inlineStr">
        <is>
          <t>2026-09-07</t>
        </is>
      </c>
      <c r="B311" s="201" t="inlineStr">
        <is>
          <t>2026-09-01</t>
        </is>
      </c>
      <c r="C311" s="201" t="inlineStr">
        <is>
          <t>NV12</t>
        </is>
      </c>
      <c r="D311" s="202" t="inlineStr">
        <is>
          <t>Phạm Văn Sam</t>
        </is>
      </c>
      <c r="E311" s="201" t="inlineStr">
        <is>
          <t>C3+2</t>
        </is>
      </c>
      <c r="F311" s="203" t="n">
        <v>1</v>
      </c>
      <c r="G311" s="203" t="n">
        <v>8</v>
      </c>
      <c r="H311" s="203" t="n">
        <v>2</v>
      </c>
      <c r="I311" s="203" t="n">
        <v>0</v>
      </c>
      <c r="J311" s="203" t="n">
        <v>0</v>
      </c>
      <c r="K311" s="203" t="n">
        <v>8</v>
      </c>
      <c r="L311" s="208" t="n">
        <v>0</v>
      </c>
      <c r="M311" s="208" t="n">
        <v>0</v>
      </c>
      <c r="N311" s="208" t="n">
        <v>0</v>
      </c>
      <c r="O311" s="203">
        <f>H311+I311+J311+L311+M311+N311</f>
        <v/>
      </c>
      <c r="P311" s="205" t="n">
        <v>10000</v>
      </c>
      <c r="Q311" s="208" t="n">
        <v>0</v>
      </c>
      <c r="R311" s="209" t="inlineStr">
        <is>
          <t>Đảm bảo tiến độ sản xuất</t>
        </is>
      </c>
      <c r="S311" s="209" t="inlineStr">
        <is>
          <t>CÓ</t>
        </is>
      </c>
      <c r="T311" s="209" t="inlineStr">
        <is>
          <t>ĐÃ DUYỆT</t>
        </is>
      </c>
      <c r="U311" s="209" t="inlineStr">
        <is>
          <t>Quản Đốc</t>
        </is>
      </c>
      <c r="V311" s="209" t="inlineStr">
        <is>
          <t>2026-09-07 17:00:00</t>
        </is>
      </c>
      <c r="W311" s="209" t="inlineStr">
        <is>
          <t>ERP_CHAM_CONG_2026</t>
        </is>
      </c>
      <c r="X311" s="209" t="inlineStr">
        <is>
          <t>HỢP LỆ</t>
        </is>
      </c>
    </row>
    <row r="312">
      <c r="A312" s="194" t="inlineStr">
        <is>
          <t>2026-09-08</t>
        </is>
      </c>
      <c r="B312" s="194" t="inlineStr">
        <is>
          <t>2026-09-01</t>
        </is>
      </c>
      <c r="C312" s="194" t="inlineStr">
        <is>
          <t>NV12</t>
        </is>
      </c>
      <c r="D312" s="195" t="inlineStr">
        <is>
          <t>Phạm Văn Sam</t>
        </is>
      </c>
      <c r="E312" s="194" t="inlineStr">
        <is>
          <t>C3+2</t>
        </is>
      </c>
      <c r="F312" s="196" t="n">
        <v>1</v>
      </c>
      <c r="G312" s="196" t="n">
        <v>8</v>
      </c>
      <c r="H312" s="196" t="n">
        <v>2</v>
      </c>
      <c r="I312" s="196" t="n">
        <v>0</v>
      </c>
      <c r="J312" s="196" t="n">
        <v>0</v>
      </c>
      <c r="K312" s="196" t="n">
        <v>8</v>
      </c>
      <c r="L312" s="210" t="n">
        <v>0</v>
      </c>
      <c r="M312" s="210" t="n">
        <v>0</v>
      </c>
      <c r="N312" s="210" t="n">
        <v>0</v>
      </c>
      <c r="O312" s="196">
        <f>H312+I312+J312+L312+M312+N312</f>
        <v/>
      </c>
      <c r="P312" s="198" t="n">
        <v>10000</v>
      </c>
      <c r="Q312" s="210" t="n">
        <v>0</v>
      </c>
      <c r="R312" s="211" t="inlineStr">
        <is>
          <t>Đảm bảo tiến độ sản xuất</t>
        </is>
      </c>
      <c r="S312" s="211" t="inlineStr">
        <is>
          <t>CÓ</t>
        </is>
      </c>
      <c r="T312" s="211" t="inlineStr">
        <is>
          <t>ĐÃ DUYỆT</t>
        </is>
      </c>
      <c r="U312" s="211" t="inlineStr">
        <is>
          <t>Quản Đốc</t>
        </is>
      </c>
      <c r="V312" s="211" t="inlineStr">
        <is>
          <t>2026-09-08 17:00:00</t>
        </is>
      </c>
      <c r="W312" s="211" t="inlineStr">
        <is>
          <t>ERP_CHAM_CONG_2026</t>
        </is>
      </c>
      <c r="X312" s="211" t="inlineStr">
        <is>
          <t>HỢP LỆ</t>
        </is>
      </c>
    </row>
    <row r="313">
      <c r="A313" s="201" t="inlineStr">
        <is>
          <t>2026-09-09</t>
        </is>
      </c>
      <c r="B313" s="201" t="inlineStr">
        <is>
          <t>2026-09-01</t>
        </is>
      </c>
      <c r="C313" s="201" t="inlineStr">
        <is>
          <t>NV12</t>
        </is>
      </c>
      <c r="D313" s="202" t="inlineStr">
        <is>
          <t>Phạm Văn Sam</t>
        </is>
      </c>
      <c r="E313" s="201" t="inlineStr">
        <is>
          <t>C1</t>
        </is>
      </c>
      <c r="F313" s="203" t="n">
        <v>1</v>
      </c>
      <c r="G313" s="203" t="n">
        <v>8</v>
      </c>
      <c r="H313" s="203" t="n">
        <v>0</v>
      </c>
      <c r="I313" s="203" t="n">
        <v>0</v>
      </c>
      <c r="J313" s="203" t="n">
        <v>0</v>
      </c>
      <c r="K313" s="203" t="n">
        <v>0</v>
      </c>
      <c r="L313" s="208" t="n">
        <v>0</v>
      </c>
      <c r="M313" s="208" t="n">
        <v>0</v>
      </c>
      <c r="N313" s="208" t="n">
        <v>0</v>
      </c>
      <c r="O313" s="203">
        <f>H313+I313+J313+L313+M313+N313</f>
        <v/>
      </c>
      <c r="P313" s="205" t="n">
        <v>0</v>
      </c>
      <c r="Q313" s="208" t="n">
        <v>0</v>
      </c>
      <c r="R313" s="209" t="inlineStr"/>
      <c r="S313" s="209" t="inlineStr">
        <is>
          <t>KHÔNG</t>
        </is>
      </c>
      <c r="T313" s="209" t="inlineStr">
        <is>
          <t>ĐÃ DUYỆT</t>
        </is>
      </c>
      <c r="U313" s="209" t="inlineStr">
        <is>
          <t>Quản Đốc</t>
        </is>
      </c>
      <c r="V313" s="209" t="inlineStr">
        <is>
          <t>2026-09-09 17:00:00</t>
        </is>
      </c>
      <c r="W313" s="209" t="inlineStr">
        <is>
          <t>ERP_CHAM_CONG_2026</t>
        </is>
      </c>
      <c r="X313" s="209" t="inlineStr">
        <is>
          <t>HỢP LỆ</t>
        </is>
      </c>
    </row>
    <row r="314">
      <c r="A314" s="194" t="inlineStr">
        <is>
          <t>2026-09-10</t>
        </is>
      </c>
      <c r="B314" s="194" t="inlineStr">
        <is>
          <t>2026-09-01</t>
        </is>
      </c>
      <c r="C314" s="194" t="inlineStr">
        <is>
          <t>NV12</t>
        </is>
      </c>
      <c r="D314" s="195" t="inlineStr">
        <is>
          <t>Phạm Văn Sam</t>
        </is>
      </c>
      <c r="E314" s="194" t="inlineStr">
        <is>
          <t>C1+2</t>
        </is>
      </c>
      <c r="F314" s="196" t="n">
        <v>1</v>
      </c>
      <c r="G314" s="196" t="n">
        <v>8</v>
      </c>
      <c r="H314" s="196" t="n">
        <v>2</v>
      </c>
      <c r="I314" s="196" t="n">
        <v>0</v>
      </c>
      <c r="J314" s="196" t="n">
        <v>0</v>
      </c>
      <c r="K314" s="196" t="n">
        <v>0</v>
      </c>
      <c r="L314" s="210" t="n">
        <v>0</v>
      </c>
      <c r="M314" s="210" t="n">
        <v>0</v>
      </c>
      <c r="N314" s="210" t="n">
        <v>0</v>
      </c>
      <c r="O314" s="196">
        <f>H314+I314+J314+L314+M314+N314</f>
        <v/>
      </c>
      <c r="P314" s="198" t="n">
        <v>10000</v>
      </c>
      <c r="Q314" s="210" t="n">
        <v>0</v>
      </c>
      <c r="R314" s="211" t="inlineStr">
        <is>
          <t>Đảm bảo tiến độ sản xuất</t>
        </is>
      </c>
      <c r="S314" s="211" t="inlineStr">
        <is>
          <t>CÓ</t>
        </is>
      </c>
      <c r="T314" s="211" t="inlineStr">
        <is>
          <t>ĐÃ DUYỆT</t>
        </is>
      </c>
      <c r="U314" s="211" t="inlineStr">
        <is>
          <t>Quản Đốc</t>
        </is>
      </c>
      <c r="V314" s="211" t="inlineStr">
        <is>
          <t>2026-09-10 17:00:00</t>
        </is>
      </c>
      <c r="W314" s="211" t="inlineStr">
        <is>
          <t>ERP_CHAM_CONG_2026</t>
        </is>
      </c>
      <c r="X314" s="211" t="inlineStr">
        <is>
          <t>HỢP LỆ</t>
        </is>
      </c>
    </row>
    <row r="315">
      <c r="A315" s="201" t="inlineStr">
        <is>
          <t>2026-09-11</t>
        </is>
      </c>
      <c r="B315" s="201" t="inlineStr">
        <is>
          <t>2026-09-01</t>
        </is>
      </c>
      <c r="C315" s="201" t="inlineStr">
        <is>
          <t>NV12</t>
        </is>
      </c>
      <c r="D315" s="202" t="inlineStr">
        <is>
          <t>Phạm Văn Sam</t>
        </is>
      </c>
      <c r="E315" s="201" t="inlineStr">
        <is>
          <t>C1+2</t>
        </is>
      </c>
      <c r="F315" s="203" t="n">
        <v>1</v>
      </c>
      <c r="G315" s="203" t="n">
        <v>8</v>
      </c>
      <c r="H315" s="203" t="n">
        <v>2</v>
      </c>
      <c r="I315" s="203" t="n">
        <v>0</v>
      </c>
      <c r="J315" s="203" t="n">
        <v>0</v>
      </c>
      <c r="K315" s="203" t="n">
        <v>0</v>
      </c>
      <c r="L315" s="208" t="n">
        <v>0</v>
      </c>
      <c r="M315" s="208" t="n">
        <v>0</v>
      </c>
      <c r="N315" s="208" t="n">
        <v>0</v>
      </c>
      <c r="O315" s="203">
        <f>H315+I315+J315+L315+M315+N315</f>
        <v/>
      </c>
      <c r="P315" s="205" t="n">
        <v>10000</v>
      </c>
      <c r="Q315" s="208" t="n">
        <v>0</v>
      </c>
      <c r="R315" s="209" t="inlineStr">
        <is>
          <t>Đảm bảo tiến độ sản xuất</t>
        </is>
      </c>
      <c r="S315" s="209" t="inlineStr">
        <is>
          <t>CÓ</t>
        </is>
      </c>
      <c r="T315" s="209" t="inlineStr">
        <is>
          <t>ĐÃ DUYỆT</t>
        </is>
      </c>
      <c r="U315" s="209" t="inlineStr">
        <is>
          <t>Quản Đốc</t>
        </is>
      </c>
      <c r="V315" s="209" t="inlineStr">
        <is>
          <t>2026-09-11 17:00:00</t>
        </is>
      </c>
      <c r="W315" s="209" t="inlineStr">
        <is>
          <t>ERP_CHAM_CONG_2026</t>
        </is>
      </c>
      <c r="X315" s="209" t="inlineStr">
        <is>
          <t>HỢP LỆ</t>
        </is>
      </c>
    </row>
    <row r="316">
      <c r="A316" s="194" t="inlineStr">
        <is>
          <t>2026-09-12</t>
        </is>
      </c>
      <c r="B316" s="194" t="inlineStr">
        <is>
          <t>2026-09-01</t>
        </is>
      </c>
      <c r="C316" s="194" t="inlineStr">
        <is>
          <t>NV12</t>
        </is>
      </c>
      <c r="D316" s="195" t="inlineStr">
        <is>
          <t>Phạm Văn Sam</t>
        </is>
      </c>
      <c r="E316" s="194" t="inlineStr">
        <is>
          <t>C1+2</t>
        </is>
      </c>
      <c r="F316" s="196" t="n">
        <v>1</v>
      </c>
      <c r="G316" s="196" t="n">
        <v>8</v>
      </c>
      <c r="H316" s="196" t="n">
        <v>2</v>
      </c>
      <c r="I316" s="196" t="n">
        <v>0</v>
      </c>
      <c r="J316" s="196" t="n">
        <v>0</v>
      </c>
      <c r="K316" s="196" t="n">
        <v>0</v>
      </c>
      <c r="L316" s="210" t="n">
        <v>0</v>
      </c>
      <c r="M316" s="210" t="n">
        <v>0</v>
      </c>
      <c r="N316" s="210" t="n">
        <v>0</v>
      </c>
      <c r="O316" s="196">
        <f>H316+I316+J316+L316+M316+N316</f>
        <v/>
      </c>
      <c r="P316" s="198" t="n">
        <v>10000</v>
      </c>
      <c r="Q316" s="210" t="n">
        <v>0</v>
      </c>
      <c r="R316" s="211" t="inlineStr">
        <is>
          <t>Đảm bảo tiến độ sản xuất</t>
        </is>
      </c>
      <c r="S316" s="211" t="inlineStr">
        <is>
          <t>CÓ</t>
        </is>
      </c>
      <c r="T316" s="211" t="inlineStr">
        <is>
          <t>ĐÃ DUYỆT</t>
        </is>
      </c>
      <c r="U316" s="211" t="inlineStr">
        <is>
          <t>Quản Đốc</t>
        </is>
      </c>
      <c r="V316" s="211" t="inlineStr">
        <is>
          <t>2026-09-12 17:00:00</t>
        </is>
      </c>
      <c r="W316" s="211" t="inlineStr">
        <is>
          <t>ERP_CHAM_CONG_2026</t>
        </is>
      </c>
      <c r="X316" s="211" t="inlineStr">
        <is>
          <t>HỢP LỆ</t>
        </is>
      </c>
    </row>
    <row r="317">
      <c r="A317" s="201" t="inlineStr">
        <is>
          <t>2026-09-13</t>
        </is>
      </c>
      <c r="B317" s="201" t="inlineStr">
        <is>
          <t>2026-09-01</t>
        </is>
      </c>
      <c r="C317" s="201" t="inlineStr">
        <is>
          <t>NV12</t>
        </is>
      </c>
      <c r="D317" s="202" t="inlineStr">
        <is>
          <t>Phạm Văn Sam</t>
        </is>
      </c>
      <c r="E317" s="201" t="inlineStr">
        <is>
          <t>CN</t>
        </is>
      </c>
      <c r="F317" s="203" t="n">
        <v>0</v>
      </c>
      <c r="G317" s="203" t="n">
        <v>0</v>
      </c>
      <c r="H317" s="203" t="n">
        <v>0</v>
      </c>
      <c r="I317" s="203" t="n">
        <v>8</v>
      </c>
      <c r="J317" s="203" t="n">
        <v>0</v>
      </c>
      <c r="K317" s="203" t="n">
        <v>0</v>
      </c>
      <c r="L317" s="208" t="n">
        <v>0</v>
      </c>
      <c r="M317" s="208" t="n">
        <v>0</v>
      </c>
      <c r="N317" s="208" t="n">
        <v>0</v>
      </c>
      <c r="O317" s="203">
        <f>H317+I317+J317+L317+M317+N317</f>
        <v/>
      </c>
      <c r="P317" s="205" t="n">
        <v>30000</v>
      </c>
      <c r="Q317" s="208" t="n">
        <v>0</v>
      </c>
      <c r="R317" s="209" t="inlineStr">
        <is>
          <t>Đảm bảo tiến độ sản xuất</t>
        </is>
      </c>
      <c r="S317" s="209" t="inlineStr">
        <is>
          <t>CÓ</t>
        </is>
      </c>
      <c r="T317" s="209" t="inlineStr">
        <is>
          <t>ĐÃ DUYỆT</t>
        </is>
      </c>
      <c r="U317" s="209" t="inlineStr">
        <is>
          <t>Quản Đốc</t>
        </is>
      </c>
      <c r="V317" s="209" t="inlineStr">
        <is>
          <t>2026-09-13 17:00:00</t>
        </is>
      </c>
      <c r="W317" s="209" t="inlineStr">
        <is>
          <t>ERP_CHAM_CONG_2026</t>
        </is>
      </c>
      <c r="X317" s="209" t="inlineStr">
        <is>
          <t>HỢP LỆ</t>
        </is>
      </c>
    </row>
    <row r="318">
      <c r="A318" s="194" t="inlineStr">
        <is>
          <t>2026-09-14</t>
        </is>
      </c>
      <c r="B318" s="194" t="inlineStr">
        <is>
          <t>2026-09-01</t>
        </is>
      </c>
      <c r="C318" s="194" t="inlineStr">
        <is>
          <t>NV12</t>
        </is>
      </c>
      <c r="D318" s="195" t="inlineStr">
        <is>
          <t>Phạm Văn Sam</t>
        </is>
      </c>
      <c r="E318" s="194" t="inlineStr">
        <is>
          <t>C3+2</t>
        </is>
      </c>
      <c r="F318" s="196" t="n">
        <v>1</v>
      </c>
      <c r="G318" s="196" t="n">
        <v>8</v>
      </c>
      <c r="H318" s="196" t="n">
        <v>2</v>
      </c>
      <c r="I318" s="196" t="n">
        <v>0</v>
      </c>
      <c r="J318" s="196" t="n">
        <v>0</v>
      </c>
      <c r="K318" s="196" t="n">
        <v>8</v>
      </c>
      <c r="L318" s="210" t="n">
        <v>0</v>
      </c>
      <c r="M318" s="210" t="n">
        <v>0</v>
      </c>
      <c r="N318" s="210" t="n">
        <v>0</v>
      </c>
      <c r="O318" s="196">
        <f>H318+I318+J318+L318+M318+N318</f>
        <v/>
      </c>
      <c r="P318" s="198" t="n">
        <v>15000</v>
      </c>
      <c r="Q318" s="210" t="n">
        <v>0</v>
      </c>
      <c r="R318" s="211" t="inlineStr">
        <is>
          <t>Đảm bảo tiến độ sản xuất</t>
        </is>
      </c>
      <c r="S318" s="211" t="inlineStr">
        <is>
          <t>CÓ</t>
        </is>
      </c>
      <c r="T318" s="211" t="inlineStr">
        <is>
          <t>ĐÃ DUYỆT</t>
        </is>
      </c>
      <c r="U318" s="211" t="inlineStr">
        <is>
          <t>Quản Đốc</t>
        </is>
      </c>
      <c r="V318" s="211" t="inlineStr">
        <is>
          <t>2026-09-14 17:00:00</t>
        </is>
      </c>
      <c r="W318" s="211" t="inlineStr">
        <is>
          <t>ERP_CHAM_CONG_2026</t>
        </is>
      </c>
      <c r="X318" s="211" t="inlineStr">
        <is>
          <t>HỢP LỆ</t>
        </is>
      </c>
    </row>
    <row r="319">
      <c r="A319" s="201" t="inlineStr">
        <is>
          <t>2026-09-03</t>
        </is>
      </c>
      <c r="B319" s="201" t="inlineStr">
        <is>
          <t>2026-09-01</t>
        </is>
      </c>
      <c r="C319" s="201" t="inlineStr">
        <is>
          <t>NV11</t>
        </is>
      </c>
      <c r="D319" s="202" t="inlineStr">
        <is>
          <t>Phùng Công Thắng</t>
        </is>
      </c>
      <c r="E319" s="201" t="inlineStr">
        <is>
          <t>C1+2</t>
        </is>
      </c>
      <c r="F319" s="203" t="n">
        <v>1</v>
      </c>
      <c r="G319" s="203" t="n">
        <v>8</v>
      </c>
      <c r="H319" s="203" t="n">
        <v>2</v>
      </c>
      <c r="I319" s="203" t="n">
        <v>0</v>
      </c>
      <c r="J319" s="203" t="n">
        <v>0</v>
      </c>
      <c r="K319" s="203" t="n">
        <v>0</v>
      </c>
      <c r="L319" s="208" t="n">
        <v>0</v>
      </c>
      <c r="M319" s="208" t="n">
        <v>0</v>
      </c>
      <c r="N319" s="208" t="n">
        <v>0</v>
      </c>
      <c r="O319" s="203">
        <f>H319+I319+J319+L319+M319+N319</f>
        <v/>
      </c>
      <c r="P319" s="205" t="n">
        <v>15000</v>
      </c>
      <c r="Q319" s="208" t="n">
        <v>0</v>
      </c>
      <c r="R319" s="209" t="inlineStr">
        <is>
          <t>Đảm bảo tiến độ sản xuất</t>
        </is>
      </c>
      <c r="S319" s="209" t="inlineStr">
        <is>
          <t>CÓ</t>
        </is>
      </c>
      <c r="T319" s="209" t="inlineStr">
        <is>
          <t>ĐÃ DUYỆT</t>
        </is>
      </c>
      <c r="U319" s="209" t="inlineStr">
        <is>
          <t>Quản Đốc</t>
        </is>
      </c>
      <c r="V319" s="209" t="inlineStr">
        <is>
          <t>2026-09-03 17:00:00</t>
        </is>
      </c>
      <c r="W319" s="209" t="inlineStr">
        <is>
          <t>ERP_CHAM_CONG_2026</t>
        </is>
      </c>
      <c r="X319" s="209" t="inlineStr">
        <is>
          <t>HỢP LỆ</t>
        </is>
      </c>
    </row>
    <row r="320">
      <c r="A320" s="194" t="inlineStr">
        <is>
          <t>2026-09-04</t>
        </is>
      </c>
      <c r="B320" s="194" t="inlineStr">
        <is>
          <t>2026-09-01</t>
        </is>
      </c>
      <c r="C320" s="194" t="inlineStr">
        <is>
          <t>NV11</t>
        </is>
      </c>
      <c r="D320" s="195" t="inlineStr">
        <is>
          <t>Phùng Công Thắng</t>
        </is>
      </c>
      <c r="E320" s="194" t="inlineStr">
        <is>
          <t>C1+2</t>
        </is>
      </c>
      <c r="F320" s="196" t="n">
        <v>1</v>
      </c>
      <c r="G320" s="196" t="n">
        <v>8</v>
      </c>
      <c r="H320" s="196" t="n">
        <v>2</v>
      </c>
      <c r="I320" s="196" t="n">
        <v>0</v>
      </c>
      <c r="J320" s="196" t="n">
        <v>0</v>
      </c>
      <c r="K320" s="196" t="n">
        <v>0</v>
      </c>
      <c r="L320" s="210" t="n">
        <v>0</v>
      </c>
      <c r="M320" s="210" t="n">
        <v>0</v>
      </c>
      <c r="N320" s="210" t="n">
        <v>0</v>
      </c>
      <c r="O320" s="196">
        <f>H320+I320+J320+L320+M320+N320</f>
        <v/>
      </c>
      <c r="P320" s="198" t="n">
        <v>15000</v>
      </c>
      <c r="Q320" s="210" t="n">
        <v>0</v>
      </c>
      <c r="R320" s="211" t="inlineStr">
        <is>
          <t>Đảm bảo tiến độ sản xuất</t>
        </is>
      </c>
      <c r="S320" s="211" t="inlineStr">
        <is>
          <t>CÓ</t>
        </is>
      </c>
      <c r="T320" s="211" t="inlineStr">
        <is>
          <t>ĐÃ DUYỆT</t>
        </is>
      </c>
      <c r="U320" s="211" t="inlineStr">
        <is>
          <t>Quản Đốc</t>
        </is>
      </c>
      <c r="V320" s="211" t="inlineStr">
        <is>
          <t>2026-09-04 17:00:00</t>
        </is>
      </c>
      <c r="W320" s="211" t="inlineStr">
        <is>
          <t>ERP_CHAM_CONG_2026</t>
        </is>
      </c>
      <c r="X320" s="211" t="inlineStr">
        <is>
          <t>HỢP LỆ</t>
        </is>
      </c>
    </row>
    <row r="321">
      <c r="A321" s="201" t="inlineStr">
        <is>
          <t>2026-09-05</t>
        </is>
      </c>
      <c r="B321" s="201" t="inlineStr">
        <is>
          <t>2026-09-01</t>
        </is>
      </c>
      <c r="C321" s="201" t="inlineStr">
        <is>
          <t>NV11</t>
        </is>
      </c>
      <c r="D321" s="202" t="inlineStr">
        <is>
          <t>Phùng Công Thắng</t>
        </is>
      </c>
      <c r="E321" s="201" t="inlineStr">
        <is>
          <t>C1+2</t>
        </is>
      </c>
      <c r="F321" s="203" t="n">
        <v>1</v>
      </c>
      <c r="G321" s="203" t="n">
        <v>8</v>
      </c>
      <c r="H321" s="203" t="n">
        <v>2</v>
      </c>
      <c r="I321" s="203" t="n">
        <v>0</v>
      </c>
      <c r="J321" s="203" t="n">
        <v>0</v>
      </c>
      <c r="K321" s="203" t="n">
        <v>0</v>
      </c>
      <c r="L321" s="208" t="n">
        <v>0</v>
      </c>
      <c r="M321" s="208" t="n">
        <v>0</v>
      </c>
      <c r="N321" s="208" t="n">
        <v>0</v>
      </c>
      <c r="O321" s="203">
        <f>H321+I321+J321+L321+M321+N321</f>
        <v/>
      </c>
      <c r="P321" s="205" t="n">
        <v>15000</v>
      </c>
      <c r="Q321" s="208" t="n">
        <v>0</v>
      </c>
      <c r="R321" s="209" t="inlineStr">
        <is>
          <t>Đảm bảo tiến độ sản xuất</t>
        </is>
      </c>
      <c r="S321" s="209" t="inlineStr">
        <is>
          <t>CÓ</t>
        </is>
      </c>
      <c r="T321" s="209" t="inlineStr">
        <is>
          <t>ĐÃ DUYỆT</t>
        </is>
      </c>
      <c r="U321" s="209" t="inlineStr">
        <is>
          <t>Quản Đốc</t>
        </is>
      </c>
      <c r="V321" s="209" t="inlineStr">
        <is>
          <t>2026-09-05 17:00:00</t>
        </is>
      </c>
      <c r="W321" s="209" t="inlineStr">
        <is>
          <t>ERP_CHAM_CONG_2026</t>
        </is>
      </c>
      <c r="X321" s="209" t="inlineStr">
        <is>
          <t>HỢP LỆ</t>
        </is>
      </c>
    </row>
    <row r="322">
      <c r="A322" s="194" t="inlineStr">
        <is>
          <t>2026-09-06</t>
        </is>
      </c>
      <c r="B322" s="194" t="inlineStr">
        <is>
          <t>2026-09-01</t>
        </is>
      </c>
      <c r="C322" s="194" t="inlineStr">
        <is>
          <t>NV11</t>
        </is>
      </c>
      <c r="D322" s="195" t="inlineStr">
        <is>
          <t>Phùng Công Thắng</t>
        </is>
      </c>
      <c r="E322" s="194" t="inlineStr">
        <is>
          <t>CN</t>
        </is>
      </c>
      <c r="F322" s="196" t="n">
        <v>0</v>
      </c>
      <c r="G322" s="196" t="n">
        <v>0</v>
      </c>
      <c r="H322" s="196" t="n">
        <v>0</v>
      </c>
      <c r="I322" s="196" t="n">
        <v>9.5</v>
      </c>
      <c r="J322" s="196" t="n">
        <v>0</v>
      </c>
      <c r="K322" s="196" t="n">
        <v>0</v>
      </c>
      <c r="L322" s="210" t="n">
        <v>0</v>
      </c>
      <c r="M322" s="210" t="n">
        <v>0</v>
      </c>
      <c r="N322" s="210" t="n">
        <v>0</v>
      </c>
      <c r="O322" s="196">
        <f>H322+I322+J322+L322+M322+N322</f>
        <v/>
      </c>
      <c r="P322" s="198" t="n">
        <v>30000</v>
      </c>
      <c r="Q322" s="210" t="n">
        <v>0</v>
      </c>
      <c r="R322" s="211" t="inlineStr">
        <is>
          <t>Đảm bảo tiến độ sản xuất</t>
        </is>
      </c>
      <c r="S322" s="211" t="inlineStr">
        <is>
          <t>CÓ</t>
        </is>
      </c>
      <c r="T322" s="211" t="inlineStr">
        <is>
          <t>ĐÃ DUYỆT</t>
        </is>
      </c>
      <c r="U322" s="211" t="inlineStr">
        <is>
          <t>Quản Đốc</t>
        </is>
      </c>
      <c r="V322" s="211" t="inlineStr">
        <is>
          <t>2026-09-06 17:00:00</t>
        </is>
      </c>
      <c r="W322" s="211" t="inlineStr">
        <is>
          <t>ERP_CHAM_CONG_2026</t>
        </is>
      </c>
      <c r="X322" s="211" t="inlineStr">
        <is>
          <t>HỢP LỆ</t>
        </is>
      </c>
    </row>
    <row r="323">
      <c r="A323" s="201" t="inlineStr">
        <is>
          <t>2026-09-07</t>
        </is>
      </c>
      <c r="B323" s="201" t="inlineStr">
        <is>
          <t>2026-09-01</t>
        </is>
      </c>
      <c r="C323" s="201" t="inlineStr">
        <is>
          <t>NV11</t>
        </is>
      </c>
      <c r="D323" s="202" t="inlineStr">
        <is>
          <t>Phùng Công Thắng</t>
        </is>
      </c>
      <c r="E323" s="201" t="inlineStr">
        <is>
          <t>C3+2</t>
        </is>
      </c>
      <c r="F323" s="203" t="n">
        <v>1</v>
      </c>
      <c r="G323" s="203" t="n">
        <v>8</v>
      </c>
      <c r="H323" s="203" t="n">
        <v>2</v>
      </c>
      <c r="I323" s="203" t="n">
        <v>0</v>
      </c>
      <c r="J323" s="203" t="n">
        <v>0</v>
      </c>
      <c r="K323" s="203" t="n">
        <v>8</v>
      </c>
      <c r="L323" s="208" t="n">
        <v>0</v>
      </c>
      <c r="M323" s="208" t="n">
        <v>0</v>
      </c>
      <c r="N323" s="208" t="n">
        <v>0</v>
      </c>
      <c r="O323" s="203">
        <f>H323+I323+J323+L323+M323+N323</f>
        <v/>
      </c>
      <c r="P323" s="205" t="n">
        <v>15000</v>
      </c>
      <c r="Q323" s="208" t="n">
        <v>0</v>
      </c>
      <c r="R323" s="209" t="inlineStr">
        <is>
          <t>Đảm bảo tiến độ sản xuất</t>
        </is>
      </c>
      <c r="S323" s="209" t="inlineStr">
        <is>
          <t>CÓ</t>
        </is>
      </c>
      <c r="T323" s="209" t="inlineStr">
        <is>
          <t>ĐÃ DUYỆT</t>
        </is>
      </c>
      <c r="U323" s="209" t="inlineStr">
        <is>
          <t>Quản Đốc</t>
        </is>
      </c>
      <c r="V323" s="209" t="inlineStr">
        <is>
          <t>2026-09-07 17:00:00</t>
        </is>
      </c>
      <c r="W323" s="209" t="inlineStr">
        <is>
          <t>ERP_CHAM_CONG_2026</t>
        </is>
      </c>
      <c r="X323" s="209" t="inlineStr">
        <is>
          <t>HỢP LỆ</t>
        </is>
      </c>
    </row>
    <row r="324">
      <c r="A324" s="194" t="inlineStr">
        <is>
          <t>2026-09-08</t>
        </is>
      </c>
      <c r="B324" s="194" t="inlineStr">
        <is>
          <t>2026-09-01</t>
        </is>
      </c>
      <c r="C324" s="194" t="inlineStr">
        <is>
          <t>NV11</t>
        </is>
      </c>
      <c r="D324" s="195" t="inlineStr">
        <is>
          <t>Phùng Công Thắng</t>
        </is>
      </c>
      <c r="E324" s="194" t="inlineStr">
        <is>
          <t>C3+2</t>
        </is>
      </c>
      <c r="F324" s="196" t="n">
        <v>1</v>
      </c>
      <c r="G324" s="196" t="n">
        <v>8</v>
      </c>
      <c r="H324" s="196" t="n">
        <v>2</v>
      </c>
      <c r="I324" s="196" t="n">
        <v>0</v>
      </c>
      <c r="J324" s="196" t="n">
        <v>0</v>
      </c>
      <c r="K324" s="196" t="n">
        <v>8</v>
      </c>
      <c r="L324" s="210" t="n">
        <v>0</v>
      </c>
      <c r="M324" s="210" t="n">
        <v>0</v>
      </c>
      <c r="N324" s="210" t="n">
        <v>0</v>
      </c>
      <c r="O324" s="196">
        <f>H324+I324+J324+L324+M324+N324</f>
        <v/>
      </c>
      <c r="P324" s="198" t="n">
        <v>15000</v>
      </c>
      <c r="Q324" s="210" t="n">
        <v>0</v>
      </c>
      <c r="R324" s="211" t="inlineStr">
        <is>
          <t>Đảm bảo tiến độ sản xuất</t>
        </is>
      </c>
      <c r="S324" s="211" t="inlineStr">
        <is>
          <t>CÓ</t>
        </is>
      </c>
      <c r="T324" s="211" t="inlineStr">
        <is>
          <t>ĐÃ DUYỆT</t>
        </is>
      </c>
      <c r="U324" s="211" t="inlineStr">
        <is>
          <t>Quản Đốc</t>
        </is>
      </c>
      <c r="V324" s="211" t="inlineStr">
        <is>
          <t>2026-09-08 17:00:00</t>
        </is>
      </c>
      <c r="W324" s="211" t="inlineStr">
        <is>
          <t>ERP_CHAM_CONG_2026</t>
        </is>
      </c>
      <c r="X324" s="211" t="inlineStr">
        <is>
          <t>HỢP LỆ</t>
        </is>
      </c>
    </row>
    <row r="325">
      <c r="A325" s="201" t="inlineStr">
        <is>
          <t>2026-09-09</t>
        </is>
      </c>
      <c r="B325" s="201" t="inlineStr">
        <is>
          <t>2026-09-01</t>
        </is>
      </c>
      <c r="C325" s="201" t="inlineStr">
        <is>
          <t>NV11</t>
        </is>
      </c>
      <c r="D325" s="202" t="inlineStr">
        <is>
          <t>Phùng Công Thắng</t>
        </is>
      </c>
      <c r="E325" s="201" t="inlineStr">
        <is>
          <t>C3+2</t>
        </is>
      </c>
      <c r="F325" s="203" t="n">
        <v>1</v>
      </c>
      <c r="G325" s="203" t="n">
        <v>8</v>
      </c>
      <c r="H325" s="203" t="n">
        <v>2</v>
      </c>
      <c r="I325" s="203" t="n">
        <v>0</v>
      </c>
      <c r="J325" s="203" t="n">
        <v>0</v>
      </c>
      <c r="K325" s="203" t="n">
        <v>8</v>
      </c>
      <c r="L325" s="208" t="n">
        <v>0</v>
      </c>
      <c r="M325" s="208" t="n">
        <v>0</v>
      </c>
      <c r="N325" s="208" t="n">
        <v>0</v>
      </c>
      <c r="O325" s="203">
        <f>H325+I325+J325+L325+M325+N325</f>
        <v/>
      </c>
      <c r="P325" s="205" t="n">
        <v>15000</v>
      </c>
      <c r="Q325" s="208" t="n">
        <v>0</v>
      </c>
      <c r="R325" s="209" t="inlineStr">
        <is>
          <t>Đảm bảo tiến độ sản xuất</t>
        </is>
      </c>
      <c r="S325" s="209" t="inlineStr">
        <is>
          <t>CÓ</t>
        </is>
      </c>
      <c r="T325" s="209" t="inlineStr">
        <is>
          <t>ĐÃ DUYỆT</t>
        </is>
      </c>
      <c r="U325" s="209" t="inlineStr">
        <is>
          <t>Quản Đốc</t>
        </is>
      </c>
      <c r="V325" s="209" t="inlineStr">
        <is>
          <t>2026-09-09 17:00:00</t>
        </is>
      </c>
      <c r="W325" s="209" t="inlineStr">
        <is>
          <t>ERP_CHAM_CONG_2026</t>
        </is>
      </c>
      <c r="X325" s="209" t="inlineStr">
        <is>
          <t>HỢP LỆ</t>
        </is>
      </c>
    </row>
    <row r="326">
      <c r="A326" s="194" t="inlineStr">
        <is>
          <t>2026-09-10</t>
        </is>
      </c>
      <c r="B326" s="194" t="inlineStr">
        <is>
          <t>2026-09-01</t>
        </is>
      </c>
      <c r="C326" s="194" t="inlineStr">
        <is>
          <t>NV11</t>
        </is>
      </c>
      <c r="D326" s="195" t="inlineStr">
        <is>
          <t>Phùng Công Thắng</t>
        </is>
      </c>
      <c r="E326" s="194" t="inlineStr">
        <is>
          <t>C1+2</t>
        </is>
      </c>
      <c r="F326" s="196" t="n">
        <v>1</v>
      </c>
      <c r="G326" s="196" t="n">
        <v>8</v>
      </c>
      <c r="H326" s="196" t="n">
        <v>2</v>
      </c>
      <c r="I326" s="196" t="n">
        <v>0</v>
      </c>
      <c r="J326" s="196" t="n">
        <v>0</v>
      </c>
      <c r="K326" s="196" t="n">
        <v>0</v>
      </c>
      <c r="L326" s="210" t="n">
        <v>0</v>
      </c>
      <c r="M326" s="210" t="n">
        <v>0</v>
      </c>
      <c r="N326" s="210" t="n">
        <v>0</v>
      </c>
      <c r="O326" s="196">
        <f>H326+I326+J326+L326+M326+N326</f>
        <v/>
      </c>
      <c r="P326" s="198" t="n">
        <v>15000</v>
      </c>
      <c r="Q326" s="210" t="n">
        <v>0</v>
      </c>
      <c r="R326" s="211" t="inlineStr">
        <is>
          <t>Đảm bảo tiến độ sản xuất</t>
        </is>
      </c>
      <c r="S326" s="211" t="inlineStr">
        <is>
          <t>CÓ</t>
        </is>
      </c>
      <c r="T326" s="211" t="inlineStr">
        <is>
          <t>ĐÃ DUYỆT</t>
        </is>
      </c>
      <c r="U326" s="211" t="inlineStr">
        <is>
          <t>Quản Đốc</t>
        </is>
      </c>
      <c r="V326" s="211" t="inlineStr">
        <is>
          <t>2026-09-10 17:00:00</t>
        </is>
      </c>
      <c r="W326" s="211" t="inlineStr">
        <is>
          <t>ERP_CHAM_CONG_2026</t>
        </is>
      </c>
      <c r="X326" s="211" t="inlineStr">
        <is>
          <t>HỢP LỆ</t>
        </is>
      </c>
    </row>
    <row r="327">
      <c r="A327" s="201" t="inlineStr">
        <is>
          <t>2026-09-11</t>
        </is>
      </c>
      <c r="B327" s="201" t="inlineStr">
        <is>
          <t>2026-09-01</t>
        </is>
      </c>
      <c r="C327" s="201" t="inlineStr">
        <is>
          <t>NV11</t>
        </is>
      </c>
      <c r="D327" s="202" t="inlineStr">
        <is>
          <t>Phùng Công Thắng</t>
        </is>
      </c>
      <c r="E327" s="201" t="inlineStr">
        <is>
          <t>C1+2</t>
        </is>
      </c>
      <c r="F327" s="203" t="n">
        <v>1</v>
      </c>
      <c r="G327" s="203" t="n">
        <v>8</v>
      </c>
      <c r="H327" s="203" t="n">
        <v>2</v>
      </c>
      <c r="I327" s="203" t="n">
        <v>0</v>
      </c>
      <c r="J327" s="203" t="n">
        <v>0</v>
      </c>
      <c r="K327" s="203" t="n">
        <v>0</v>
      </c>
      <c r="L327" s="208" t="n">
        <v>0</v>
      </c>
      <c r="M327" s="208" t="n">
        <v>0</v>
      </c>
      <c r="N327" s="208" t="n">
        <v>0</v>
      </c>
      <c r="O327" s="203">
        <f>H327+I327+J327+L327+M327+N327</f>
        <v/>
      </c>
      <c r="P327" s="205" t="n">
        <v>15000</v>
      </c>
      <c r="Q327" s="208" t="n">
        <v>0</v>
      </c>
      <c r="R327" s="209" t="inlineStr">
        <is>
          <t>Đảm bảo tiến độ sản xuất</t>
        </is>
      </c>
      <c r="S327" s="209" t="inlineStr">
        <is>
          <t>CÓ</t>
        </is>
      </c>
      <c r="T327" s="209" t="inlineStr">
        <is>
          <t>ĐÃ DUYỆT</t>
        </is>
      </c>
      <c r="U327" s="209" t="inlineStr">
        <is>
          <t>Quản Đốc</t>
        </is>
      </c>
      <c r="V327" s="209" t="inlineStr">
        <is>
          <t>2026-09-11 17:00:00</t>
        </is>
      </c>
      <c r="W327" s="209" t="inlineStr">
        <is>
          <t>ERP_CHAM_CONG_2026</t>
        </is>
      </c>
      <c r="X327" s="209" t="inlineStr">
        <is>
          <t>HỢP LỆ</t>
        </is>
      </c>
    </row>
    <row r="328">
      <c r="A328" s="194" t="inlineStr">
        <is>
          <t>2026-09-12</t>
        </is>
      </c>
      <c r="B328" s="194" t="inlineStr">
        <is>
          <t>2026-09-01</t>
        </is>
      </c>
      <c r="C328" s="194" t="inlineStr">
        <is>
          <t>NV11</t>
        </is>
      </c>
      <c r="D328" s="195" t="inlineStr">
        <is>
          <t>Phùng Công Thắng</t>
        </is>
      </c>
      <c r="E328" s="194" t="inlineStr">
        <is>
          <t>C1+2</t>
        </is>
      </c>
      <c r="F328" s="196" t="n">
        <v>1</v>
      </c>
      <c r="G328" s="196" t="n">
        <v>8</v>
      </c>
      <c r="H328" s="196" t="n">
        <v>2</v>
      </c>
      <c r="I328" s="196" t="n">
        <v>0</v>
      </c>
      <c r="J328" s="196" t="n">
        <v>0</v>
      </c>
      <c r="K328" s="196" t="n">
        <v>0</v>
      </c>
      <c r="L328" s="210" t="n">
        <v>0</v>
      </c>
      <c r="M328" s="210" t="n">
        <v>0</v>
      </c>
      <c r="N328" s="210" t="n">
        <v>0</v>
      </c>
      <c r="O328" s="196">
        <f>H328+I328+J328+L328+M328+N328</f>
        <v/>
      </c>
      <c r="P328" s="198" t="n">
        <v>15000</v>
      </c>
      <c r="Q328" s="210" t="n">
        <v>0</v>
      </c>
      <c r="R328" s="211" t="inlineStr">
        <is>
          <t>Đảm bảo tiến độ sản xuất</t>
        </is>
      </c>
      <c r="S328" s="211" t="inlineStr">
        <is>
          <t>CÓ</t>
        </is>
      </c>
      <c r="T328" s="211" t="inlineStr">
        <is>
          <t>ĐÃ DUYỆT</t>
        </is>
      </c>
      <c r="U328" s="211" t="inlineStr">
        <is>
          <t>Quản Đốc</t>
        </is>
      </c>
      <c r="V328" s="211" t="inlineStr">
        <is>
          <t>2026-09-12 17:00:00</t>
        </is>
      </c>
      <c r="W328" s="211" t="inlineStr">
        <is>
          <t>ERP_CHAM_CONG_2026</t>
        </is>
      </c>
      <c r="X328" s="211" t="inlineStr">
        <is>
          <t>HỢP LỆ</t>
        </is>
      </c>
    </row>
    <row r="329">
      <c r="A329" s="201" t="inlineStr">
        <is>
          <t>2026-09-13</t>
        </is>
      </c>
      <c r="B329" s="201" t="inlineStr">
        <is>
          <t>2026-09-01</t>
        </is>
      </c>
      <c r="C329" s="201" t="inlineStr">
        <is>
          <t>NV11</t>
        </is>
      </c>
      <c r="D329" s="202" t="inlineStr">
        <is>
          <t>Phùng Công Thắng</t>
        </is>
      </c>
      <c r="E329" s="201" t="inlineStr">
        <is>
          <t>CN</t>
        </is>
      </c>
      <c r="F329" s="203" t="n">
        <v>0</v>
      </c>
      <c r="G329" s="203" t="n">
        <v>0</v>
      </c>
      <c r="H329" s="203" t="n">
        <v>0</v>
      </c>
      <c r="I329" s="203" t="n">
        <v>8</v>
      </c>
      <c r="J329" s="203" t="n">
        <v>0</v>
      </c>
      <c r="K329" s="203" t="n">
        <v>0</v>
      </c>
      <c r="L329" s="208" t="n">
        <v>0</v>
      </c>
      <c r="M329" s="208" t="n">
        <v>0</v>
      </c>
      <c r="N329" s="208" t="n">
        <v>0</v>
      </c>
      <c r="O329" s="203">
        <f>H329+I329+J329+L329+M329+N329</f>
        <v/>
      </c>
      <c r="P329" s="205" t="n">
        <v>30000</v>
      </c>
      <c r="Q329" s="208" t="n">
        <v>0</v>
      </c>
      <c r="R329" s="209" t="inlineStr">
        <is>
          <t>Đảm bảo tiến độ sản xuất</t>
        </is>
      </c>
      <c r="S329" s="209" t="inlineStr">
        <is>
          <t>CÓ</t>
        </is>
      </c>
      <c r="T329" s="209" t="inlineStr">
        <is>
          <t>ĐÃ DUYỆT</t>
        </is>
      </c>
      <c r="U329" s="209" t="inlineStr">
        <is>
          <t>Quản Đốc</t>
        </is>
      </c>
      <c r="V329" s="209" t="inlineStr">
        <is>
          <t>2026-09-13 17:00:00</t>
        </is>
      </c>
      <c r="W329" s="209" t="inlineStr">
        <is>
          <t>ERP_CHAM_CONG_2026</t>
        </is>
      </c>
      <c r="X329" s="209" t="inlineStr">
        <is>
          <t>HỢP LỆ</t>
        </is>
      </c>
    </row>
    <row r="330">
      <c r="A330" s="194" t="inlineStr">
        <is>
          <t>2026-09-14</t>
        </is>
      </c>
      <c r="B330" s="194" t="inlineStr">
        <is>
          <t>2026-09-01</t>
        </is>
      </c>
      <c r="C330" s="194" t="inlineStr">
        <is>
          <t>NV11</t>
        </is>
      </c>
      <c r="D330" s="195" t="inlineStr">
        <is>
          <t>Phùng Công Thắng</t>
        </is>
      </c>
      <c r="E330" s="194" t="inlineStr">
        <is>
          <t>C1</t>
        </is>
      </c>
      <c r="F330" s="196" t="n">
        <v>1</v>
      </c>
      <c r="G330" s="196" t="n">
        <v>8</v>
      </c>
      <c r="H330" s="196" t="n">
        <v>0</v>
      </c>
      <c r="I330" s="196" t="n">
        <v>0</v>
      </c>
      <c r="J330" s="196" t="n">
        <v>0</v>
      </c>
      <c r="K330" s="196" t="n">
        <v>0</v>
      </c>
      <c r="L330" s="210" t="n">
        <v>0</v>
      </c>
      <c r="M330" s="210" t="n">
        <v>0</v>
      </c>
      <c r="N330" s="210" t="n">
        <v>0</v>
      </c>
      <c r="O330" s="196">
        <f>H330+I330+J330+L330+M330+N330</f>
        <v/>
      </c>
      <c r="P330" s="198" t="n">
        <v>10000</v>
      </c>
      <c r="Q330" s="210" t="n">
        <v>0</v>
      </c>
      <c r="R330" s="211" t="inlineStr"/>
      <c r="S330" s="211" t="inlineStr">
        <is>
          <t>KHÔNG</t>
        </is>
      </c>
      <c r="T330" s="211" t="inlineStr">
        <is>
          <t>ĐÃ DUYỆT</t>
        </is>
      </c>
      <c r="U330" s="211" t="inlineStr">
        <is>
          <t>Quản Đốc</t>
        </is>
      </c>
      <c r="V330" s="211" t="inlineStr">
        <is>
          <t>2026-09-14 17:00:00</t>
        </is>
      </c>
      <c r="W330" s="211" t="inlineStr">
        <is>
          <t>ERP_CHAM_CONG_2026</t>
        </is>
      </c>
      <c r="X330" s="211" t="inlineStr">
        <is>
          <t>HỢP LỆ</t>
        </is>
      </c>
    </row>
    <row r="331">
      <c r="A331" s="201" t="inlineStr">
        <is>
          <t>2026-09-03</t>
        </is>
      </c>
      <c r="B331" s="201" t="inlineStr">
        <is>
          <t>2026-09-01</t>
        </is>
      </c>
      <c r="C331" s="201" t="inlineStr">
        <is>
          <t>NV06</t>
        </is>
      </c>
      <c r="D331" s="202" t="inlineStr">
        <is>
          <t>Nguyễn Văn Thanh</t>
        </is>
      </c>
      <c r="E331" s="201" t="inlineStr">
        <is>
          <t>C3+2</t>
        </is>
      </c>
      <c r="F331" s="203" t="n">
        <v>1</v>
      </c>
      <c r="G331" s="203" t="n">
        <v>8</v>
      </c>
      <c r="H331" s="203" t="n">
        <v>2</v>
      </c>
      <c r="I331" s="203" t="n">
        <v>0</v>
      </c>
      <c r="J331" s="203" t="n">
        <v>0</v>
      </c>
      <c r="K331" s="203" t="n">
        <v>8</v>
      </c>
      <c r="L331" s="208" t="n">
        <v>0</v>
      </c>
      <c r="M331" s="208" t="n">
        <v>0</v>
      </c>
      <c r="N331" s="208" t="n">
        <v>0</v>
      </c>
      <c r="O331" s="203">
        <f>H331+I331+J331+L331+M331+N331</f>
        <v/>
      </c>
      <c r="P331" s="205" t="n">
        <v>10000</v>
      </c>
      <c r="Q331" s="208" t="n">
        <v>0</v>
      </c>
      <c r="R331" s="209" t="inlineStr">
        <is>
          <t>Đảm bảo tiến độ sản xuất</t>
        </is>
      </c>
      <c r="S331" s="209" t="inlineStr">
        <is>
          <t>CÓ</t>
        </is>
      </c>
      <c r="T331" s="209" t="inlineStr">
        <is>
          <t>ĐÃ DUYỆT</t>
        </is>
      </c>
      <c r="U331" s="209" t="inlineStr">
        <is>
          <t>Quản Đốc</t>
        </is>
      </c>
      <c r="V331" s="209" t="inlineStr">
        <is>
          <t>2026-09-03 17:00:00</t>
        </is>
      </c>
      <c r="W331" s="209" t="inlineStr">
        <is>
          <t>ERP_CHAM_CONG_2026</t>
        </is>
      </c>
      <c r="X331" s="209" t="inlineStr">
        <is>
          <t>HỢP LỆ</t>
        </is>
      </c>
    </row>
    <row r="332">
      <c r="A332" s="194" t="inlineStr">
        <is>
          <t>2026-09-04</t>
        </is>
      </c>
      <c r="B332" s="194" t="inlineStr">
        <is>
          <t>2026-09-01</t>
        </is>
      </c>
      <c r="C332" s="194" t="inlineStr">
        <is>
          <t>NV06</t>
        </is>
      </c>
      <c r="D332" s="195" t="inlineStr">
        <is>
          <t>Nguyễn Văn Thanh</t>
        </is>
      </c>
      <c r="E332" s="194" t="inlineStr">
        <is>
          <t>C1+2</t>
        </is>
      </c>
      <c r="F332" s="196" t="n">
        <v>1</v>
      </c>
      <c r="G332" s="196" t="n">
        <v>8</v>
      </c>
      <c r="H332" s="196" t="n">
        <v>2</v>
      </c>
      <c r="I332" s="196" t="n">
        <v>0</v>
      </c>
      <c r="J332" s="196" t="n">
        <v>0</v>
      </c>
      <c r="K332" s="196" t="n">
        <v>0</v>
      </c>
      <c r="L332" s="210" t="n">
        <v>0</v>
      </c>
      <c r="M332" s="210" t="n">
        <v>0</v>
      </c>
      <c r="N332" s="210" t="n">
        <v>0</v>
      </c>
      <c r="O332" s="196">
        <f>H332+I332+J332+L332+M332+N332</f>
        <v/>
      </c>
      <c r="P332" s="198" t="n">
        <v>15000</v>
      </c>
      <c r="Q332" s="210" t="n">
        <v>0</v>
      </c>
      <c r="R332" s="211" t="inlineStr">
        <is>
          <t>Đảm bảo tiến độ sản xuất</t>
        </is>
      </c>
      <c r="S332" s="211" t="inlineStr">
        <is>
          <t>CÓ</t>
        </is>
      </c>
      <c r="T332" s="211" t="inlineStr">
        <is>
          <t>ĐÃ DUYỆT</t>
        </is>
      </c>
      <c r="U332" s="211" t="inlineStr">
        <is>
          <t>Quản Đốc</t>
        </is>
      </c>
      <c r="V332" s="211" t="inlineStr">
        <is>
          <t>2026-09-04 17:00:00</t>
        </is>
      </c>
      <c r="W332" s="211" t="inlineStr">
        <is>
          <t>ERP_CHAM_CONG_2026</t>
        </is>
      </c>
      <c r="X332" s="211" t="inlineStr">
        <is>
          <t>HỢP LỆ</t>
        </is>
      </c>
    </row>
    <row r="333">
      <c r="A333" s="201" t="inlineStr">
        <is>
          <t>2026-09-05</t>
        </is>
      </c>
      <c r="B333" s="201" t="inlineStr">
        <is>
          <t>2026-09-01</t>
        </is>
      </c>
      <c r="C333" s="201" t="inlineStr">
        <is>
          <t>NV06</t>
        </is>
      </c>
      <c r="D333" s="202" t="inlineStr">
        <is>
          <t>Nguyễn Văn Thanh</t>
        </is>
      </c>
      <c r="E333" s="201" t="inlineStr">
        <is>
          <t>C1</t>
        </is>
      </c>
      <c r="F333" s="203" t="n">
        <v>1</v>
      </c>
      <c r="G333" s="203" t="n">
        <v>8</v>
      </c>
      <c r="H333" s="203" t="n">
        <v>0</v>
      </c>
      <c r="I333" s="203" t="n">
        <v>0</v>
      </c>
      <c r="J333" s="203" t="n">
        <v>0</v>
      </c>
      <c r="K333" s="203" t="n">
        <v>0</v>
      </c>
      <c r="L333" s="208" t="n">
        <v>0</v>
      </c>
      <c r="M333" s="208" t="n">
        <v>0</v>
      </c>
      <c r="N333" s="208" t="n">
        <v>0</v>
      </c>
      <c r="O333" s="203">
        <f>H333+I333+J333+L333+M333+N333</f>
        <v/>
      </c>
      <c r="P333" s="205" t="n">
        <v>0</v>
      </c>
      <c r="Q333" s="208" t="n">
        <v>0</v>
      </c>
      <c r="R333" s="209" t="inlineStr"/>
      <c r="S333" s="209" t="inlineStr">
        <is>
          <t>KHÔNG</t>
        </is>
      </c>
      <c r="T333" s="209" t="inlineStr">
        <is>
          <t>ĐÃ DUYỆT</t>
        </is>
      </c>
      <c r="U333" s="209" t="inlineStr">
        <is>
          <t>Quản Đốc</t>
        </is>
      </c>
      <c r="V333" s="209" t="inlineStr">
        <is>
          <t>2026-09-05 17:00:00</t>
        </is>
      </c>
      <c r="W333" s="209" t="inlineStr">
        <is>
          <t>ERP_CHAM_CONG_2026</t>
        </is>
      </c>
      <c r="X333" s="209" t="inlineStr">
        <is>
          <t>HỢP LỆ</t>
        </is>
      </c>
    </row>
    <row r="334">
      <c r="A334" s="194" t="inlineStr">
        <is>
          <t>2026-09-06</t>
        </is>
      </c>
      <c r="B334" s="194" t="inlineStr">
        <is>
          <t>2026-09-01</t>
        </is>
      </c>
      <c r="C334" s="194" t="inlineStr">
        <is>
          <t>NV06</t>
        </is>
      </c>
      <c r="D334" s="195" t="inlineStr">
        <is>
          <t>Nguyễn Văn Thanh</t>
        </is>
      </c>
      <c r="E334" s="194" t="inlineStr">
        <is>
          <t>CN</t>
        </is>
      </c>
      <c r="F334" s="196" t="n">
        <v>0</v>
      </c>
      <c r="G334" s="196" t="n">
        <v>0</v>
      </c>
      <c r="H334" s="196" t="n">
        <v>0</v>
      </c>
      <c r="I334" s="196" t="n">
        <v>8</v>
      </c>
      <c r="J334" s="196" t="n">
        <v>0</v>
      </c>
      <c r="K334" s="196" t="n">
        <v>0</v>
      </c>
      <c r="L334" s="210" t="n">
        <v>0</v>
      </c>
      <c r="M334" s="210" t="n">
        <v>0</v>
      </c>
      <c r="N334" s="210" t="n">
        <v>0</v>
      </c>
      <c r="O334" s="196">
        <f>H334+I334+J334+L334+M334+N334</f>
        <v/>
      </c>
      <c r="P334" s="198" t="n">
        <v>30000</v>
      </c>
      <c r="Q334" s="210" t="n">
        <v>0</v>
      </c>
      <c r="R334" s="211" t="inlineStr">
        <is>
          <t>Đảm bảo tiến độ sản xuất</t>
        </is>
      </c>
      <c r="S334" s="211" t="inlineStr">
        <is>
          <t>CÓ</t>
        </is>
      </c>
      <c r="T334" s="211" t="inlineStr">
        <is>
          <t>ĐÃ DUYỆT</t>
        </is>
      </c>
      <c r="U334" s="211" t="inlineStr">
        <is>
          <t>Quản Đốc</t>
        </is>
      </c>
      <c r="V334" s="211" t="inlineStr">
        <is>
          <t>2026-09-06 17:00:00</t>
        </is>
      </c>
      <c r="W334" s="211" t="inlineStr">
        <is>
          <t>ERP_CHAM_CONG_2026</t>
        </is>
      </c>
      <c r="X334" s="211" t="inlineStr">
        <is>
          <t>HỢP LỆ</t>
        </is>
      </c>
    </row>
    <row r="335">
      <c r="A335" s="201" t="inlineStr">
        <is>
          <t>2026-09-07</t>
        </is>
      </c>
      <c r="B335" s="201" t="inlineStr">
        <is>
          <t>2026-09-01</t>
        </is>
      </c>
      <c r="C335" s="201" t="inlineStr">
        <is>
          <t>NV06</t>
        </is>
      </c>
      <c r="D335" s="202" t="inlineStr">
        <is>
          <t>Nguyễn Văn Thanh</t>
        </is>
      </c>
      <c r="E335" s="201" t="inlineStr">
        <is>
          <t>C3+2</t>
        </is>
      </c>
      <c r="F335" s="203" t="n">
        <v>1</v>
      </c>
      <c r="G335" s="203" t="n">
        <v>8</v>
      </c>
      <c r="H335" s="203" t="n">
        <v>2</v>
      </c>
      <c r="I335" s="203" t="n">
        <v>0</v>
      </c>
      <c r="J335" s="203" t="n">
        <v>0</v>
      </c>
      <c r="K335" s="203" t="n">
        <v>8</v>
      </c>
      <c r="L335" s="208" t="n">
        <v>0</v>
      </c>
      <c r="M335" s="208" t="n">
        <v>0</v>
      </c>
      <c r="N335" s="208" t="n">
        <v>0</v>
      </c>
      <c r="O335" s="203">
        <f>H335+I335+J335+L335+M335+N335</f>
        <v/>
      </c>
      <c r="P335" s="205" t="n">
        <v>15000</v>
      </c>
      <c r="Q335" s="208" t="n">
        <v>0</v>
      </c>
      <c r="R335" s="209" t="inlineStr">
        <is>
          <t>Đảm bảo tiến độ sản xuất</t>
        </is>
      </c>
      <c r="S335" s="209" t="inlineStr">
        <is>
          <t>CÓ</t>
        </is>
      </c>
      <c r="T335" s="209" t="inlineStr">
        <is>
          <t>ĐÃ DUYỆT</t>
        </is>
      </c>
      <c r="U335" s="209" t="inlineStr">
        <is>
          <t>Quản Đốc</t>
        </is>
      </c>
      <c r="V335" s="209" t="inlineStr">
        <is>
          <t>2026-09-07 17:00:00</t>
        </is>
      </c>
      <c r="W335" s="209" t="inlineStr">
        <is>
          <t>ERP_CHAM_CONG_2026</t>
        </is>
      </c>
      <c r="X335" s="209" t="inlineStr">
        <is>
          <t>HỢP LỆ</t>
        </is>
      </c>
    </row>
    <row r="336">
      <c r="A336" s="194" t="inlineStr">
        <is>
          <t>2026-09-08</t>
        </is>
      </c>
      <c r="B336" s="194" t="inlineStr">
        <is>
          <t>2026-09-01</t>
        </is>
      </c>
      <c r="C336" s="194" t="inlineStr">
        <is>
          <t>NV06</t>
        </is>
      </c>
      <c r="D336" s="195" t="inlineStr">
        <is>
          <t>Nguyễn Văn Thanh</t>
        </is>
      </c>
      <c r="E336" s="194" t="inlineStr">
        <is>
          <t>C3+2</t>
        </is>
      </c>
      <c r="F336" s="196" t="n">
        <v>1</v>
      </c>
      <c r="G336" s="196" t="n">
        <v>8</v>
      </c>
      <c r="H336" s="196" t="n">
        <v>2</v>
      </c>
      <c r="I336" s="196" t="n">
        <v>0</v>
      </c>
      <c r="J336" s="196" t="n">
        <v>0</v>
      </c>
      <c r="K336" s="196" t="n">
        <v>8</v>
      </c>
      <c r="L336" s="210" t="n">
        <v>0</v>
      </c>
      <c r="M336" s="210" t="n">
        <v>0</v>
      </c>
      <c r="N336" s="210" t="n">
        <v>0</v>
      </c>
      <c r="O336" s="196">
        <f>H336+I336+J336+L336+M336+N336</f>
        <v/>
      </c>
      <c r="P336" s="198" t="n">
        <v>15000</v>
      </c>
      <c r="Q336" s="210" t="n">
        <v>0</v>
      </c>
      <c r="R336" s="211" t="inlineStr">
        <is>
          <t>Đảm bảo tiến độ sản xuất</t>
        </is>
      </c>
      <c r="S336" s="211" t="inlineStr">
        <is>
          <t>CÓ</t>
        </is>
      </c>
      <c r="T336" s="211" t="inlineStr">
        <is>
          <t>ĐÃ DUYỆT</t>
        </is>
      </c>
      <c r="U336" s="211" t="inlineStr">
        <is>
          <t>Quản Đốc</t>
        </is>
      </c>
      <c r="V336" s="211" t="inlineStr">
        <is>
          <t>2026-09-08 17:00:00</t>
        </is>
      </c>
      <c r="W336" s="211" t="inlineStr">
        <is>
          <t>ERP_CHAM_CONG_2026</t>
        </is>
      </c>
      <c r="X336" s="211" t="inlineStr">
        <is>
          <t>HỢP LỆ</t>
        </is>
      </c>
    </row>
    <row r="337">
      <c r="A337" s="201" t="inlineStr">
        <is>
          <t>2026-09-09</t>
        </is>
      </c>
      <c r="B337" s="201" t="inlineStr">
        <is>
          <t>2026-09-01</t>
        </is>
      </c>
      <c r="C337" s="201" t="inlineStr">
        <is>
          <t>NV06</t>
        </is>
      </c>
      <c r="D337" s="202" t="inlineStr">
        <is>
          <t>Nguyễn Văn Thanh</t>
        </is>
      </c>
      <c r="E337" s="201" t="inlineStr">
        <is>
          <t>C3+2</t>
        </is>
      </c>
      <c r="F337" s="203" t="n">
        <v>1</v>
      </c>
      <c r="G337" s="203" t="n">
        <v>8</v>
      </c>
      <c r="H337" s="203" t="n">
        <v>2</v>
      </c>
      <c r="I337" s="203" t="n">
        <v>0</v>
      </c>
      <c r="J337" s="203" t="n">
        <v>0</v>
      </c>
      <c r="K337" s="203" t="n">
        <v>8</v>
      </c>
      <c r="L337" s="208" t="n">
        <v>0</v>
      </c>
      <c r="M337" s="208" t="n">
        <v>0</v>
      </c>
      <c r="N337" s="208" t="n">
        <v>0</v>
      </c>
      <c r="O337" s="203">
        <f>H337+I337+J337+L337+M337+N337</f>
        <v/>
      </c>
      <c r="P337" s="205" t="n">
        <v>15000</v>
      </c>
      <c r="Q337" s="208" t="n">
        <v>0</v>
      </c>
      <c r="R337" s="209" t="inlineStr">
        <is>
          <t>Đảm bảo tiến độ sản xuất</t>
        </is>
      </c>
      <c r="S337" s="209" t="inlineStr">
        <is>
          <t>CÓ</t>
        </is>
      </c>
      <c r="T337" s="209" t="inlineStr">
        <is>
          <t>ĐÃ DUYỆT</t>
        </is>
      </c>
      <c r="U337" s="209" t="inlineStr">
        <is>
          <t>Quản Đốc</t>
        </is>
      </c>
      <c r="V337" s="209" t="inlineStr">
        <is>
          <t>2026-09-09 17:00:00</t>
        </is>
      </c>
      <c r="W337" s="209" t="inlineStr">
        <is>
          <t>ERP_CHAM_CONG_2026</t>
        </is>
      </c>
      <c r="X337" s="209" t="inlineStr">
        <is>
          <t>HỢP LỆ</t>
        </is>
      </c>
    </row>
    <row r="338">
      <c r="A338" s="194" t="inlineStr">
        <is>
          <t>2026-09-10</t>
        </is>
      </c>
      <c r="B338" s="194" t="inlineStr">
        <is>
          <t>2026-09-01</t>
        </is>
      </c>
      <c r="C338" s="194" t="inlineStr">
        <is>
          <t>NV06</t>
        </is>
      </c>
      <c r="D338" s="195" t="inlineStr">
        <is>
          <t>Nguyễn Văn Thanh</t>
        </is>
      </c>
      <c r="E338" s="194" t="inlineStr">
        <is>
          <t>C3+2</t>
        </is>
      </c>
      <c r="F338" s="196" t="n">
        <v>1</v>
      </c>
      <c r="G338" s="196" t="n">
        <v>8</v>
      </c>
      <c r="H338" s="196" t="n">
        <v>2</v>
      </c>
      <c r="I338" s="196" t="n">
        <v>0</v>
      </c>
      <c r="J338" s="196" t="n">
        <v>0</v>
      </c>
      <c r="K338" s="196" t="n">
        <v>8</v>
      </c>
      <c r="L338" s="210" t="n">
        <v>0</v>
      </c>
      <c r="M338" s="210" t="n">
        <v>0</v>
      </c>
      <c r="N338" s="210" t="n">
        <v>0</v>
      </c>
      <c r="O338" s="196">
        <f>H338+I338+J338+L338+M338+N338</f>
        <v/>
      </c>
      <c r="P338" s="198" t="n">
        <v>15000</v>
      </c>
      <c r="Q338" s="210" t="n">
        <v>0</v>
      </c>
      <c r="R338" s="211" t="inlineStr">
        <is>
          <t>Đảm bảo tiến độ sản xuất</t>
        </is>
      </c>
      <c r="S338" s="211" t="inlineStr">
        <is>
          <t>CÓ</t>
        </is>
      </c>
      <c r="T338" s="211" t="inlineStr">
        <is>
          <t>ĐÃ DUYỆT</t>
        </is>
      </c>
      <c r="U338" s="211" t="inlineStr">
        <is>
          <t>Quản Đốc</t>
        </is>
      </c>
      <c r="V338" s="211" t="inlineStr">
        <is>
          <t>2026-09-10 17:00:00</t>
        </is>
      </c>
      <c r="W338" s="211" t="inlineStr">
        <is>
          <t>ERP_CHAM_CONG_2026</t>
        </is>
      </c>
      <c r="X338" s="211" t="inlineStr">
        <is>
          <t>HỢP LỆ</t>
        </is>
      </c>
    </row>
    <row r="339">
      <c r="A339" s="201" t="inlineStr">
        <is>
          <t>2026-09-11</t>
        </is>
      </c>
      <c r="B339" s="201" t="inlineStr">
        <is>
          <t>2026-09-01</t>
        </is>
      </c>
      <c r="C339" s="201" t="inlineStr">
        <is>
          <t>NV06</t>
        </is>
      </c>
      <c r="D339" s="202" t="inlineStr">
        <is>
          <t>Nguyễn Văn Thanh</t>
        </is>
      </c>
      <c r="E339" s="201" t="inlineStr">
        <is>
          <t>C3+2</t>
        </is>
      </c>
      <c r="F339" s="203" t="n">
        <v>1</v>
      </c>
      <c r="G339" s="203" t="n">
        <v>8</v>
      </c>
      <c r="H339" s="203" t="n">
        <v>2</v>
      </c>
      <c r="I339" s="203" t="n">
        <v>0</v>
      </c>
      <c r="J339" s="203" t="n">
        <v>0</v>
      </c>
      <c r="K339" s="203" t="n">
        <v>8</v>
      </c>
      <c r="L339" s="208" t="n">
        <v>0</v>
      </c>
      <c r="M339" s="208" t="n">
        <v>0</v>
      </c>
      <c r="N339" s="208" t="n">
        <v>0</v>
      </c>
      <c r="O339" s="203">
        <f>H339+I339+J339+L339+M339+N339</f>
        <v/>
      </c>
      <c r="P339" s="205" t="n">
        <v>15000</v>
      </c>
      <c r="Q339" s="208" t="n">
        <v>0</v>
      </c>
      <c r="R339" s="209" t="inlineStr">
        <is>
          <t>Đảm bảo tiến độ sản xuất</t>
        </is>
      </c>
      <c r="S339" s="209" t="inlineStr">
        <is>
          <t>CÓ</t>
        </is>
      </c>
      <c r="T339" s="209" t="inlineStr">
        <is>
          <t>ĐÃ DUYỆT</t>
        </is>
      </c>
      <c r="U339" s="209" t="inlineStr">
        <is>
          <t>Quản Đốc</t>
        </is>
      </c>
      <c r="V339" s="209" t="inlineStr">
        <is>
          <t>2026-09-11 17:00:00</t>
        </is>
      </c>
      <c r="W339" s="209" t="inlineStr">
        <is>
          <t>ERP_CHAM_CONG_2026</t>
        </is>
      </c>
      <c r="X339" s="209" t="inlineStr">
        <is>
          <t>HỢP LỆ</t>
        </is>
      </c>
    </row>
    <row r="340">
      <c r="A340" s="194" t="inlineStr">
        <is>
          <t>2026-09-12</t>
        </is>
      </c>
      <c r="B340" s="194" t="inlineStr">
        <is>
          <t>2026-09-01</t>
        </is>
      </c>
      <c r="C340" s="194" t="inlineStr">
        <is>
          <t>NV06</t>
        </is>
      </c>
      <c r="D340" s="195" t="inlineStr">
        <is>
          <t>Nguyễn Văn Thanh</t>
        </is>
      </c>
      <c r="E340" s="194" t="inlineStr">
        <is>
          <t>C3+2</t>
        </is>
      </c>
      <c r="F340" s="196" t="n">
        <v>1</v>
      </c>
      <c r="G340" s="196" t="n">
        <v>8</v>
      </c>
      <c r="H340" s="196" t="n">
        <v>2</v>
      </c>
      <c r="I340" s="196" t="n">
        <v>0</v>
      </c>
      <c r="J340" s="196" t="n">
        <v>0</v>
      </c>
      <c r="K340" s="196" t="n">
        <v>8</v>
      </c>
      <c r="L340" s="210" t="n">
        <v>0</v>
      </c>
      <c r="M340" s="210" t="n">
        <v>0</v>
      </c>
      <c r="N340" s="210" t="n">
        <v>0</v>
      </c>
      <c r="O340" s="196">
        <f>H340+I340+J340+L340+M340+N340</f>
        <v/>
      </c>
      <c r="P340" s="198" t="n">
        <v>15000</v>
      </c>
      <c r="Q340" s="210" t="n">
        <v>0</v>
      </c>
      <c r="R340" s="211" t="inlineStr">
        <is>
          <t>Đảm bảo tiến độ sản xuất</t>
        </is>
      </c>
      <c r="S340" s="211" t="inlineStr">
        <is>
          <t>CÓ</t>
        </is>
      </c>
      <c r="T340" s="211" t="inlineStr">
        <is>
          <t>ĐÃ DUYỆT</t>
        </is>
      </c>
      <c r="U340" s="211" t="inlineStr">
        <is>
          <t>Quản Đốc</t>
        </is>
      </c>
      <c r="V340" s="211" t="inlineStr">
        <is>
          <t>2026-09-12 17:00:00</t>
        </is>
      </c>
      <c r="W340" s="211" t="inlineStr">
        <is>
          <t>ERP_CHAM_CONG_2026</t>
        </is>
      </c>
      <c r="X340" s="211" t="inlineStr">
        <is>
          <t>HỢP LỆ</t>
        </is>
      </c>
    </row>
    <row r="341">
      <c r="A341" s="201" t="inlineStr">
        <is>
          <t>2026-09-13</t>
        </is>
      </c>
      <c r="B341" s="201" t="inlineStr">
        <is>
          <t>2026-09-01</t>
        </is>
      </c>
      <c r="C341" s="201" t="inlineStr">
        <is>
          <t>NV06</t>
        </is>
      </c>
      <c r="D341" s="202" t="inlineStr">
        <is>
          <t>Nguyễn Văn Thanh</t>
        </is>
      </c>
      <c r="E341" s="201" t="inlineStr">
        <is>
          <t>CN</t>
        </is>
      </c>
      <c r="F341" s="203" t="n">
        <v>0</v>
      </c>
      <c r="G341" s="203" t="n">
        <v>0</v>
      </c>
      <c r="H341" s="203" t="n">
        <v>0</v>
      </c>
      <c r="I341" s="203" t="n">
        <v>8</v>
      </c>
      <c r="J341" s="203" t="n">
        <v>0</v>
      </c>
      <c r="K341" s="203" t="n">
        <v>0</v>
      </c>
      <c r="L341" s="208" t="n">
        <v>0</v>
      </c>
      <c r="M341" s="208" t="n">
        <v>0</v>
      </c>
      <c r="N341" s="208" t="n">
        <v>0</v>
      </c>
      <c r="O341" s="203">
        <f>H341+I341+J341+L341+M341+N341</f>
        <v/>
      </c>
      <c r="P341" s="205" t="n">
        <v>30000</v>
      </c>
      <c r="Q341" s="208" t="n">
        <v>0</v>
      </c>
      <c r="R341" s="209" t="inlineStr">
        <is>
          <t>Đảm bảo tiến độ sản xuất</t>
        </is>
      </c>
      <c r="S341" s="209" t="inlineStr">
        <is>
          <t>CÓ</t>
        </is>
      </c>
      <c r="T341" s="209" t="inlineStr">
        <is>
          <t>ĐÃ DUYỆT</t>
        </is>
      </c>
      <c r="U341" s="209" t="inlineStr">
        <is>
          <t>Quản Đốc</t>
        </is>
      </c>
      <c r="V341" s="209" t="inlineStr">
        <is>
          <t>2026-09-13 17:00:00</t>
        </is>
      </c>
      <c r="W341" s="209" t="inlineStr">
        <is>
          <t>ERP_CHAM_CONG_2026</t>
        </is>
      </c>
      <c r="X341" s="209" t="inlineStr">
        <is>
          <t>HỢP LỆ</t>
        </is>
      </c>
    </row>
    <row r="342">
      <c r="A342" s="194" t="inlineStr">
        <is>
          <t>2026-09-14</t>
        </is>
      </c>
      <c r="B342" s="194" t="inlineStr">
        <is>
          <t>2026-09-01</t>
        </is>
      </c>
      <c r="C342" s="194" t="inlineStr">
        <is>
          <t>NV06</t>
        </is>
      </c>
      <c r="D342" s="195" t="inlineStr">
        <is>
          <t>Nguyễn Văn Thanh</t>
        </is>
      </c>
      <c r="E342" s="194" t="inlineStr">
        <is>
          <t>C1</t>
        </is>
      </c>
      <c r="F342" s="196" t="n">
        <v>1</v>
      </c>
      <c r="G342" s="196" t="n">
        <v>8</v>
      </c>
      <c r="H342" s="196" t="n">
        <v>0</v>
      </c>
      <c r="I342" s="196" t="n">
        <v>0</v>
      </c>
      <c r="J342" s="196" t="n">
        <v>0</v>
      </c>
      <c r="K342" s="196" t="n">
        <v>0</v>
      </c>
      <c r="L342" s="210" t="n">
        <v>0</v>
      </c>
      <c r="M342" s="210" t="n">
        <v>0</v>
      </c>
      <c r="N342" s="210" t="n">
        <v>0</v>
      </c>
      <c r="O342" s="196">
        <f>H342+I342+J342+L342+M342+N342</f>
        <v/>
      </c>
      <c r="P342" s="198" t="n">
        <v>15000</v>
      </c>
      <c r="Q342" s="210" t="n">
        <v>0</v>
      </c>
      <c r="R342" s="211" t="inlineStr"/>
      <c r="S342" s="211" t="inlineStr">
        <is>
          <t>KHÔNG</t>
        </is>
      </c>
      <c r="T342" s="211" t="inlineStr">
        <is>
          <t>ĐÃ DUYỆT</t>
        </is>
      </c>
      <c r="U342" s="211" t="inlineStr">
        <is>
          <t>Quản Đốc</t>
        </is>
      </c>
      <c r="V342" s="211" t="inlineStr">
        <is>
          <t>2026-09-14 17:00:00</t>
        </is>
      </c>
      <c r="W342" s="211" t="inlineStr">
        <is>
          <t>ERP_CHAM_CONG_2026</t>
        </is>
      </c>
      <c r="X342" s="211" t="inlineStr">
        <is>
          <t>HỢP LỆ</t>
        </is>
      </c>
    </row>
    <row r="343">
      <c r="A343" s="201" t="inlineStr">
        <is>
          <t>2026-09-03</t>
        </is>
      </c>
      <c r="B343" s="201" t="inlineStr">
        <is>
          <t>2026-09-01</t>
        </is>
      </c>
      <c r="C343" s="201" t="inlineStr">
        <is>
          <t>NV04</t>
        </is>
      </c>
      <c r="D343" s="202" t="inlineStr">
        <is>
          <t>Vũ Tiến Thuận</t>
        </is>
      </c>
      <c r="E343" s="201" t="inlineStr">
        <is>
          <t>C3</t>
        </is>
      </c>
      <c r="F343" s="203" t="n">
        <v>1</v>
      </c>
      <c r="G343" s="203" t="n">
        <v>8</v>
      </c>
      <c r="H343" s="203" t="n">
        <v>0</v>
      </c>
      <c r="I343" s="203" t="n">
        <v>0</v>
      </c>
      <c r="J343" s="203" t="n">
        <v>0</v>
      </c>
      <c r="K343" s="203" t="n">
        <v>8</v>
      </c>
      <c r="L343" s="208" t="n">
        <v>0</v>
      </c>
      <c r="M343" s="208" t="n">
        <v>0</v>
      </c>
      <c r="N343" s="208" t="n">
        <v>0</v>
      </c>
      <c r="O343" s="203">
        <f>H343+I343+J343+L343+M343+N343</f>
        <v/>
      </c>
      <c r="P343" s="205" t="n">
        <v>15000</v>
      </c>
      <c r="Q343" s="208" t="n">
        <v>0</v>
      </c>
      <c r="R343" s="209" t="inlineStr"/>
      <c r="S343" s="209" t="inlineStr">
        <is>
          <t>KHÔNG</t>
        </is>
      </c>
      <c r="T343" s="209" t="inlineStr">
        <is>
          <t>ĐÃ DUYỆT</t>
        </is>
      </c>
      <c r="U343" s="209" t="inlineStr">
        <is>
          <t>Quản Đốc</t>
        </is>
      </c>
      <c r="V343" s="209" t="inlineStr">
        <is>
          <t>2026-09-03 17:00:00</t>
        </is>
      </c>
      <c r="W343" s="209" t="inlineStr">
        <is>
          <t>ERP_CHAM_CONG_2026</t>
        </is>
      </c>
      <c r="X343" s="209" t="inlineStr">
        <is>
          <t>HỢP LỆ</t>
        </is>
      </c>
    </row>
    <row r="344">
      <c r="A344" s="194" t="inlineStr">
        <is>
          <t>2026-09-04</t>
        </is>
      </c>
      <c r="B344" s="194" t="inlineStr">
        <is>
          <t>2026-09-01</t>
        </is>
      </c>
      <c r="C344" s="194" t="inlineStr">
        <is>
          <t>NV04</t>
        </is>
      </c>
      <c r="D344" s="195" t="inlineStr">
        <is>
          <t>Vũ Tiến Thuận</t>
        </is>
      </c>
      <c r="E344" s="194" t="inlineStr">
        <is>
          <t>C3</t>
        </is>
      </c>
      <c r="F344" s="196" t="n">
        <v>1</v>
      </c>
      <c r="G344" s="196" t="n">
        <v>8</v>
      </c>
      <c r="H344" s="196" t="n">
        <v>0</v>
      </c>
      <c r="I344" s="196" t="n">
        <v>0</v>
      </c>
      <c r="J344" s="196" t="n">
        <v>0</v>
      </c>
      <c r="K344" s="196" t="n">
        <v>8</v>
      </c>
      <c r="L344" s="210" t="n">
        <v>0</v>
      </c>
      <c r="M344" s="210" t="n">
        <v>0</v>
      </c>
      <c r="N344" s="210" t="n">
        <v>0</v>
      </c>
      <c r="O344" s="196">
        <f>H344+I344+J344+L344+M344+N344</f>
        <v/>
      </c>
      <c r="P344" s="198" t="n">
        <v>15000</v>
      </c>
      <c r="Q344" s="210" t="n">
        <v>0</v>
      </c>
      <c r="R344" s="211" t="inlineStr"/>
      <c r="S344" s="211" t="inlineStr">
        <is>
          <t>KHÔNG</t>
        </is>
      </c>
      <c r="T344" s="211" t="inlineStr">
        <is>
          <t>ĐÃ DUYỆT</t>
        </is>
      </c>
      <c r="U344" s="211" t="inlineStr">
        <is>
          <t>Quản Đốc</t>
        </is>
      </c>
      <c r="V344" s="211" t="inlineStr">
        <is>
          <t>2026-09-04 17:00:00</t>
        </is>
      </c>
      <c r="W344" s="211" t="inlineStr">
        <is>
          <t>ERP_CHAM_CONG_2026</t>
        </is>
      </c>
      <c r="X344" s="211" t="inlineStr">
        <is>
          <t>HỢP LỆ</t>
        </is>
      </c>
    </row>
    <row r="345">
      <c r="A345" s="201" t="inlineStr">
        <is>
          <t>2026-09-05</t>
        </is>
      </c>
      <c r="B345" s="201" t="inlineStr">
        <is>
          <t>2026-09-01</t>
        </is>
      </c>
      <c r="C345" s="201" t="inlineStr">
        <is>
          <t>NV04</t>
        </is>
      </c>
      <c r="D345" s="202" t="inlineStr">
        <is>
          <t>Vũ Tiến Thuận</t>
        </is>
      </c>
      <c r="E345" s="201" t="inlineStr">
        <is>
          <t>C3</t>
        </is>
      </c>
      <c r="F345" s="203" t="n">
        <v>1</v>
      </c>
      <c r="G345" s="203" t="n">
        <v>8</v>
      </c>
      <c r="H345" s="203" t="n">
        <v>0</v>
      </c>
      <c r="I345" s="203" t="n">
        <v>0</v>
      </c>
      <c r="J345" s="203" t="n">
        <v>0</v>
      </c>
      <c r="K345" s="203" t="n">
        <v>8</v>
      </c>
      <c r="L345" s="208" t="n">
        <v>0</v>
      </c>
      <c r="M345" s="208" t="n">
        <v>0</v>
      </c>
      <c r="N345" s="208" t="n">
        <v>0</v>
      </c>
      <c r="O345" s="203">
        <f>H345+I345+J345+L345+M345+N345</f>
        <v/>
      </c>
      <c r="P345" s="205" t="n">
        <v>15000</v>
      </c>
      <c r="Q345" s="208" t="n">
        <v>0</v>
      </c>
      <c r="R345" s="209" t="inlineStr"/>
      <c r="S345" s="209" t="inlineStr">
        <is>
          <t>KHÔNG</t>
        </is>
      </c>
      <c r="T345" s="209" t="inlineStr">
        <is>
          <t>ĐÃ DUYỆT</t>
        </is>
      </c>
      <c r="U345" s="209" t="inlineStr">
        <is>
          <t>Quản Đốc</t>
        </is>
      </c>
      <c r="V345" s="209" t="inlineStr">
        <is>
          <t>2026-09-05 17:00:00</t>
        </is>
      </c>
      <c r="W345" s="209" t="inlineStr">
        <is>
          <t>ERP_CHAM_CONG_2026</t>
        </is>
      </c>
      <c r="X345" s="209" t="inlineStr">
        <is>
          <t>HỢP LỆ</t>
        </is>
      </c>
    </row>
    <row r="346">
      <c r="A346" s="194" t="inlineStr">
        <is>
          <t>2026-09-06</t>
        </is>
      </c>
      <c r="B346" s="194" t="inlineStr">
        <is>
          <t>2026-09-01</t>
        </is>
      </c>
      <c r="C346" s="194" t="inlineStr">
        <is>
          <t>NV04</t>
        </is>
      </c>
      <c r="D346" s="195" t="inlineStr">
        <is>
          <t>Vũ Tiến Thuận</t>
        </is>
      </c>
      <c r="E346" s="194" t="inlineStr">
        <is>
          <t>CN-C3</t>
        </is>
      </c>
      <c r="F346" s="196" t="n">
        <v>0</v>
      </c>
      <c r="G346" s="196" t="n">
        <v>0</v>
      </c>
      <c r="H346" s="196" t="n">
        <v>0</v>
      </c>
      <c r="I346" s="196" t="n">
        <v>8</v>
      </c>
      <c r="J346" s="196" t="n">
        <v>0</v>
      </c>
      <c r="K346" s="196" t="n">
        <v>8</v>
      </c>
      <c r="L346" s="210" t="n">
        <v>0</v>
      </c>
      <c r="M346" s="210" t="n">
        <v>0</v>
      </c>
      <c r="N346" s="210" t="n">
        <v>0</v>
      </c>
      <c r="O346" s="196">
        <f>H346+I346+J346+L346+M346+N346</f>
        <v/>
      </c>
      <c r="P346" s="198" t="n">
        <v>30000</v>
      </c>
      <c r="Q346" s="210" t="n">
        <v>0</v>
      </c>
      <c r="R346" s="211" t="inlineStr">
        <is>
          <t>Đảm bảo tiến độ sản xuất</t>
        </is>
      </c>
      <c r="S346" s="211" t="inlineStr">
        <is>
          <t>CÓ</t>
        </is>
      </c>
      <c r="T346" s="211" t="inlineStr">
        <is>
          <t>ĐÃ DUYỆT</t>
        </is>
      </c>
      <c r="U346" s="211" t="inlineStr">
        <is>
          <t>Quản Đốc</t>
        </is>
      </c>
      <c r="V346" s="211" t="inlineStr">
        <is>
          <t>2026-09-06 17:00:00</t>
        </is>
      </c>
      <c r="W346" s="211" t="inlineStr">
        <is>
          <t>ERP_CHAM_CONG_2026</t>
        </is>
      </c>
      <c r="X346" s="211" t="inlineStr">
        <is>
          <t>HỢP LỆ</t>
        </is>
      </c>
    </row>
    <row r="347">
      <c r="A347" s="201" t="inlineStr">
        <is>
          <t>2026-09-07</t>
        </is>
      </c>
      <c r="B347" s="201" t="inlineStr">
        <is>
          <t>2026-09-01</t>
        </is>
      </c>
      <c r="C347" s="201" t="inlineStr">
        <is>
          <t>NV04</t>
        </is>
      </c>
      <c r="D347" s="202" t="inlineStr">
        <is>
          <t>Vũ Tiến Thuận</t>
        </is>
      </c>
      <c r="E347" s="201" t="inlineStr">
        <is>
          <t>C3</t>
        </is>
      </c>
      <c r="F347" s="203" t="n">
        <v>1</v>
      </c>
      <c r="G347" s="203" t="n">
        <v>8</v>
      </c>
      <c r="H347" s="203" t="n">
        <v>0</v>
      </c>
      <c r="I347" s="203" t="n">
        <v>0</v>
      </c>
      <c r="J347" s="203" t="n">
        <v>0</v>
      </c>
      <c r="K347" s="203" t="n">
        <v>8</v>
      </c>
      <c r="L347" s="208" t="n">
        <v>0</v>
      </c>
      <c r="M347" s="208" t="n">
        <v>0</v>
      </c>
      <c r="N347" s="208" t="n">
        <v>0</v>
      </c>
      <c r="O347" s="203">
        <f>H347+I347+J347+L347+M347+N347</f>
        <v/>
      </c>
      <c r="P347" s="205" t="n">
        <v>15000</v>
      </c>
      <c r="Q347" s="208" t="n">
        <v>0</v>
      </c>
      <c r="R347" s="209" t="inlineStr"/>
      <c r="S347" s="209" t="inlineStr">
        <is>
          <t>KHÔNG</t>
        </is>
      </c>
      <c r="T347" s="209" t="inlineStr">
        <is>
          <t>ĐÃ DUYỆT</t>
        </is>
      </c>
      <c r="U347" s="209" t="inlineStr">
        <is>
          <t>Quản Đốc</t>
        </is>
      </c>
      <c r="V347" s="209" t="inlineStr">
        <is>
          <t>2026-09-07 17:00:00</t>
        </is>
      </c>
      <c r="W347" s="209" t="inlineStr">
        <is>
          <t>ERP_CHAM_CONG_2026</t>
        </is>
      </c>
      <c r="X347" s="209" t="inlineStr">
        <is>
          <t>HỢP LỆ</t>
        </is>
      </c>
    </row>
    <row r="348">
      <c r="A348" s="194" t="inlineStr">
        <is>
          <t>2026-09-08</t>
        </is>
      </c>
      <c r="B348" s="194" t="inlineStr">
        <is>
          <t>2026-09-01</t>
        </is>
      </c>
      <c r="C348" s="194" t="inlineStr">
        <is>
          <t>NV04</t>
        </is>
      </c>
      <c r="D348" s="195" t="inlineStr">
        <is>
          <t>Vũ Tiến Thuận</t>
        </is>
      </c>
      <c r="E348" s="194" t="inlineStr">
        <is>
          <t>C3</t>
        </is>
      </c>
      <c r="F348" s="196" t="n">
        <v>1</v>
      </c>
      <c r="G348" s="196" t="n">
        <v>8</v>
      </c>
      <c r="H348" s="196" t="n">
        <v>0</v>
      </c>
      <c r="I348" s="196" t="n">
        <v>0</v>
      </c>
      <c r="J348" s="196" t="n">
        <v>0</v>
      </c>
      <c r="K348" s="196" t="n">
        <v>8</v>
      </c>
      <c r="L348" s="210" t="n">
        <v>0</v>
      </c>
      <c r="M348" s="210" t="n">
        <v>0</v>
      </c>
      <c r="N348" s="210" t="n">
        <v>0</v>
      </c>
      <c r="O348" s="196">
        <f>H348+I348+J348+L348+M348+N348</f>
        <v/>
      </c>
      <c r="P348" s="198" t="n">
        <v>15000</v>
      </c>
      <c r="Q348" s="210" t="n">
        <v>0</v>
      </c>
      <c r="R348" s="211" t="inlineStr"/>
      <c r="S348" s="211" t="inlineStr">
        <is>
          <t>KHÔNG</t>
        </is>
      </c>
      <c r="T348" s="211" t="inlineStr">
        <is>
          <t>ĐÃ DUYỆT</t>
        </is>
      </c>
      <c r="U348" s="211" t="inlineStr">
        <is>
          <t>Quản Đốc</t>
        </is>
      </c>
      <c r="V348" s="211" t="inlineStr">
        <is>
          <t>2026-09-08 17:00:00</t>
        </is>
      </c>
      <c r="W348" s="211" t="inlineStr">
        <is>
          <t>ERP_CHAM_CONG_2026</t>
        </is>
      </c>
      <c r="X348" s="211" t="inlineStr">
        <is>
          <t>HỢP LỆ</t>
        </is>
      </c>
    </row>
    <row r="349">
      <c r="A349" s="201" t="inlineStr">
        <is>
          <t>2026-09-10</t>
        </is>
      </c>
      <c r="B349" s="201" t="inlineStr">
        <is>
          <t>2026-09-01</t>
        </is>
      </c>
      <c r="C349" s="201" t="inlineStr">
        <is>
          <t>NV04</t>
        </is>
      </c>
      <c r="D349" s="202" t="inlineStr">
        <is>
          <t>Vũ Tiến Thuận</t>
        </is>
      </c>
      <c r="E349" s="201" t="inlineStr">
        <is>
          <t>C3</t>
        </is>
      </c>
      <c r="F349" s="203" t="n">
        <v>1</v>
      </c>
      <c r="G349" s="203" t="n">
        <v>8</v>
      </c>
      <c r="H349" s="203" t="n">
        <v>0</v>
      </c>
      <c r="I349" s="203" t="n">
        <v>0</v>
      </c>
      <c r="J349" s="203" t="n">
        <v>0</v>
      </c>
      <c r="K349" s="203" t="n">
        <v>8</v>
      </c>
      <c r="L349" s="208" t="n">
        <v>0</v>
      </c>
      <c r="M349" s="208" t="n">
        <v>0</v>
      </c>
      <c r="N349" s="208" t="n">
        <v>0</v>
      </c>
      <c r="O349" s="203">
        <f>H349+I349+J349+L349+M349+N349</f>
        <v/>
      </c>
      <c r="P349" s="205" t="n">
        <v>15000</v>
      </c>
      <c r="Q349" s="208" t="n">
        <v>0</v>
      </c>
      <c r="R349" s="209" t="inlineStr"/>
      <c r="S349" s="209" t="inlineStr">
        <is>
          <t>KHÔNG</t>
        </is>
      </c>
      <c r="T349" s="209" t="inlineStr">
        <is>
          <t>ĐÃ DUYỆT</t>
        </is>
      </c>
      <c r="U349" s="209" t="inlineStr">
        <is>
          <t>Quản Đốc</t>
        </is>
      </c>
      <c r="V349" s="209" t="inlineStr">
        <is>
          <t>2026-09-10 17:00:00</t>
        </is>
      </c>
      <c r="W349" s="209" t="inlineStr">
        <is>
          <t>ERP_CHAM_CONG_2026</t>
        </is>
      </c>
      <c r="X349" s="209" t="inlineStr">
        <is>
          <t>HỢP LỆ</t>
        </is>
      </c>
    </row>
    <row r="350">
      <c r="A350" s="194" t="inlineStr">
        <is>
          <t>2026-09-11</t>
        </is>
      </c>
      <c r="B350" s="194" t="inlineStr">
        <is>
          <t>2026-09-01</t>
        </is>
      </c>
      <c r="C350" s="194" t="inlineStr">
        <is>
          <t>NV04</t>
        </is>
      </c>
      <c r="D350" s="195" t="inlineStr">
        <is>
          <t>Vũ Tiến Thuận</t>
        </is>
      </c>
      <c r="E350" s="194" t="inlineStr">
        <is>
          <t>C3</t>
        </is>
      </c>
      <c r="F350" s="196" t="n">
        <v>1</v>
      </c>
      <c r="G350" s="196" t="n">
        <v>8</v>
      </c>
      <c r="H350" s="196" t="n">
        <v>0</v>
      </c>
      <c r="I350" s="196" t="n">
        <v>0</v>
      </c>
      <c r="J350" s="196" t="n">
        <v>0</v>
      </c>
      <c r="K350" s="196" t="n">
        <v>8</v>
      </c>
      <c r="L350" s="210" t="n">
        <v>0</v>
      </c>
      <c r="M350" s="210" t="n">
        <v>0</v>
      </c>
      <c r="N350" s="210" t="n">
        <v>0</v>
      </c>
      <c r="O350" s="196">
        <f>H350+I350+J350+L350+M350+N350</f>
        <v/>
      </c>
      <c r="P350" s="198" t="n">
        <v>15000</v>
      </c>
      <c r="Q350" s="210" t="n">
        <v>0</v>
      </c>
      <c r="R350" s="211" t="inlineStr"/>
      <c r="S350" s="211" t="inlineStr">
        <is>
          <t>KHÔNG</t>
        </is>
      </c>
      <c r="T350" s="211" t="inlineStr">
        <is>
          <t>ĐÃ DUYỆT</t>
        </is>
      </c>
      <c r="U350" s="211" t="inlineStr">
        <is>
          <t>Quản Đốc</t>
        </is>
      </c>
      <c r="V350" s="211" t="inlineStr">
        <is>
          <t>2026-09-11 17:00:00</t>
        </is>
      </c>
      <c r="W350" s="211" t="inlineStr">
        <is>
          <t>ERP_CHAM_CONG_2026</t>
        </is>
      </c>
      <c r="X350" s="211" t="inlineStr">
        <is>
          <t>HỢP LỆ</t>
        </is>
      </c>
    </row>
    <row r="351">
      <c r="A351" s="201" t="inlineStr">
        <is>
          <t>2026-09-12</t>
        </is>
      </c>
      <c r="B351" s="201" t="inlineStr">
        <is>
          <t>2026-09-01</t>
        </is>
      </c>
      <c r="C351" s="201" t="inlineStr">
        <is>
          <t>NV04</t>
        </is>
      </c>
      <c r="D351" s="202" t="inlineStr">
        <is>
          <t>Vũ Tiến Thuận</t>
        </is>
      </c>
      <c r="E351" s="201" t="inlineStr">
        <is>
          <t>C3</t>
        </is>
      </c>
      <c r="F351" s="203" t="n">
        <v>1</v>
      </c>
      <c r="G351" s="203" t="n">
        <v>8</v>
      </c>
      <c r="H351" s="203" t="n">
        <v>0</v>
      </c>
      <c r="I351" s="203" t="n">
        <v>0</v>
      </c>
      <c r="J351" s="203" t="n">
        <v>0</v>
      </c>
      <c r="K351" s="203" t="n">
        <v>8</v>
      </c>
      <c r="L351" s="208" t="n">
        <v>0</v>
      </c>
      <c r="M351" s="208" t="n">
        <v>0</v>
      </c>
      <c r="N351" s="208" t="n">
        <v>0</v>
      </c>
      <c r="O351" s="203">
        <f>H351+I351+J351+L351+M351+N351</f>
        <v/>
      </c>
      <c r="P351" s="205" t="n">
        <v>15000</v>
      </c>
      <c r="Q351" s="208" t="n">
        <v>0</v>
      </c>
      <c r="R351" s="209" t="inlineStr"/>
      <c r="S351" s="209" t="inlineStr">
        <is>
          <t>KHÔNG</t>
        </is>
      </c>
      <c r="T351" s="209" t="inlineStr">
        <is>
          <t>ĐÃ DUYỆT</t>
        </is>
      </c>
      <c r="U351" s="209" t="inlineStr">
        <is>
          <t>Quản Đốc</t>
        </is>
      </c>
      <c r="V351" s="209" t="inlineStr">
        <is>
          <t>2026-09-12 17:00:00</t>
        </is>
      </c>
      <c r="W351" s="209" t="inlineStr">
        <is>
          <t>ERP_CHAM_CONG_2026</t>
        </is>
      </c>
      <c r="X351" s="209" t="inlineStr">
        <is>
          <t>HỢP LỆ</t>
        </is>
      </c>
    </row>
    <row r="352">
      <c r="A352" s="194" t="inlineStr">
        <is>
          <t>2026-09-13</t>
        </is>
      </c>
      <c r="B352" s="194" t="inlineStr">
        <is>
          <t>2026-09-01</t>
        </is>
      </c>
      <c r="C352" s="194" t="inlineStr">
        <is>
          <t>NV04</t>
        </is>
      </c>
      <c r="D352" s="195" t="inlineStr">
        <is>
          <t>Vũ Tiến Thuận</t>
        </is>
      </c>
      <c r="E352" s="194" t="inlineStr">
        <is>
          <t>CN-C3</t>
        </is>
      </c>
      <c r="F352" s="196" t="n">
        <v>0</v>
      </c>
      <c r="G352" s="196" t="n">
        <v>0</v>
      </c>
      <c r="H352" s="196" t="n">
        <v>0</v>
      </c>
      <c r="I352" s="196" t="n">
        <v>8</v>
      </c>
      <c r="J352" s="196" t="n">
        <v>0</v>
      </c>
      <c r="K352" s="196" t="n">
        <v>8</v>
      </c>
      <c r="L352" s="210" t="n">
        <v>0</v>
      </c>
      <c r="M352" s="210" t="n">
        <v>0</v>
      </c>
      <c r="N352" s="210" t="n">
        <v>0</v>
      </c>
      <c r="O352" s="196">
        <f>H352+I352+J352+L352+M352+N352</f>
        <v/>
      </c>
      <c r="P352" s="198" t="n">
        <v>30000</v>
      </c>
      <c r="Q352" s="210" t="n">
        <v>0</v>
      </c>
      <c r="R352" s="211" t="inlineStr">
        <is>
          <t>Đảm bảo tiến độ sản xuất</t>
        </is>
      </c>
      <c r="S352" s="211" t="inlineStr">
        <is>
          <t>CÓ</t>
        </is>
      </c>
      <c r="T352" s="211" t="inlineStr">
        <is>
          <t>ĐÃ DUYỆT</t>
        </is>
      </c>
      <c r="U352" s="211" t="inlineStr">
        <is>
          <t>Quản Đốc</t>
        </is>
      </c>
      <c r="V352" s="211" t="inlineStr">
        <is>
          <t>2026-09-13 17:00:00</t>
        </is>
      </c>
      <c r="W352" s="211" t="inlineStr">
        <is>
          <t>ERP_CHAM_CONG_2026</t>
        </is>
      </c>
      <c r="X352" s="211" t="inlineStr">
        <is>
          <t>HỢP LỆ</t>
        </is>
      </c>
    </row>
    <row r="353">
      <c r="A353" s="201" t="inlineStr">
        <is>
          <t>2026-09-14</t>
        </is>
      </c>
      <c r="B353" s="201" t="inlineStr">
        <is>
          <t>2026-09-01</t>
        </is>
      </c>
      <c r="C353" s="201" t="inlineStr">
        <is>
          <t>NV04</t>
        </is>
      </c>
      <c r="D353" s="202" t="inlineStr">
        <is>
          <t>Vũ Tiến Thuận</t>
        </is>
      </c>
      <c r="E353" s="201" t="inlineStr">
        <is>
          <t>C3</t>
        </is>
      </c>
      <c r="F353" s="203" t="n">
        <v>1</v>
      </c>
      <c r="G353" s="203" t="n">
        <v>8</v>
      </c>
      <c r="H353" s="203" t="n">
        <v>0</v>
      </c>
      <c r="I353" s="203" t="n">
        <v>0</v>
      </c>
      <c r="J353" s="203" t="n">
        <v>0</v>
      </c>
      <c r="K353" s="203" t="n">
        <v>8</v>
      </c>
      <c r="L353" s="208" t="n">
        <v>0</v>
      </c>
      <c r="M353" s="208" t="n">
        <v>0</v>
      </c>
      <c r="N353" s="208" t="n">
        <v>0</v>
      </c>
      <c r="O353" s="203">
        <f>H353+I353+J353+L353+M353+N353</f>
        <v/>
      </c>
      <c r="P353" s="205" t="n">
        <v>15000</v>
      </c>
      <c r="Q353" s="208" t="n">
        <v>0</v>
      </c>
      <c r="R353" s="209" t="inlineStr"/>
      <c r="S353" s="209" t="inlineStr">
        <is>
          <t>KHÔNG</t>
        </is>
      </c>
      <c r="T353" s="209" t="inlineStr">
        <is>
          <t>ĐÃ DUYỆT</t>
        </is>
      </c>
      <c r="U353" s="209" t="inlineStr">
        <is>
          <t>Quản Đốc</t>
        </is>
      </c>
      <c r="V353" s="209" t="inlineStr">
        <is>
          <t>2026-09-14 17:00:00</t>
        </is>
      </c>
      <c r="W353" s="209" t="inlineStr">
        <is>
          <t>ERP_CHAM_CONG_2026</t>
        </is>
      </c>
      <c r="X353" s="209" t="inlineStr">
        <is>
          <t>HỢP LỆ</t>
        </is>
      </c>
    </row>
    <row r="354">
      <c r="A354" s="194" t="inlineStr">
        <is>
          <t>2026-09-03</t>
        </is>
      </c>
      <c r="B354" s="194" t="inlineStr">
        <is>
          <t>2026-09-01</t>
        </is>
      </c>
      <c r="C354" s="194" t="inlineStr">
        <is>
          <t>NV10</t>
        </is>
      </c>
      <c r="D354" s="195" t="inlineStr">
        <is>
          <t>Phạm Văn Tráng</t>
        </is>
      </c>
      <c r="E354" s="194" t="inlineStr">
        <is>
          <t>C1+2</t>
        </is>
      </c>
      <c r="F354" s="196" t="n">
        <v>1</v>
      </c>
      <c r="G354" s="196" t="n">
        <v>8</v>
      </c>
      <c r="H354" s="196" t="n">
        <v>2</v>
      </c>
      <c r="I354" s="196" t="n">
        <v>0</v>
      </c>
      <c r="J354" s="196" t="n">
        <v>0</v>
      </c>
      <c r="K354" s="196" t="n">
        <v>0</v>
      </c>
      <c r="L354" s="210" t="n">
        <v>0</v>
      </c>
      <c r="M354" s="210" t="n">
        <v>0</v>
      </c>
      <c r="N354" s="210" t="n">
        <v>0</v>
      </c>
      <c r="O354" s="196">
        <f>H354+I354+J354+L354+M354+N354</f>
        <v/>
      </c>
      <c r="P354" s="198" t="n">
        <v>15000</v>
      </c>
      <c r="Q354" s="210" t="n">
        <v>0</v>
      </c>
      <c r="R354" s="211" t="inlineStr">
        <is>
          <t>Đảm bảo tiến độ sản xuất</t>
        </is>
      </c>
      <c r="S354" s="211" t="inlineStr">
        <is>
          <t>CÓ</t>
        </is>
      </c>
      <c r="T354" s="211" t="inlineStr">
        <is>
          <t>ĐÃ DUYỆT</t>
        </is>
      </c>
      <c r="U354" s="211" t="inlineStr">
        <is>
          <t>Quản Đốc</t>
        </is>
      </c>
      <c r="V354" s="211" t="inlineStr">
        <is>
          <t>2026-09-03 17:00:00</t>
        </is>
      </c>
      <c r="W354" s="211" t="inlineStr">
        <is>
          <t>ERP_CHAM_CONG_2026</t>
        </is>
      </c>
      <c r="X354" s="211" t="inlineStr">
        <is>
          <t>HỢP LỆ</t>
        </is>
      </c>
    </row>
    <row r="355">
      <c r="A355" s="201" t="inlineStr">
        <is>
          <t>2026-09-04</t>
        </is>
      </c>
      <c r="B355" s="201" t="inlineStr">
        <is>
          <t>2026-09-01</t>
        </is>
      </c>
      <c r="C355" s="201" t="inlineStr">
        <is>
          <t>NV10</t>
        </is>
      </c>
      <c r="D355" s="202" t="inlineStr">
        <is>
          <t>Phạm Văn Tráng</t>
        </is>
      </c>
      <c r="E355" s="201" t="inlineStr">
        <is>
          <t>C1+2</t>
        </is>
      </c>
      <c r="F355" s="203" t="n">
        <v>1</v>
      </c>
      <c r="G355" s="203" t="n">
        <v>8</v>
      </c>
      <c r="H355" s="203" t="n">
        <v>2</v>
      </c>
      <c r="I355" s="203" t="n">
        <v>0</v>
      </c>
      <c r="J355" s="203" t="n">
        <v>0</v>
      </c>
      <c r="K355" s="203" t="n">
        <v>0</v>
      </c>
      <c r="L355" s="208" t="n">
        <v>0</v>
      </c>
      <c r="M355" s="208" t="n">
        <v>0</v>
      </c>
      <c r="N355" s="208" t="n">
        <v>0</v>
      </c>
      <c r="O355" s="203">
        <f>H355+I355+J355+L355+M355+N355</f>
        <v/>
      </c>
      <c r="P355" s="205" t="n">
        <v>15000</v>
      </c>
      <c r="Q355" s="208" t="n">
        <v>0</v>
      </c>
      <c r="R355" s="209" t="inlineStr">
        <is>
          <t>Đảm bảo tiến độ sản xuất</t>
        </is>
      </c>
      <c r="S355" s="209" t="inlineStr">
        <is>
          <t>CÓ</t>
        </is>
      </c>
      <c r="T355" s="209" t="inlineStr">
        <is>
          <t>ĐÃ DUYỆT</t>
        </is>
      </c>
      <c r="U355" s="209" t="inlineStr">
        <is>
          <t>Quản Đốc</t>
        </is>
      </c>
      <c r="V355" s="209" t="inlineStr">
        <is>
          <t>2026-09-04 17:00:00</t>
        </is>
      </c>
      <c r="W355" s="209" t="inlineStr">
        <is>
          <t>ERP_CHAM_CONG_2026</t>
        </is>
      </c>
      <c r="X355" s="209" t="inlineStr">
        <is>
          <t>HỢP LỆ</t>
        </is>
      </c>
    </row>
    <row r="356">
      <c r="A356" s="194" t="inlineStr">
        <is>
          <t>2026-09-05</t>
        </is>
      </c>
      <c r="B356" s="194" t="inlineStr">
        <is>
          <t>2026-09-01</t>
        </is>
      </c>
      <c r="C356" s="194" t="inlineStr">
        <is>
          <t>NV10</t>
        </is>
      </c>
      <c r="D356" s="195" t="inlineStr">
        <is>
          <t>Phạm Văn Tráng</t>
        </is>
      </c>
      <c r="E356" s="194" t="inlineStr">
        <is>
          <t>C1+2</t>
        </is>
      </c>
      <c r="F356" s="196" t="n">
        <v>1</v>
      </c>
      <c r="G356" s="196" t="n">
        <v>8</v>
      </c>
      <c r="H356" s="196" t="n">
        <v>2</v>
      </c>
      <c r="I356" s="196" t="n">
        <v>0</v>
      </c>
      <c r="J356" s="196" t="n">
        <v>0</v>
      </c>
      <c r="K356" s="196" t="n">
        <v>0</v>
      </c>
      <c r="L356" s="210" t="n">
        <v>0</v>
      </c>
      <c r="M356" s="210" t="n">
        <v>0</v>
      </c>
      <c r="N356" s="210" t="n">
        <v>0</v>
      </c>
      <c r="O356" s="196">
        <f>H356+I356+J356+L356+M356+N356</f>
        <v/>
      </c>
      <c r="P356" s="198" t="n">
        <v>15000</v>
      </c>
      <c r="Q356" s="210" t="n">
        <v>0</v>
      </c>
      <c r="R356" s="211" t="inlineStr">
        <is>
          <t>Đảm bảo tiến độ sản xuất</t>
        </is>
      </c>
      <c r="S356" s="211" t="inlineStr">
        <is>
          <t>CÓ</t>
        </is>
      </c>
      <c r="T356" s="211" t="inlineStr">
        <is>
          <t>ĐÃ DUYỆT</t>
        </is>
      </c>
      <c r="U356" s="211" t="inlineStr">
        <is>
          <t>Quản Đốc</t>
        </is>
      </c>
      <c r="V356" s="211" t="inlineStr">
        <is>
          <t>2026-09-05 17:00:00</t>
        </is>
      </c>
      <c r="W356" s="211" t="inlineStr">
        <is>
          <t>ERP_CHAM_CONG_2026</t>
        </is>
      </c>
      <c r="X356" s="211" t="inlineStr">
        <is>
          <t>HỢP LỆ</t>
        </is>
      </c>
    </row>
    <row r="357">
      <c r="A357" s="201" t="inlineStr">
        <is>
          <t>2026-09-07</t>
        </is>
      </c>
      <c r="B357" s="201" t="inlineStr">
        <is>
          <t>2026-09-01</t>
        </is>
      </c>
      <c r="C357" s="201" t="inlineStr">
        <is>
          <t>NV10</t>
        </is>
      </c>
      <c r="D357" s="202" t="inlineStr">
        <is>
          <t>Phạm Văn Tráng</t>
        </is>
      </c>
      <c r="E357" s="201" t="inlineStr">
        <is>
          <t>C3+2</t>
        </is>
      </c>
      <c r="F357" s="203" t="n">
        <v>1</v>
      </c>
      <c r="G357" s="203" t="n">
        <v>8</v>
      </c>
      <c r="H357" s="203" t="n">
        <v>2</v>
      </c>
      <c r="I357" s="203" t="n">
        <v>0</v>
      </c>
      <c r="J357" s="203" t="n">
        <v>0</v>
      </c>
      <c r="K357" s="203" t="n">
        <v>8</v>
      </c>
      <c r="L357" s="208" t="n">
        <v>0</v>
      </c>
      <c r="M357" s="208" t="n">
        <v>0</v>
      </c>
      <c r="N357" s="208" t="n">
        <v>0</v>
      </c>
      <c r="O357" s="203">
        <f>H357+I357+J357+L357+M357+N357</f>
        <v/>
      </c>
      <c r="P357" s="205" t="n">
        <v>15000</v>
      </c>
      <c r="Q357" s="208" t="n">
        <v>0</v>
      </c>
      <c r="R357" s="209" t="inlineStr">
        <is>
          <t>Đảm bảo tiến độ sản xuất</t>
        </is>
      </c>
      <c r="S357" s="209" t="inlineStr">
        <is>
          <t>CÓ</t>
        </is>
      </c>
      <c r="T357" s="209" t="inlineStr">
        <is>
          <t>ĐÃ DUYỆT</t>
        </is>
      </c>
      <c r="U357" s="209" t="inlineStr">
        <is>
          <t>Quản Đốc</t>
        </is>
      </c>
      <c r="V357" s="209" t="inlineStr">
        <is>
          <t>2026-09-07 17:00:00</t>
        </is>
      </c>
      <c r="W357" s="209" t="inlineStr">
        <is>
          <t>ERP_CHAM_CONG_2026</t>
        </is>
      </c>
      <c r="X357" s="209" t="inlineStr">
        <is>
          <t>HỢP LỆ</t>
        </is>
      </c>
    </row>
    <row r="358">
      <c r="A358" s="194" t="inlineStr">
        <is>
          <t>2026-09-08</t>
        </is>
      </c>
      <c r="B358" s="194" t="inlineStr">
        <is>
          <t>2026-09-01</t>
        </is>
      </c>
      <c r="C358" s="194" t="inlineStr">
        <is>
          <t>NV10</t>
        </is>
      </c>
      <c r="D358" s="195" t="inlineStr">
        <is>
          <t>Phạm Văn Tráng</t>
        </is>
      </c>
      <c r="E358" s="194" t="inlineStr">
        <is>
          <t>C3+2</t>
        </is>
      </c>
      <c r="F358" s="196" t="n">
        <v>1</v>
      </c>
      <c r="G358" s="196" t="n">
        <v>8</v>
      </c>
      <c r="H358" s="196" t="n">
        <v>2</v>
      </c>
      <c r="I358" s="196" t="n">
        <v>0</v>
      </c>
      <c r="J358" s="196" t="n">
        <v>0</v>
      </c>
      <c r="K358" s="196" t="n">
        <v>8</v>
      </c>
      <c r="L358" s="210" t="n">
        <v>0</v>
      </c>
      <c r="M358" s="210" t="n">
        <v>0</v>
      </c>
      <c r="N358" s="210" t="n">
        <v>0</v>
      </c>
      <c r="O358" s="196">
        <f>H358+I358+J358+L358+M358+N358</f>
        <v/>
      </c>
      <c r="P358" s="198" t="n">
        <v>15000</v>
      </c>
      <c r="Q358" s="210" t="n">
        <v>0</v>
      </c>
      <c r="R358" s="211" t="inlineStr">
        <is>
          <t>Đảm bảo tiến độ sản xuất</t>
        </is>
      </c>
      <c r="S358" s="211" t="inlineStr">
        <is>
          <t>CÓ</t>
        </is>
      </c>
      <c r="T358" s="211" t="inlineStr">
        <is>
          <t>ĐÃ DUYỆT</t>
        </is>
      </c>
      <c r="U358" s="211" t="inlineStr">
        <is>
          <t>Quản Đốc</t>
        </is>
      </c>
      <c r="V358" s="211" t="inlineStr">
        <is>
          <t>2026-09-08 17:00:00</t>
        </is>
      </c>
      <c r="W358" s="211" t="inlineStr">
        <is>
          <t>ERP_CHAM_CONG_2026</t>
        </is>
      </c>
      <c r="X358" s="211" t="inlineStr">
        <is>
          <t>HỢP LỆ</t>
        </is>
      </c>
    </row>
    <row r="359">
      <c r="A359" s="201" t="inlineStr">
        <is>
          <t>2026-09-09</t>
        </is>
      </c>
      <c r="B359" s="201" t="inlineStr">
        <is>
          <t>2026-09-01</t>
        </is>
      </c>
      <c r="C359" s="201" t="inlineStr">
        <is>
          <t>NV10</t>
        </is>
      </c>
      <c r="D359" s="202" t="inlineStr">
        <is>
          <t>Phạm Văn Tráng</t>
        </is>
      </c>
      <c r="E359" s="201" t="inlineStr">
        <is>
          <t>C3+2</t>
        </is>
      </c>
      <c r="F359" s="203" t="n">
        <v>1</v>
      </c>
      <c r="G359" s="203" t="n">
        <v>8</v>
      </c>
      <c r="H359" s="203" t="n">
        <v>2</v>
      </c>
      <c r="I359" s="203" t="n">
        <v>0</v>
      </c>
      <c r="J359" s="203" t="n">
        <v>0</v>
      </c>
      <c r="K359" s="203" t="n">
        <v>8</v>
      </c>
      <c r="L359" s="208" t="n">
        <v>0</v>
      </c>
      <c r="M359" s="208" t="n">
        <v>0</v>
      </c>
      <c r="N359" s="208" t="n">
        <v>0</v>
      </c>
      <c r="O359" s="203">
        <f>H359+I359+J359+L359+M359+N359</f>
        <v/>
      </c>
      <c r="P359" s="205" t="n">
        <v>15000</v>
      </c>
      <c r="Q359" s="208" t="n">
        <v>0</v>
      </c>
      <c r="R359" s="209" t="inlineStr">
        <is>
          <t>Đảm bảo tiến độ sản xuất</t>
        </is>
      </c>
      <c r="S359" s="209" t="inlineStr">
        <is>
          <t>CÓ</t>
        </is>
      </c>
      <c r="T359" s="209" t="inlineStr">
        <is>
          <t>ĐÃ DUYỆT</t>
        </is>
      </c>
      <c r="U359" s="209" t="inlineStr">
        <is>
          <t>Quản Đốc</t>
        </is>
      </c>
      <c r="V359" s="209" t="inlineStr">
        <is>
          <t>2026-09-09 17:00:00</t>
        </is>
      </c>
      <c r="W359" s="209" t="inlineStr">
        <is>
          <t>ERP_CHAM_CONG_2026</t>
        </is>
      </c>
      <c r="X359" s="209" t="inlineStr">
        <is>
          <t>HỢP LỆ</t>
        </is>
      </c>
    </row>
    <row r="360">
      <c r="A360" s="194" t="inlineStr">
        <is>
          <t>2026-09-10</t>
        </is>
      </c>
      <c r="B360" s="194" t="inlineStr">
        <is>
          <t>2026-09-01</t>
        </is>
      </c>
      <c r="C360" s="194" t="inlineStr">
        <is>
          <t>NV10</t>
        </is>
      </c>
      <c r="D360" s="195" t="inlineStr">
        <is>
          <t>Phạm Văn Tráng</t>
        </is>
      </c>
      <c r="E360" s="194" t="inlineStr">
        <is>
          <t>C1+2</t>
        </is>
      </c>
      <c r="F360" s="196" t="n">
        <v>1</v>
      </c>
      <c r="G360" s="196" t="n">
        <v>8</v>
      </c>
      <c r="H360" s="196" t="n">
        <v>2</v>
      </c>
      <c r="I360" s="196" t="n">
        <v>0</v>
      </c>
      <c r="J360" s="196" t="n">
        <v>0</v>
      </c>
      <c r="K360" s="196" t="n">
        <v>0</v>
      </c>
      <c r="L360" s="210" t="n">
        <v>0</v>
      </c>
      <c r="M360" s="210" t="n">
        <v>0</v>
      </c>
      <c r="N360" s="210" t="n">
        <v>0</v>
      </c>
      <c r="O360" s="196">
        <f>H360+I360+J360+L360+M360+N360</f>
        <v/>
      </c>
      <c r="P360" s="198" t="n">
        <v>15000</v>
      </c>
      <c r="Q360" s="210" t="n">
        <v>0</v>
      </c>
      <c r="R360" s="211" t="inlineStr">
        <is>
          <t>Đảm bảo tiến độ sản xuất</t>
        </is>
      </c>
      <c r="S360" s="211" t="inlineStr">
        <is>
          <t>CÓ</t>
        </is>
      </c>
      <c r="T360" s="211" t="inlineStr">
        <is>
          <t>ĐÃ DUYỆT</t>
        </is>
      </c>
      <c r="U360" s="211" t="inlineStr">
        <is>
          <t>Quản Đốc</t>
        </is>
      </c>
      <c r="V360" s="211" t="inlineStr">
        <is>
          <t>2026-09-10 17:00:00</t>
        </is>
      </c>
      <c r="W360" s="211" t="inlineStr">
        <is>
          <t>ERP_CHAM_CONG_2026</t>
        </is>
      </c>
      <c r="X360" s="211" t="inlineStr">
        <is>
          <t>HỢP LỆ</t>
        </is>
      </c>
    </row>
    <row r="361">
      <c r="A361" s="201" t="inlineStr">
        <is>
          <t>2026-09-11</t>
        </is>
      </c>
      <c r="B361" s="201" t="inlineStr">
        <is>
          <t>2026-09-01</t>
        </is>
      </c>
      <c r="C361" s="201" t="inlineStr">
        <is>
          <t>NV10</t>
        </is>
      </c>
      <c r="D361" s="202" t="inlineStr">
        <is>
          <t>Phạm Văn Tráng</t>
        </is>
      </c>
      <c r="E361" s="201" t="inlineStr">
        <is>
          <t>C1+2</t>
        </is>
      </c>
      <c r="F361" s="203" t="n">
        <v>1</v>
      </c>
      <c r="G361" s="203" t="n">
        <v>8</v>
      </c>
      <c r="H361" s="203" t="n">
        <v>2</v>
      </c>
      <c r="I361" s="203" t="n">
        <v>0</v>
      </c>
      <c r="J361" s="203" t="n">
        <v>0</v>
      </c>
      <c r="K361" s="203" t="n">
        <v>0</v>
      </c>
      <c r="L361" s="208" t="n">
        <v>0</v>
      </c>
      <c r="M361" s="208" t="n">
        <v>0</v>
      </c>
      <c r="N361" s="208" t="n">
        <v>0</v>
      </c>
      <c r="O361" s="203">
        <f>H361+I361+J361+L361+M361+N361</f>
        <v/>
      </c>
      <c r="P361" s="205" t="n">
        <v>15000</v>
      </c>
      <c r="Q361" s="208" t="n">
        <v>0</v>
      </c>
      <c r="R361" s="209" t="inlineStr">
        <is>
          <t>Đảm bảo tiến độ sản xuất</t>
        </is>
      </c>
      <c r="S361" s="209" t="inlineStr">
        <is>
          <t>CÓ</t>
        </is>
      </c>
      <c r="T361" s="209" t="inlineStr">
        <is>
          <t>ĐÃ DUYỆT</t>
        </is>
      </c>
      <c r="U361" s="209" t="inlineStr">
        <is>
          <t>Quản Đốc</t>
        </is>
      </c>
      <c r="V361" s="209" t="inlineStr">
        <is>
          <t>2026-09-11 17:00:00</t>
        </is>
      </c>
      <c r="W361" s="209" t="inlineStr">
        <is>
          <t>ERP_CHAM_CONG_2026</t>
        </is>
      </c>
      <c r="X361" s="209" t="inlineStr">
        <is>
          <t>HỢP LỆ</t>
        </is>
      </c>
    </row>
    <row r="362">
      <c r="A362" s="194" t="inlineStr">
        <is>
          <t>2026-09-12</t>
        </is>
      </c>
      <c r="B362" s="194" t="inlineStr">
        <is>
          <t>2026-09-01</t>
        </is>
      </c>
      <c r="C362" s="194" t="inlineStr">
        <is>
          <t>NV10</t>
        </is>
      </c>
      <c r="D362" s="195" t="inlineStr">
        <is>
          <t>Phạm Văn Tráng</t>
        </is>
      </c>
      <c r="E362" s="194" t="inlineStr">
        <is>
          <t>C1+1.5</t>
        </is>
      </c>
      <c r="F362" s="196" t="n">
        <v>1</v>
      </c>
      <c r="G362" s="196" t="n">
        <v>8</v>
      </c>
      <c r="H362" s="196" t="n">
        <v>1.5</v>
      </c>
      <c r="I362" s="196" t="n">
        <v>0</v>
      </c>
      <c r="J362" s="196" t="n">
        <v>0</v>
      </c>
      <c r="K362" s="196" t="n">
        <v>0</v>
      </c>
      <c r="L362" s="210" t="n">
        <v>0</v>
      </c>
      <c r="M362" s="210" t="n">
        <v>0</v>
      </c>
      <c r="N362" s="210" t="n">
        <v>0</v>
      </c>
      <c r="O362" s="196">
        <f>H362+I362+J362+L362+M362+N362</f>
        <v/>
      </c>
      <c r="P362" s="198" t="n">
        <v>15000</v>
      </c>
      <c r="Q362" s="210" t="n">
        <v>0</v>
      </c>
      <c r="R362" s="211" t="inlineStr">
        <is>
          <t>Đảm bảo tiến độ sản xuất</t>
        </is>
      </c>
      <c r="S362" s="211" t="inlineStr">
        <is>
          <t>CÓ</t>
        </is>
      </c>
      <c r="T362" s="211" t="inlineStr">
        <is>
          <t>ĐÃ DUYỆT</t>
        </is>
      </c>
      <c r="U362" s="211" t="inlineStr">
        <is>
          <t>Quản Đốc</t>
        </is>
      </c>
      <c r="V362" s="211" t="inlineStr">
        <is>
          <t>2026-09-12 17:00:00</t>
        </is>
      </c>
      <c r="W362" s="211" t="inlineStr">
        <is>
          <t>ERP_CHAM_CONG_2026</t>
        </is>
      </c>
      <c r="X362" s="211" t="inlineStr">
        <is>
          <t>HỢP LỆ</t>
        </is>
      </c>
    </row>
    <row r="363">
      <c r="A363" s="201" t="inlineStr">
        <is>
          <t>2026-09-13</t>
        </is>
      </c>
      <c r="B363" s="201" t="inlineStr">
        <is>
          <t>2026-09-01</t>
        </is>
      </c>
      <c r="C363" s="201" t="inlineStr">
        <is>
          <t>NV10</t>
        </is>
      </c>
      <c r="D363" s="202" t="inlineStr">
        <is>
          <t>Phạm Văn Tráng</t>
        </is>
      </c>
      <c r="E363" s="201" t="inlineStr">
        <is>
          <t>CN</t>
        </is>
      </c>
      <c r="F363" s="203" t="n">
        <v>0</v>
      </c>
      <c r="G363" s="203" t="n">
        <v>0</v>
      </c>
      <c r="H363" s="203" t="n">
        <v>0</v>
      </c>
      <c r="I363" s="203" t="n">
        <v>8</v>
      </c>
      <c r="J363" s="203" t="n">
        <v>0</v>
      </c>
      <c r="K363" s="203" t="n">
        <v>0</v>
      </c>
      <c r="L363" s="208" t="n">
        <v>0</v>
      </c>
      <c r="M363" s="208" t="n">
        <v>0</v>
      </c>
      <c r="N363" s="208" t="n">
        <v>0</v>
      </c>
      <c r="O363" s="203">
        <f>H363+I363+J363+L363+M363+N363</f>
        <v/>
      </c>
      <c r="P363" s="205" t="n">
        <v>30000</v>
      </c>
      <c r="Q363" s="208" t="n">
        <v>0</v>
      </c>
      <c r="R363" s="209" t="inlineStr">
        <is>
          <t>Đảm bảo tiến độ sản xuất</t>
        </is>
      </c>
      <c r="S363" s="209" t="inlineStr">
        <is>
          <t>CÓ</t>
        </is>
      </c>
      <c r="T363" s="209" t="inlineStr">
        <is>
          <t>ĐÃ DUYỆT</t>
        </is>
      </c>
      <c r="U363" s="209" t="inlineStr">
        <is>
          <t>Quản Đốc</t>
        </is>
      </c>
      <c r="V363" s="209" t="inlineStr">
        <is>
          <t>2026-09-13 17:00:00</t>
        </is>
      </c>
      <c r="W363" s="209" t="inlineStr">
        <is>
          <t>ERP_CHAM_CONG_2026</t>
        </is>
      </c>
      <c r="X363" s="209" t="inlineStr">
        <is>
          <t>HỢP LỆ</t>
        </is>
      </c>
    </row>
    <row r="364">
      <c r="A364" s="194" t="inlineStr">
        <is>
          <t>2026-09-14</t>
        </is>
      </c>
      <c r="B364" s="194" t="inlineStr">
        <is>
          <t>2026-09-01</t>
        </is>
      </c>
      <c r="C364" s="194" t="inlineStr">
        <is>
          <t>NV10</t>
        </is>
      </c>
      <c r="D364" s="195" t="inlineStr">
        <is>
          <t>Phạm Văn Tráng</t>
        </is>
      </c>
      <c r="E364" s="194" t="inlineStr">
        <is>
          <t>C1</t>
        </is>
      </c>
      <c r="F364" s="196" t="n">
        <v>1</v>
      </c>
      <c r="G364" s="196" t="n">
        <v>8</v>
      </c>
      <c r="H364" s="196" t="n">
        <v>0</v>
      </c>
      <c r="I364" s="196" t="n">
        <v>0</v>
      </c>
      <c r="J364" s="196" t="n">
        <v>0</v>
      </c>
      <c r="K364" s="196" t="n">
        <v>0</v>
      </c>
      <c r="L364" s="210" t="n">
        <v>0</v>
      </c>
      <c r="M364" s="210" t="n">
        <v>0</v>
      </c>
      <c r="N364" s="210" t="n">
        <v>0</v>
      </c>
      <c r="O364" s="196">
        <f>H364+I364+J364+L364+M364+N364</f>
        <v/>
      </c>
      <c r="P364" s="198" t="n">
        <v>0</v>
      </c>
      <c r="Q364" s="210" t="n">
        <v>0</v>
      </c>
      <c r="R364" s="211" t="inlineStr"/>
      <c r="S364" s="211" t="inlineStr">
        <is>
          <t>KHÔNG</t>
        </is>
      </c>
      <c r="T364" s="211" t="inlineStr">
        <is>
          <t>ĐÃ DUYỆT</t>
        </is>
      </c>
      <c r="U364" s="211" t="inlineStr">
        <is>
          <t>Quản Đốc</t>
        </is>
      </c>
      <c r="V364" s="211" t="inlineStr">
        <is>
          <t>2026-09-14 17:00:00</t>
        </is>
      </c>
      <c r="W364" s="211" t="inlineStr">
        <is>
          <t>ERP_CHAM_CONG_2026</t>
        </is>
      </c>
      <c r="X364" s="211" t="inlineStr">
        <is>
          <t>HỢP LỆ</t>
        </is>
      </c>
    </row>
  </sheetData>
  <conditionalFormatting sqref="X4:X284">
    <cfRule type="cellIs" priority="1" operator="notEqual" dxfId="0" stopIfTrue="1">
      <formula>"HỢP LỆ"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0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 | ⚠️ ĐÃ HỦY (BẢN GHI GỬI LẶP LÚC 01:52:29)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0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 | ⚠️ ĐÃ HỦY (BẢN GHI GỬI LẶP LÚC 01:52:29)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0.86" customWidth="1" style="75" min="14" max="14"/>
  </cols>
  <sheetData>
    <row r="1" ht="27" customHeight="1" s="75">
      <c r="A1" s="103" t="inlineStr">
        <is>
          <t>BẢNG TỔNG HỢP QUỸ LƯƠNG KHOÁN THỢ GIA CÔNG CƠ KHÍ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n">
        <v>46235</v>
      </c>
      <c r="C2" s="107" t="inlineStr">
        <is>
          <t>Từ Ngày:</t>
        </is>
      </c>
      <c r="D2" s="108" t="n">
        <v>46235</v>
      </c>
      <c r="E2" s="107" t="inlineStr">
        <is>
          <t>Đến Ngày:</t>
        </is>
      </c>
      <c r="F2" s="108" t="n">
        <v>46265</v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Minh bạch 3 cấp lương: Tiền phát sinh ban đầu (Cột I) -&gt; Tiền đủ ĐK sau KCS (Cột J) -&gt; Không hưởng do lỗi thợ (Cột K) -&gt; Lương thực lĩnh đã khóa (Cột L)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10" t="inlineStr">
        <is>
          <t>Ký Nhận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 t="inlineStr">
        <is>
          <t>🔒 ĐÃ KHÓA SỔ</t>
        </is>
      </c>
      <c r="N5" s="115" t="n"/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 t="inlineStr">
        <is>
          <t>🔒 ĐÃ KHÓA SỔ</t>
        </is>
      </c>
      <c r="N6" s="121" t="n"/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 t="inlineStr">
        <is>
          <t>🔒 ĐÃ KHÓA SỔ</t>
        </is>
      </c>
      <c r="N7" s="127" t="n"/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 t="inlineStr">
        <is>
          <t>🔒 ĐÃ KHÓA SỔ</t>
        </is>
      </c>
      <c r="N8" s="121" t="n"/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 t="inlineStr">
        <is>
          <t>🔒 ĐÃ KHÓA SỔ</t>
        </is>
      </c>
      <c r="N9" s="127" t="n"/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 t="inlineStr">
        <is>
          <t>🔒 ĐÃ KHÓA SỔ</t>
        </is>
      </c>
      <c r="N10" s="121" t="n"/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 t="inlineStr">
        <is>
          <t>🔒 ĐÃ KHÓA SỔ</t>
        </is>
      </c>
      <c r="N11" s="127" t="n"/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 t="inlineStr">
        <is>
          <t>🔒 ĐÃ KHÓA SỔ</t>
        </is>
      </c>
      <c r="N12" s="121" t="n"/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 t="inlineStr">
        <is>
          <t>🔒 ĐÃ KHÓA SỔ</t>
        </is>
      </c>
      <c r="N13" s="127" t="n"/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 t="inlineStr">
        <is>
          <t>🔒 ĐÃ KHÓA SỔ</t>
        </is>
      </c>
      <c r="N14" s="121" t="n"/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 t="inlineStr">
        <is>
          <t>🔒 ĐÃ KHÓA SỔ</t>
        </is>
      </c>
      <c r="N15" s="127" t="n"/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 t="inlineStr">
        <is>
          <t>🔒 ĐÃ KHÓA SỔ</t>
        </is>
      </c>
      <c r="N16" s="121" t="n"/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 t="inlineStr">
        <is>
          <t>🔒 ĐÃ KHÓA SỔ</t>
        </is>
      </c>
      <c r="N17" s="127" t="n"/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 t="inlineStr">
        <is>
          <t>🔒 ĐÃ KHÓA SỔ</t>
        </is>
      </c>
      <c r="N18" s="121" t="n"/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 t="inlineStr">
        <is>
          <t>🔒 ĐÃ KHÓA SỔ</t>
        </is>
      </c>
      <c r="N19" s="133" t="n"/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 t="n">
        <v>148</v>
      </c>
      <c r="F20" s="141" t="n">
        <v>1184</v>
      </c>
      <c r="G20" s="142" t="n">
        <v>2372</v>
      </c>
      <c r="H20" s="142" t="n">
        <v>13</v>
      </c>
      <c r="I20" s="142" t="n">
        <v>84698992</v>
      </c>
      <c r="J20" s="142" t="n">
        <v>68318992</v>
      </c>
      <c r="K20" s="142" t="n">
        <v>16380000</v>
      </c>
      <c r="L20" s="142" t="n">
        <v>68318992</v>
      </c>
      <c r="M20" s="138" t="inlineStr">
        <is>
          <t>KHỚP 100% QUY CHUẨN 3 CẤP</t>
        </is>
      </c>
      <c r="N20" s="139" t="n"/>
    </row>
  </sheetData>
  <dataValidations count="1">
    <dataValidation sqref="B2" showDropDown="0" showInputMessage="0" showErrorMessage="0" allowBlank="0" errorTitle="Lựa chọn không hợp lệ" error="Vui lòng chọn ngày đầu tháng hợp lệ từ danh sách!" promptTitle="Bộ chọn tháng tính lương" prompt="Chọn tháng tính lương (ví dụ: 2026-08-01 cho Tháng 8, 2026-09-01 cho Tháng 9)" type="list">
      <formula1>"2026-08-01,2026-09-01,2026-10-01,2026-11-01,2026-12-01"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154" t="inlineStr">
        <is>
          <t>HỆ THỐNG MASTER DATA: NHÂN VIÊN, ĐƠN GIÁ TĂNG CA &amp; QUẢN TRỊ KỲ LƯƠNG NĂM 2026</t>
        </is>
      </c>
    </row>
    <row r="3" ht="16.5" customHeight="1" s="75">
      <c r="A3" s="155" t="inlineStr">
        <is>
          <t>BẢNG DANH MỤC NHÂN VIÊN &amp; LƯƠNG CĂN CỨ TĂNG CA</t>
        </is>
      </c>
      <c r="H3" s="155" t="inlineStr">
        <is>
          <t>BẢNG THAM SỐ QUY ĐỊNH TĂNG CA</t>
        </is>
      </c>
      <c r="L3" s="155" t="inlineStr">
        <is>
          <t>BẢNG QUẢN LÝ TRẠNG THÁI KỲ LƯƠNG NĂM 2026</t>
        </is>
      </c>
    </row>
    <row r="4">
      <c r="A4" s="156" t="inlineStr">
        <is>
          <t>Mã NV</t>
        </is>
      </c>
      <c r="B4" s="156" t="inlineStr">
        <is>
          <t>Họ và Tên Nhân Viên</t>
        </is>
      </c>
      <c r="C4" s="156" t="inlineStr">
        <is>
          <t>Lương Căn Cứ TC (VNĐ)</t>
        </is>
      </c>
      <c r="D4" s="156" t="inlineStr">
        <is>
          <t>Ngày Công Chuẩn</t>
        </is>
      </c>
      <c r="E4" s="156" t="inlineStr">
        <is>
          <t>Giờ Chuẩn Tháng (h)</t>
        </is>
      </c>
      <c r="F4" s="156" t="inlineStr">
        <is>
          <t>Đơn Giá Giờ (VNĐ/h)</t>
        </is>
      </c>
      <c r="H4" s="157" t="inlineStr">
        <is>
          <t>Tham Số Quy Định</t>
        </is>
      </c>
      <c r="I4" s="157" t="inlineStr">
        <is>
          <t>Giá Trị</t>
        </is>
      </c>
      <c r="J4" s="58" t="inlineStr">
        <is>
          <t>Năng Lực Gia Công Mạnh</t>
        </is>
      </c>
      <c r="K4" s="57" t="inlineStr">
        <is>
          <t>Đánh Giá Uy Tín KCS</t>
        </is>
      </c>
      <c r="L4" s="157" t="inlineStr">
        <is>
          <t>Mã Kỳ (Khóa)</t>
        </is>
      </c>
      <c r="M4" s="157" t="inlineStr">
        <is>
          <t>Tên Kỳ Lương</t>
        </is>
      </c>
      <c r="N4" s="157" t="inlineStr">
        <is>
          <t>Trạng Thái Kỳ</t>
        </is>
      </c>
      <c r="O4" s="98" t="inlineStr">
        <is>
          <t>Ngày Khóa Sổ</t>
        </is>
      </c>
      <c r="P4" s="98" t="inlineStr">
        <is>
          <t>Người Phê Duyệt Khóa</t>
        </is>
      </c>
    </row>
    <row r="5">
      <c r="A5" s="158" t="inlineStr">
        <is>
          <t>NV01</t>
        </is>
      </c>
      <c r="B5" s="159" t="inlineStr">
        <is>
          <t>Hoàng Ngọc Hà</t>
        </is>
      </c>
      <c r="C5" s="160" t="n">
        <v>7500000</v>
      </c>
      <c r="D5" s="158" t="n">
        <v>26</v>
      </c>
      <c r="E5" s="161">
        <f>D5*8</f>
        <v/>
      </c>
      <c r="F5" s="162">
        <f>IFERROR(C5/E5, 0)</f>
        <v/>
      </c>
      <c r="H5" s="163" t="inlineStr">
        <is>
          <t>Giờ ca chuẩn/ngày</t>
        </is>
      </c>
      <c r="I5" s="164" t="n">
        <v>8</v>
      </c>
      <c r="J5" s="4" t="inlineStr">
        <is>
          <t>Tiện CNC đường kính lớn Ø300 - Ø800</t>
        </is>
      </c>
      <c r="K5" s="3" t="inlineStr">
        <is>
          <t>Hạng A (Rất tốt)</t>
        </is>
      </c>
      <c r="L5" s="165" t="inlineStr">
        <is>
          <t>2026-08</t>
        </is>
      </c>
      <c r="M5" s="165" t="inlineStr">
        <is>
          <t>Tháng 08/2026</t>
        </is>
      </c>
      <c r="N5" s="166" t="inlineStr">
        <is>
          <t>ĐÃ KHÓA SỔ</t>
        </is>
      </c>
      <c r="O5" s="99" t="inlineStr">
        <is>
          <t>2026-08-31</t>
        </is>
      </c>
      <c r="P5" s="100" t="inlineStr">
        <is>
          <t>Quản đốc Trần Đức Minh</t>
        </is>
      </c>
    </row>
    <row r="6">
      <c r="A6" s="167" t="inlineStr">
        <is>
          <t>NV02</t>
        </is>
      </c>
      <c r="B6" s="168" t="inlineStr">
        <is>
          <t>Nguyễn Trung Đông</t>
        </is>
      </c>
      <c r="C6" s="169" t="n">
        <v>7000000</v>
      </c>
      <c r="D6" s="167" t="n">
        <v>26</v>
      </c>
      <c r="E6" s="170">
        <f>D6*8</f>
        <v/>
      </c>
      <c r="F6" s="171">
        <f>IFERROR(C6/E6, 0)</f>
        <v/>
      </c>
      <c r="H6" s="163" t="inlineStr">
        <is>
          <t>Giờ TC tối đa/ngày</t>
        </is>
      </c>
      <c r="I6" s="164" t="n">
        <v>4</v>
      </c>
      <c r="J6" s="4" t="inlineStr">
        <is>
          <t>Tiện CNC cánh xoắn vít đùn</t>
        </is>
      </c>
      <c r="K6" s="3" t="inlineStr">
        <is>
          <t>Hạng A (Rất tốt)</t>
        </is>
      </c>
      <c r="L6" s="165" t="inlineStr">
        <is>
          <t>2026-09</t>
        </is>
      </c>
      <c r="M6" s="165" t="inlineStr">
        <is>
          <t>Tháng 09/2026</t>
        </is>
      </c>
      <c r="N6" s="172" t="inlineStr">
        <is>
          <t>ĐANG MỞ</t>
        </is>
      </c>
      <c r="O6" s="99" t="inlineStr"/>
      <c r="P6" s="100" t="inlineStr"/>
    </row>
    <row r="7">
      <c r="A7" s="158" t="inlineStr">
        <is>
          <t>NV03</t>
        </is>
      </c>
      <c r="B7" s="159" t="inlineStr">
        <is>
          <t>Phùng Đình Hùng</t>
        </is>
      </c>
      <c r="C7" s="160" t="n">
        <v>6800000</v>
      </c>
      <c r="D7" s="158" t="n">
        <v>26</v>
      </c>
      <c r="E7" s="161">
        <f>D7*8</f>
        <v/>
      </c>
      <c r="F7" s="162">
        <f>IFERROR(C7/E7, 0)</f>
        <v/>
      </c>
      <c r="H7" s="163" t="inlineStr">
        <is>
          <t>Hệ số TC ngày thường</t>
        </is>
      </c>
      <c r="I7" s="164" t="n">
        <v>1.5</v>
      </c>
      <c r="J7" s="4" t="inlineStr">
        <is>
          <t>Phay giường phôi đúc nặng đến 5 tấn</t>
        </is>
      </c>
      <c r="K7" s="3" t="inlineStr">
        <is>
          <t>Hạng B (Đạt yêu cầu)</t>
        </is>
      </c>
      <c r="L7" s="165" t="inlineStr">
        <is>
          <t>2026-10</t>
        </is>
      </c>
      <c r="M7" s="165" t="inlineStr">
        <is>
          <t>Tháng 10/2026</t>
        </is>
      </c>
      <c r="N7" s="172" t="inlineStr">
        <is>
          <t>ĐANG MỞ</t>
        </is>
      </c>
      <c r="O7" s="99" t="inlineStr"/>
      <c r="P7" s="100" t="inlineStr"/>
    </row>
    <row r="8">
      <c r="A8" s="167" t="inlineStr">
        <is>
          <t>NV04</t>
        </is>
      </c>
      <c r="B8" s="168" t="inlineStr">
        <is>
          <t>Vũ Tiến Thuận</t>
        </is>
      </c>
      <c r="C8" s="169" t="n">
        <v>7200000</v>
      </c>
      <c r="D8" s="167" t="n">
        <v>26</v>
      </c>
      <c r="E8" s="170">
        <f>D8*8</f>
        <v/>
      </c>
      <c r="F8" s="171">
        <f>IFERROR(C8/E8, 0)</f>
        <v/>
      </c>
      <c r="H8" s="163" t="inlineStr">
        <is>
          <t>Hệ số TC ngày nghỉ (CN)</t>
        </is>
      </c>
      <c r="I8" s="164" t="n">
        <v>2</v>
      </c>
      <c r="J8" s="4" t="inlineStr">
        <is>
          <t>Cắt dây Molypden độ dày đến 400mm</t>
        </is>
      </c>
      <c r="K8" s="3" t="inlineStr">
        <is>
          <t>Hạng A (Rất tốt)</t>
        </is>
      </c>
      <c r="L8" s="165" t="inlineStr">
        <is>
          <t>2026-11</t>
        </is>
      </c>
      <c r="M8" s="165" t="inlineStr">
        <is>
          <t>Tháng 11/2026</t>
        </is>
      </c>
      <c r="N8" s="172" t="inlineStr">
        <is>
          <t>ĐANG MỞ</t>
        </is>
      </c>
      <c r="O8" s="99" t="inlineStr"/>
      <c r="P8" s="100" t="inlineStr"/>
    </row>
    <row r="9">
      <c r="A9" s="158" t="inlineStr">
        <is>
          <t>NV05</t>
        </is>
      </c>
      <c r="B9" s="159" t="inlineStr">
        <is>
          <t>Nguyễn Mạnh Hà</t>
        </is>
      </c>
      <c r="C9" s="160" t="n">
        <v>6500000</v>
      </c>
      <c r="D9" s="158" t="n">
        <v>26</v>
      </c>
      <c r="E9" s="161">
        <f>D9*8</f>
        <v/>
      </c>
      <c r="F9" s="162">
        <f>IFERROR(C9/E9, 0)</f>
        <v/>
      </c>
      <c r="H9" s="163" t="inlineStr">
        <is>
          <t>Hệ số TC ngày lễ, Tết</t>
        </is>
      </c>
      <c r="I9" s="164" t="n">
        <v>3</v>
      </c>
      <c r="J9" s="4" t="inlineStr">
        <is>
          <t>Phay CNC 3-4 trục, làm hốc khuôn</t>
        </is>
      </c>
      <c r="K9" s="3" t="inlineStr">
        <is>
          <t>Hạng A (Rất tốt)</t>
        </is>
      </c>
      <c r="L9" s="165" t="inlineStr">
        <is>
          <t>2026-12</t>
        </is>
      </c>
      <c r="M9" s="165" t="inlineStr">
        <is>
          <t>Tháng 12/2026</t>
        </is>
      </c>
      <c r="N9" s="172" t="inlineStr">
        <is>
          <t>ĐANG MỞ</t>
        </is>
      </c>
      <c r="O9" s="99" t="inlineStr"/>
      <c r="P9" s="100" t="inlineStr"/>
    </row>
    <row r="10">
      <c r="A10" s="167" t="inlineStr">
        <is>
          <t>NV06</t>
        </is>
      </c>
      <c r="B10" s="168" t="inlineStr">
        <is>
          <t>Nguyễn Văn Thanh</t>
        </is>
      </c>
      <c r="C10" s="169" t="n">
        <v>7800000</v>
      </c>
      <c r="D10" s="167" t="n">
        <v>26</v>
      </c>
      <c r="E10" s="170">
        <f>D10*8</f>
        <v/>
      </c>
      <c r="F10" s="171">
        <f>IFERROR(C10/E10, 0)</f>
        <v/>
      </c>
      <c r="H10" s="173" t="inlineStr">
        <is>
          <t>Hệ số phụ trội làm đêm</t>
        </is>
      </c>
      <c r="I10" s="164" t="n">
        <v>0.3</v>
      </c>
      <c r="L10" s="174" t="n"/>
      <c r="M10" s="174" t="n"/>
      <c r="N10" s="174" t="n"/>
    </row>
    <row r="11">
      <c r="A11" s="158" t="inlineStr">
        <is>
          <t>NV07</t>
        </is>
      </c>
      <c r="B11" s="159" t="inlineStr">
        <is>
          <t>Phùng Gia Phúc</t>
        </is>
      </c>
      <c r="C11" s="160" t="n">
        <v>8200000</v>
      </c>
      <c r="D11" s="158" t="n">
        <v>26</v>
      </c>
      <c r="E11" s="161">
        <f>D11*8</f>
        <v/>
      </c>
      <c r="F11" s="162">
        <f>IFERROR(C11/E11, 0)</f>
        <v/>
      </c>
      <c r="H11" s="173" t="inlineStr">
        <is>
          <t>Giờ TC tối đa/tháng</t>
        </is>
      </c>
      <c r="I11" s="164" t="n">
        <v>40</v>
      </c>
      <c r="L11" s="174" t="n"/>
      <c r="M11" s="174" t="n"/>
      <c r="N11" s="174" t="n"/>
    </row>
    <row r="12">
      <c r="A12" s="167" t="inlineStr">
        <is>
          <t>NV08</t>
        </is>
      </c>
      <c r="B12" s="168" t="inlineStr">
        <is>
          <t>Trần Văn Dũng</t>
        </is>
      </c>
      <c r="C12" s="169" t="n">
        <v>7500000</v>
      </c>
      <c r="D12" s="175" t="n">
        <v>26</v>
      </c>
      <c r="E12" s="176">
        <f>D12*8</f>
        <v/>
      </c>
      <c r="F12" s="171">
        <f>IFERROR(C12/E12, 0)</f>
        <v/>
      </c>
      <c r="H12" s="173" t="inlineStr">
        <is>
          <t>Giờ TC tối đa/năm</t>
        </is>
      </c>
      <c r="I12" s="164" t="n">
        <v>200</v>
      </c>
      <c r="L12" s="174" t="n"/>
      <c r="M12" s="174" t="n"/>
      <c r="N12" s="174" t="n"/>
    </row>
    <row r="13">
      <c r="A13" s="158" t="inlineStr">
        <is>
          <t>NV09</t>
        </is>
      </c>
      <c r="B13" s="159" t="inlineStr">
        <is>
          <t>Trần Đăng Ninh</t>
        </is>
      </c>
      <c r="C13" s="160" t="n">
        <v>6500000</v>
      </c>
      <c r="D13" s="177" t="n">
        <v>26</v>
      </c>
      <c r="E13" s="178">
        <f>D13*8</f>
        <v/>
      </c>
      <c r="F13" s="162">
        <f>IFERROR(C13/E13, 0)</f>
        <v/>
      </c>
      <c r="H13" s="174" t="n"/>
      <c r="I13" s="174" t="n"/>
      <c r="L13" s="174" t="n"/>
      <c r="M13" s="174" t="n"/>
      <c r="N13" s="174" t="n"/>
    </row>
    <row r="14">
      <c r="A14" s="175" t="inlineStr">
        <is>
          <t>NV10</t>
        </is>
      </c>
      <c r="B14" s="179" t="inlineStr">
        <is>
          <t>Phạm Văn Tráng</t>
        </is>
      </c>
      <c r="C14" s="169" t="n">
        <v>8000000</v>
      </c>
      <c r="D14" s="175" t="n">
        <v>26</v>
      </c>
      <c r="E14" s="176">
        <f>D14*8</f>
        <v/>
      </c>
      <c r="F14" s="171">
        <f>IFERROR(C14/E14, 0)</f>
        <v/>
      </c>
      <c r="H14" s="174" t="n"/>
      <c r="I14" s="174" t="n"/>
      <c r="L14" s="174" t="n"/>
      <c r="M14" s="174" t="n"/>
      <c r="N14" s="174" t="n"/>
    </row>
    <row r="15">
      <c r="A15" s="177" t="inlineStr">
        <is>
          <t>NV11</t>
        </is>
      </c>
      <c r="B15" s="180" t="inlineStr">
        <is>
          <t>Phùng Công Thắng</t>
        </is>
      </c>
      <c r="C15" s="160" t="n">
        <v>8500000</v>
      </c>
      <c r="D15" s="177" t="n">
        <v>26</v>
      </c>
      <c r="E15" s="178">
        <f>D15*8</f>
        <v/>
      </c>
      <c r="F15" s="162">
        <f>IFERROR(C15/E15, 0)</f>
        <v/>
      </c>
      <c r="H15" s="174" t="n"/>
      <c r="I15" s="174" t="n"/>
      <c r="L15" s="174" t="n"/>
      <c r="M15" s="174" t="n"/>
      <c r="N15" s="174" t="n"/>
    </row>
    <row r="16">
      <c r="A16" s="175" t="inlineStr">
        <is>
          <t>NV12</t>
        </is>
      </c>
      <c r="B16" s="179" t="inlineStr">
        <is>
          <t>Phạm Ngọc Sam</t>
        </is>
      </c>
      <c r="C16" s="169" t="n">
        <v>7200000</v>
      </c>
      <c r="D16" s="175" t="n">
        <v>26</v>
      </c>
      <c r="E16" s="176">
        <f>D16*8</f>
        <v/>
      </c>
      <c r="F16" s="171">
        <f>IFERROR(C16/E16, 0)</f>
        <v/>
      </c>
      <c r="H16" s="174" t="n"/>
      <c r="I16" s="174" t="n"/>
      <c r="L16" s="174" t="n"/>
      <c r="M16" s="174" t="n"/>
      <c r="N16" s="174" t="n"/>
    </row>
    <row r="17">
      <c r="A17" s="177" t="inlineStr">
        <is>
          <t>NV13</t>
        </is>
      </c>
      <c r="B17" s="180" t="inlineStr">
        <is>
          <t>Trần Văn Quỳnh</t>
        </is>
      </c>
      <c r="C17" s="160" t="n">
        <v>7000000</v>
      </c>
      <c r="D17" s="177" t="n">
        <v>26</v>
      </c>
      <c r="E17" s="178">
        <f>D17*8</f>
        <v/>
      </c>
      <c r="F17" s="162">
        <f>IFERROR(C17/E17, 0)</f>
        <v/>
      </c>
      <c r="H17" s="174" t="n"/>
      <c r="I17" s="174" t="n"/>
      <c r="L17" s="174" t="n"/>
      <c r="M17" s="174" t="n"/>
      <c r="N17" s="174" t="n"/>
    </row>
    <row r="18">
      <c r="A18" s="175" t="inlineStr">
        <is>
          <t>NV14</t>
        </is>
      </c>
      <c r="B18" s="179" t="inlineStr">
        <is>
          <t>Đinh Văn Nhận</t>
        </is>
      </c>
      <c r="C18" s="169" t="n">
        <v>7500000</v>
      </c>
      <c r="D18" s="175" t="n">
        <v>26</v>
      </c>
      <c r="E18" s="176">
        <f>D18*8</f>
        <v/>
      </c>
      <c r="F18" s="171">
        <f>IFERROR(C18/E18, 0)</f>
        <v/>
      </c>
      <c r="H18" s="174" t="n"/>
      <c r="I18" s="174" t="n"/>
      <c r="L18" s="174" t="n"/>
      <c r="M18" s="174" t="n"/>
      <c r="N18" s="174" t="n"/>
    </row>
    <row r="19">
      <c r="A19" s="177" t="inlineStr">
        <is>
          <t>NV15</t>
        </is>
      </c>
      <c r="B19" s="180" t="inlineStr">
        <is>
          <t>Đặng Ngọc Long</t>
        </is>
      </c>
      <c r="C19" s="160" t="n">
        <v>7200000</v>
      </c>
      <c r="D19" s="177" t="n">
        <v>26</v>
      </c>
      <c r="E19" s="178">
        <f>D19*8</f>
        <v/>
      </c>
      <c r="F19" s="162">
        <f>IFERROR(C19/E19, 0)</f>
        <v/>
      </c>
      <c r="H19" s="174" t="n"/>
      <c r="I19" s="174" t="n"/>
      <c r="L19" s="174" t="n"/>
      <c r="M19" s="174" t="n"/>
      <c r="N19" s="174" t="n"/>
    </row>
  </sheetData>
  <mergeCells count="4">
    <mergeCell ref="A3:F3"/>
    <mergeCell ref="A1:K1"/>
    <mergeCell ref="L3:P3"/>
    <mergeCell ref="H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selection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3" customWidth="1" style="75" min="14" max="14"/>
    <col width="12" customWidth="1" style="75" min="15" max="15"/>
    <col width="12" customWidth="1" style="75" min="16" max="16"/>
    <col width="12" customWidth="1" style="75" min="17" max="17"/>
    <col width="13" customWidth="1" style="75" min="18" max="18"/>
    <col width="13" customWidth="1" style="75" min="19" max="19"/>
    <col width="13" customWidth="1" style="75" min="20" max="20"/>
    <col width="16" customWidth="1" style="75" min="21" max="21"/>
    <col width="14" customWidth="1" style="75" min="22" max="22"/>
    <col width="13" customWidth="1" style="75" min="23" max="23"/>
    <col width="18" customWidth="1" style="75" min="24" max="24"/>
    <col width="24" customWidth="1" style="75" min="25" max="25"/>
  </cols>
  <sheetData>
    <row r="1" ht="27" customHeight="1" s="75">
      <c r="A1" s="103" t="inlineStr">
        <is>
          <t>BẢNG TRA CỨU LƯƠNG KHOÁN THEO THÁNG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inlineStr">
        <is>
          <t>2026-08</t>
        </is>
      </c>
      <c r="C2" s="107" t="inlineStr">
        <is>
          <t>Từ Ngày:</t>
        </is>
      </c>
      <c r="D2" s="108" t="inlineStr">
        <is>
          <t>2026-08-01</t>
        </is>
      </c>
      <c r="E2" s="107" t="inlineStr">
        <is>
          <t>Đến Ngày:</t>
        </is>
      </c>
      <c r="F2" s="108" t="inlineStr">
        <is>
          <t>2026-08-31</t>
        </is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Tra cứu lương khoán động theo kỳ: Chọn tháng tại B2 -&gt; Tự động đối soát 3 cấp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81" t="inlineStr">
        <is>
          <t>Công Thực Tế</t>
        </is>
      </c>
      <c r="O4" s="145" t="inlineStr">
        <is>
          <t>TC ×1,5</t>
        </is>
      </c>
      <c r="P4" s="145" t="inlineStr">
        <is>
          <t>TC ×2</t>
        </is>
      </c>
      <c r="Q4" s="145" t="inlineStr">
        <is>
          <t>TC ×3</t>
        </is>
      </c>
      <c r="R4" s="145" t="inlineStr">
        <is>
          <t>TC Đêm ×1,5</t>
        </is>
      </c>
      <c r="S4" s="145" t="inlineStr">
        <is>
          <t>TC Đêm ×2</t>
        </is>
      </c>
      <c r="T4" s="145" t="inlineStr">
        <is>
          <t>TC Đêm ×3</t>
        </is>
      </c>
      <c r="U4" s="145" t="inlineStr">
        <is>
          <t>Tiền Tăng Ca (VNĐ)</t>
        </is>
      </c>
      <c r="V4" s="145" t="inlineStr">
        <is>
          <t>Phụ Cấp (VNĐ)</t>
        </is>
      </c>
      <c r="W4" s="145" t="inlineStr">
        <is>
          <t>Khấu Trừ (VNĐ)</t>
        </is>
      </c>
      <c r="X4" s="145" t="inlineStr">
        <is>
          <t>TỔNG THU NHẬP (VNĐ)</t>
        </is>
      </c>
      <c r="Y4" s="145" t="inlineStr">
        <is>
          <t>Trạng Thái Bảng Công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>
        <f>IF($H$2="ĐÃ KHÓA SỔ", "🔒 ĐÃ KHÓA SỔ", IF(L5&gt;0, "CHỜ KHÓA SỔ", "KỲ ĐANG MỞ"))</f>
        <v/>
      </c>
      <c r="N5" s="196">
        <f>SUMIFS('07_Cham_Cong_Tang_Ca'!$F:$F, '07_Cham_Cong_Tang_Ca'!$C:$C, $B5, '07_Cham_Cong_Tang_Ca'!$B:$B, $B$2&amp;"*")</f>
        <v/>
      </c>
      <c r="O5" s="196">
        <f>SUMIFS('07_Cham_Cong_Tang_Ca'!$H:$H, '07_Cham_Cong_Tang_Ca'!$C:$C, $B5, '07_Cham_Cong_Tang_Ca'!$B:$B, $B$2&amp;"*")</f>
        <v/>
      </c>
      <c r="P5" s="196">
        <f>SUMIFS('07_Cham_Cong_Tang_Ca'!$I:$I, '07_Cham_Cong_Tang_Ca'!$C:$C, $B5, '07_Cham_Cong_Tang_Ca'!$B:$B, $B$2&amp;"*")</f>
        <v/>
      </c>
      <c r="Q5" s="196">
        <f>SUMIFS('07_Cham_Cong_Tang_Ca'!$J:$J, '07_Cham_Cong_Tang_Ca'!$C:$C, $B5, '07_Cham_Cong_Tang_Ca'!$B:$B, $B$2&amp;"*")</f>
        <v/>
      </c>
      <c r="R5" s="197">
        <f>SUMIFS('07_Cham_Cong_Tang_Ca'!$L:$L, '07_Cham_Cong_Tang_Ca'!$C:$C, $B5, '07_Cham_Cong_Tang_Ca'!$B:$B, $B$2&amp;"*")</f>
        <v/>
      </c>
      <c r="S5" s="197">
        <f>SUMIFS('07_Cham_Cong_Tang_Ca'!$M:$M, '07_Cham_Cong_Tang_Ca'!$C:$C, $B5, '07_Cham_Cong_Tang_Ca'!$B:$B, $B$2&amp;"*")</f>
        <v/>
      </c>
      <c r="T5" s="197">
        <f>SUMIFS('07_Cham_Cong_Tang_Ca'!$N:$N, '07_Cham_Cong_Tang_Ca'!$C:$C, $B5, '07_Cham_Cong_Tang_Ca'!$B:$B, $B$2&amp;"*")</f>
        <v/>
      </c>
      <c r="U5" s="198">
        <f>ROUND((O5*1.5 + P5*2.0 + Q5*3.0 + R5*2.0 + S5*2.7 + T5*3.9) * (IFERROR(VLOOKUP(B5, '11_Master_Data'!$A$5:$D$19, 4, FALSE), 6000000) / 26 / 8), 0)</f>
        <v/>
      </c>
      <c r="V5" s="198">
        <f>SUMIFS('07_Cham_Cong_Tang_Ca'!$P:$P, '07_Cham_Cong_Tang_Ca'!$C:$C, $B5, '07_Cham_Cong_Tang_Ca'!$B:$B, $B$2&amp;"*")</f>
        <v/>
      </c>
      <c r="W5" s="198" t="n">
        <v>0</v>
      </c>
      <c r="X5" s="212">
        <f>L5+U5+V5-W5</f>
        <v/>
      </c>
      <c r="Y5" s="194">
        <f>IF(N5&gt;0, "ĐÃ ĐỒNG BỘ", "KHÔNG CÔNG")</f>
        <v/>
      </c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>
        <f>IF($H$2="ĐÃ KHÓA SỔ", "🔒 ĐÃ KHÓA SỔ", IF(L6&gt;0, "CHỜ KHÓA SỔ", "KỲ ĐANG MỞ"))</f>
        <v/>
      </c>
      <c r="N6" s="203">
        <f>SUMIFS('07_Cham_Cong_Tang_Ca'!$F:$F, '07_Cham_Cong_Tang_Ca'!$C:$C, $B6, '07_Cham_Cong_Tang_Ca'!$B:$B, $B$2&amp;"*")</f>
        <v/>
      </c>
      <c r="O6" s="203">
        <f>SUMIFS('07_Cham_Cong_Tang_Ca'!$H:$H, '07_Cham_Cong_Tang_Ca'!$C:$C, $B6, '07_Cham_Cong_Tang_Ca'!$B:$B, $B$2&amp;"*")</f>
        <v/>
      </c>
      <c r="P6" s="203">
        <f>SUMIFS('07_Cham_Cong_Tang_Ca'!$I:$I, '07_Cham_Cong_Tang_Ca'!$C:$C, $B6, '07_Cham_Cong_Tang_Ca'!$B:$B, $B$2&amp;"*")</f>
        <v/>
      </c>
      <c r="Q6" s="203">
        <f>SUMIFS('07_Cham_Cong_Tang_Ca'!$J:$J, '07_Cham_Cong_Tang_Ca'!$C:$C, $B6, '07_Cham_Cong_Tang_Ca'!$B:$B, $B$2&amp;"*")</f>
        <v/>
      </c>
      <c r="R6" s="204">
        <f>SUMIFS('07_Cham_Cong_Tang_Ca'!$L:$L, '07_Cham_Cong_Tang_Ca'!$C:$C, $B6, '07_Cham_Cong_Tang_Ca'!$B:$B, $B$2&amp;"*")</f>
        <v/>
      </c>
      <c r="S6" s="204">
        <f>SUMIFS('07_Cham_Cong_Tang_Ca'!$M:$M, '07_Cham_Cong_Tang_Ca'!$C:$C, $B6, '07_Cham_Cong_Tang_Ca'!$B:$B, $B$2&amp;"*")</f>
        <v/>
      </c>
      <c r="T6" s="204">
        <f>SUMIFS('07_Cham_Cong_Tang_Ca'!$N:$N, '07_Cham_Cong_Tang_Ca'!$C:$C, $B6, '07_Cham_Cong_Tang_Ca'!$B:$B, $B$2&amp;"*")</f>
        <v/>
      </c>
      <c r="U6" s="205">
        <f>ROUND((O6*1.5 + P6*2.0 + Q6*3.0 + R6*2.0 + S6*2.7 + T6*3.9) * (IFERROR(VLOOKUP(B6, '11_Master_Data'!$A$5:$D$19, 4, FALSE), 6000000) / 26 / 8), 0)</f>
        <v/>
      </c>
      <c r="V6" s="205">
        <f>SUMIFS('07_Cham_Cong_Tang_Ca'!$P:$P, '07_Cham_Cong_Tang_Ca'!$C:$C, $B6, '07_Cham_Cong_Tang_Ca'!$B:$B, $B$2&amp;"*")</f>
        <v/>
      </c>
      <c r="W6" s="205" t="n">
        <v>0</v>
      </c>
      <c r="X6" s="213">
        <f>L6+U6+V6-W6</f>
        <v/>
      </c>
      <c r="Y6" s="201">
        <f>IF(N6&gt;0, "ĐÃ ĐỒNG BỘ", "KHÔNG CÔNG")</f>
        <v/>
      </c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>
        <f>IF($H$2="ĐÃ KHÓA SỔ", "🔒 ĐÃ KHÓA SỔ", IF(L7&gt;0, "CHỜ KHÓA SỔ", "KỲ ĐANG MỞ"))</f>
        <v/>
      </c>
      <c r="N7" s="196">
        <f>SUMIFS('07_Cham_Cong_Tang_Ca'!$F:$F, '07_Cham_Cong_Tang_Ca'!$C:$C, $B7, '07_Cham_Cong_Tang_Ca'!$B:$B, $B$2&amp;"*")</f>
        <v/>
      </c>
      <c r="O7" s="196">
        <f>SUMIFS('07_Cham_Cong_Tang_Ca'!$H:$H, '07_Cham_Cong_Tang_Ca'!$C:$C, $B7, '07_Cham_Cong_Tang_Ca'!$B:$B, $B$2&amp;"*")</f>
        <v/>
      </c>
      <c r="P7" s="196">
        <f>SUMIFS('07_Cham_Cong_Tang_Ca'!$I:$I, '07_Cham_Cong_Tang_Ca'!$C:$C, $B7, '07_Cham_Cong_Tang_Ca'!$B:$B, $B$2&amp;"*")</f>
        <v/>
      </c>
      <c r="Q7" s="196">
        <f>SUMIFS('07_Cham_Cong_Tang_Ca'!$J:$J, '07_Cham_Cong_Tang_Ca'!$C:$C, $B7, '07_Cham_Cong_Tang_Ca'!$B:$B, $B$2&amp;"*")</f>
        <v/>
      </c>
      <c r="R7" s="197">
        <f>SUMIFS('07_Cham_Cong_Tang_Ca'!$L:$L, '07_Cham_Cong_Tang_Ca'!$C:$C, $B7, '07_Cham_Cong_Tang_Ca'!$B:$B, $B$2&amp;"*")</f>
        <v/>
      </c>
      <c r="S7" s="197">
        <f>SUMIFS('07_Cham_Cong_Tang_Ca'!$M:$M, '07_Cham_Cong_Tang_Ca'!$C:$C, $B7, '07_Cham_Cong_Tang_Ca'!$B:$B, $B$2&amp;"*")</f>
        <v/>
      </c>
      <c r="T7" s="197">
        <f>SUMIFS('07_Cham_Cong_Tang_Ca'!$N:$N, '07_Cham_Cong_Tang_Ca'!$C:$C, $B7, '07_Cham_Cong_Tang_Ca'!$B:$B, $B$2&amp;"*")</f>
        <v/>
      </c>
      <c r="U7" s="198">
        <f>ROUND((O7*1.5 + P7*2.0 + Q7*3.0 + R7*2.0 + S7*2.7 + T7*3.9) * (IFERROR(VLOOKUP(B7, '11_Master_Data'!$A$5:$D$19, 4, FALSE), 6000000) / 26 / 8), 0)</f>
        <v/>
      </c>
      <c r="V7" s="198">
        <f>SUMIFS('07_Cham_Cong_Tang_Ca'!$P:$P, '07_Cham_Cong_Tang_Ca'!$C:$C, $B7, '07_Cham_Cong_Tang_Ca'!$B:$B, $B$2&amp;"*")</f>
        <v/>
      </c>
      <c r="W7" s="198" t="n">
        <v>0</v>
      </c>
      <c r="X7" s="212">
        <f>L7+U7+V7-W7</f>
        <v/>
      </c>
      <c r="Y7" s="194">
        <f>IF(N7&gt;0, "ĐÃ ĐỒNG BỘ", "KHÔNG CÔNG")</f>
        <v/>
      </c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>
        <f>IF($H$2="ĐÃ KHÓA SỔ", "🔒 ĐÃ KHÓA SỔ", IF(L8&gt;0, "CHỜ KHÓA SỔ", "KỲ ĐANG MỞ"))</f>
        <v/>
      </c>
      <c r="N8" s="203">
        <f>SUMIFS('07_Cham_Cong_Tang_Ca'!$F:$F, '07_Cham_Cong_Tang_Ca'!$C:$C, $B8, '07_Cham_Cong_Tang_Ca'!$B:$B, $B$2&amp;"*")</f>
        <v/>
      </c>
      <c r="O8" s="203">
        <f>SUMIFS('07_Cham_Cong_Tang_Ca'!$H:$H, '07_Cham_Cong_Tang_Ca'!$C:$C, $B8, '07_Cham_Cong_Tang_Ca'!$B:$B, $B$2&amp;"*")</f>
        <v/>
      </c>
      <c r="P8" s="203">
        <f>SUMIFS('07_Cham_Cong_Tang_Ca'!$I:$I, '07_Cham_Cong_Tang_Ca'!$C:$C, $B8, '07_Cham_Cong_Tang_Ca'!$B:$B, $B$2&amp;"*")</f>
        <v/>
      </c>
      <c r="Q8" s="203">
        <f>SUMIFS('07_Cham_Cong_Tang_Ca'!$J:$J, '07_Cham_Cong_Tang_Ca'!$C:$C, $B8, '07_Cham_Cong_Tang_Ca'!$B:$B, $B$2&amp;"*")</f>
        <v/>
      </c>
      <c r="R8" s="204">
        <f>SUMIFS('07_Cham_Cong_Tang_Ca'!$L:$L, '07_Cham_Cong_Tang_Ca'!$C:$C, $B8, '07_Cham_Cong_Tang_Ca'!$B:$B, $B$2&amp;"*")</f>
        <v/>
      </c>
      <c r="S8" s="204">
        <f>SUMIFS('07_Cham_Cong_Tang_Ca'!$M:$M, '07_Cham_Cong_Tang_Ca'!$C:$C, $B8, '07_Cham_Cong_Tang_Ca'!$B:$B, $B$2&amp;"*")</f>
        <v/>
      </c>
      <c r="T8" s="204">
        <f>SUMIFS('07_Cham_Cong_Tang_Ca'!$N:$N, '07_Cham_Cong_Tang_Ca'!$C:$C, $B8, '07_Cham_Cong_Tang_Ca'!$B:$B, $B$2&amp;"*")</f>
        <v/>
      </c>
      <c r="U8" s="205">
        <f>ROUND((O8*1.5 + P8*2.0 + Q8*3.0 + R8*2.0 + S8*2.7 + T8*3.9) * (IFERROR(VLOOKUP(B8, '11_Master_Data'!$A$5:$D$19, 4, FALSE), 6000000) / 26 / 8), 0)</f>
        <v/>
      </c>
      <c r="V8" s="205">
        <f>SUMIFS('07_Cham_Cong_Tang_Ca'!$P:$P, '07_Cham_Cong_Tang_Ca'!$C:$C, $B8, '07_Cham_Cong_Tang_Ca'!$B:$B, $B$2&amp;"*")</f>
        <v/>
      </c>
      <c r="W8" s="205" t="n">
        <v>0</v>
      </c>
      <c r="X8" s="213">
        <f>L8+U8+V8-W8</f>
        <v/>
      </c>
      <c r="Y8" s="201">
        <f>IF(N8&gt;0, "ĐÃ ĐỒNG BỘ", "KHÔNG CÔNG")</f>
        <v/>
      </c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>
        <f>IF($H$2="ĐÃ KHÓA SỔ", "🔒 ĐÃ KHÓA SỔ", IF(L9&gt;0, "CHỜ KHÓA SỔ", "KỲ ĐANG MỞ"))</f>
        <v/>
      </c>
      <c r="N9" s="196">
        <f>SUMIFS('07_Cham_Cong_Tang_Ca'!$F:$F, '07_Cham_Cong_Tang_Ca'!$C:$C, $B9, '07_Cham_Cong_Tang_Ca'!$B:$B, $B$2&amp;"*")</f>
        <v/>
      </c>
      <c r="O9" s="196">
        <f>SUMIFS('07_Cham_Cong_Tang_Ca'!$H:$H, '07_Cham_Cong_Tang_Ca'!$C:$C, $B9, '07_Cham_Cong_Tang_Ca'!$B:$B, $B$2&amp;"*")</f>
        <v/>
      </c>
      <c r="P9" s="196">
        <f>SUMIFS('07_Cham_Cong_Tang_Ca'!$I:$I, '07_Cham_Cong_Tang_Ca'!$C:$C, $B9, '07_Cham_Cong_Tang_Ca'!$B:$B, $B$2&amp;"*")</f>
        <v/>
      </c>
      <c r="Q9" s="196">
        <f>SUMIFS('07_Cham_Cong_Tang_Ca'!$J:$J, '07_Cham_Cong_Tang_Ca'!$C:$C, $B9, '07_Cham_Cong_Tang_Ca'!$B:$B, $B$2&amp;"*")</f>
        <v/>
      </c>
      <c r="R9" s="197">
        <f>SUMIFS('07_Cham_Cong_Tang_Ca'!$L:$L, '07_Cham_Cong_Tang_Ca'!$C:$C, $B9, '07_Cham_Cong_Tang_Ca'!$B:$B, $B$2&amp;"*")</f>
        <v/>
      </c>
      <c r="S9" s="197">
        <f>SUMIFS('07_Cham_Cong_Tang_Ca'!$M:$M, '07_Cham_Cong_Tang_Ca'!$C:$C, $B9, '07_Cham_Cong_Tang_Ca'!$B:$B, $B$2&amp;"*")</f>
        <v/>
      </c>
      <c r="T9" s="197">
        <f>SUMIFS('07_Cham_Cong_Tang_Ca'!$N:$N, '07_Cham_Cong_Tang_Ca'!$C:$C, $B9, '07_Cham_Cong_Tang_Ca'!$B:$B, $B$2&amp;"*")</f>
        <v/>
      </c>
      <c r="U9" s="198">
        <f>ROUND((O9*1.5 + P9*2.0 + Q9*3.0 + R9*2.0 + S9*2.7 + T9*3.9) * (IFERROR(VLOOKUP(B9, '11_Master_Data'!$A$5:$D$19, 4, FALSE), 6000000) / 26 / 8), 0)</f>
        <v/>
      </c>
      <c r="V9" s="198">
        <f>SUMIFS('07_Cham_Cong_Tang_Ca'!$P:$P, '07_Cham_Cong_Tang_Ca'!$C:$C, $B9, '07_Cham_Cong_Tang_Ca'!$B:$B, $B$2&amp;"*")</f>
        <v/>
      </c>
      <c r="W9" s="198" t="n">
        <v>0</v>
      </c>
      <c r="X9" s="212">
        <f>L9+U9+V9-W9</f>
        <v/>
      </c>
      <c r="Y9" s="194">
        <f>IF(N9&gt;0, "ĐÃ ĐỒNG BỘ", "KHÔNG CÔNG")</f>
        <v/>
      </c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>
        <f>IF($H$2="ĐÃ KHÓA SỔ", "🔒 ĐÃ KHÓA SỔ", IF(L10&gt;0, "CHỜ KHÓA SỔ", "KỲ ĐANG MỞ"))</f>
        <v/>
      </c>
      <c r="N10" s="203">
        <f>SUMIFS('07_Cham_Cong_Tang_Ca'!$F:$F, '07_Cham_Cong_Tang_Ca'!$C:$C, $B10, '07_Cham_Cong_Tang_Ca'!$B:$B, $B$2&amp;"*")</f>
        <v/>
      </c>
      <c r="O10" s="203">
        <f>SUMIFS('07_Cham_Cong_Tang_Ca'!$H:$H, '07_Cham_Cong_Tang_Ca'!$C:$C, $B10, '07_Cham_Cong_Tang_Ca'!$B:$B, $B$2&amp;"*")</f>
        <v/>
      </c>
      <c r="P10" s="203">
        <f>SUMIFS('07_Cham_Cong_Tang_Ca'!$I:$I, '07_Cham_Cong_Tang_Ca'!$C:$C, $B10, '07_Cham_Cong_Tang_Ca'!$B:$B, $B$2&amp;"*")</f>
        <v/>
      </c>
      <c r="Q10" s="203">
        <f>SUMIFS('07_Cham_Cong_Tang_Ca'!$J:$J, '07_Cham_Cong_Tang_Ca'!$C:$C, $B10, '07_Cham_Cong_Tang_Ca'!$B:$B, $B$2&amp;"*")</f>
        <v/>
      </c>
      <c r="R10" s="204">
        <f>SUMIFS('07_Cham_Cong_Tang_Ca'!$L:$L, '07_Cham_Cong_Tang_Ca'!$C:$C, $B10, '07_Cham_Cong_Tang_Ca'!$B:$B, $B$2&amp;"*")</f>
        <v/>
      </c>
      <c r="S10" s="204">
        <f>SUMIFS('07_Cham_Cong_Tang_Ca'!$M:$M, '07_Cham_Cong_Tang_Ca'!$C:$C, $B10, '07_Cham_Cong_Tang_Ca'!$B:$B, $B$2&amp;"*")</f>
        <v/>
      </c>
      <c r="T10" s="204">
        <f>SUMIFS('07_Cham_Cong_Tang_Ca'!$N:$N, '07_Cham_Cong_Tang_Ca'!$C:$C, $B10, '07_Cham_Cong_Tang_Ca'!$B:$B, $B$2&amp;"*")</f>
        <v/>
      </c>
      <c r="U10" s="205">
        <f>ROUND((O10*1.5 + P10*2.0 + Q10*3.0 + R10*2.0 + S10*2.7 + T10*3.9) * (IFERROR(VLOOKUP(B10, '11_Master_Data'!$A$5:$D$19, 4, FALSE), 6000000) / 26 / 8), 0)</f>
        <v/>
      </c>
      <c r="V10" s="205">
        <f>SUMIFS('07_Cham_Cong_Tang_Ca'!$P:$P, '07_Cham_Cong_Tang_Ca'!$C:$C, $B10, '07_Cham_Cong_Tang_Ca'!$B:$B, $B$2&amp;"*")</f>
        <v/>
      </c>
      <c r="W10" s="205" t="n">
        <v>0</v>
      </c>
      <c r="X10" s="213">
        <f>L10+U10+V10-W10</f>
        <v/>
      </c>
      <c r="Y10" s="201">
        <f>IF(N10&gt;0, "ĐÃ ĐỒNG BỘ", "KHÔNG CÔNG")</f>
        <v/>
      </c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>
        <f>IF($H$2="ĐÃ KHÓA SỔ", "🔒 ĐÃ KHÓA SỔ", IF(L11&gt;0, "CHỜ KHÓA SỔ", "KỲ ĐANG MỞ"))</f>
        <v/>
      </c>
      <c r="N11" s="196">
        <f>SUMIFS('07_Cham_Cong_Tang_Ca'!$F:$F, '07_Cham_Cong_Tang_Ca'!$C:$C, $B11, '07_Cham_Cong_Tang_Ca'!$B:$B, $B$2&amp;"*")</f>
        <v/>
      </c>
      <c r="O11" s="196">
        <f>SUMIFS('07_Cham_Cong_Tang_Ca'!$H:$H, '07_Cham_Cong_Tang_Ca'!$C:$C, $B11, '07_Cham_Cong_Tang_Ca'!$B:$B, $B$2&amp;"*")</f>
        <v/>
      </c>
      <c r="P11" s="196">
        <f>SUMIFS('07_Cham_Cong_Tang_Ca'!$I:$I, '07_Cham_Cong_Tang_Ca'!$C:$C, $B11, '07_Cham_Cong_Tang_Ca'!$B:$B, $B$2&amp;"*")</f>
        <v/>
      </c>
      <c r="Q11" s="196">
        <f>SUMIFS('07_Cham_Cong_Tang_Ca'!$J:$J, '07_Cham_Cong_Tang_Ca'!$C:$C, $B11, '07_Cham_Cong_Tang_Ca'!$B:$B, $B$2&amp;"*")</f>
        <v/>
      </c>
      <c r="R11" s="197">
        <f>SUMIFS('07_Cham_Cong_Tang_Ca'!$L:$L, '07_Cham_Cong_Tang_Ca'!$C:$C, $B11, '07_Cham_Cong_Tang_Ca'!$B:$B, $B$2&amp;"*")</f>
        <v/>
      </c>
      <c r="S11" s="197">
        <f>SUMIFS('07_Cham_Cong_Tang_Ca'!$M:$M, '07_Cham_Cong_Tang_Ca'!$C:$C, $B11, '07_Cham_Cong_Tang_Ca'!$B:$B, $B$2&amp;"*")</f>
        <v/>
      </c>
      <c r="T11" s="197">
        <f>SUMIFS('07_Cham_Cong_Tang_Ca'!$N:$N, '07_Cham_Cong_Tang_Ca'!$C:$C, $B11, '07_Cham_Cong_Tang_Ca'!$B:$B, $B$2&amp;"*")</f>
        <v/>
      </c>
      <c r="U11" s="198">
        <f>ROUND((O11*1.5 + P11*2.0 + Q11*3.0 + R11*2.0 + S11*2.7 + T11*3.9) * (IFERROR(VLOOKUP(B11, '11_Master_Data'!$A$5:$D$19, 4, FALSE), 6000000) / 26 / 8), 0)</f>
        <v/>
      </c>
      <c r="V11" s="198">
        <f>SUMIFS('07_Cham_Cong_Tang_Ca'!$P:$P, '07_Cham_Cong_Tang_Ca'!$C:$C, $B11, '07_Cham_Cong_Tang_Ca'!$B:$B, $B$2&amp;"*")</f>
        <v/>
      </c>
      <c r="W11" s="198" t="n">
        <v>0</v>
      </c>
      <c r="X11" s="212">
        <f>L11+U11+V11-W11</f>
        <v/>
      </c>
      <c r="Y11" s="194">
        <f>IF(N11&gt;0, "ĐÃ ĐỒNG BỘ", "KHÔNG CÔNG")</f>
        <v/>
      </c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>
        <f>IF($H$2="ĐÃ KHÓA SỔ", "🔒 ĐÃ KHÓA SỔ", IF(L12&gt;0, "CHỜ KHÓA SỔ", "KỲ ĐANG MỞ"))</f>
        <v/>
      </c>
      <c r="N12" s="203">
        <f>SUMIFS('07_Cham_Cong_Tang_Ca'!$F:$F, '07_Cham_Cong_Tang_Ca'!$C:$C, $B12, '07_Cham_Cong_Tang_Ca'!$B:$B, $B$2&amp;"*")</f>
        <v/>
      </c>
      <c r="O12" s="203">
        <f>SUMIFS('07_Cham_Cong_Tang_Ca'!$H:$H, '07_Cham_Cong_Tang_Ca'!$C:$C, $B12, '07_Cham_Cong_Tang_Ca'!$B:$B, $B$2&amp;"*")</f>
        <v/>
      </c>
      <c r="P12" s="203">
        <f>SUMIFS('07_Cham_Cong_Tang_Ca'!$I:$I, '07_Cham_Cong_Tang_Ca'!$C:$C, $B12, '07_Cham_Cong_Tang_Ca'!$B:$B, $B$2&amp;"*")</f>
        <v/>
      </c>
      <c r="Q12" s="203">
        <f>SUMIFS('07_Cham_Cong_Tang_Ca'!$J:$J, '07_Cham_Cong_Tang_Ca'!$C:$C, $B12, '07_Cham_Cong_Tang_Ca'!$B:$B, $B$2&amp;"*")</f>
        <v/>
      </c>
      <c r="R12" s="204">
        <f>SUMIFS('07_Cham_Cong_Tang_Ca'!$L:$L, '07_Cham_Cong_Tang_Ca'!$C:$C, $B12, '07_Cham_Cong_Tang_Ca'!$B:$B, $B$2&amp;"*")</f>
        <v/>
      </c>
      <c r="S12" s="204">
        <f>SUMIFS('07_Cham_Cong_Tang_Ca'!$M:$M, '07_Cham_Cong_Tang_Ca'!$C:$C, $B12, '07_Cham_Cong_Tang_Ca'!$B:$B, $B$2&amp;"*")</f>
        <v/>
      </c>
      <c r="T12" s="204">
        <f>SUMIFS('07_Cham_Cong_Tang_Ca'!$N:$N, '07_Cham_Cong_Tang_Ca'!$C:$C, $B12, '07_Cham_Cong_Tang_Ca'!$B:$B, $B$2&amp;"*")</f>
        <v/>
      </c>
      <c r="U12" s="205">
        <f>ROUND((O12*1.5 + P12*2.0 + Q12*3.0 + R12*2.0 + S12*2.7 + T12*3.9) * (IFERROR(VLOOKUP(B12, '11_Master_Data'!$A$5:$D$19, 4, FALSE), 6000000) / 26 / 8), 0)</f>
        <v/>
      </c>
      <c r="V12" s="205">
        <f>SUMIFS('07_Cham_Cong_Tang_Ca'!$P:$P, '07_Cham_Cong_Tang_Ca'!$C:$C, $B12, '07_Cham_Cong_Tang_Ca'!$B:$B, $B$2&amp;"*")</f>
        <v/>
      </c>
      <c r="W12" s="205" t="n">
        <v>0</v>
      </c>
      <c r="X12" s="213">
        <f>L12+U12+V12-W12</f>
        <v/>
      </c>
      <c r="Y12" s="201">
        <f>IF(N12&gt;0, "ĐÃ ĐỒNG BỘ", "KHÔNG CÔNG")</f>
        <v/>
      </c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>
        <f>IF($H$2="ĐÃ KHÓA SỔ", "🔒 ĐÃ KHÓA SỔ", IF(L13&gt;0, "CHỜ KHÓA SỔ", "KỲ ĐANG MỞ"))</f>
        <v/>
      </c>
      <c r="N13" s="196">
        <f>SUMIFS('07_Cham_Cong_Tang_Ca'!$F:$F, '07_Cham_Cong_Tang_Ca'!$C:$C, $B13, '07_Cham_Cong_Tang_Ca'!$B:$B, $B$2&amp;"*")</f>
        <v/>
      </c>
      <c r="O13" s="196">
        <f>SUMIFS('07_Cham_Cong_Tang_Ca'!$H:$H, '07_Cham_Cong_Tang_Ca'!$C:$C, $B13, '07_Cham_Cong_Tang_Ca'!$B:$B, $B$2&amp;"*")</f>
        <v/>
      </c>
      <c r="P13" s="196">
        <f>SUMIFS('07_Cham_Cong_Tang_Ca'!$I:$I, '07_Cham_Cong_Tang_Ca'!$C:$C, $B13, '07_Cham_Cong_Tang_Ca'!$B:$B, $B$2&amp;"*")</f>
        <v/>
      </c>
      <c r="Q13" s="196">
        <f>SUMIFS('07_Cham_Cong_Tang_Ca'!$J:$J, '07_Cham_Cong_Tang_Ca'!$C:$C, $B13, '07_Cham_Cong_Tang_Ca'!$B:$B, $B$2&amp;"*")</f>
        <v/>
      </c>
      <c r="R13" s="197">
        <f>SUMIFS('07_Cham_Cong_Tang_Ca'!$L:$L, '07_Cham_Cong_Tang_Ca'!$C:$C, $B13, '07_Cham_Cong_Tang_Ca'!$B:$B, $B$2&amp;"*")</f>
        <v/>
      </c>
      <c r="S13" s="197">
        <f>SUMIFS('07_Cham_Cong_Tang_Ca'!$M:$M, '07_Cham_Cong_Tang_Ca'!$C:$C, $B13, '07_Cham_Cong_Tang_Ca'!$B:$B, $B$2&amp;"*")</f>
        <v/>
      </c>
      <c r="T13" s="197">
        <f>SUMIFS('07_Cham_Cong_Tang_Ca'!$N:$N, '07_Cham_Cong_Tang_Ca'!$C:$C, $B13, '07_Cham_Cong_Tang_Ca'!$B:$B, $B$2&amp;"*")</f>
        <v/>
      </c>
      <c r="U13" s="198">
        <f>ROUND((O13*1.5 + P13*2.0 + Q13*3.0 + R13*2.0 + S13*2.7 + T13*3.9) * (IFERROR(VLOOKUP(B13, '11_Master_Data'!$A$5:$D$19, 4, FALSE), 6000000) / 26 / 8), 0)</f>
        <v/>
      </c>
      <c r="V13" s="198">
        <f>SUMIFS('07_Cham_Cong_Tang_Ca'!$P:$P, '07_Cham_Cong_Tang_Ca'!$C:$C, $B13, '07_Cham_Cong_Tang_Ca'!$B:$B, $B$2&amp;"*")</f>
        <v/>
      </c>
      <c r="W13" s="198" t="n">
        <v>0</v>
      </c>
      <c r="X13" s="212">
        <f>L13+U13+V13-W13</f>
        <v/>
      </c>
      <c r="Y13" s="194">
        <f>IF(N13&gt;0, "ĐÃ ĐỒNG BỘ", "KHÔNG CÔNG")</f>
        <v/>
      </c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>
        <f>IF($H$2="ĐÃ KHÓA SỔ", "🔒 ĐÃ KHÓA SỔ", IF(L14&gt;0, "CHỜ KHÓA SỔ", "KỲ ĐANG MỞ"))</f>
        <v/>
      </c>
      <c r="N14" s="203">
        <f>SUMIFS('07_Cham_Cong_Tang_Ca'!$F:$F, '07_Cham_Cong_Tang_Ca'!$C:$C, $B14, '07_Cham_Cong_Tang_Ca'!$B:$B, $B$2&amp;"*")</f>
        <v/>
      </c>
      <c r="O14" s="203">
        <f>SUMIFS('07_Cham_Cong_Tang_Ca'!$H:$H, '07_Cham_Cong_Tang_Ca'!$C:$C, $B14, '07_Cham_Cong_Tang_Ca'!$B:$B, $B$2&amp;"*")</f>
        <v/>
      </c>
      <c r="P14" s="203">
        <f>SUMIFS('07_Cham_Cong_Tang_Ca'!$I:$I, '07_Cham_Cong_Tang_Ca'!$C:$C, $B14, '07_Cham_Cong_Tang_Ca'!$B:$B, $B$2&amp;"*")</f>
        <v/>
      </c>
      <c r="Q14" s="203">
        <f>SUMIFS('07_Cham_Cong_Tang_Ca'!$J:$J, '07_Cham_Cong_Tang_Ca'!$C:$C, $B14, '07_Cham_Cong_Tang_Ca'!$B:$B, $B$2&amp;"*")</f>
        <v/>
      </c>
      <c r="R14" s="204">
        <f>SUMIFS('07_Cham_Cong_Tang_Ca'!$L:$L, '07_Cham_Cong_Tang_Ca'!$C:$C, $B14, '07_Cham_Cong_Tang_Ca'!$B:$B, $B$2&amp;"*")</f>
        <v/>
      </c>
      <c r="S14" s="204">
        <f>SUMIFS('07_Cham_Cong_Tang_Ca'!$M:$M, '07_Cham_Cong_Tang_Ca'!$C:$C, $B14, '07_Cham_Cong_Tang_Ca'!$B:$B, $B$2&amp;"*")</f>
        <v/>
      </c>
      <c r="T14" s="204">
        <f>SUMIFS('07_Cham_Cong_Tang_Ca'!$N:$N, '07_Cham_Cong_Tang_Ca'!$C:$C, $B14, '07_Cham_Cong_Tang_Ca'!$B:$B, $B$2&amp;"*")</f>
        <v/>
      </c>
      <c r="U14" s="205">
        <f>ROUND((O14*1.5 + P14*2.0 + Q14*3.0 + R14*2.0 + S14*2.7 + T14*3.9) * (IFERROR(VLOOKUP(B14, '11_Master_Data'!$A$5:$D$19, 4, FALSE), 6000000) / 26 / 8), 0)</f>
        <v/>
      </c>
      <c r="V14" s="205">
        <f>SUMIFS('07_Cham_Cong_Tang_Ca'!$P:$P, '07_Cham_Cong_Tang_Ca'!$C:$C, $B14, '07_Cham_Cong_Tang_Ca'!$B:$B, $B$2&amp;"*")</f>
        <v/>
      </c>
      <c r="W14" s="205" t="n">
        <v>0</v>
      </c>
      <c r="X14" s="213">
        <f>L14+U14+V14-W14</f>
        <v/>
      </c>
      <c r="Y14" s="201">
        <f>IF(N14&gt;0, "ĐÃ ĐỒNG BỘ", "KHÔNG CÔNG")</f>
        <v/>
      </c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>
        <f>IF($H$2="ĐÃ KHÓA SỔ", "🔒 ĐÃ KHÓA SỔ", IF(L15&gt;0, "CHỜ KHÓA SỔ", "KỲ ĐANG MỞ"))</f>
        <v/>
      </c>
      <c r="N15" s="196">
        <f>SUMIFS('07_Cham_Cong_Tang_Ca'!$F:$F, '07_Cham_Cong_Tang_Ca'!$C:$C, $B15, '07_Cham_Cong_Tang_Ca'!$B:$B, $B$2&amp;"*")</f>
        <v/>
      </c>
      <c r="O15" s="196">
        <f>SUMIFS('07_Cham_Cong_Tang_Ca'!$H:$H, '07_Cham_Cong_Tang_Ca'!$C:$C, $B15, '07_Cham_Cong_Tang_Ca'!$B:$B, $B$2&amp;"*")</f>
        <v/>
      </c>
      <c r="P15" s="196">
        <f>SUMIFS('07_Cham_Cong_Tang_Ca'!$I:$I, '07_Cham_Cong_Tang_Ca'!$C:$C, $B15, '07_Cham_Cong_Tang_Ca'!$B:$B, $B$2&amp;"*")</f>
        <v/>
      </c>
      <c r="Q15" s="196">
        <f>SUMIFS('07_Cham_Cong_Tang_Ca'!$J:$J, '07_Cham_Cong_Tang_Ca'!$C:$C, $B15, '07_Cham_Cong_Tang_Ca'!$B:$B, $B$2&amp;"*")</f>
        <v/>
      </c>
      <c r="R15" s="197">
        <f>SUMIFS('07_Cham_Cong_Tang_Ca'!$L:$L, '07_Cham_Cong_Tang_Ca'!$C:$C, $B15, '07_Cham_Cong_Tang_Ca'!$B:$B, $B$2&amp;"*")</f>
        <v/>
      </c>
      <c r="S15" s="197">
        <f>SUMIFS('07_Cham_Cong_Tang_Ca'!$M:$M, '07_Cham_Cong_Tang_Ca'!$C:$C, $B15, '07_Cham_Cong_Tang_Ca'!$B:$B, $B$2&amp;"*")</f>
        <v/>
      </c>
      <c r="T15" s="197">
        <f>SUMIFS('07_Cham_Cong_Tang_Ca'!$N:$N, '07_Cham_Cong_Tang_Ca'!$C:$C, $B15, '07_Cham_Cong_Tang_Ca'!$B:$B, $B$2&amp;"*")</f>
        <v/>
      </c>
      <c r="U15" s="198">
        <f>ROUND((O15*1.5 + P15*2.0 + Q15*3.0 + R15*2.0 + S15*2.7 + T15*3.9) * (IFERROR(VLOOKUP(B15, '11_Master_Data'!$A$5:$D$19, 4, FALSE), 6000000) / 26 / 8), 0)</f>
        <v/>
      </c>
      <c r="V15" s="198">
        <f>SUMIFS('07_Cham_Cong_Tang_Ca'!$P:$P, '07_Cham_Cong_Tang_Ca'!$C:$C, $B15, '07_Cham_Cong_Tang_Ca'!$B:$B, $B$2&amp;"*")</f>
        <v/>
      </c>
      <c r="W15" s="198" t="n">
        <v>0</v>
      </c>
      <c r="X15" s="212">
        <f>L15+U15+V15-W15</f>
        <v/>
      </c>
      <c r="Y15" s="194">
        <f>IF(N15&gt;0, "ĐÃ ĐỒNG BỘ", "KHÔNG CÔNG")</f>
        <v/>
      </c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>
        <f>IF($H$2="ĐÃ KHÓA SỔ", "🔒 ĐÃ KHÓA SỔ", IF(L16&gt;0, "CHỜ KHÓA SỔ", "KỲ ĐANG MỞ"))</f>
        <v/>
      </c>
      <c r="N16" s="203">
        <f>SUMIFS('07_Cham_Cong_Tang_Ca'!$F:$F, '07_Cham_Cong_Tang_Ca'!$C:$C, $B16, '07_Cham_Cong_Tang_Ca'!$B:$B, $B$2&amp;"*")</f>
        <v/>
      </c>
      <c r="O16" s="203">
        <f>SUMIFS('07_Cham_Cong_Tang_Ca'!$H:$H, '07_Cham_Cong_Tang_Ca'!$C:$C, $B16, '07_Cham_Cong_Tang_Ca'!$B:$B, $B$2&amp;"*")</f>
        <v/>
      </c>
      <c r="P16" s="203">
        <f>SUMIFS('07_Cham_Cong_Tang_Ca'!$I:$I, '07_Cham_Cong_Tang_Ca'!$C:$C, $B16, '07_Cham_Cong_Tang_Ca'!$B:$B, $B$2&amp;"*")</f>
        <v/>
      </c>
      <c r="Q16" s="203">
        <f>SUMIFS('07_Cham_Cong_Tang_Ca'!$J:$J, '07_Cham_Cong_Tang_Ca'!$C:$C, $B16, '07_Cham_Cong_Tang_Ca'!$B:$B, $B$2&amp;"*")</f>
        <v/>
      </c>
      <c r="R16" s="204">
        <f>SUMIFS('07_Cham_Cong_Tang_Ca'!$L:$L, '07_Cham_Cong_Tang_Ca'!$C:$C, $B16, '07_Cham_Cong_Tang_Ca'!$B:$B, $B$2&amp;"*")</f>
        <v/>
      </c>
      <c r="S16" s="204">
        <f>SUMIFS('07_Cham_Cong_Tang_Ca'!$M:$M, '07_Cham_Cong_Tang_Ca'!$C:$C, $B16, '07_Cham_Cong_Tang_Ca'!$B:$B, $B$2&amp;"*")</f>
        <v/>
      </c>
      <c r="T16" s="204">
        <f>SUMIFS('07_Cham_Cong_Tang_Ca'!$N:$N, '07_Cham_Cong_Tang_Ca'!$C:$C, $B16, '07_Cham_Cong_Tang_Ca'!$B:$B, $B$2&amp;"*")</f>
        <v/>
      </c>
      <c r="U16" s="205">
        <f>ROUND((O16*1.5 + P16*2.0 + Q16*3.0 + R16*2.0 + S16*2.7 + T16*3.9) * (IFERROR(VLOOKUP(B16, '11_Master_Data'!$A$5:$D$19, 4, FALSE), 6000000) / 26 / 8), 0)</f>
        <v/>
      </c>
      <c r="V16" s="205">
        <f>SUMIFS('07_Cham_Cong_Tang_Ca'!$P:$P, '07_Cham_Cong_Tang_Ca'!$C:$C, $B16, '07_Cham_Cong_Tang_Ca'!$B:$B, $B$2&amp;"*")</f>
        <v/>
      </c>
      <c r="W16" s="205" t="n">
        <v>0</v>
      </c>
      <c r="X16" s="213">
        <f>L16+U16+V16-W16</f>
        <v/>
      </c>
      <c r="Y16" s="201">
        <f>IF(N16&gt;0, "ĐÃ ĐỒNG BỘ", "KHÔNG CÔNG")</f>
        <v/>
      </c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>
        <f>IF($H$2="ĐÃ KHÓA SỔ", "🔒 ĐÃ KHÓA SỔ", IF(L17&gt;0, "CHỜ KHÓA SỔ", "KỲ ĐANG MỞ"))</f>
        <v/>
      </c>
      <c r="N17" s="196">
        <f>SUMIFS('07_Cham_Cong_Tang_Ca'!$F:$F, '07_Cham_Cong_Tang_Ca'!$C:$C, $B17, '07_Cham_Cong_Tang_Ca'!$B:$B, $B$2&amp;"*")</f>
        <v/>
      </c>
      <c r="O17" s="196">
        <f>SUMIFS('07_Cham_Cong_Tang_Ca'!$H:$H, '07_Cham_Cong_Tang_Ca'!$C:$C, $B17, '07_Cham_Cong_Tang_Ca'!$B:$B, $B$2&amp;"*")</f>
        <v/>
      </c>
      <c r="P17" s="196">
        <f>SUMIFS('07_Cham_Cong_Tang_Ca'!$I:$I, '07_Cham_Cong_Tang_Ca'!$C:$C, $B17, '07_Cham_Cong_Tang_Ca'!$B:$B, $B$2&amp;"*")</f>
        <v/>
      </c>
      <c r="Q17" s="196">
        <f>SUMIFS('07_Cham_Cong_Tang_Ca'!$J:$J, '07_Cham_Cong_Tang_Ca'!$C:$C, $B17, '07_Cham_Cong_Tang_Ca'!$B:$B, $B$2&amp;"*")</f>
        <v/>
      </c>
      <c r="R17" s="197">
        <f>SUMIFS('07_Cham_Cong_Tang_Ca'!$L:$L, '07_Cham_Cong_Tang_Ca'!$C:$C, $B17, '07_Cham_Cong_Tang_Ca'!$B:$B, $B$2&amp;"*")</f>
        <v/>
      </c>
      <c r="S17" s="197">
        <f>SUMIFS('07_Cham_Cong_Tang_Ca'!$M:$M, '07_Cham_Cong_Tang_Ca'!$C:$C, $B17, '07_Cham_Cong_Tang_Ca'!$B:$B, $B$2&amp;"*")</f>
        <v/>
      </c>
      <c r="T17" s="197">
        <f>SUMIFS('07_Cham_Cong_Tang_Ca'!$N:$N, '07_Cham_Cong_Tang_Ca'!$C:$C, $B17, '07_Cham_Cong_Tang_Ca'!$B:$B, $B$2&amp;"*")</f>
        <v/>
      </c>
      <c r="U17" s="198">
        <f>ROUND((O17*1.5 + P17*2.0 + Q17*3.0 + R17*2.0 + S17*2.7 + T17*3.9) * (IFERROR(VLOOKUP(B17, '11_Master_Data'!$A$5:$D$19, 4, FALSE), 6000000) / 26 / 8), 0)</f>
        <v/>
      </c>
      <c r="V17" s="198">
        <f>SUMIFS('07_Cham_Cong_Tang_Ca'!$P:$P, '07_Cham_Cong_Tang_Ca'!$C:$C, $B17, '07_Cham_Cong_Tang_Ca'!$B:$B, $B$2&amp;"*")</f>
        <v/>
      </c>
      <c r="W17" s="198" t="n">
        <v>0</v>
      </c>
      <c r="X17" s="212">
        <f>L17+U17+V17-W17</f>
        <v/>
      </c>
      <c r="Y17" s="194">
        <f>IF(N17&gt;0, "ĐÃ ĐỒNG BỘ", "KHÔNG CÔNG")</f>
        <v/>
      </c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>
        <f>IF($H$2="ĐÃ KHÓA SỔ", "🔒 ĐÃ KHÓA SỔ", IF(L18&gt;0, "CHỜ KHÓA SỔ", "KỲ ĐANG MỞ"))</f>
        <v/>
      </c>
      <c r="N18" s="203">
        <f>SUMIFS('07_Cham_Cong_Tang_Ca'!$F:$F, '07_Cham_Cong_Tang_Ca'!$C:$C, $B18, '07_Cham_Cong_Tang_Ca'!$B:$B, $B$2&amp;"*")</f>
        <v/>
      </c>
      <c r="O18" s="203">
        <f>SUMIFS('07_Cham_Cong_Tang_Ca'!$H:$H, '07_Cham_Cong_Tang_Ca'!$C:$C, $B18, '07_Cham_Cong_Tang_Ca'!$B:$B, $B$2&amp;"*")</f>
        <v/>
      </c>
      <c r="P18" s="203">
        <f>SUMIFS('07_Cham_Cong_Tang_Ca'!$I:$I, '07_Cham_Cong_Tang_Ca'!$C:$C, $B18, '07_Cham_Cong_Tang_Ca'!$B:$B, $B$2&amp;"*")</f>
        <v/>
      </c>
      <c r="Q18" s="203">
        <f>SUMIFS('07_Cham_Cong_Tang_Ca'!$J:$J, '07_Cham_Cong_Tang_Ca'!$C:$C, $B18, '07_Cham_Cong_Tang_Ca'!$B:$B, $B$2&amp;"*")</f>
        <v/>
      </c>
      <c r="R18" s="204">
        <f>SUMIFS('07_Cham_Cong_Tang_Ca'!$L:$L, '07_Cham_Cong_Tang_Ca'!$C:$C, $B18, '07_Cham_Cong_Tang_Ca'!$B:$B, $B$2&amp;"*")</f>
        <v/>
      </c>
      <c r="S18" s="204">
        <f>SUMIFS('07_Cham_Cong_Tang_Ca'!$M:$M, '07_Cham_Cong_Tang_Ca'!$C:$C, $B18, '07_Cham_Cong_Tang_Ca'!$B:$B, $B$2&amp;"*")</f>
        <v/>
      </c>
      <c r="T18" s="204">
        <f>SUMIFS('07_Cham_Cong_Tang_Ca'!$N:$N, '07_Cham_Cong_Tang_Ca'!$C:$C, $B18, '07_Cham_Cong_Tang_Ca'!$B:$B, $B$2&amp;"*")</f>
        <v/>
      </c>
      <c r="U18" s="205">
        <f>ROUND((O18*1.5 + P18*2.0 + Q18*3.0 + R18*2.0 + S18*2.7 + T18*3.9) * (IFERROR(VLOOKUP(B18, '11_Master_Data'!$A$5:$D$19, 4, FALSE), 6000000) / 26 / 8), 0)</f>
        <v/>
      </c>
      <c r="V18" s="205">
        <f>SUMIFS('07_Cham_Cong_Tang_Ca'!$P:$P, '07_Cham_Cong_Tang_Ca'!$C:$C, $B18, '07_Cham_Cong_Tang_Ca'!$B:$B, $B$2&amp;"*")</f>
        <v/>
      </c>
      <c r="W18" s="205" t="n">
        <v>0</v>
      </c>
      <c r="X18" s="213">
        <f>L18+U18+V18-W18</f>
        <v/>
      </c>
      <c r="Y18" s="201">
        <f>IF(N18&gt;0, "ĐÃ ĐỒNG BỘ", "KHÔNG CÔNG")</f>
        <v/>
      </c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>
        <f>IF($H$2="ĐÃ KHÓA SỔ", "🔒 ĐÃ KHÓA SỔ", IF(L19&gt;0, "CHỜ KHÓA SỔ", "KỲ ĐANG MỞ"))</f>
        <v/>
      </c>
      <c r="N19" s="196">
        <f>SUMIFS('07_Cham_Cong_Tang_Ca'!$F:$F, '07_Cham_Cong_Tang_Ca'!$C:$C, $B19, '07_Cham_Cong_Tang_Ca'!$B:$B, $B$2&amp;"*")</f>
        <v/>
      </c>
      <c r="O19" s="196">
        <f>SUMIFS('07_Cham_Cong_Tang_Ca'!$H:$H, '07_Cham_Cong_Tang_Ca'!$C:$C, $B19, '07_Cham_Cong_Tang_Ca'!$B:$B, $B$2&amp;"*")</f>
        <v/>
      </c>
      <c r="P19" s="196">
        <f>SUMIFS('07_Cham_Cong_Tang_Ca'!$I:$I, '07_Cham_Cong_Tang_Ca'!$C:$C, $B19, '07_Cham_Cong_Tang_Ca'!$B:$B, $B$2&amp;"*")</f>
        <v/>
      </c>
      <c r="Q19" s="196">
        <f>SUMIFS('07_Cham_Cong_Tang_Ca'!$J:$J, '07_Cham_Cong_Tang_Ca'!$C:$C, $B19, '07_Cham_Cong_Tang_Ca'!$B:$B, $B$2&amp;"*")</f>
        <v/>
      </c>
      <c r="R19" s="197">
        <f>SUMIFS('07_Cham_Cong_Tang_Ca'!$L:$L, '07_Cham_Cong_Tang_Ca'!$C:$C, $B19, '07_Cham_Cong_Tang_Ca'!$B:$B, $B$2&amp;"*")</f>
        <v/>
      </c>
      <c r="S19" s="197">
        <f>SUMIFS('07_Cham_Cong_Tang_Ca'!$M:$M, '07_Cham_Cong_Tang_Ca'!$C:$C, $B19, '07_Cham_Cong_Tang_Ca'!$B:$B, $B$2&amp;"*")</f>
        <v/>
      </c>
      <c r="T19" s="197">
        <f>SUMIFS('07_Cham_Cong_Tang_Ca'!$N:$N, '07_Cham_Cong_Tang_Ca'!$C:$C, $B19, '07_Cham_Cong_Tang_Ca'!$B:$B, $B$2&amp;"*")</f>
        <v/>
      </c>
      <c r="U19" s="198">
        <f>ROUND((O19*1.5 + P19*2.0 + Q19*3.0 + R19*2.0 + S19*2.7 + T19*3.9) * (IFERROR(VLOOKUP(B19, '11_Master_Data'!$A$5:$D$19, 4, FALSE), 6000000) / 26 / 8), 0)</f>
        <v/>
      </c>
      <c r="V19" s="198">
        <f>SUMIFS('07_Cham_Cong_Tang_Ca'!$P:$P, '07_Cham_Cong_Tang_Ca'!$C:$C, $B19, '07_Cham_Cong_Tang_Ca'!$B:$B, $B$2&amp;"*")</f>
        <v/>
      </c>
      <c r="W19" s="198" t="n">
        <v>0</v>
      </c>
      <c r="X19" s="212">
        <f>L19+U19+V19-W19</f>
        <v/>
      </c>
      <c r="Y19" s="194">
        <f>IF(N19&gt;0, "ĐÃ ĐỒNG BỘ", "KHÔNG CÔNG")</f>
        <v/>
      </c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>
        <f>SUM(E5:E19)</f>
        <v/>
      </c>
      <c r="F20" s="141">
        <f>SUM(F5:F19)</f>
        <v/>
      </c>
      <c r="G20" s="142">
        <f>SUM(G5:G19)</f>
        <v/>
      </c>
      <c r="H20" s="142">
        <f>SUM(H5:H19)</f>
        <v/>
      </c>
      <c r="I20" s="142">
        <f>SUM(I5:I19)</f>
        <v/>
      </c>
      <c r="J20" s="142">
        <f>SUM(J5:J19)</f>
        <v/>
      </c>
      <c r="K20" s="142">
        <f>SUM(K5:K19)</f>
        <v/>
      </c>
      <c r="L20" s="142">
        <f>SUM(L5:L19)</f>
        <v/>
      </c>
      <c r="M20" s="138" t="inlineStr">
        <is>
          <t>🔒 KHỚP 100% KỲ ĐÃ KHÓA</t>
        </is>
      </c>
      <c r="N20" s="214">
        <f>SUM(N5:N19)</f>
        <v/>
      </c>
      <c r="O20" s="214">
        <f>SUM(O5:O19)</f>
        <v/>
      </c>
      <c r="P20" s="214">
        <f>SUM(P5:P19)</f>
        <v/>
      </c>
      <c r="Q20" s="214">
        <f>SUM(Q5:Q19)</f>
        <v/>
      </c>
      <c r="R20" s="214">
        <f>SUM(R5:R19)</f>
        <v/>
      </c>
      <c r="S20" s="214">
        <f>SUM(S5:S19)</f>
        <v/>
      </c>
      <c r="T20" s="214">
        <f>SUM(T5:T19)</f>
        <v/>
      </c>
      <c r="U20" s="215">
        <f>SUM(U5:U19)</f>
        <v/>
      </c>
      <c r="V20" s="215">
        <f>SUM(V5:V19)</f>
        <v/>
      </c>
      <c r="W20" s="215">
        <f>SUM(W5:W19)</f>
        <v/>
      </c>
      <c r="X20" s="215">
        <f>SUM(X5:X19)</f>
        <v/>
      </c>
      <c r="Y20" s="216" t="inlineStr">
        <is>
          <t>HOÀN TẤT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2026-09-15T07:26:59Z</dcterms:modified>
  <cp:lastModifiedBy>Hoang Ha</cp:lastModifiedBy>
</cp:coreProperties>
</file>