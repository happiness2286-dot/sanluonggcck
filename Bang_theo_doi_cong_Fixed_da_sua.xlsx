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ONG BO\New Ha GCCK\Năm 2026\Dự Án AI_ Antigravity\BangChamCong\"/>
    </mc:Choice>
  </mc:AlternateContent>
  <xr:revisionPtr revIDLastSave="0" documentId="13_ncr:1_{72564271-1F2F-4FB2-B598-0FCAB1E43ADF}" xr6:coauthVersionLast="47" xr6:coauthVersionMax="47" xr10:uidLastSave="{00000000-0000-0000-0000-000000000000}"/>
  <bookViews>
    <workbookView xWindow="-120" yWindow="-120" windowWidth="29040" windowHeight="15840" tabRatio="866" activeTab="7" xr2:uid="{00000000-000D-0000-FFFF-FFFF00000000}"/>
  </bookViews>
  <sheets>
    <sheet name="T1" sheetId="1" r:id="rId1"/>
    <sheet name="T2" sheetId="2" r:id="rId2"/>
    <sheet name="T3" sheetId="3" r:id="rId3"/>
    <sheet name="T4" sheetId="4" r:id="rId4"/>
    <sheet name="T5" sheetId="5" r:id="rId5"/>
    <sheet name="T6" sheetId="6" r:id="rId6"/>
    <sheet name="T7" sheetId="7" r:id="rId7"/>
    <sheet name="T8" sheetId="8" r:id="rId8"/>
    <sheet name="T9" sheetId="9" r:id="rId9"/>
    <sheet name="T10" sheetId="10" r:id="rId10"/>
    <sheet name="T11" sheetId="11" r:id="rId11"/>
    <sheet name="T12" sheetId="12" r:id="rId12"/>
    <sheet name="BC_T1" sheetId="13" r:id="rId13"/>
    <sheet name="BC_T2" sheetId="14" r:id="rId14"/>
    <sheet name="BC_T3" sheetId="15" r:id="rId15"/>
    <sheet name="BC_T4" sheetId="16" r:id="rId16"/>
    <sheet name="BC_T5" sheetId="17" r:id="rId17"/>
    <sheet name="BC_T6" sheetId="18" r:id="rId18"/>
    <sheet name="BC_T7" sheetId="19" r:id="rId19"/>
    <sheet name="BC_T8" sheetId="20" r:id="rId20"/>
    <sheet name="BC_T9" sheetId="21" r:id="rId21"/>
    <sheet name="BC_T10" sheetId="22" r:id="rId22"/>
    <sheet name="BC_T11" sheetId="23" r:id="rId23"/>
    <sheet name="BC_T12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4" l="1"/>
  <c r="H12" i="24"/>
  <c r="I12" i="24" s="1"/>
  <c r="G12" i="24"/>
  <c r="E12" i="24"/>
  <c r="D12" i="24"/>
  <c r="J11" i="24"/>
  <c r="H11" i="24"/>
  <c r="I11" i="24" s="1"/>
  <c r="G11" i="24"/>
  <c r="E11" i="24"/>
  <c r="D11" i="24"/>
  <c r="J10" i="24"/>
  <c r="H10" i="24"/>
  <c r="I10" i="24" s="1"/>
  <c r="G10" i="24"/>
  <c r="E10" i="24"/>
  <c r="D10" i="24"/>
  <c r="J9" i="24"/>
  <c r="H9" i="24"/>
  <c r="I9" i="24" s="1"/>
  <c r="G9" i="24"/>
  <c r="E9" i="24"/>
  <c r="D9" i="24"/>
  <c r="J8" i="24"/>
  <c r="H8" i="24"/>
  <c r="I8" i="24" s="1"/>
  <c r="G8" i="24"/>
  <c r="E8" i="24"/>
  <c r="D8" i="24"/>
  <c r="I5" i="24"/>
  <c r="G5" i="24"/>
  <c r="E5" i="24"/>
  <c r="J11" i="23"/>
  <c r="H11" i="23"/>
  <c r="I11" i="23" s="1"/>
  <c r="G11" i="23"/>
  <c r="E11" i="23"/>
  <c r="D11" i="23"/>
  <c r="J10" i="23"/>
  <c r="H10" i="23"/>
  <c r="I10" i="23" s="1"/>
  <c r="G10" i="23"/>
  <c r="E10" i="23"/>
  <c r="D10" i="23"/>
  <c r="J9" i="23"/>
  <c r="H9" i="23"/>
  <c r="I9" i="23" s="1"/>
  <c r="G9" i="23"/>
  <c r="E9" i="23"/>
  <c r="D9" i="23"/>
  <c r="J8" i="23"/>
  <c r="H8" i="23"/>
  <c r="I8" i="23" s="1"/>
  <c r="G8" i="23"/>
  <c r="E8" i="23"/>
  <c r="D8" i="23"/>
  <c r="I5" i="23"/>
  <c r="G5" i="23"/>
  <c r="E5" i="23"/>
  <c r="J11" i="22"/>
  <c r="H11" i="22"/>
  <c r="I11" i="22" s="1"/>
  <c r="G11" i="22"/>
  <c r="E11" i="22"/>
  <c r="D11" i="22"/>
  <c r="J10" i="22"/>
  <c r="H10" i="22"/>
  <c r="I10" i="22" s="1"/>
  <c r="G10" i="22"/>
  <c r="E10" i="22"/>
  <c r="D10" i="22"/>
  <c r="J9" i="22"/>
  <c r="H9" i="22"/>
  <c r="I9" i="22" s="1"/>
  <c r="G9" i="22"/>
  <c r="E9" i="22"/>
  <c r="D9" i="22"/>
  <c r="J8" i="22"/>
  <c r="H8" i="22"/>
  <c r="I8" i="22" s="1"/>
  <c r="G8" i="22"/>
  <c r="E8" i="22"/>
  <c r="D8" i="22"/>
  <c r="I5" i="22"/>
  <c r="G5" i="22"/>
  <c r="E5" i="22"/>
  <c r="J12" i="21"/>
  <c r="H12" i="21"/>
  <c r="I12" i="21" s="1"/>
  <c r="G12" i="21"/>
  <c r="E12" i="21"/>
  <c r="D12" i="21"/>
  <c r="J11" i="21"/>
  <c r="H11" i="21"/>
  <c r="I11" i="21" s="1"/>
  <c r="G11" i="21"/>
  <c r="E11" i="21"/>
  <c r="D11" i="21"/>
  <c r="J10" i="21"/>
  <c r="H10" i="21"/>
  <c r="I10" i="21" s="1"/>
  <c r="G10" i="21"/>
  <c r="E10" i="21"/>
  <c r="D10" i="21"/>
  <c r="J9" i="21"/>
  <c r="H9" i="21"/>
  <c r="I9" i="21" s="1"/>
  <c r="G9" i="21"/>
  <c r="E9" i="21"/>
  <c r="D9" i="21"/>
  <c r="J8" i="21"/>
  <c r="H8" i="21"/>
  <c r="I8" i="21" s="1"/>
  <c r="G8" i="21"/>
  <c r="E8" i="21"/>
  <c r="D8" i="21"/>
  <c r="I5" i="21"/>
  <c r="G5" i="21"/>
  <c r="E5" i="21"/>
  <c r="J11" i="20"/>
  <c r="H11" i="20"/>
  <c r="I11" i="20" s="1"/>
  <c r="G11" i="20"/>
  <c r="E11" i="20"/>
  <c r="D11" i="20"/>
  <c r="J10" i="20"/>
  <c r="H10" i="20"/>
  <c r="I10" i="20" s="1"/>
  <c r="G10" i="20"/>
  <c r="E10" i="20"/>
  <c r="D10" i="20"/>
  <c r="J9" i="20"/>
  <c r="H9" i="20"/>
  <c r="I9" i="20" s="1"/>
  <c r="G9" i="20"/>
  <c r="E9" i="20"/>
  <c r="D9" i="20"/>
  <c r="J8" i="20"/>
  <c r="H8" i="20"/>
  <c r="I8" i="20" s="1"/>
  <c r="G8" i="20"/>
  <c r="E8" i="20"/>
  <c r="D8" i="20"/>
  <c r="I5" i="20"/>
  <c r="G5" i="20"/>
  <c r="E5" i="20"/>
  <c r="J12" i="19"/>
  <c r="H12" i="19"/>
  <c r="I12" i="19" s="1"/>
  <c r="G12" i="19"/>
  <c r="E12" i="19"/>
  <c r="D12" i="19"/>
  <c r="J11" i="19"/>
  <c r="H11" i="19"/>
  <c r="I11" i="19" s="1"/>
  <c r="G11" i="19"/>
  <c r="E11" i="19"/>
  <c r="D11" i="19"/>
  <c r="J10" i="19"/>
  <c r="H10" i="19"/>
  <c r="I10" i="19" s="1"/>
  <c r="G10" i="19"/>
  <c r="E10" i="19"/>
  <c r="D10" i="19"/>
  <c r="J9" i="19"/>
  <c r="H9" i="19"/>
  <c r="I9" i="19" s="1"/>
  <c r="G9" i="19"/>
  <c r="E9" i="19"/>
  <c r="D9" i="19"/>
  <c r="J8" i="19"/>
  <c r="H8" i="19"/>
  <c r="G8" i="19"/>
  <c r="E8" i="19"/>
  <c r="D8" i="19"/>
  <c r="I5" i="19"/>
  <c r="G5" i="19"/>
  <c r="E5" i="19"/>
  <c r="J11" i="18"/>
  <c r="H11" i="18"/>
  <c r="I11" i="18" s="1"/>
  <c r="G11" i="18"/>
  <c r="E11" i="18"/>
  <c r="D11" i="18"/>
  <c r="J10" i="18"/>
  <c r="H10" i="18"/>
  <c r="I10" i="18" s="1"/>
  <c r="G10" i="18"/>
  <c r="E10" i="18"/>
  <c r="D10" i="18"/>
  <c r="J9" i="18"/>
  <c r="H9" i="18"/>
  <c r="I9" i="18" s="1"/>
  <c r="G9" i="18"/>
  <c r="E9" i="18"/>
  <c r="D9" i="18"/>
  <c r="J8" i="18"/>
  <c r="H8" i="18"/>
  <c r="I8" i="18" s="1"/>
  <c r="G8" i="18"/>
  <c r="E8" i="18"/>
  <c r="D8" i="18"/>
  <c r="I5" i="18"/>
  <c r="G5" i="18"/>
  <c r="E5" i="18"/>
  <c r="J11" i="17"/>
  <c r="H11" i="17"/>
  <c r="I11" i="17" s="1"/>
  <c r="G11" i="17"/>
  <c r="E11" i="17"/>
  <c r="D11" i="17"/>
  <c r="J10" i="17"/>
  <c r="H10" i="17"/>
  <c r="I10" i="17" s="1"/>
  <c r="G10" i="17"/>
  <c r="E10" i="17"/>
  <c r="D10" i="17"/>
  <c r="J9" i="17"/>
  <c r="H9" i="17"/>
  <c r="I9" i="17" s="1"/>
  <c r="G9" i="17"/>
  <c r="E9" i="17"/>
  <c r="D9" i="17"/>
  <c r="J8" i="17"/>
  <c r="H8" i="17"/>
  <c r="G8" i="17"/>
  <c r="E8" i="17"/>
  <c r="D8" i="17"/>
  <c r="I5" i="17"/>
  <c r="G5" i="17"/>
  <c r="E5" i="17"/>
  <c r="J12" i="16"/>
  <c r="H12" i="16"/>
  <c r="I12" i="16" s="1"/>
  <c r="G12" i="16"/>
  <c r="E12" i="16"/>
  <c r="D12" i="16"/>
  <c r="J11" i="16"/>
  <c r="H11" i="16"/>
  <c r="I11" i="16" s="1"/>
  <c r="G11" i="16"/>
  <c r="E11" i="16"/>
  <c r="D11" i="16"/>
  <c r="J10" i="16"/>
  <c r="H10" i="16"/>
  <c r="I10" i="16" s="1"/>
  <c r="G10" i="16"/>
  <c r="E10" i="16"/>
  <c r="D10" i="16"/>
  <c r="J9" i="16"/>
  <c r="H9" i="16"/>
  <c r="I9" i="16" s="1"/>
  <c r="G9" i="16"/>
  <c r="E9" i="16"/>
  <c r="D9" i="16"/>
  <c r="J8" i="16"/>
  <c r="H8" i="16"/>
  <c r="G8" i="16"/>
  <c r="E8" i="16"/>
  <c r="D8" i="16"/>
  <c r="I5" i="16"/>
  <c r="G5" i="16"/>
  <c r="E5" i="16"/>
  <c r="J11" i="15"/>
  <c r="H11" i="15"/>
  <c r="I11" i="15" s="1"/>
  <c r="G11" i="15"/>
  <c r="E11" i="15"/>
  <c r="D11" i="15"/>
  <c r="J10" i="15"/>
  <c r="H10" i="15"/>
  <c r="I10" i="15" s="1"/>
  <c r="G10" i="15"/>
  <c r="E10" i="15"/>
  <c r="D10" i="15"/>
  <c r="J9" i="15"/>
  <c r="H9" i="15"/>
  <c r="I9" i="15" s="1"/>
  <c r="G9" i="15"/>
  <c r="E9" i="15"/>
  <c r="D9" i="15"/>
  <c r="I5" i="15"/>
  <c r="G5" i="15"/>
  <c r="E5" i="15"/>
  <c r="I5" i="14"/>
  <c r="J11" i="13"/>
  <c r="H11" i="13"/>
  <c r="I11" i="13" s="1"/>
  <c r="G11" i="13"/>
  <c r="E11" i="13"/>
  <c r="D11" i="13"/>
  <c r="J10" i="13"/>
  <c r="H10" i="13"/>
  <c r="I10" i="13" s="1"/>
  <c r="G10" i="13"/>
  <c r="E10" i="13"/>
  <c r="D10" i="13"/>
  <c r="J9" i="13"/>
  <c r="H9" i="13"/>
  <c r="I9" i="13" s="1"/>
  <c r="G9" i="13"/>
  <c r="E9" i="13"/>
  <c r="D9" i="13"/>
  <c r="J8" i="13"/>
  <c r="H8" i="13"/>
  <c r="I8" i="13" s="1"/>
  <c r="G8" i="13"/>
  <c r="E8" i="13"/>
  <c r="D8" i="13"/>
  <c r="I5" i="13"/>
  <c r="G5" i="13"/>
  <c r="E5" i="13"/>
  <c r="AJ126" i="12"/>
  <c r="AI126" i="12"/>
  <c r="AJ125" i="12"/>
  <c r="AI125" i="12"/>
  <c r="AJ124" i="12"/>
  <c r="AI124" i="12"/>
  <c r="AJ123" i="12"/>
  <c r="AI123" i="12"/>
  <c r="AJ122" i="12"/>
  <c r="AI122" i="12"/>
  <c r="AJ121" i="12"/>
  <c r="AI121" i="12"/>
  <c r="AJ120" i="12"/>
  <c r="AI120" i="12"/>
  <c r="AJ119" i="12"/>
  <c r="AI119" i="12"/>
  <c r="AJ118" i="12"/>
  <c r="AI118" i="12"/>
  <c r="AJ117" i="12"/>
  <c r="AI117" i="12"/>
  <c r="AJ116" i="12"/>
  <c r="AI116" i="12"/>
  <c r="AJ115" i="12"/>
  <c r="AI115" i="12"/>
  <c r="AJ114" i="12"/>
  <c r="AI114" i="12"/>
  <c r="AJ113" i="12"/>
  <c r="AI113" i="12"/>
  <c r="AJ112" i="12"/>
  <c r="AI112" i="12"/>
  <c r="AJ111" i="12"/>
  <c r="AI111" i="12"/>
  <c r="AJ110" i="12"/>
  <c r="AI110" i="12"/>
  <c r="AJ109" i="12"/>
  <c r="AI109" i="12"/>
  <c r="AJ108" i="12"/>
  <c r="AI108" i="12"/>
  <c r="AJ107" i="12"/>
  <c r="AI107" i="12"/>
  <c r="AJ106" i="12"/>
  <c r="AI106" i="12"/>
  <c r="AJ105" i="12"/>
  <c r="AI105" i="12"/>
  <c r="AJ104" i="12"/>
  <c r="AI104" i="12"/>
  <c r="AJ103" i="12"/>
  <c r="AI103" i="12"/>
  <c r="AJ102" i="12"/>
  <c r="AI102" i="12"/>
  <c r="AJ101" i="12"/>
  <c r="AI101" i="12"/>
  <c r="AJ100" i="12"/>
  <c r="AI100" i="12"/>
  <c r="AJ99" i="12"/>
  <c r="AI99" i="12"/>
  <c r="AJ98" i="12"/>
  <c r="AI98" i="12"/>
  <c r="AJ97" i="12"/>
  <c r="AI97" i="12"/>
  <c r="AJ96" i="12"/>
  <c r="AI96" i="12"/>
  <c r="AJ95" i="12"/>
  <c r="AI95" i="12"/>
  <c r="AJ94" i="12"/>
  <c r="AI94" i="12"/>
  <c r="AJ93" i="12"/>
  <c r="AI93" i="12"/>
  <c r="AJ92" i="12"/>
  <c r="AI92" i="12"/>
  <c r="AJ91" i="12"/>
  <c r="AI91" i="12"/>
  <c r="AJ90" i="12"/>
  <c r="AI90" i="12"/>
  <c r="AJ89" i="12"/>
  <c r="AI89" i="12"/>
  <c r="AJ88" i="12"/>
  <c r="AI88" i="12"/>
  <c r="AJ87" i="12"/>
  <c r="AI87" i="12"/>
  <c r="AJ86" i="12"/>
  <c r="AI86" i="12"/>
  <c r="AJ85" i="12"/>
  <c r="AI85" i="12"/>
  <c r="AJ84" i="12"/>
  <c r="AI84" i="12"/>
  <c r="AI83" i="12"/>
  <c r="AK83" i="12" s="1"/>
  <c r="AJ82" i="12"/>
  <c r="AI82" i="12"/>
  <c r="AJ81" i="12"/>
  <c r="AI81" i="12"/>
  <c r="AJ80" i="12"/>
  <c r="AI80" i="12"/>
  <c r="AJ79" i="12"/>
  <c r="AI79" i="12"/>
  <c r="AJ78" i="12"/>
  <c r="AI78" i="12"/>
  <c r="AJ77" i="12"/>
  <c r="AI77" i="12"/>
  <c r="AJ76" i="12"/>
  <c r="AI76" i="12"/>
  <c r="AJ75" i="12"/>
  <c r="AI75" i="12"/>
  <c r="D74" i="12"/>
  <c r="E74" i="12" s="1"/>
  <c r="F74" i="12" s="1"/>
  <c r="G74" i="12" s="1"/>
  <c r="H74" i="12" s="1"/>
  <c r="I74" i="12" s="1"/>
  <c r="J74" i="12" s="1"/>
  <c r="K74" i="12" s="1"/>
  <c r="L74" i="12" s="1"/>
  <c r="M74" i="12" s="1"/>
  <c r="N74" i="12" s="1"/>
  <c r="O74" i="12" s="1"/>
  <c r="P74" i="12" s="1"/>
  <c r="Q74" i="12" s="1"/>
  <c r="R74" i="12" s="1"/>
  <c r="S74" i="12" s="1"/>
  <c r="T74" i="12" s="1"/>
  <c r="U74" i="12" s="1"/>
  <c r="V74" i="12" s="1"/>
  <c r="W74" i="12" s="1"/>
  <c r="X74" i="12" s="1"/>
  <c r="Y74" i="12" s="1"/>
  <c r="Z74" i="12" s="1"/>
  <c r="AA74" i="12" s="1"/>
  <c r="AB74" i="12" s="1"/>
  <c r="AC74" i="12" s="1"/>
  <c r="AD74" i="12" s="1"/>
  <c r="AE74" i="12" s="1"/>
  <c r="AF74" i="12" s="1"/>
  <c r="AG74" i="12" s="1"/>
  <c r="AH74" i="12" s="1"/>
  <c r="AK68" i="12"/>
  <c r="AJ68" i="12"/>
  <c r="AI68" i="12"/>
  <c r="AJ67" i="12"/>
  <c r="AI67" i="12"/>
  <c r="AJ66" i="12"/>
  <c r="AI66" i="12"/>
  <c r="AJ65" i="12"/>
  <c r="AI65" i="12"/>
  <c r="AJ64" i="12"/>
  <c r="AI64" i="12"/>
  <c r="AK63" i="12"/>
  <c r="AJ63" i="12"/>
  <c r="AI63" i="12"/>
  <c r="AJ62" i="12"/>
  <c r="AI62" i="12"/>
  <c r="AJ61" i="12"/>
  <c r="AI61" i="12"/>
  <c r="AJ60" i="12"/>
  <c r="AI60" i="12"/>
  <c r="AJ59" i="12"/>
  <c r="AI59" i="12"/>
  <c r="AK58" i="12"/>
  <c r="AJ58" i="12"/>
  <c r="AI58" i="12"/>
  <c r="AJ57" i="12"/>
  <c r="AI57" i="12"/>
  <c r="AJ56" i="12"/>
  <c r="AI56" i="12"/>
  <c r="AJ55" i="12"/>
  <c r="AI55" i="12"/>
  <c r="AJ54" i="12"/>
  <c r="AI54" i="12"/>
  <c r="AK53" i="12"/>
  <c r="AJ53" i="12"/>
  <c r="AI53" i="12"/>
  <c r="AJ52" i="12"/>
  <c r="AI52" i="12"/>
  <c r="AJ51" i="12"/>
  <c r="AI51" i="12"/>
  <c r="AJ50" i="12"/>
  <c r="AI50" i="12"/>
  <c r="AJ49" i="12"/>
  <c r="AI49" i="12"/>
  <c r="AK48" i="12"/>
  <c r="AJ48" i="12"/>
  <c r="AI48" i="12"/>
  <c r="AJ47" i="12"/>
  <c r="AI47" i="12"/>
  <c r="AJ46" i="12"/>
  <c r="AI46" i="12"/>
  <c r="AJ45" i="12"/>
  <c r="AI45" i="12"/>
  <c r="AJ44" i="12"/>
  <c r="AI44" i="12"/>
  <c r="AK43" i="12"/>
  <c r="AJ43" i="12"/>
  <c r="AI43" i="12"/>
  <c r="AJ42" i="12"/>
  <c r="AI42" i="12"/>
  <c r="AJ41" i="12"/>
  <c r="AI41" i="12"/>
  <c r="AJ40" i="12"/>
  <c r="AI40" i="12"/>
  <c r="AJ39" i="12"/>
  <c r="AI39" i="12"/>
  <c r="AK38" i="12"/>
  <c r="AJ38" i="12"/>
  <c r="AI38" i="12"/>
  <c r="AJ37" i="12"/>
  <c r="AI37" i="12"/>
  <c r="AJ36" i="12"/>
  <c r="AI36" i="12"/>
  <c r="AJ35" i="12"/>
  <c r="AI35" i="12"/>
  <c r="AJ34" i="12"/>
  <c r="AI34" i="12"/>
  <c r="AK33" i="12"/>
  <c r="AJ33" i="12"/>
  <c r="AI33" i="12"/>
  <c r="AJ32" i="12"/>
  <c r="AI32" i="12"/>
  <c r="AJ31" i="12"/>
  <c r="AI31" i="12"/>
  <c r="AJ30" i="12"/>
  <c r="AI30" i="12"/>
  <c r="AJ29" i="12"/>
  <c r="AI29" i="12"/>
  <c r="AK28" i="12"/>
  <c r="AJ28" i="12"/>
  <c r="AI28" i="12"/>
  <c r="AJ27" i="12"/>
  <c r="AI27" i="12"/>
  <c r="AJ26" i="12"/>
  <c r="AI26" i="12"/>
  <c r="AJ25" i="12"/>
  <c r="AI25" i="12"/>
  <c r="AJ24" i="12"/>
  <c r="AI24" i="12"/>
  <c r="AK23" i="12"/>
  <c r="AJ23" i="12"/>
  <c r="AI23" i="12"/>
  <c r="AJ22" i="12"/>
  <c r="AI22" i="12"/>
  <c r="AJ21" i="12"/>
  <c r="AI21" i="12"/>
  <c r="AJ20" i="12"/>
  <c r="AI20" i="12"/>
  <c r="AJ19" i="12"/>
  <c r="AI19" i="12"/>
  <c r="AK18" i="12"/>
  <c r="AJ18" i="12"/>
  <c r="AI18" i="12"/>
  <c r="AJ17" i="12"/>
  <c r="AI17" i="12"/>
  <c r="AJ16" i="12"/>
  <c r="AI16" i="12"/>
  <c r="AJ15" i="12"/>
  <c r="AI15" i="12"/>
  <c r="AJ14" i="12"/>
  <c r="AI14" i="12"/>
  <c r="AK13" i="12"/>
  <c r="AJ13" i="12"/>
  <c r="AI13" i="12"/>
  <c r="AJ12" i="12"/>
  <c r="AI12" i="12"/>
  <c r="AJ11" i="12"/>
  <c r="AI11" i="12"/>
  <c r="AJ10" i="12"/>
  <c r="AI10" i="12"/>
  <c r="AJ9" i="12"/>
  <c r="AI9" i="12"/>
  <c r="AK8" i="12"/>
  <c r="AJ8" i="12"/>
  <c r="AI8" i="12"/>
  <c r="AJ7" i="12"/>
  <c r="AI7" i="12"/>
  <c r="AJ6" i="12"/>
  <c r="AI6" i="12"/>
  <c r="AJ5" i="12"/>
  <c r="AI5" i="12"/>
  <c r="AJ4" i="12"/>
  <c r="AI4" i="12"/>
  <c r="F3" i="12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AG3" i="12" s="1"/>
  <c r="AH3" i="12" s="1"/>
  <c r="AJ126" i="11"/>
  <c r="AI126" i="11"/>
  <c r="AJ125" i="11"/>
  <c r="AI125" i="11"/>
  <c r="AJ124" i="11"/>
  <c r="AI124" i="11"/>
  <c r="AJ123" i="11"/>
  <c r="AI123" i="11"/>
  <c r="AJ122" i="11"/>
  <c r="AI122" i="11"/>
  <c r="AJ121" i="11"/>
  <c r="AI121" i="11"/>
  <c r="AJ120" i="11"/>
  <c r="AI120" i="11"/>
  <c r="AJ119" i="11"/>
  <c r="AI119" i="11"/>
  <c r="AJ118" i="11"/>
  <c r="AI118" i="11"/>
  <c r="AJ117" i="11"/>
  <c r="AI117" i="11"/>
  <c r="AJ116" i="11"/>
  <c r="AI116" i="11"/>
  <c r="AJ115" i="11"/>
  <c r="AI115" i="11"/>
  <c r="AJ114" i="11"/>
  <c r="AI114" i="11"/>
  <c r="AJ113" i="11"/>
  <c r="AI113" i="11"/>
  <c r="AJ112" i="11"/>
  <c r="AI112" i="11"/>
  <c r="AJ111" i="11"/>
  <c r="AI111" i="11"/>
  <c r="AJ110" i="11"/>
  <c r="AI110" i="11"/>
  <c r="AJ109" i="11"/>
  <c r="AI109" i="11"/>
  <c r="AJ108" i="11"/>
  <c r="AI108" i="11"/>
  <c r="AJ107" i="11"/>
  <c r="AI107" i="11"/>
  <c r="AJ106" i="11"/>
  <c r="AI106" i="11"/>
  <c r="AJ105" i="11"/>
  <c r="AI105" i="11"/>
  <c r="AJ104" i="11"/>
  <c r="AI104" i="11"/>
  <c r="AJ103" i="11"/>
  <c r="AI103" i="11"/>
  <c r="AJ102" i="11"/>
  <c r="AI102" i="11"/>
  <c r="AJ101" i="11"/>
  <c r="AI101" i="11"/>
  <c r="AJ100" i="11"/>
  <c r="AI100" i="11"/>
  <c r="AJ99" i="11"/>
  <c r="AI99" i="11"/>
  <c r="AJ98" i="11"/>
  <c r="AI98" i="11"/>
  <c r="AJ97" i="11"/>
  <c r="AI97" i="11"/>
  <c r="AJ96" i="11"/>
  <c r="AI96" i="11"/>
  <c r="AJ95" i="11"/>
  <c r="AI95" i="11"/>
  <c r="AJ94" i="11"/>
  <c r="AI94" i="11"/>
  <c r="AJ93" i="11"/>
  <c r="AI93" i="11"/>
  <c r="AJ92" i="11"/>
  <c r="AI92" i="11"/>
  <c r="AJ91" i="11"/>
  <c r="AI91" i="11"/>
  <c r="AJ90" i="11"/>
  <c r="AI90" i="11"/>
  <c r="AJ89" i="11"/>
  <c r="AI89" i="11"/>
  <c r="AJ88" i="11"/>
  <c r="AI88" i="11"/>
  <c r="AJ87" i="11"/>
  <c r="AI87" i="11"/>
  <c r="AJ86" i="11"/>
  <c r="AI86" i="11"/>
  <c r="AJ85" i="11"/>
  <c r="AI85" i="11"/>
  <c r="AJ84" i="11"/>
  <c r="AI84" i="11"/>
  <c r="AI83" i="11"/>
  <c r="AK83" i="11" s="1"/>
  <c r="AJ82" i="11"/>
  <c r="AI82" i="11"/>
  <c r="AJ81" i="11"/>
  <c r="AI81" i="11"/>
  <c r="AJ80" i="11"/>
  <c r="AI80" i="11"/>
  <c r="AJ79" i="11"/>
  <c r="AI79" i="11"/>
  <c r="AJ78" i="11"/>
  <c r="AI78" i="11"/>
  <c r="AJ77" i="11"/>
  <c r="AI77" i="11"/>
  <c r="AJ76" i="11"/>
  <c r="AI76" i="11"/>
  <c r="AJ75" i="11"/>
  <c r="AI75" i="11"/>
  <c r="D74" i="11"/>
  <c r="E74" i="11" s="1"/>
  <c r="F74" i="11" s="1"/>
  <c r="G74" i="11" s="1"/>
  <c r="H74" i="11" s="1"/>
  <c r="I74" i="11" s="1"/>
  <c r="J74" i="11" s="1"/>
  <c r="K74" i="11" s="1"/>
  <c r="L74" i="11" s="1"/>
  <c r="M74" i="11" s="1"/>
  <c r="N74" i="11" s="1"/>
  <c r="O74" i="11" s="1"/>
  <c r="P74" i="11" s="1"/>
  <c r="Q74" i="11" s="1"/>
  <c r="R74" i="11" s="1"/>
  <c r="S74" i="11" s="1"/>
  <c r="T74" i="11" s="1"/>
  <c r="U74" i="11" s="1"/>
  <c r="V74" i="11" s="1"/>
  <c r="W74" i="11" s="1"/>
  <c r="X74" i="11" s="1"/>
  <c r="Y74" i="11" s="1"/>
  <c r="Z74" i="11" s="1"/>
  <c r="AA74" i="11" s="1"/>
  <c r="AB74" i="11" s="1"/>
  <c r="AC74" i="11" s="1"/>
  <c r="AD74" i="11" s="1"/>
  <c r="AE74" i="11" s="1"/>
  <c r="AF74" i="11" s="1"/>
  <c r="AG74" i="11" s="1"/>
  <c r="AH74" i="11" s="1"/>
  <c r="AK68" i="11"/>
  <c r="AJ68" i="11"/>
  <c r="AI68" i="11"/>
  <c r="AJ67" i="11"/>
  <c r="AI67" i="11"/>
  <c r="AJ66" i="11"/>
  <c r="AI66" i="11"/>
  <c r="AJ65" i="11"/>
  <c r="AI65" i="11"/>
  <c r="AJ64" i="11"/>
  <c r="AI64" i="11"/>
  <c r="AK63" i="11"/>
  <c r="AJ63" i="11"/>
  <c r="AI63" i="11"/>
  <c r="AJ62" i="11"/>
  <c r="AI62" i="11"/>
  <c r="AJ61" i="11"/>
  <c r="AI61" i="11"/>
  <c r="AJ60" i="11"/>
  <c r="AI60" i="11"/>
  <c r="AJ59" i="11"/>
  <c r="AI59" i="11"/>
  <c r="AK58" i="11"/>
  <c r="AJ58" i="11"/>
  <c r="AI58" i="11"/>
  <c r="AJ57" i="11"/>
  <c r="AI57" i="11"/>
  <c r="AJ56" i="11"/>
  <c r="AI56" i="11"/>
  <c r="AJ55" i="11"/>
  <c r="AI55" i="11"/>
  <c r="AJ54" i="11"/>
  <c r="AI54" i="11"/>
  <c r="AK53" i="11"/>
  <c r="AJ53" i="11"/>
  <c r="AI53" i="11"/>
  <c r="AJ52" i="11"/>
  <c r="AI52" i="11"/>
  <c r="AJ51" i="11"/>
  <c r="AI51" i="11"/>
  <c r="AJ50" i="11"/>
  <c r="AI50" i="11"/>
  <c r="AJ49" i="11"/>
  <c r="AI49" i="11"/>
  <c r="AK48" i="11"/>
  <c r="AJ48" i="11"/>
  <c r="AI48" i="11"/>
  <c r="AJ47" i="11"/>
  <c r="AI47" i="11"/>
  <c r="AJ46" i="11"/>
  <c r="AI46" i="11"/>
  <c r="AJ45" i="11"/>
  <c r="AI45" i="11"/>
  <c r="AJ44" i="11"/>
  <c r="AI44" i="11"/>
  <c r="AK43" i="11"/>
  <c r="AJ43" i="11"/>
  <c r="AI43" i="11"/>
  <c r="AJ42" i="11"/>
  <c r="AI42" i="11"/>
  <c r="AJ41" i="11"/>
  <c r="AI41" i="11"/>
  <c r="AJ40" i="11"/>
  <c r="AI40" i="11"/>
  <c r="AJ39" i="11"/>
  <c r="AI39" i="11"/>
  <c r="AK38" i="11"/>
  <c r="AJ38" i="11"/>
  <c r="AI38" i="11"/>
  <c r="AJ37" i="11"/>
  <c r="AI37" i="11"/>
  <c r="AJ36" i="11"/>
  <c r="AI36" i="11"/>
  <c r="AJ35" i="11"/>
  <c r="AI35" i="11"/>
  <c r="AJ34" i="11"/>
  <c r="AI34" i="11"/>
  <c r="AK33" i="11"/>
  <c r="AJ33" i="11"/>
  <c r="AI33" i="11"/>
  <c r="AJ32" i="11"/>
  <c r="AI32" i="11"/>
  <c r="AJ31" i="11"/>
  <c r="AI31" i="11"/>
  <c r="AJ30" i="11"/>
  <c r="AI30" i="11"/>
  <c r="AJ29" i="11"/>
  <c r="AI29" i="11"/>
  <c r="AK28" i="11"/>
  <c r="AJ28" i="11"/>
  <c r="AI28" i="11"/>
  <c r="AJ27" i="11"/>
  <c r="AI27" i="11"/>
  <c r="AJ26" i="11"/>
  <c r="AI26" i="11"/>
  <c r="AJ25" i="11"/>
  <c r="AI25" i="11"/>
  <c r="AJ24" i="11"/>
  <c r="AI24" i="11"/>
  <c r="AK23" i="11"/>
  <c r="AJ23" i="11"/>
  <c r="AI23" i="11"/>
  <c r="AJ22" i="11"/>
  <c r="AI22" i="11"/>
  <c r="AJ21" i="11"/>
  <c r="AI21" i="11"/>
  <c r="AJ20" i="11"/>
  <c r="AI20" i="11"/>
  <c r="AJ19" i="11"/>
  <c r="AI19" i="11"/>
  <c r="AK18" i="11"/>
  <c r="AJ18" i="11"/>
  <c r="AI18" i="11"/>
  <c r="AJ17" i="11"/>
  <c r="AI17" i="11"/>
  <c r="AJ16" i="11"/>
  <c r="AI16" i="11"/>
  <c r="AJ15" i="11"/>
  <c r="AI15" i="11"/>
  <c r="AJ14" i="11"/>
  <c r="AI14" i="11"/>
  <c r="AK13" i="11"/>
  <c r="AJ13" i="11"/>
  <c r="AI13" i="11"/>
  <c r="AJ12" i="11"/>
  <c r="AI12" i="11"/>
  <c r="AJ11" i="11"/>
  <c r="AI11" i="11"/>
  <c r="AJ10" i="11"/>
  <c r="AI10" i="11"/>
  <c r="AJ9" i="11"/>
  <c r="AI9" i="11"/>
  <c r="AK8" i="11"/>
  <c r="AJ8" i="11"/>
  <c r="AI8" i="11"/>
  <c r="AJ7" i="11"/>
  <c r="AI7" i="11"/>
  <c r="AJ6" i="11"/>
  <c r="AI6" i="11"/>
  <c r="AJ5" i="11"/>
  <c r="AI5" i="11"/>
  <c r="AJ4" i="11"/>
  <c r="AI4" i="11"/>
  <c r="F3" i="1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AH3" i="11" s="1"/>
  <c r="AJ126" i="10"/>
  <c r="AI126" i="10"/>
  <c r="AJ125" i="10"/>
  <c r="AI125" i="10"/>
  <c r="AJ124" i="10"/>
  <c r="AI124" i="10"/>
  <c r="AJ123" i="10"/>
  <c r="AI123" i="10"/>
  <c r="AJ122" i="10"/>
  <c r="AI122" i="10"/>
  <c r="AJ121" i="10"/>
  <c r="AI121" i="10"/>
  <c r="AJ120" i="10"/>
  <c r="AI120" i="10"/>
  <c r="AJ119" i="10"/>
  <c r="AI119" i="10"/>
  <c r="AJ118" i="10"/>
  <c r="AI118" i="10"/>
  <c r="AJ117" i="10"/>
  <c r="AI117" i="10"/>
  <c r="AJ116" i="10"/>
  <c r="AI116" i="10"/>
  <c r="AJ115" i="10"/>
  <c r="AI115" i="10"/>
  <c r="AJ114" i="10"/>
  <c r="AI114" i="10"/>
  <c r="AJ113" i="10"/>
  <c r="AI113" i="10"/>
  <c r="AJ112" i="10"/>
  <c r="AI112" i="10"/>
  <c r="AJ111" i="10"/>
  <c r="AI111" i="10"/>
  <c r="AJ110" i="10"/>
  <c r="AI110" i="10"/>
  <c r="AJ109" i="10"/>
  <c r="AI109" i="10"/>
  <c r="AJ108" i="10"/>
  <c r="AI108" i="10"/>
  <c r="AJ107" i="10"/>
  <c r="AI107" i="10"/>
  <c r="AJ106" i="10"/>
  <c r="AI106" i="10"/>
  <c r="AJ105" i="10"/>
  <c r="AI105" i="10"/>
  <c r="AJ104" i="10"/>
  <c r="AI104" i="10"/>
  <c r="AJ103" i="10"/>
  <c r="AI103" i="10"/>
  <c r="AJ102" i="10"/>
  <c r="AI102" i="10"/>
  <c r="AJ101" i="10"/>
  <c r="AI101" i="10"/>
  <c r="AJ100" i="10"/>
  <c r="AI100" i="10"/>
  <c r="AJ99" i="10"/>
  <c r="AI99" i="10"/>
  <c r="AJ98" i="10"/>
  <c r="AI98" i="10"/>
  <c r="AJ97" i="10"/>
  <c r="AI97" i="10"/>
  <c r="AJ96" i="10"/>
  <c r="AI96" i="10"/>
  <c r="AJ95" i="10"/>
  <c r="AI95" i="10"/>
  <c r="AJ94" i="10"/>
  <c r="AI94" i="10"/>
  <c r="AJ93" i="10"/>
  <c r="AI93" i="10"/>
  <c r="AJ92" i="10"/>
  <c r="AI92" i="10"/>
  <c r="AJ91" i="10"/>
  <c r="AI91" i="10"/>
  <c r="AJ90" i="10"/>
  <c r="AI90" i="10"/>
  <c r="AJ89" i="10"/>
  <c r="AI89" i="10"/>
  <c r="AJ88" i="10"/>
  <c r="AI88" i="10"/>
  <c r="AJ87" i="10"/>
  <c r="AI87" i="10"/>
  <c r="AJ86" i="10"/>
  <c r="AI86" i="10"/>
  <c r="AJ85" i="10"/>
  <c r="AI85" i="10"/>
  <c r="AJ84" i="10"/>
  <c r="AI84" i="10"/>
  <c r="AI83" i="10"/>
  <c r="AK83" i="10" s="1"/>
  <c r="AJ82" i="10"/>
  <c r="AI82" i="10"/>
  <c r="AJ81" i="10"/>
  <c r="AI81" i="10"/>
  <c r="AJ80" i="10"/>
  <c r="AI80" i="10"/>
  <c r="AJ79" i="10"/>
  <c r="AI79" i="10"/>
  <c r="AJ78" i="10"/>
  <c r="AI78" i="10"/>
  <c r="AJ77" i="10"/>
  <c r="AI77" i="10"/>
  <c r="AJ76" i="10"/>
  <c r="AI76" i="10"/>
  <c r="AJ75" i="10"/>
  <c r="AI75" i="10"/>
  <c r="D74" i="10"/>
  <c r="E74" i="10" s="1"/>
  <c r="F74" i="10" s="1"/>
  <c r="G74" i="10" s="1"/>
  <c r="H74" i="10" s="1"/>
  <c r="I74" i="10" s="1"/>
  <c r="J74" i="10" s="1"/>
  <c r="K74" i="10" s="1"/>
  <c r="L74" i="10" s="1"/>
  <c r="M74" i="10" s="1"/>
  <c r="N74" i="10" s="1"/>
  <c r="O74" i="10" s="1"/>
  <c r="P74" i="10" s="1"/>
  <c r="Q74" i="10" s="1"/>
  <c r="R74" i="10" s="1"/>
  <c r="S74" i="10" s="1"/>
  <c r="T74" i="10" s="1"/>
  <c r="U74" i="10" s="1"/>
  <c r="V74" i="10" s="1"/>
  <c r="W74" i="10" s="1"/>
  <c r="X74" i="10" s="1"/>
  <c r="Y74" i="10" s="1"/>
  <c r="Z74" i="10" s="1"/>
  <c r="AA74" i="10" s="1"/>
  <c r="AB74" i="10" s="1"/>
  <c r="AC74" i="10" s="1"/>
  <c r="AD74" i="10" s="1"/>
  <c r="AE74" i="10" s="1"/>
  <c r="AF74" i="10" s="1"/>
  <c r="AG74" i="10" s="1"/>
  <c r="AH74" i="10" s="1"/>
  <c r="AK68" i="10"/>
  <c r="AJ68" i="10"/>
  <c r="AI68" i="10"/>
  <c r="AJ67" i="10"/>
  <c r="AI67" i="10"/>
  <c r="AJ66" i="10"/>
  <c r="AI66" i="10"/>
  <c r="AJ65" i="10"/>
  <c r="AI65" i="10"/>
  <c r="AJ64" i="10"/>
  <c r="AI64" i="10"/>
  <c r="AK63" i="10"/>
  <c r="AJ63" i="10"/>
  <c r="AI63" i="10"/>
  <c r="AJ62" i="10"/>
  <c r="AI62" i="10"/>
  <c r="AJ61" i="10"/>
  <c r="AI61" i="10"/>
  <c r="AJ60" i="10"/>
  <c r="AI60" i="10"/>
  <c r="AJ59" i="10"/>
  <c r="AI59" i="10"/>
  <c r="AK58" i="10"/>
  <c r="AJ58" i="10"/>
  <c r="AI58" i="10"/>
  <c r="AJ57" i="10"/>
  <c r="AI57" i="10"/>
  <c r="AJ56" i="10"/>
  <c r="AI56" i="10"/>
  <c r="AJ55" i="10"/>
  <c r="AI55" i="10"/>
  <c r="AJ54" i="10"/>
  <c r="AI54" i="10"/>
  <c r="AK53" i="10"/>
  <c r="AJ53" i="10"/>
  <c r="AI53" i="10"/>
  <c r="AJ52" i="10"/>
  <c r="AI52" i="10"/>
  <c r="AJ51" i="10"/>
  <c r="AI51" i="10"/>
  <c r="AJ50" i="10"/>
  <c r="AI50" i="10"/>
  <c r="AJ49" i="10"/>
  <c r="AI49" i="10"/>
  <c r="AK48" i="10"/>
  <c r="AJ48" i="10"/>
  <c r="AI48" i="10"/>
  <c r="AJ47" i="10"/>
  <c r="AI47" i="10"/>
  <c r="AJ46" i="10"/>
  <c r="AI46" i="10"/>
  <c r="AJ45" i="10"/>
  <c r="AI45" i="10"/>
  <c r="AJ44" i="10"/>
  <c r="AI44" i="10"/>
  <c r="AK43" i="10"/>
  <c r="AJ43" i="10"/>
  <c r="AI43" i="10"/>
  <c r="AJ42" i="10"/>
  <c r="AI42" i="10"/>
  <c r="AJ41" i="10"/>
  <c r="AI41" i="10"/>
  <c r="AJ40" i="10"/>
  <c r="AI40" i="10"/>
  <c r="AJ39" i="10"/>
  <c r="AI39" i="10"/>
  <c r="AK38" i="10"/>
  <c r="AJ38" i="10"/>
  <c r="AI38" i="10"/>
  <c r="AJ37" i="10"/>
  <c r="AI37" i="10"/>
  <c r="AJ36" i="10"/>
  <c r="AI36" i="10"/>
  <c r="AJ35" i="10"/>
  <c r="AI35" i="10"/>
  <c r="AJ34" i="10"/>
  <c r="AI34" i="10"/>
  <c r="AK33" i="10"/>
  <c r="AJ33" i="10"/>
  <c r="AI33" i="10"/>
  <c r="AJ32" i="10"/>
  <c r="AI32" i="10"/>
  <c r="AJ31" i="10"/>
  <c r="AI31" i="10"/>
  <c r="AJ30" i="10"/>
  <c r="AI30" i="10"/>
  <c r="AJ29" i="10"/>
  <c r="AI29" i="10"/>
  <c r="AK28" i="10"/>
  <c r="AJ28" i="10"/>
  <c r="AI28" i="10"/>
  <c r="AJ27" i="10"/>
  <c r="AI27" i="10"/>
  <c r="AJ26" i="10"/>
  <c r="AI26" i="10"/>
  <c r="AJ25" i="10"/>
  <c r="AI25" i="10"/>
  <c r="AJ24" i="10"/>
  <c r="AI24" i="10"/>
  <c r="AK23" i="10"/>
  <c r="AJ23" i="10"/>
  <c r="AI23" i="10"/>
  <c r="AJ22" i="10"/>
  <c r="AI22" i="10"/>
  <c r="AJ21" i="10"/>
  <c r="AI21" i="10"/>
  <c r="AJ20" i="10"/>
  <c r="AI20" i="10"/>
  <c r="AJ19" i="10"/>
  <c r="AI19" i="10"/>
  <c r="AK18" i="10"/>
  <c r="AJ18" i="10"/>
  <c r="AI18" i="10"/>
  <c r="AJ17" i="10"/>
  <c r="AI17" i="10"/>
  <c r="AJ16" i="10"/>
  <c r="AI16" i="10"/>
  <c r="AJ15" i="10"/>
  <c r="AI15" i="10"/>
  <c r="AJ14" i="10"/>
  <c r="AI14" i="10"/>
  <c r="AK13" i="10"/>
  <c r="AJ13" i="10"/>
  <c r="AI13" i="10"/>
  <c r="AJ12" i="10"/>
  <c r="AI12" i="10"/>
  <c r="AJ11" i="10"/>
  <c r="AI11" i="10"/>
  <c r="AJ10" i="10"/>
  <c r="AI10" i="10"/>
  <c r="AJ9" i="10"/>
  <c r="AI9" i="10"/>
  <c r="AK8" i="10"/>
  <c r="AJ8" i="10"/>
  <c r="AI8" i="10"/>
  <c r="AJ7" i="10"/>
  <c r="AI7" i="10"/>
  <c r="AJ6" i="10"/>
  <c r="AI6" i="10"/>
  <c r="AJ5" i="10"/>
  <c r="AI5" i="10"/>
  <c r="AJ4" i="10"/>
  <c r="AI4" i="10"/>
  <c r="F3" i="10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AG3" i="10" s="1"/>
  <c r="AH3" i="10" s="1"/>
  <c r="AJ126" i="9"/>
  <c r="AI126" i="9"/>
  <c r="AJ125" i="9"/>
  <c r="AI125" i="9"/>
  <c r="AJ124" i="9"/>
  <c r="AI124" i="9"/>
  <c r="AJ123" i="9"/>
  <c r="AI123" i="9"/>
  <c r="AJ122" i="9"/>
  <c r="AI122" i="9"/>
  <c r="AJ121" i="9"/>
  <c r="AI121" i="9"/>
  <c r="AJ120" i="9"/>
  <c r="AI120" i="9"/>
  <c r="AJ119" i="9"/>
  <c r="AI119" i="9"/>
  <c r="AJ118" i="9"/>
  <c r="AI118" i="9"/>
  <c r="AJ117" i="9"/>
  <c r="AI117" i="9"/>
  <c r="AJ116" i="9"/>
  <c r="AI116" i="9"/>
  <c r="AJ115" i="9"/>
  <c r="AI115" i="9"/>
  <c r="AJ114" i="9"/>
  <c r="AI114" i="9"/>
  <c r="AJ113" i="9"/>
  <c r="AI113" i="9"/>
  <c r="AJ112" i="9"/>
  <c r="AI112" i="9"/>
  <c r="AJ111" i="9"/>
  <c r="AI111" i="9"/>
  <c r="AJ110" i="9"/>
  <c r="AI110" i="9"/>
  <c r="AJ109" i="9"/>
  <c r="AI109" i="9"/>
  <c r="AJ108" i="9"/>
  <c r="AI108" i="9"/>
  <c r="AJ107" i="9"/>
  <c r="AI107" i="9"/>
  <c r="AJ106" i="9"/>
  <c r="AI106" i="9"/>
  <c r="AJ105" i="9"/>
  <c r="AI105" i="9"/>
  <c r="AJ104" i="9"/>
  <c r="AI104" i="9"/>
  <c r="AJ103" i="9"/>
  <c r="AI103" i="9"/>
  <c r="AJ102" i="9"/>
  <c r="AI102" i="9"/>
  <c r="AJ101" i="9"/>
  <c r="AI101" i="9"/>
  <c r="AJ100" i="9"/>
  <c r="AI100" i="9"/>
  <c r="AJ99" i="9"/>
  <c r="AI99" i="9"/>
  <c r="AJ98" i="9"/>
  <c r="AI98" i="9"/>
  <c r="AJ97" i="9"/>
  <c r="AI97" i="9"/>
  <c r="AJ96" i="9"/>
  <c r="AI96" i="9"/>
  <c r="AJ95" i="9"/>
  <c r="AI95" i="9"/>
  <c r="AJ94" i="9"/>
  <c r="AI94" i="9"/>
  <c r="AJ93" i="9"/>
  <c r="AI93" i="9"/>
  <c r="AJ92" i="9"/>
  <c r="AI92" i="9"/>
  <c r="AJ91" i="9"/>
  <c r="AI91" i="9"/>
  <c r="AJ90" i="9"/>
  <c r="AI90" i="9"/>
  <c r="AJ89" i="9"/>
  <c r="AI89" i="9"/>
  <c r="AJ88" i="9"/>
  <c r="AI88" i="9"/>
  <c r="AJ87" i="9"/>
  <c r="AI87" i="9"/>
  <c r="AJ86" i="9"/>
  <c r="AI86" i="9"/>
  <c r="AJ85" i="9"/>
  <c r="AI85" i="9"/>
  <c r="AJ84" i="9"/>
  <c r="AI84" i="9"/>
  <c r="AI83" i="9"/>
  <c r="AK83" i="9" s="1"/>
  <c r="AJ82" i="9"/>
  <c r="AI82" i="9"/>
  <c r="AJ81" i="9"/>
  <c r="AI81" i="9"/>
  <c r="AJ80" i="9"/>
  <c r="AI80" i="9"/>
  <c r="AJ79" i="9"/>
  <c r="AI79" i="9"/>
  <c r="AJ78" i="9"/>
  <c r="AI78" i="9"/>
  <c r="AJ77" i="9"/>
  <c r="AI77" i="9"/>
  <c r="AJ76" i="9"/>
  <c r="AI76" i="9"/>
  <c r="AJ75" i="9"/>
  <c r="AI75" i="9"/>
  <c r="D74" i="9"/>
  <c r="E74" i="9" s="1"/>
  <c r="F74" i="9" s="1"/>
  <c r="G74" i="9" s="1"/>
  <c r="H74" i="9" s="1"/>
  <c r="I74" i="9" s="1"/>
  <c r="J74" i="9" s="1"/>
  <c r="K74" i="9" s="1"/>
  <c r="L74" i="9" s="1"/>
  <c r="M74" i="9" s="1"/>
  <c r="N74" i="9" s="1"/>
  <c r="O74" i="9" s="1"/>
  <c r="P74" i="9" s="1"/>
  <c r="Q74" i="9" s="1"/>
  <c r="R74" i="9" s="1"/>
  <c r="S74" i="9" s="1"/>
  <c r="T74" i="9" s="1"/>
  <c r="U74" i="9" s="1"/>
  <c r="V74" i="9" s="1"/>
  <c r="W74" i="9" s="1"/>
  <c r="X74" i="9" s="1"/>
  <c r="Y74" i="9" s="1"/>
  <c r="Z74" i="9" s="1"/>
  <c r="AA74" i="9" s="1"/>
  <c r="AB74" i="9" s="1"/>
  <c r="AC74" i="9" s="1"/>
  <c r="AD74" i="9" s="1"/>
  <c r="AE74" i="9" s="1"/>
  <c r="AF74" i="9" s="1"/>
  <c r="AG74" i="9" s="1"/>
  <c r="AH74" i="9" s="1"/>
  <c r="AK68" i="9"/>
  <c r="AJ68" i="9"/>
  <c r="AI68" i="9"/>
  <c r="AJ67" i="9"/>
  <c r="AI67" i="9"/>
  <c r="AJ66" i="9"/>
  <c r="AI66" i="9"/>
  <c r="AJ65" i="9"/>
  <c r="AI65" i="9"/>
  <c r="AJ64" i="9"/>
  <c r="AI64" i="9"/>
  <c r="AK63" i="9"/>
  <c r="AJ63" i="9"/>
  <c r="AI63" i="9"/>
  <c r="AJ62" i="9"/>
  <c r="AI62" i="9"/>
  <c r="AJ61" i="9"/>
  <c r="AI61" i="9"/>
  <c r="AJ60" i="9"/>
  <c r="AI60" i="9"/>
  <c r="AJ59" i="9"/>
  <c r="AI59" i="9"/>
  <c r="AK58" i="9"/>
  <c r="AJ58" i="9"/>
  <c r="AI58" i="9"/>
  <c r="AJ57" i="9"/>
  <c r="AI57" i="9"/>
  <c r="AJ56" i="9"/>
  <c r="AI56" i="9"/>
  <c r="AJ55" i="9"/>
  <c r="AI55" i="9"/>
  <c r="AJ54" i="9"/>
  <c r="AI54" i="9"/>
  <c r="AK53" i="9"/>
  <c r="AJ53" i="9"/>
  <c r="AI53" i="9"/>
  <c r="AJ52" i="9"/>
  <c r="AI52" i="9"/>
  <c r="AJ51" i="9"/>
  <c r="AI51" i="9"/>
  <c r="AJ50" i="9"/>
  <c r="AI50" i="9"/>
  <c r="AJ49" i="9"/>
  <c r="AI49" i="9"/>
  <c r="AK48" i="9"/>
  <c r="AJ48" i="9"/>
  <c r="AI48" i="9"/>
  <c r="AJ47" i="9"/>
  <c r="AI47" i="9"/>
  <c r="AJ46" i="9"/>
  <c r="AI46" i="9"/>
  <c r="AJ45" i="9"/>
  <c r="AI45" i="9"/>
  <c r="AJ44" i="9"/>
  <c r="AI44" i="9"/>
  <c r="AK43" i="9"/>
  <c r="AJ43" i="9"/>
  <c r="AI43" i="9"/>
  <c r="AJ42" i="9"/>
  <c r="AI42" i="9"/>
  <c r="AJ41" i="9"/>
  <c r="AI41" i="9"/>
  <c r="AJ40" i="9"/>
  <c r="AI40" i="9"/>
  <c r="AJ39" i="9"/>
  <c r="AI39" i="9"/>
  <c r="AK38" i="9"/>
  <c r="AJ38" i="9"/>
  <c r="AI38" i="9"/>
  <c r="AJ37" i="9"/>
  <c r="AI37" i="9"/>
  <c r="AJ36" i="9"/>
  <c r="AI36" i="9"/>
  <c r="AJ35" i="9"/>
  <c r="AI35" i="9"/>
  <c r="AJ34" i="9"/>
  <c r="AI34" i="9"/>
  <c r="AK33" i="9"/>
  <c r="AJ33" i="9"/>
  <c r="AI33" i="9"/>
  <c r="AJ32" i="9"/>
  <c r="AI32" i="9"/>
  <c r="AJ31" i="9"/>
  <c r="AI31" i="9"/>
  <c r="AJ30" i="9"/>
  <c r="AI30" i="9"/>
  <c r="AJ29" i="9"/>
  <c r="AI29" i="9"/>
  <c r="AK28" i="9"/>
  <c r="AJ28" i="9"/>
  <c r="AI28" i="9"/>
  <c r="AJ27" i="9"/>
  <c r="AI27" i="9"/>
  <c r="AJ26" i="9"/>
  <c r="AI26" i="9"/>
  <c r="AJ25" i="9"/>
  <c r="AI25" i="9"/>
  <c r="AJ24" i="9"/>
  <c r="AI24" i="9"/>
  <c r="AK23" i="9"/>
  <c r="AJ23" i="9"/>
  <c r="AI23" i="9"/>
  <c r="AJ22" i="9"/>
  <c r="AI22" i="9"/>
  <c r="AJ21" i="9"/>
  <c r="AI21" i="9"/>
  <c r="AJ20" i="9"/>
  <c r="AI20" i="9"/>
  <c r="AJ19" i="9"/>
  <c r="AI19" i="9"/>
  <c r="AK18" i="9"/>
  <c r="AJ18" i="9"/>
  <c r="AI18" i="9"/>
  <c r="AJ17" i="9"/>
  <c r="AI17" i="9"/>
  <c r="AJ16" i="9"/>
  <c r="AI16" i="9"/>
  <c r="AJ15" i="9"/>
  <c r="AI15" i="9"/>
  <c r="AJ14" i="9"/>
  <c r="AI14" i="9"/>
  <c r="AK13" i="9"/>
  <c r="AJ13" i="9"/>
  <c r="AI13" i="9"/>
  <c r="AJ12" i="9"/>
  <c r="AI12" i="9"/>
  <c r="AJ11" i="9"/>
  <c r="AI11" i="9"/>
  <c r="AJ10" i="9"/>
  <c r="AI10" i="9"/>
  <c r="AJ9" i="9"/>
  <c r="AI9" i="9"/>
  <c r="AK8" i="9"/>
  <c r="AJ8" i="9"/>
  <c r="AI8" i="9"/>
  <c r="AJ7" i="9"/>
  <c r="AI7" i="9"/>
  <c r="AJ6" i="9"/>
  <c r="AI6" i="9"/>
  <c r="AJ5" i="9"/>
  <c r="AI5" i="9"/>
  <c r="AJ4" i="9"/>
  <c r="AI4" i="9"/>
  <c r="F3" i="9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AG3" i="9" s="1"/>
  <c r="AH3" i="9" s="1"/>
  <c r="AJ126" i="7"/>
  <c r="AI126" i="7"/>
  <c r="AJ125" i="7"/>
  <c r="AI125" i="7"/>
  <c r="AJ124" i="7"/>
  <c r="AI124" i="7"/>
  <c r="AJ123" i="7"/>
  <c r="AI123" i="7"/>
  <c r="AJ122" i="7"/>
  <c r="AI122" i="7"/>
  <c r="AJ121" i="7"/>
  <c r="AI121" i="7"/>
  <c r="AJ120" i="7"/>
  <c r="AI120" i="7"/>
  <c r="AJ119" i="7"/>
  <c r="AI119" i="7"/>
  <c r="AJ118" i="7"/>
  <c r="AI118" i="7"/>
  <c r="AJ117" i="7"/>
  <c r="AI117" i="7"/>
  <c r="AJ116" i="7"/>
  <c r="AI116" i="7"/>
  <c r="AJ115" i="7"/>
  <c r="AI115" i="7"/>
  <c r="AJ114" i="7"/>
  <c r="AI114" i="7"/>
  <c r="AJ113" i="7"/>
  <c r="AI113" i="7"/>
  <c r="AJ112" i="7"/>
  <c r="AI112" i="7"/>
  <c r="AJ111" i="7"/>
  <c r="AI111" i="7"/>
  <c r="AJ110" i="7"/>
  <c r="AI110" i="7"/>
  <c r="AJ109" i="7"/>
  <c r="AI109" i="7"/>
  <c r="AJ108" i="7"/>
  <c r="AI108" i="7"/>
  <c r="AJ107" i="7"/>
  <c r="AI107" i="7"/>
  <c r="AJ106" i="7"/>
  <c r="AI106" i="7"/>
  <c r="AJ105" i="7"/>
  <c r="AI105" i="7"/>
  <c r="AJ104" i="7"/>
  <c r="AI104" i="7"/>
  <c r="AJ103" i="7"/>
  <c r="AI103" i="7"/>
  <c r="AJ102" i="7"/>
  <c r="AI102" i="7"/>
  <c r="AJ101" i="7"/>
  <c r="AI101" i="7"/>
  <c r="AJ100" i="7"/>
  <c r="AI100" i="7"/>
  <c r="AJ99" i="7"/>
  <c r="AI99" i="7"/>
  <c r="AJ98" i="7"/>
  <c r="AI98" i="7"/>
  <c r="AJ97" i="7"/>
  <c r="AI97" i="7"/>
  <c r="AJ96" i="7"/>
  <c r="AI96" i="7"/>
  <c r="AJ95" i="7"/>
  <c r="AI95" i="7"/>
  <c r="AJ94" i="7"/>
  <c r="AI94" i="7"/>
  <c r="AJ93" i="7"/>
  <c r="AI93" i="7"/>
  <c r="AJ92" i="7"/>
  <c r="AI92" i="7"/>
  <c r="AJ91" i="7"/>
  <c r="AI91" i="7"/>
  <c r="AJ90" i="7"/>
  <c r="AI90" i="7"/>
  <c r="AJ89" i="7"/>
  <c r="AI89" i="7"/>
  <c r="AJ88" i="7"/>
  <c r="AI88" i="7"/>
  <c r="AJ87" i="7"/>
  <c r="AI87" i="7"/>
  <c r="AJ86" i="7"/>
  <c r="AI86" i="7"/>
  <c r="AJ85" i="7"/>
  <c r="AI85" i="7"/>
  <c r="AJ84" i="7"/>
  <c r="AI84" i="7"/>
  <c r="AI83" i="7"/>
  <c r="AK83" i="7" s="1"/>
  <c r="AJ82" i="7"/>
  <c r="AI82" i="7"/>
  <c r="AJ81" i="7"/>
  <c r="AI81" i="7"/>
  <c r="AJ80" i="7"/>
  <c r="AI80" i="7"/>
  <c r="AJ79" i="7"/>
  <c r="AI79" i="7"/>
  <c r="AJ78" i="7"/>
  <c r="AI78" i="7"/>
  <c r="AJ77" i="7"/>
  <c r="AI77" i="7"/>
  <c r="AJ76" i="7"/>
  <c r="AI76" i="7"/>
  <c r="AJ75" i="7"/>
  <c r="AI75" i="7"/>
  <c r="D74" i="7"/>
  <c r="E74" i="7" s="1"/>
  <c r="F74" i="7" s="1"/>
  <c r="G74" i="7" s="1"/>
  <c r="H74" i="7" s="1"/>
  <c r="I74" i="7" s="1"/>
  <c r="J74" i="7" s="1"/>
  <c r="K74" i="7" s="1"/>
  <c r="L74" i="7" s="1"/>
  <c r="M74" i="7" s="1"/>
  <c r="N74" i="7" s="1"/>
  <c r="O74" i="7" s="1"/>
  <c r="P74" i="7" s="1"/>
  <c r="Q74" i="7" s="1"/>
  <c r="R74" i="7" s="1"/>
  <c r="S74" i="7" s="1"/>
  <c r="T74" i="7" s="1"/>
  <c r="U74" i="7" s="1"/>
  <c r="V74" i="7" s="1"/>
  <c r="W74" i="7" s="1"/>
  <c r="X74" i="7" s="1"/>
  <c r="Y74" i="7" s="1"/>
  <c r="Z74" i="7" s="1"/>
  <c r="AA74" i="7" s="1"/>
  <c r="AB74" i="7" s="1"/>
  <c r="AC74" i="7" s="1"/>
  <c r="AD74" i="7" s="1"/>
  <c r="AE74" i="7" s="1"/>
  <c r="AF74" i="7" s="1"/>
  <c r="AG74" i="7" s="1"/>
  <c r="AH74" i="7" s="1"/>
  <c r="AK68" i="7"/>
  <c r="AJ68" i="7"/>
  <c r="AI68" i="7"/>
  <c r="AJ67" i="7"/>
  <c r="AI67" i="7"/>
  <c r="AJ66" i="7"/>
  <c r="AI66" i="7"/>
  <c r="AJ65" i="7"/>
  <c r="AI65" i="7"/>
  <c r="AJ64" i="7"/>
  <c r="AI64" i="7"/>
  <c r="AK63" i="7"/>
  <c r="AJ63" i="7"/>
  <c r="AI63" i="7"/>
  <c r="AJ62" i="7"/>
  <c r="AI62" i="7"/>
  <c r="AJ61" i="7"/>
  <c r="AI61" i="7"/>
  <c r="AJ60" i="7"/>
  <c r="AI60" i="7"/>
  <c r="AJ59" i="7"/>
  <c r="AI59" i="7"/>
  <c r="AK58" i="7"/>
  <c r="AJ58" i="7"/>
  <c r="AI58" i="7"/>
  <c r="AJ57" i="7"/>
  <c r="AI57" i="7"/>
  <c r="AJ56" i="7"/>
  <c r="AI56" i="7"/>
  <c r="AJ55" i="7"/>
  <c r="AI55" i="7"/>
  <c r="AJ54" i="7"/>
  <c r="AI54" i="7"/>
  <c r="AK53" i="7"/>
  <c r="AJ53" i="7"/>
  <c r="AI53" i="7"/>
  <c r="AJ52" i="7"/>
  <c r="AI52" i="7"/>
  <c r="AJ51" i="7"/>
  <c r="AI51" i="7"/>
  <c r="AJ50" i="7"/>
  <c r="AI50" i="7"/>
  <c r="AJ49" i="7"/>
  <c r="AI49" i="7"/>
  <c r="AK48" i="7"/>
  <c r="AJ48" i="7"/>
  <c r="AI48" i="7"/>
  <c r="AJ47" i="7"/>
  <c r="AI47" i="7"/>
  <c r="AJ46" i="7"/>
  <c r="AI46" i="7"/>
  <c r="AJ45" i="7"/>
  <c r="AI45" i="7"/>
  <c r="AJ44" i="7"/>
  <c r="AI44" i="7"/>
  <c r="AK43" i="7"/>
  <c r="AJ43" i="7"/>
  <c r="AI43" i="7"/>
  <c r="AJ42" i="7"/>
  <c r="AI42" i="7"/>
  <c r="AJ41" i="7"/>
  <c r="AI41" i="7"/>
  <c r="AJ40" i="7"/>
  <c r="AI40" i="7"/>
  <c r="AJ39" i="7"/>
  <c r="AI39" i="7"/>
  <c r="AK38" i="7"/>
  <c r="AJ38" i="7"/>
  <c r="AI38" i="7"/>
  <c r="AJ37" i="7"/>
  <c r="AI37" i="7"/>
  <c r="AJ36" i="7"/>
  <c r="AI36" i="7"/>
  <c r="AJ35" i="7"/>
  <c r="AI35" i="7"/>
  <c r="AJ34" i="7"/>
  <c r="AI34" i="7"/>
  <c r="AK33" i="7"/>
  <c r="AJ33" i="7"/>
  <c r="AI33" i="7"/>
  <c r="AJ32" i="7"/>
  <c r="AI32" i="7"/>
  <c r="AJ31" i="7"/>
  <c r="AI31" i="7"/>
  <c r="AJ30" i="7"/>
  <c r="AI30" i="7"/>
  <c r="AJ29" i="7"/>
  <c r="AI29" i="7"/>
  <c r="AK28" i="7"/>
  <c r="AJ28" i="7"/>
  <c r="AI28" i="7"/>
  <c r="AJ27" i="7"/>
  <c r="AI27" i="7"/>
  <c r="AJ26" i="7"/>
  <c r="AI26" i="7"/>
  <c r="AJ25" i="7"/>
  <c r="AI25" i="7"/>
  <c r="AJ24" i="7"/>
  <c r="AI24" i="7"/>
  <c r="AK23" i="7"/>
  <c r="AJ23" i="7"/>
  <c r="AI23" i="7"/>
  <c r="AJ22" i="7"/>
  <c r="AI22" i="7"/>
  <c r="AJ21" i="7"/>
  <c r="AI21" i="7"/>
  <c r="AJ20" i="7"/>
  <c r="AI20" i="7"/>
  <c r="AJ19" i="7"/>
  <c r="AI19" i="7"/>
  <c r="AK18" i="7"/>
  <c r="AJ18" i="7"/>
  <c r="AI18" i="7"/>
  <c r="AJ17" i="7"/>
  <c r="AI17" i="7"/>
  <c r="AJ16" i="7"/>
  <c r="AI16" i="7"/>
  <c r="AJ15" i="7"/>
  <c r="AI15" i="7"/>
  <c r="AJ14" i="7"/>
  <c r="AI14" i="7"/>
  <c r="AK13" i="7"/>
  <c r="AJ13" i="7"/>
  <c r="AI13" i="7"/>
  <c r="AJ12" i="7"/>
  <c r="AI12" i="7"/>
  <c r="AJ11" i="7"/>
  <c r="AI11" i="7"/>
  <c r="AJ10" i="7"/>
  <c r="AI10" i="7"/>
  <c r="AJ9" i="7"/>
  <c r="AI9" i="7"/>
  <c r="AK8" i="7"/>
  <c r="AJ8" i="7"/>
  <c r="AI8" i="7"/>
  <c r="AJ7" i="7"/>
  <c r="AI7" i="7"/>
  <c r="AJ6" i="7"/>
  <c r="AI6" i="7"/>
  <c r="AJ5" i="7"/>
  <c r="AI5" i="7"/>
  <c r="AJ4" i="7"/>
  <c r="AI4" i="7"/>
  <c r="F3" i="7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J126" i="6"/>
  <c r="AI126" i="6"/>
  <c r="AJ125" i="6"/>
  <c r="AI125" i="6"/>
  <c r="AJ124" i="6"/>
  <c r="AI124" i="6"/>
  <c r="AJ123" i="6"/>
  <c r="AI123" i="6"/>
  <c r="AJ122" i="6"/>
  <c r="AI122" i="6"/>
  <c r="AJ121" i="6"/>
  <c r="AI121" i="6"/>
  <c r="AJ120" i="6"/>
  <c r="AI120" i="6"/>
  <c r="AJ119" i="6"/>
  <c r="AI119" i="6"/>
  <c r="AJ118" i="6"/>
  <c r="AI118" i="6"/>
  <c r="AJ117" i="6"/>
  <c r="AI117" i="6"/>
  <c r="AJ116" i="6"/>
  <c r="AI116" i="6"/>
  <c r="AJ115" i="6"/>
  <c r="AI115" i="6"/>
  <c r="AJ114" i="6"/>
  <c r="AI114" i="6"/>
  <c r="AJ113" i="6"/>
  <c r="AI113" i="6"/>
  <c r="AJ112" i="6"/>
  <c r="AI112" i="6"/>
  <c r="AJ111" i="6"/>
  <c r="AI111" i="6"/>
  <c r="AJ110" i="6"/>
  <c r="AI110" i="6"/>
  <c r="AJ109" i="6"/>
  <c r="AI109" i="6"/>
  <c r="AJ108" i="6"/>
  <c r="AI108" i="6"/>
  <c r="AJ107" i="6"/>
  <c r="AI107" i="6"/>
  <c r="AJ106" i="6"/>
  <c r="AI106" i="6"/>
  <c r="AJ105" i="6"/>
  <c r="AI105" i="6"/>
  <c r="AJ104" i="6"/>
  <c r="AI104" i="6"/>
  <c r="AJ103" i="6"/>
  <c r="AI103" i="6"/>
  <c r="AJ102" i="6"/>
  <c r="AI102" i="6"/>
  <c r="AJ101" i="6"/>
  <c r="AI101" i="6"/>
  <c r="AJ100" i="6"/>
  <c r="AI100" i="6"/>
  <c r="AJ99" i="6"/>
  <c r="AI99" i="6"/>
  <c r="AJ98" i="6"/>
  <c r="AI98" i="6"/>
  <c r="AJ97" i="6"/>
  <c r="AI97" i="6"/>
  <c r="AJ96" i="6"/>
  <c r="AI96" i="6"/>
  <c r="AJ95" i="6"/>
  <c r="AI95" i="6"/>
  <c r="AJ94" i="6"/>
  <c r="AI94" i="6"/>
  <c r="AJ93" i="6"/>
  <c r="AI93" i="6"/>
  <c r="AJ92" i="6"/>
  <c r="AI92" i="6"/>
  <c r="AJ91" i="6"/>
  <c r="AI91" i="6"/>
  <c r="AJ90" i="6"/>
  <c r="AI90" i="6"/>
  <c r="AJ89" i="6"/>
  <c r="AI89" i="6"/>
  <c r="AJ88" i="6"/>
  <c r="AI88" i="6"/>
  <c r="AJ87" i="6"/>
  <c r="AI87" i="6"/>
  <c r="AJ86" i="6"/>
  <c r="AI86" i="6"/>
  <c r="AJ85" i="6"/>
  <c r="AI85" i="6"/>
  <c r="AJ84" i="6"/>
  <c r="AI84" i="6"/>
  <c r="AI83" i="6"/>
  <c r="AK83" i="6" s="1"/>
  <c r="AJ82" i="6"/>
  <c r="AI82" i="6"/>
  <c r="AJ81" i="6"/>
  <c r="AI81" i="6"/>
  <c r="AJ80" i="6"/>
  <c r="AI80" i="6"/>
  <c r="AJ79" i="6"/>
  <c r="AI79" i="6"/>
  <c r="AJ78" i="6"/>
  <c r="AI78" i="6"/>
  <c r="AJ77" i="6"/>
  <c r="AI77" i="6"/>
  <c r="AJ76" i="6"/>
  <c r="AI76" i="6"/>
  <c r="AJ75" i="6"/>
  <c r="AI75" i="6"/>
  <c r="D74" i="6"/>
  <c r="E74" i="6" s="1"/>
  <c r="F74" i="6" s="1"/>
  <c r="G74" i="6" s="1"/>
  <c r="H74" i="6" s="1"/>
  <c r="I74" i="6" s="1"/>
  <c r="J74" i="6" s="1"/>
  <c r="K74" i="6" s="1"/>
  <c r="L74" i="6" s="1"/>
  <c r="M74" i="6" s="1"/>
  <c r="N74" i="6" s="1"/>
  <c r="O74" i="6" s="1"/>
  <c r="P74" i="6" s="1"/>
  <c r="Q74" i="6" s="1"/>
  <c r="R74" i="6" s="1"/>
  <c r="S74" i="6" s="1"/>
  <c r="T74" i="6" s="1"/>
  <c r="U74" i="6" s="1"/>
  <c r="V74" i="6" s="1"/>
  <c r="W74" i="6" s="1"/>
  <c r="X74" i="6" s="1"/>
  <c r="Y74" i="6" s="1"/>
  <c r="Z74" i="6" s="1"/>
  <c r="AA74" i="6" s="1"/>
  <c r="AB74" i="6" s="1"/>
  <c r="AC74" i="6" s="1"/>
  <c r="AD74" i="6" s="1"/>
  <c r="AE74" i="6" s="1"/>
  <c r="AF74" i="6" s="1"/>
  <c r="AG74" i="6" s="1"/>
  <c r="AH74" i="6" s="1"/>
  <c r="AK68" i="6"/>
  <c r="AJ68" i="6"/>
  <c r="AI68" i="6"/>
  <c r="AJ67" i="6"/>
  <c r="AI67" i="6"/>
  <c r="AJ66" i="6"/>
  <c r="AI66" i="6"/>
  <c r="AJ65" i="6"/>
  <c r="AI65" i="6"/>
  <c r="AJ64" i="6"/>
  <c r="AI64" i="6"/>
  <c r="AK63" i="6"/>
  <c r="AJ63" i="6"/>
  <c r="AI63" i="6"/>
  <c r="AJ62" i="6"/>
  <c r="AI62" i="6"/>
  <c r="AJ61" i="6"/>
  <c r="AI61" i="6"/>
  <c r="AJ60" i="6"/>
  <c r="AI60" i="6"/>
  <c r="AJ59" i="6"/>
  <c r="AI59" i="6"/>
  <c r="AK58" i="6"/>
  <c r="AJ58" i="6"/>
  <c r="AI58" i="6"/>
  <c r="AJ57" i="6"/>
  <c r="AI57" i="6"/>
  <c r="AJ56" i="6"/>
  <c r="AI56" i="6"/>
  <c r="AJ55" i="6"/>
  <c r="AI55" i="6"/>
  <c r="AJ54" i="6"/>
  <c r="AI54" i="6"/>
  <c r="AK53" i="6"/>
  <c r="AJ53" i="6"/>
  <c r="AI53" i="6"/>
  <c r="AJ52" i="6"/>
  <c r="AI52" i="6"/>
  <c r="AJ51" i="6"/>
  <c r="AI51" i="6"/>
  <c r="AJ50" i="6"/>
  <c r="AI50" i="6"/>
  <c r="AJ49" i="6"/>
  <c r="AI49" i="6"/>
  <c r="AK48" i="6"/>
  <c r="AJ48" i="6"/>
  <c r="AI48" i="6"/>
  <c r="AJ47" i="6"/>
  <c r="AI47" i="6"/>
  <c r="AJ46" i="6"/>
  <c r="AI46" i="6"/>
  <c r="AJ45" i="6"/>
  <c r="AI45" i="6"/>
  <c r="AJ44" i="6"/>
  <c r="AI44" i="6"/>
  <c r="AK43" i="6"/>
  <c r="AJ43" i="6"/>
  <c r="AI43" i="6"/>
  <c r="AJ42" i="6"/>
  <c r="AI42" i="6"/>
  <c r="AJ41" i="6"/>
  <c r="AI41" i="6"/>
  <c r="AJ40" i="6"/>
  <c r="AI40" i="6"/>
  <c r="AJ39" i="6"/>
  <c r="AI39" i="6"/>
  <c r="AK38" i="6"/>
  <c r="AJ38" i="6"/>
  <c r="AI38" i="6"/>
  <c r="AJ37" i="6"/>
  <c r="AI37" i="6"/>
  <c r="AJ36" i="6"/>
  <c r="AI36" i="6"/>
  <c r="AJ35" i="6"/>
  <c r="AI35" i="6"/>
  <c r="AJ34" i="6"/>
  <c r="AI34" i="6"/>
  <c r="AK33" i="6"/>
  <c r="AJ33" i="6"/>
  <c r="AI33" i="6"/>
  <c r="AJ32" i="6"/>
  <c r="AI32" i="6"/>
  <c r="AJ31" i="6"/>
  <c r="AI31" i="6"/>
  <c r="AJ30" i="6"/>
  <c r="AI30" i="6"/>
  <c r="AJ29" i="6"/>
  <c r="AI29" i="6"/>
  <c r="AK28" i="6"/>
  <c r="AJ28" i="6"/>
  <c r="AI28" i="6"/>
  <c r="AJ27" i="6"/>
  <c r="AI27" i="6"/>
  <c r="AJ26" i="6"/>
  <c r="AI26" i="6"/>
  <c r="AJ25" i="6"/>
  <c r="AI25" i="6"/>
  <c r="AJ24" i="6"/>
  <c r="AI24" i="6"/>
  <c r="AK23" i="6"/>
  <c r="AJ23" i="6"/>
  <c r="AI23" i="6"/>
  <c r="AJ22" i="6"/>
  <c r="AI22" i="6"/>
  <c r="AJ21" i="6"/>
  <c r="AI21" i="6"/>
  <c r="AJ20" i="6"/>
  <c r="AI20" i="6"/>
  <c r="AJ19" i="6"/>
  <c r="AI19" i="6"/>
  <c r="AK18" i="6"/>
  <c r="AJ18" i="6"/>
  <c r="AI18" i="6"/>
  <c r="AJ17" i="6"/>
  <c r="AI17" i="6"/>
  <c r="AJ16" i="6"/>
  <c r="AI16" i="6"/>
  <c r="AJ15" i="6"/>
  <c r="AI15" i="6"/>
  <c r="AJ14" i="6"/>
  <c r="AI14" i="6"/>
  <c r="AK13" i="6"/>
  <c r="AJ13" i="6"/>
  <c r="AI13" i="6"/>
  <c r="AJ12" i="6"/>
  <c r="AI12" i="6"/>
  <c r="AJ11" i="6"/>
  <c r="AI11" i="6"/>
  <c r="AJ10" i="6"/>
  <c r="AI10" i="6"/>
  <c r="AJ9" i="6"/>
  <c r="AI9" i="6"/>
  <c r="AK8" i="6"/>
  <c r="AJ8" i="6"/>
  <c r="AI8" i="6"/>
  <c r="AJ7" i="6"/>
  <c r="AI7" i="6"/>
  <c r="AJ6" i="6"/>
  <c r="AI6" i="6"/>
  <c r="AJ5" i="6"/>
  <c r="AI5" i="6"/>
  <c r="AJ4" i="6"/>
  <c r="AI4" i="6"/>
  <c r="F3" i="6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AH3" i="6" s="1"/>
  <c r="AJ125" i="5"/>
  <c r="AI125" i="5"/>
  <c r="AJ124" i="5"/>
  <c r="AI124" i="5"/>
  <c r="AJ123" i="5"/>
  <c r="AI123" i="5"/>
  <c r="AJ122" i="5"/>
  <c r="AI122" i="5"/>
  <c r="AJ121" i="5"/>
  <c r="AI121" i="5"/>
  <c r="AJ120" i="5"/>
  <c r="AI120" i="5"/>
  <c r="AJ119" i="5"/>
  <c r="AI119" i="5"/>
  <c r="AJ118" i="5"/>
  <c r="AI118" i="5"/>
  <c r="AJ117" i="5"/>
  <c r="AI117" i="5"/>
  <c r="AJ116" i="5"/>
  <c r="AI116" i="5"/>
  <c r="AJ115" i="5"/>
  <c r="AI115" i="5"/>
  <c r="AJ114" i="5"/>
  <c r="AI114" i="5"/>
  <c r="AJ113" i="5"/>
  <c r="AI113" i="5"/>
  <c r="AJ112" i="5"/>
  <c r="AI112" i="5"/>
  <c r="AJ111" i="5"/>
  <c r="AI111" i="5"/>
  <c r="AJ110" i="5"/>
  <c r="AI110" i="5"/>
  <c r="AJ109" i="5"/>
  <c r="AI109" i="5"/>
  <c r="AJ108" i="5"/>
  <c r="AI108" i="5"/>
  <c r="AJ107" i="5"/>
  <c r="AI107" i="5"/>
  <c r="AJ106" i="5"/>
  <c r="AI106" i="5"/>
  <c r="AJ105" i="5"/>
  <c r="AI105" i="5"/>
  <c r="AJ104" i="5"/>
  <c r="AI104" i="5"/>
  <c r="AJ103" i="5"/>
  <c r="AI103" i="5"/>
  <c r="AJ102" i="5"/>
  <c r="AI102" i="5"/>
  <c r="AJ101" i="5"/>
  <c r="AI101" i="5"/>
  <c r="AJ100" i="5"/>
  <c r="AI100" i="5"/>
  <c r="AJ99" i="5"/>
  <c r="AI99" i="5"/>
  <c r="AJ98" i="5"/>
  <c r="AI98" i="5"/>
  <c r="AJ97" i="5"/>
  <c r="AI97" i="5"/>
  <c r="AJ96" i="5"/>
  <c r="AI96" i="5"/>
  <c r="AJ95" i="5"/>
  <c r="AI95" i="5"/>
  <c r="AJ94" i="5"/>
  <c r="AI94" i="5"/>
  <c r="AJ93" i="5"/>
  <c r="AI93" i="5"/>
  <c r="AJ92" i="5"/>
  <c r="AI92" i="5"/>
  <c r="AJ91" i="5"/>
  <c r="AI91" i="5"/>
  <c r="AJ90" i="5"/>
  <c r="AI90" i="5"/>
  <c r="AJ89" i="5"/>
  <c r="AI89" i="5"/>
  <c r="AJ88" i="5"/>
  <c r="AI88" i="5"/>
  <c r="AJ87" i="5"/>
  <c r="AI87" i="5"/>
  <c r="AJ86" i="5"/>
  <c r="AI86" i="5"/>
  <c r="AJ85" i="5"/>
  <c r="AI85" i="5"/>
  <c r="AJ84" i="5"/>
  <c r="AI84" i="5"/>
  <c r="AJ83" i="5"/>
  <c r="AI83" i="5"/>
  <c r="AI82" i="5"/>
  <c r="AK82" i="5" s="1"/>
  <c r="AJ81" i="5"/>
  <c r="AI81" i="5"/>
  <c r="AJ80" i="5"/>
  <c r="AI80" i="5"/>
  <c r="AJ79" i="5"/>
  <c r="AI79" i="5"/>
  <c r="AJ78" i="5"/>
  <c r="AI78" i="5"/>
  <c r="AJ77" i="5"/>
  <c r="AI77" i="5"/>
  <c r="AJ76" i="5"/>
  <c r="AI76" i="5"/>
  <c r="AJ75" i="5"/>
  <c r="AI75" i="5"/>
  <c r="AJ74" i="5"/>
  <c r="AI74" i="5"/>
  <c r="D73" i="5"/>
  <c r="E73" i="5" s="1"/>
  <c r="F73" i="5" s="1"/>
  <c r="G73" i="5" s="1"/>
  <c r="H73" i="5" s="1"/>
  <c r="I73" i="5" s="1"/>
  <c r="J73" i="5" s="1"/>
  <c r="K73" i="5" s="1"/>
  <c r="L73" i="5" s="1"/>
  <c r="M73" i="5" s="1"/>
  <c r="N73" i="5" s="1"/>
  <c r="O73" i="5" s="1"/>
  <c r="P73" i="5" s="1"/>
  <c r="Q73" i="5" s="1"/>
  <c r="R73" i="5" s="1"/>
  <c r="S73" i="5" s="1"/>
  <c r="T73" i="5" s="1"/>
  <c r="U73" i="5" s="1"/>
  <c r="V73" i="5" s="1"/>
  <c r="W73" i="5" s="1"/>
  <c r="X73" i="5" s="1"/>
  <c r="Y73" i="5" s="1"/>
  <c r="Z73" i="5" s="1"/>
  <c r="AA73" i="5" s="1"/>
  <c r="AB73" i="5" s="1"/>
  <c r="AC73" i="5" s="1"/>
  <c r="AD73" i="5" s="1"/>
  <c r="AE73" i="5" s="1"/>
  <c r="AF73" i="5" s="1"/>
  <c r="AG73" i="5" s="1"/>
  <c r="AH73" i="5" s="1"/>
  <c r="AK68" i="5"/>
  <c r="AJ68" i="5"/>
  <c r="AI68" i="5"/>
  <c r="AJ67" i="5"/>
  <c r="AI67" i="5"/>
  <c r="AJ66" i="5"/>
  <c r="AI66" i="5"/>
  <c r="AJ65" i="5"/>
  <c r="AI65" i="5"/>
  <c r="AJ64" i="5"/>
  <c r="AI64" i="5"/>
  <c r="AK63" i="5"/>
  <c r="AJ63" i="5"/>
  <c r="AI63" i="5"/>
  <c r="AJ62" i="5"/>
  <c r="AI62" i="5"/>
  <c r="AJ61" i="5"/>
  <c r="AI61" i="5"/>
  <c r="AJ60" i="5"/>
  <c r="AI60" i="5"/>
  <c r="AJ59" i="5"/>
  <c r="AI59" i="5"/>
  <c r="AK58" i="5"/>
  <c r="AJ58" i="5"/>
  <c r="AI58" i="5"/>
  <c r="AJ57" i="5"/>
  <c r="AI57" i="5"/>
  <c r="AJ56" i="5"/>
  <c r="AI56" i="5"/>
  <c r="AJ55" i="5"/>
  <c r="AI55" i="5"/>
  <c r="AJ54" i="5"/>
  <c r="AI54" i="5"/>
  <c r="AK53" i="5"/>
  <c r="AJ53" i="5"/>
  <c r="AI53" i="5"/>
  <c r="AJ52" i="5"/>
  <c r="AI52" i="5"/>
  <c r="AJ51" i="5"/>
  <c r="AI51" i="5"/>
  <c r="AJ50" i="5"/>
  <c r="AI50" i="5"/>
  <c r="AJ49" i="5"/>
  <c r="AI49" i="5"/>
  <c r="AK48" i="5"/>
  <c r="AJ48" i="5"/>
  <c r="AI48" i="5"/>
  <c r="AJ47" i="5"/>
  <c r="AI47" i="5"/>
  <c r="AJ46" i="5"/>
  <c r="AI46" i="5"/>
  <c r="AJ45" i="5"/>
  <c r="AI45" i="5"/>
  <c r="AJ44" i="5"/>
  <c r="AI44" i="5"/>
  <c r="AK43" i="5"/>
  <c r="AJ43" i="5"/>
  <c r="AI43" i="5"/>
  <c r="AJ42" i="5"/>
  <c r="AI42" i="5"/>
  <c r="AJ41" i="5"/>
  <c r="AI41" i="5"/>
  <c r="AJ40" i="5"/>
  <c r="AI40" i="5"/>
  <c r="AJ39" i="5"/>
  <c r="AI39" i="5"/>
  <c r="AK38" i="5"/>
  <c r="AJ38" i="5"/>
  <c r="AI38" i="5"/>
  <c r="AJ37" i="5"/>
  <c r="AI37" i="5"/>
  <c r="AJ36" i="5"/>
  <c r="AI36" i="5"/>
  <c r="AJ35" i="5"/>
  <c r="AI35" i="5"/>
  <c r="AJ34" i="5"/>
  <c r="AI34" i="5"/>
  <c r="AK33" i="5"/>
  <c r="AJ33" i="5"/>
  <c r="AI33" i="5"/>
  <c r="AJ32" i="5"/>
  <c r="AI32" i="5"/>
  <c r="AJ31" i="5"/>
  <c r="AI31" i="5"/>
  <c r="AJ30" i="5"/>
  <c r="AI30" i="5"/>
  <c r="AJ29" i="5"/>
  <c r="AI29" i="5"/>
  <c r="AK28" i="5"/>
  <c r="AJ28" i="5"/>
  <c r="AI28" i="5"/>
  <c r="AJ27" i="5"/>
  <c r="AI27" i="5"/>
  <c r="AJ26" i="5"/>
  <c r="AI26" i="5"/>
  <c r="AJ25" i="5"/>
  <c r="AI25" i="5"/>
  <c r="AJ24" i="5"/>
  <c r="AI24" i="5"/>
  <c r="AJ23" i="5"/>
  <c r="AI23" i="5"/>
  <c r="AJ22" i="5"/>
  <c r="AI22" i="5"/>
  <c r="AJ21" i="5"/>
  <c r="AI21" i="5"/>
  <c r="AJ20" i="5"/>
  <c r="AI20" i="5"/>
  <c r="AJ19" i="5"/>
  <c r="AI19" i="5"/>
  <c r="AJ18" i="5"/>
  <c r="AI18" i="5"/>
  <c r="AJ17" i="5"/>
  <c r="AI17" i="5"/>
  <c r="AJ16" i="5"/>
  <c r="AI16" i="5"/>
  <c r="AJ15" i="5"/>
  <c r="AI15" i="5"/>
  <c r="AJ14" i="5"/>
  <c r="AI14" i="5"/>
  <c r="AJ13" i="5"/>
  <c r="AI13" i="5"/>
  <c r="AJ12" i="5"/>
  <c r="AI12" i="5"/>
  <c r="AJ11" i="5"/>
  <c r="AI11" i="5"/>
  <c r="AJ10" i="5"/>
  <c r="AI10" i="5"/>
  <c r="AJ9" i="5"/>
  <c r="AI9" i="5"/>
  <c r="AJ8" i="5"/>
  <c r="AI8" i="5"/>
  <c r="AJ7" i="5"/>
  <c r="AI7" i="5"/>
  <c r="AJ6" i="5"/>
  <c r="AI6" i="5"/>
  <c r="AJ5" i="5"/>
  <c r="AI5" i="5"/>
  <c r="AJ4" i="5"/>
  <c r="AI4" i="5"/>
  <c r="F3" i="5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J125" i="4"/>
  <c r="AI125" i="4"/>
  <c r="AJ124" i="4"/>
  <c r="AI124" i="4"/>
  <c r="AJ123" i="4"/>
  <c r="AI123" i="4"/>
  <c r="AJ122" i="4"/>
  <c r="AI122" i="4"/>
  <c r="AJ121" i="4"/>
  <c r="AI121" i="4"/>
  <c r="AJ120" i="4"/>
  <c r="AI120" i="4"/>
  <c r="AJ119" i="4"/>
  <c r="AI119" i="4"/>
  <c r="AJ118" i="4"/>
  <c r="AI118" i="4"/>
  <c r="AJ117" i="4"/>
  <c r="AI117" i="4"/>
  <c r="AJ116" i="4"/>
  <c r="AI116" i="4"/>
  <c r="AJ115" i="4"/>
  <c r="AI115" i="4"/>
  <c r="AJ114" i="4"/>
  <c r="AI114" i="4"/>
  <c r="AJ113" i="4"/>
  <c r="AI113" i="4"/>
  <c r="AJ112" i="4"/>
  <c r="AI112" i="4"/>
  <c r="AJ111" i="4"/>
  <c r="AI111" i="4"/>
  <c r="AJ110" i="4"/>
  <c r="AI110" i="4"/>
  <c r="AJ109" i="4"/>
  <c r="AI109" i="4"/>
  <c r="AJ108" i="4"/>
  <c r="AI108" i="4"/>
  <c r="AJ107" i="4"/>
  <c r="AI107" i="4"/>
  <c r="AJ106" i="4"/>
  <c r="AI106" i="4"/>
  <c r="AJ105" i="4"/>
  <c r="AI105" i="4"/>
  <c r="AJ104" i="4"/>
  <c r="AI104" i="4"/>
  <c r="AJ103" i="4"/>
  <c r="AI103" i="4"/>
  <c r="AJ102" i="4"/>
  <c r="AI102" i="4"/>
  <c r="AJ101" i="4"/>
  <c r="AI101" i="4"/>
  <c r="AJ100" i="4"/>
  <c r="AI100" i="4"/>
  <c r="AJ99" i="4"/>
  <c r="AI99" i="4"/>
  <c r="AJ98" i="4"/>
  <c r="AI98" i="4"/>
  <c r="AJ97" i="4"/>
  <c r="AI97" i="4"/>
  <c r="AJ96" i="4"/>
  <c r="AI96" i="4"/>
  <c r="AJ95" i="4"/>
  <c r="AI95" i="4"/>
  <c r="AJ94" i="4"/>
  <c r="AI94" i="4"/>
  <c r="AJ93" i="4"/>
  <c r="AI93" i="4"/>
  <c r="AJ92" i="4"/>
  <c r="AI92" i="4"/>
  <c r="AJ91" i="4"/>
  <c r="AI91" i="4"/>
  <c r="AJ90" i="4"/>
  <c r="AI90" i="4"/>
  <c r="AJ89" i="4"/>
  <c r="AI89" i="4"/>
  <c r="AJ88" i="4"/>
  <c r="AI88" i="4"/>
  <c r="AJ87" i="4"/>
  <c r="AI87" i="4"/>
  <c r="AJ86" i="4"/>
  <c r="AI86" i="4"/>
  <c r="AJ85" i="4"/>
  <c r="AI85" i="4"/>
  <c r="AJ84" i="4"/>
  <c r="AI84" i="4"/>
  <c r="AJ83" i="4"/>
  <c r="AI83" i="4"/>
  <c r="AI82" i="4"/>
  <c r="AK82" i="4" s="1"/>
  <c r="AJ81" i="4"/>
  <c r="AI81" i="4"/>
  <c r="AJ80" i="4"/>
  <c r="AI80" i="4"/>
  <c r="AJ79" i="4"/>
  <c r="AI79" i="4"/>
  <c r="AJ78" i="4"/>
  <c r="AI78" i="4"/>
  <c r="AJ77" i="4"/>
  <c r="AI77" i="4"/>
  <c r="AJ76" i="4"/>
  <c r="AI76" i="4"/>
  <c r="AJ75" i="4"/>
  <c r="AI75" i="4"/>
  <c r="AJ74" i="4"/>
  <c r="AI74" i="4"/>
  <c r="D73" i="4"/>
  <c r="E73" i="4" s="1"/>
  <c r="F73" i="4" s="1"/>
  <c r="G73" i="4" s="1"/>
  <c r="H73" i="4" s="1"/>
  <c r="I73" i="4" s="1"/>
  <c r="J73" i="4" s="1"/>
  <c r="K73" i="4" s="1"/>
  <c r="L73" i="4" s="1"/>
  <c r="M73" i="4" s="1"/>
  <c r="N73" i="4" s="1"/>
  <c r="O73" i="4" s="1"/>
  <c r="P73" i="4" s="1"/>
  <c r="Q73" i="4" s="1"/>
  <c r="R73" i="4" s="1"/>
  <c r="S73" i="4" s="1"/>
  <c r="T73" i="4" s="1"/>
  <c r="U73" i="4" s="1"/>
  <c r="V73" i="4" s="1"/>
  <c r="W73" i="4" s="1"/>
  <c r="X73" i="4" s="1"/>
  <c r="Y73" i="4" s="1"/>
  <c r="Z73" i="4" s="1"/>
  <c r="AA73" i="4" s="1"/>
  <c r="AB73" i="4" s="1"/>
  <c r="AC73" i="4" s="1"/>
  <c r="AD73" i="4" s="1"/>
  <c r="AE73" i="4" s="1"/>
  <c r="AF73" i="4" s="1"/>
  <c r="AG73" i="4" s="1"/>
  <c r="AH73" i="4" s="1"/>
  <c r="AK68" i="4"/>
  <c r="AJ68" i="4"/>
  <c r="AI68" i="4"/>
  <c r="AJ67" i="4"/>
  <c r="AI67" i="4"/>
  <c r="AJ66" i="4"/>
  <c r="AI66" i="4"/>
  <c r="AJ65" i="4"/>
  <c r="AI65" i="4"/>
  <c r="AJ64" i="4"/>
  <c r="AI64" i="4"/>
  <c r="AK63" i="4"/>
  <c r="AJ63" i="4"/>
  <c r="AI63" i="4"/>
  <c r="AJ62" i="4"/>
  <c r="AI62" i="4"/>
  <c r="AJ61" i="4"/>
  <c r="AI61" i="4"/>
  <c r="AJ60" i="4"/>
  <c r="AI60" i="4"/>
  <c r="AJ59" i="4"/>
  <c r="AI59" i="4"/>
  <c r="AK58" i="4"/>
  <c r="AJ58" i="4"/>
  <c r="AI58" i="4"/>
  <c r="AJ57" i="4"/>
  <c r="AI57" i="4"/>
  <c r="AJ56" i="4"/>
  <c r="AI56" i="4"/>
  <c r="AJ55" i="4"/>
  <c r="AI55" i="4"/>
  <c r="AJ54" i="4"/>
  <c r="AI54" i="4"/>
  <c r="AK53" i="4"/>
  <c r="AJ53" i="4"/>
  <c r="AI53" i="4"/>
  <c r="AJ52" i="4"/>
  <c r="AI52" i="4"/>
  <c r="AJ51" i="4"/>
  <c r="AI51" i="4"/>
  <c r="AJ50" i="4"/>
  <c r="AI50" i="4"/>
  <c r="AJ49" i="4"/>
  <c r="AI49" i="4"/>
  <c r="AK48" i="4"/>
  <c r="AJ48" i="4"/>
  <c r="AI48" i="4"/>
  <c r="AJ47" i="4"/>
  <c r="AI47" i="4"/>
  <c r="AJ46" i="4"/>
  <c r="AI46" i="4"/>
  <c r="AJ45" i="4"/>
  <c r="AI45" i="4"/>
  <c r="AJ44" i="4"/>
  <c r="AI44" i="4"/>
  <c r="AK43" i="4"/>
  <c r="AJ43" i="4"/>
  <c r="AI43" i="4"/>
  <c r="AJ42" i="4"/>
  <c r="AI42" i="4"/>
  <c r="AJ41" i="4"/>
  <c r="AI41" i="4"/>
  <c r="AJ40" i="4"/>
  <c r="AI40" i="4"/>
  <c r="AJ39" i="4"/>
  <c r="AI39" i="4"/>
  <c r="AK38" i="4"/>
  <c r="AJ38" i="4"/>
  <c r="AI38" i="4"/>
  <c r="AJ37" i="4"/>
  <c r="AI37" i="4"/>
  <c r="AJ36" i="4"/>
  <c r="AI36" i="4"/>
  <c r="AJ35" i="4"/>
  <c r="AI35" i="4"/>
  <c r="AJ34" i="4"/>
  <c r="AI34" i="4"/>
  <c r="AK33" i="4"/>
  <c r="AJ33" i="4"/>
  <c r="AI33" i="4"/>
  <c r="AJ32" i="4"/>
  <c r="AI32" i="4"/>
  <c r="AJ31" i="4"/>
  <c r="AI31" i="4"/>
  <c r="AK30" i="4"/>
  <c r="AJ30" i="4"/>
  <c r="AI30" i="4"/>
  <c r="AJ29" i="4"/>
  <c r="AI29" i="4"/>
  <c r="AK28" i="4"/>
  <c r="AJ28" i="4"/>
  <c r="AI28" i="4"/>
  <c r="AJ27" i="4"/>
  <c r="AI27" i="4"/>
  <c r="AJ26" i="4"/>
  <c r="AI26" i="4"/>
  <c r="AJ25" i="4"/>
  <c r="AI25" i="4"/>
  <c r="AJ24" i="4"/>
  <c r="AI24" i="4"/>
  <c r="AK23" i="4"/>
  <c r="AJ23" i="4"/>
  <c r="AI23" i="4"/>
  <c r="AJ22" i="4"/>
  <c r="AI22" i="4"/>
  <c r="AJ21" i="4"/>
  <c r="AI21" i="4"/>
  <c r="AJ20" i="4"/>
  <c r="AI20" i="4"/>
  <c r="AJ19" i="4"/>
  <c r="AI19" i="4"/>
  <c r="AJ18" i="4"/>
  <c r="AI18" i="4"/>
  <c r="AJ17" i="4"/>
  <c r="AI17" i="4"/>
  <c r="AJ16" i="4"/>
  <c r="AI16" i="4"/>
  <c r="AJ15" i="4"/>
  <c r="AI15" i="4"/>
  <c r="AJ14" i="4"/>
  <c r="AI14" i="4"/>
  <c r="AK13" i="4"/>
  <c r="AJ13" i="4"/>
  <c r="AI13" i="4"/>
  <c r="AJ12" i="4"/>
  <c r="AI12" i="4"/>
  <c r="AJ11" i="4"/>
  <c r="AI11" i="4"/>
  <c r="AJ10" i="4"/>
  <c r="AI10" i="4"/>
  <c r="AJ9" i="4"/>
  <c r="AI9" i="4"/>
  <c r="AK8" i="4"/>
  <c r="AJ8" i="4"/>
  <c r="AI8" i="4"/>
  <c r="AJ7" i="4"/>
  <c r="AI7" i="4"/>
  <c r="AJ6" i="4"/>
  <c r="AI6" i="4"/>
  <c r="AJ5" i="4"/>
  <c r="AI5" i="4"/>
  <c r="AJ4" i="4"/>
  <c r="AI4" i="4"/>
  <c r="F3" i="4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J125" i="3"/>
  <c r="AI125" i="3"/>
  <c r="AJ124" i="3"/>
  <c r="AI124" i="3"/>
  <c r="AJ123" i="3"/>
  <c r="AI123" i="3"/>
  <c r="AJ122" i="3"/>
  <c r="AI122" i="3"/>
  <c r="AJ121" i="3"/>
  <c r="AI121" i="3"/>
  <c r="AJ120" i="3"/>
  <c r="AI120" i="3"/>
  <c r="AJ119" i="3"/>
  <c r="AI119" i="3"/>
  <c r="AJ118" i="3"/>
  <c r="AI118" i="3"/>
  <c r="AJ117" i="3"/>
  <c r="AI117" i="3"/>
  <c r="AJ116" i="3"/>
  <c r="AI116" i="3"/>
  <c r="AJ115" i="3"/>
  <c r="AI115" i="3"/>
  <c r="AJ114" i="3"/>
  <c r="AI114" i="3"/>
  <c r="AJ113" i="3"/>
  <c r="AI113" i="3"/>
  <c r="AJ112" i="3"/>
  <c r="AI112" i="3"/>
  <c r="AJ111" i="3"/>
  <c r="AI111" i="3"/>
  <c r="AJ110" i="3"/>
  <c r="AI110" i="3"/>
  <c r="AJ109" i="3"/>
  <c r="AI109" i="3"/>
  <c r="AJ108" i="3"/>
  <c r="AI108" i="3"/>
  <c r="AJ107" i="3"/>
  <c r="AI107" i="3"/>
  <c r="AJ106" i="3"/>
  <c r="AI106" i="3"/>
  <c r="AJ105" i="3"/>
  <c r="AI105" i="3"/>
  <c r="AJ104" i="3"/>
  <c r="AI104" i="3"/>
  <c r="AJ103" i="3"/>
  <c r="AI103" i="3"/>
  <c r="AJ102" i="3"/>
  <c r="AI102" i="3"/>
  <c r="AJ101" i="3"/>
  <c r="AI101" i="3"/>
  <c r="AJ100" i="3"/>
  <c r="AI100" i="3"/>
  <c r="AJ99" i="3"/>
  <c r="AI99" i="3"/>
  <c r="AJ98" i="3"/>
  <c r="AI98" i="3"/>
  <c r="AJ97" i="3"/>
  <c r="AI97" i="3"/>
  <c r="AJ96" i="3"/>
  <c r="AI96" i="3"/>
  <c r="AJ95" i="3"/>
  <c r="AI95" i="3"/>
  <c r="AJ94" i="3"/>
  <c r="AI94" i="3"/>
  <c r="AJ93" i="3"/>
  <c r="AI93" i="3"/>
  <c r="AJ92" i="3"/>
  <c r="AI92" i="3"/>
  <c r="AJ91" i="3"/>
  <c r="AI91" i="3"/>
  <c r="AJ90" i="3"/>
  <c r="AI90" i="3"/>
  <c r="AJ89" i="3"/>
  <c r="AI89" i="3"/>
  <c r="AJ88" i="3"/>
  <c r="AI88" i="3"/>
  <c r="AJ87" i="3"/>
  <c r="AI87" i="3"/>
  <c r="AJ86" i="3"/>
  <c r="AI86" i="3"/>
  <c r="AJ85" i="3"/>
  <c r="AI85" i="3"/>
  <c r="AJ84" i="3"/>
  <c r="AI84" i="3"/>
  <c r="AJ83" i="3"/>
  <c r="AI83" i="3"/>
  <c r="AI82" i="3"/>
  <c r="AK82" i="3" s="1"/>
  <c r="AJ81" i="3"/>
  <c r="AI81" i="3"/>
  <c r="AJ80" i="3"/>
  <c r="AI80" i="3"/>
  <c r="AJ79" i="3"/>
  <c r="AI79" i="3"/>
  <c r="AJ78" i="3"/>
  <c r="AI78" i="3"/>
  <c r="AJ77" i="3"/>
  <c r="AI77" i="3"/>
  <c r="AJ76" i="3"/>
  <c r="AI76" i="3"/>
  <c r="AJ75" i="3"/>
  <c r="AI75" i="3"/>
  <c r="AJ74" i="3"/>
  <c r="AI74" i="3"/>
  <c r="D73" i="3"/>
  <c r="E73" i="3" s="1"/>
  <c r="F73" i="3" s="1"/>
  <c r="G73" i="3" s="1"/>
  <c r="H73" i="3" s="1"/>
  <c r="I73" i="3" s="1"/>
  <c r="J73" i="3" s="1"/>
  <c r="K73" i="3" s="1"/>
  <c r="L73" i="3" s="1"/>
  <c r="M73" i="3" s="1"/>
  <c r="N73" i="3" s="1"/>
  <c r="O73" i="3" s="1"/>
  <c r="P73" i="3" s="1"/>
  <c r="Q73" i="3" s="1"/>
  <c r="R73" i="3" s="1"/>
  <c r="S73" i="3" s="1"/>
  <c r="T73" i="3" s="1"/>
  <c r="U73" i="3" s="1"/>
  <c r="V73" i="3" s="1"/>
  <c r="W73" i="3" s="1"/>
  <c r="X73" i="3" s="1"/>
  <c r="Y73" i="3" s="1"/>
  <c r="Z73" i="3" s="1"/>
  <c r="AA73" i="3" s="1"/>
  <c r="AB73" i="3" s="1"/>
  <c r="AC73" i="3" s="1"/>
  <c r="AD73" i="3" s="1"/>
  <c r="AE73" i="3" s="1"/>
  <c r="AF73" i="3" s="1"/>
  <c r="AG73" i="3" s="1"/>
  <c r="AH73" i="3" s="1"/>
  <c r="AK68" i="3"/>
  <c r="AJ68" i="3"/>
  <c r="AI68" i="3"/>
  <c r="AJ67" i="3"/>
  <c r="AI67" i="3"/>
  <c r="AJ66" i="3"/>
  <c r="AI66" i="3"/>
  <c r="AJ65" i="3"/>
  <c r="AI65" i="3"/>
  <c r="AJ64" i="3"/>
  <c r="AI64" i="3"/>
  <c r="AK63" i="3"/>
  <c r="AJ63" i="3"/>
  <c r="AI63" i="3"/>
  <c r="AJ62" i="3"/>
  <c r="AI62" i="3"/>
  <c r="AJ61" i="3"/>
  <c r="AI61" i="3"/>
  <c r="AJ60" i="3"/>
  <c r="AI60" i="3"/>
  <c r="AJ59" i="3"/>
  <c r="AI59" i="3"/>
  <c r="AK58" i="3"/>
  <c r="AJ58" i="3"/>
  <c r="AI58" i="3"/>
  <c r="AJ57" i="3"/>
  <c r="AI57" i="3"/>
  <c r="AJ56" i="3"/>
  <c r="AI56" i="3"/>
  <c r="AJ55" i="3"/>
  <c r="AI55" i="3"/>
  <c r="AJ54" i="3"/>
  <c r="AI54" i="3"/>
  <c r="AK53" i="3"/>
  <c r="AJ53" i="3"/>
  <c r="AI53" i="3"/>
  <c r="AJ52" i="3"/>
  <c r="AI52" i="3"/>
  <c r="AJ51" i="3"/>
  <c r="AI51" i="3"/>
  <c r="AJ50" i="3"/>
  <c r="AI50" i="3"/>
  <c r="AJ49" i="3"/>
  <c r="AI49" i="3"/>
  <c r="AK48" i="3"/>
  <c r="AJ48" i="3"/>
  <c r="AI48" i="3"/>
  <c r="AJ47" i="3"/>
  <c r="AI47" i="3"/>
  <c r="AJ46" i="3"/>
  <c r="AI46" i="3"/>
  <c r="AJ45" i="3"/>
  <c r="AI45" i="3"/>
  <c r="AJ44" i="3"/>
  <c r="AI44" i="3"/>
  <c r="AK43" i="3"/>
  <c r="AJ43" i="3"/>
  <c r="AI43" i="3"/>
  <c r="AJ42" i="3"/>
  <c r="AI42" i="3"/>
  <c r="AJ41" i="3"/>
  <c r="AI41" i="3"/>
  <c r="AJ40" i="3"/>
  <c r="AI40" i="3"/>
  <c r="AJ39" i="3"/>
  <c r="AI39" i="3"/>
  <c r="AK38" i="3"/>
  <c r="AJ38" i="3"/>
  <c r="AI38" i="3"/>
  <c r="AJ37" i="3"/>
  <c r="AI37" i="3"/>
  <c r="AJ36" i="3"/>
  <c r="AI36" i="3"/>
  <c r="AJ35" i="3"/>
  <c r="AI35" i="3"/>
  <c r="AJ34" i="3"/>
  <c r="AI34" i="3"/>
  <c r="AK33" i="3"/>
  <c r="AJ33" i="3"/>
  <c r="AI33" i="3"/>
  <c r="AJ32" i="3"/>
  <c r="AI32" i="3"/>
  <c r="AJ31" i="3"/>
  <c r="AI31" i="3"/>
  <c r="AK30" i="3"/>
  <c r="AJ30" i="3"/>
  <c r="AI30" i="3"/>
  <c r="AJ29" i="3"/>
  <c r="AI29" i="3"/>
  <c r="AK28" i="3"/>
  <c r="AJ28" i="3"/>
  <c r="AI28" i="3"/>
  <c r="AJ27" i="3"/>
  <c r="AI27" i="3"/>
  <c r="AJ26" i="3"/>
  <c r="AI26" i="3"/>
  <c r="AJ25" i="3"/>
  <c r="AI25" i="3"/>
  <c r="AJ24" i="3"/>
  <c r="AI24" i="3"/>
  <c r="AK23" i="3"/>
  <c r="AJ23" i="3"/>
  <c r="AI23" i="3"/>
  <c r="AJ22" i="3"/>
  <c r="AI22" i="3"/>
  <c r="AJ21" i="3"/>
  <c r="AI21" i="3"/>
  <c r="AJ20" i="3"/>
  <c r="AI20" i="3"/>
  <c r="AJ19" i="3"/>
  <c r="AI19" i="3"/>
  <c r="AJ18" i="3"/>
  <c r="AI18" i="3"/>
  <c r="AJ17" i="3"/>
  <c r="AI17" i="3"/>
  <c r="AJ16" i="3"/>
  <c r="AI16" i="3"/>
  <c r="AJ15" i="3"/>
  <c r="AI15" i="3"/>
  <c r="AJ14" i="3"/>
  <c r="AI14" i="3"/>
  <c r="AK13" i="3"/>
  <c r="AJ13" i="3"/>
  <c r="AI13" i="3"/>
  <c r="AJ12" i="3"/>
  <c r="AI12" i="3"/>
  <c r="AJ11" i="3"/>
  <c r="AI11" i="3"/>
  <c r="AJ10" i="3"/>
  <c r="AI10" i="3"/>
  <c r="AJ9" i="3"/>
  <c r="AI9" i="3"/>
  <c r="AK8" i="3"/>
  <c r="AJ8" i="3"/>
  <c r="AI8" i="3"/>
  <c r="AJ7" i="3"/>
  <c r="AI7" i="3"/>
  <c r="AJ6" i="3"/>
  <c r="AI6" i="3"/>
  <c r="AJ5" i="3"/>
  <c r="AI5" i="3"/>
  <c r="AJ4" i="3"/>
  <c r="AI4" i="3"/>
  <c r="AG3" i="3"/>
  <c r="AH3" i="3" s="1"/>
  <c r="F3" i="3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J125" i="2"/>
  <c r="AI125" i="2"/>
  <c r="AJ124" i="2"/>
  <c r="AI124" i="2"/>
  <c r="AJ123" i="2"/>
  <c r="AI123" i="2"/>
  <c r="AJ122" i="2"/>
  <c r="AI122" i="2"/>
  <c r="AJ121" i="2"/>
  <c r="AI121" i="2"/>
  <c r="AJ120" i="2"/>
  <c r="AI120" i="2"/>
  <c r="AJ119" i="2"/>
  <c r="AI119" i="2"/>
  <c r="AJ118" i="2"/>
  <c r="AI118" i="2"/>
  <c r="AJ117" i="2"/>
  <c r="AI117" i="2"/>
  <c r="AJ116" i="2"/>
  <c r="AI116" i="2"/>
  <c r="AJ115" i="2"/>
  <c r="AI115" i="2"/>
  <c r="AJ114" i="2"/>
  <c r="AI114" i="2"/>
  <c r="AJ113" i="2"/>
  <c r="AI113" i="2"/>
  <c r="AJ112" i="2"/>
  <c r="AI112" i="2"/>
  <c r="AJ111" i="2"/>
  <c r="AI111" i="2"/>
  <c r="AJ110" i="2"/>
  <c r="AI110" i="2"/>
  <c r="AJ109" i="2"/>
  <c r="AI109" i="2"/>
  <c r="AJ108" i="2"/>
  <c r="AI108" i="2"/>
  <c r="AJ107" i="2"/>
  <c r="AI107" i="2"/>
  <c r="AJ106" i="2"/>
  <c r="AI106" i="2"/>
  <c r="AJ105" i="2"/>
  <c r="AI105" i="2"/>
  <c r="AJ104" i="2"/>
  <c r="AI104" i="2"/>
  <c r="AJ103" i="2"/>
  <c r="AI103" i="2"/>
  <c r="AJ102" i="2"/>
  <c r="AI102" i="2"/>
  <c r="AJ101" i="2"/>
  <c r="AI101" i="2"/>
  <c r="AJ100" i="2"/>
  <c r="AI100" i="2"/>
  <c r="AJ99" i="2"/>
  <c r="AI99" i="2"/>
  <c r="AJ98" i="2"/>
  <c r="AI98" i="2"/>
  <c r="AJ97" i="2"/>
  <c r="AI97" i="2"/>
  <c r="AJ96" i="2"/>
  <c r="AI96" i="2"/>
  <c r="AJ95" i="2"/>
  <c r="AI95" i="2"/>
  <c r="AJ94" i="2"/>
  <c r="AI94" i="2"/>
  <c r="AJ93" i="2"/>
  <c r="AI93" i="2"/>
  <c r="AJ92" i="2"/>
  <c r="AI92" i="2"/>
  <c r="AJ91" i="2"/>
  <c r="AI91" i="2"/>
  <c r="AJ90" i="2"/>
  <c r="AI90" i="2"/>
  <c r="AJ89" i="2"/>
  <c r="AI89" i="2"/>
  <c r="AJ88" i="2"/>
  <c r="AI88" i="2"/>
  <c r="AJ87" i="2"/>
  <c r="AI87" i="2"/>
  <c r="AJ86" i="2"/>
  <c r="AI86" i="2"/>
  <c r="AJ85" i="2"/>
  <c r="AI85" i="2"/>
  <c r="AJ84" i="2"/>
  <c r="AI84" i="2"/>
  <c r="AJ83" i="2"/>
  <c r="AI83" i="2"/>
  <c r="AI82" i="2"/>
  <c r="AK82" i="2" s="1"/>
  <c r="AJ81" i="2"/>
  <c r="AI81" i="2"/>
  <c r="AJ80" i="2"/>
  <c r="AI80" i="2"/>
  <c r="AJ79" i="2"/>
  <c r="AI79" i="2"/>
  <c r="AJ78" i="2"/>
  <c r="AI78" i="2"/>
  <c r="AJ77" i="2"/>
  <c r="AI77" i="2"/>
  <c r="AJ76" i="2"/>
  <c r="AI76" i="2"/>
  <c r="AJ75" i="2"/>
  <c r="AI75" i="2"/>
  <c r="AJ74" i="2"/>
  <c r="AI74" i="2"/>
  <c r="D73" i="2"/>
  <c r="E73" i="2" s="1"/>
  <c r="F73" i="2" s="1"/>
  <c r="G73" i="2" s="1"/>
  <c r="H73" i="2" s="1"/>
  <c r="I73" i="2" s="1"/>
  <c r="J73" i="2" s="1"/>
  <c r="K73" i="2" s="1"/>
  <c r="L73" i="2" s="1"/>
  <c r="M73" i="2" s="1"/>
  <c r="N73" i="2" s="1"/>
  <c r="O73" i="2" s="1"/>
  <c r="P73" i="2" s="1"/>
  <c r="Q73" i="2" s="1"/>
  <c r="R73" i="2" s="1"/>
  <c r="S73" i="2" s="1"/>
  <c r="T73" i="2" s="1"/>
  <c r="U73" i="2" s="1"/>
  <c r="V73" i="2" s="1"/>
  <c r="W73" i="2" s="1"/>
  <c r="X73" i="2" s="1"/>
  <c r="Y73" i="2" s="1"/>
  <c r="Z73" i="2" s="1"/>
  <c r="AA73" i="2" s="1"/>
  <c r="AB73" i="2" s="1"/>
  <c r="AC73" i="2" s="1"/>
  <c r="AD73" i="2" s="1"/>
  <c r="AE73" i="2" s="1"/>
  <c r="AF73" i="2" s="1"/>
  <c r="AG73" i="2" s="1"/>
  <c r="AH73" i="2" s="1"/>
  <c r="AK68" i="2"/>
  <c r="AJ68" i="2"/>
  <c r="AI68" i="2"/>
  <c r="AJ67" i="2"/>
  <c r="AI67" i="2"/>
  <c r="AK66" i="2"/>
  <c r="AJ66" i="2"/>
  <c r="AI66" i="2"/>
  <c r="AJ65" i="2"/>
  <c r="AI65" i="2"/>
  <c r="AJ64" i="2"/>
  <c r="AI64" i="2"/>
  <c r="AK63" i="2"/>
  <c r="AJ63" i="2"/>
  <c r="AI63" i="2"/>
  <c r="AJ62" i="2"/>
  <c r="AI62" i="2"/>
  <c r="AJ61" i="2"/>
  <c r="AI61" i="2"/>
  <c r="AJ60" i="2"/>
  <c r="AI60" i="2"/>
  <c r="AJ59" i="2"/>
  <c r="AI59" i="2"/>
  <c r="AK58" i="2"/>
  <c r="AJ58" i="2"/>
  <c r="AI58" i="2"/>
  <c r="AJ57" i="2"/>
  <c r="AI57" i="2"/>
  <c r="AJ56" i="2"/>
  <c r="AI56" i="2"/>
  <c r="AJ55" i="2"/>
  <c r="AI55" i="2"/>
  <c r="AJ54" i="2"/>
  <c r="AI54" i="2"/>
  <c r="AK53" i="2"/>
  <c r="AJ53" i="2"/>
  <c r="AI53" i="2"/>
  <c r="AJ52" i="2"/>
  <c r="AI52" i="2"/>
  <c r="AJ51" i="2"/>
  <c r="AI51" i="2"/>
  <c r="AJ50" i="2"/>
  <c r="AI50" i="2"/>
  <c r="AJ49" i="2"/>
  <c r="AI49" i="2"/>
  <c r="AK48" i="2"/>
  <c r="AJ48" i="2"/>
  <c r="AI48" i="2"/>
  <c r="AJ47" i="2"/>
  <c r="AI47" i="2"/>
  <c r="AJ46" i="2"/>
  <c r="AI46" i="2"/>
  <c r="AJ45" i="2"/>
  <c r="AI45" i="2"/>
  <c r="AJ44" i="2"/>
  <c r="AI44" i="2"/>
  <c r="AK43" i="2"/>
  <c r="AJ43" i="2"/>
  <c r="AI43" i="2"/>
  <c r="AJ42" i="2"/>
  <c r="AI42" i="2"/>
  <c r="AJ41" i="2"/>
  <c r="AI41" i="2"/>
  <c r="AJ40" i="2"/>
  <c r="AI40" i="2"/>
  <c r="AJ39" i="2"/>
  <c r="AI39" i="2"/>
  <c r="AK38" i="2"/>
  <c r="AJ38" i="2"/>
  <c r="AI38" i="2"/>
  <c r="AJ37" i="2"/>
  <c r="F37" i="2"/>
  <c r="AJ36" i="2"/>
  <c r="AI36" i="2"/>
  <c r="AJ35" i="2"/>
  <c r="AI35" i="2"/>
  <c r="AJ34" i="2"/>
  <c r="AI34" i="2"/>
  <c r="AK33" i="2"/>
  <c r="AJ33" i="2"/>
  <c r="AI33" i="2"/>
  <c r="AK32" i="2"/>
  <c r="AJ32" i="2"/>
  <c r="AI32" i="2"/>
  <c r="AJ31" i="2"/>
  <c r="AI31" i="2"/>
  <c r="AJ30" i="2"/>
  <c r="AI30" i="2"/>
  <c r="AJ29" i="2"/>
  <c r="AI29" i="2"/>
  <c r="AK28" i="2"/>
  <c r="AJ28" i="2"/>
  <c r="AI28" i="2"/>
  <c r="AJ27" i="2"/>
  <c r="AI27" i="2"/>
  <c r="AJ26" i="2"/>
  <c r="AI26" i="2"/>
  <c r="AJ25" i="2"/>
  <c r="AI25" i="2"/>
  <c r="AJ24" i="2"/>
  <c r="AI24" i="2"/>
  <c r="AK23" i="2"/>
  <c r="AJ23" i="2"/>
  <c r="AI23" i="2"/>
  <c r="AJ22" i="2"/>
  <c r="AI22" i="2"/>
  <c r="AJ21" i="2"/>
  <c r="AI21" i="2"/>
  <c r="AJ20" i="2"/>
  <c r="AI20" i="2"/>
  <c r="AJ19" i="2"/>
  <c r="AI19" i="2"/>
  <c r="AJ18" i="2"/>
  <c r="AI18" i="2"/>
  <c r="AJ17" i="2"/>
  <c r="AI17" i="2"/>
  <c r="AJ16" i="2"/>
  <c r="AI16" i="2"/>
  <c r="AJ15" i="2"/>
  <c r="AI15" i="2"/>
  <c r="AJ14" i="2"/>
  <c r="AI14" i="2"/>
  <c r="AK13" i="2"/>
  <c r="AJ13" i="2"/>
  <c r="AI13" i="2"/>
  <c r="AJ12" i="2"/>
  <c r="AI12" i="2"/>
  <c r="AJ11" i="2"/>
  <c r="AI11" i="2"/>
  <c r="AJ10" i="2"/>
  <c r="AI10" i="2"/>
  <c r="AJ9" i="2"/>
  <c r="AI9" i="2"/>
  <c r="AK8" i="2"/>
  <c r="AJ8" i="2"/>
  <c r="AI8" i="2"/>
  <c r="AJ7" i="2"/>
  <c r="AI7" i="2"/>
  <c r="AJ6" i="2"/>
  <c r="AI6" i="2"/>
  <c r="AJ5" i="2"/>
  <c r="AI5" i="2"/>
  <c r="AJ4" i="2"/>
  <c r="AI4" i="2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J125" i="1"/>
  <c r="AI125" i="1"/>
  <c r="AJ124" i="1"/>
  <c r="AI124" i="1"/>
  <c r="AJ123" i="1"/>
  <c r="AI123" i="1"/>
  <c r="AJ122" i="1"/>
  <c r="AI122" i="1"/>
  <c r="AJ121" i="1"/>
  <c r="AI121" i="1"/>
  <c r="AJ120" i="1"/>
  <c r="AI120" i="1"/>
  <c r="AJ119" i="1"/>
  <c r="AI119" i="1"/>
  <c r="AJ118" i="1"/>
  <c r="AI118" i="1"/>
  <c r="AJ117" i="1"/>
  <c r="AI117" i="1"/>
  <c r="AJ116" i="1"/>
  <c r="AI116" i="1"/>
  <c r="AJ115" i="1"/>
  <c r="AI115" i="1"/>
  <c r="AJ114" i="1"/>
  <c r="AI114" i="1"/>
  <c r="AJ113" i="1"/>
  <c r="AI113" i="1"/>
  <c r="AJ112" i="1"/>
  <c r="AI112" i="1"/>
  <c r="AJ111" i="1"/>
  <c r="AI111" i="1"/>
  <c r="AJ110" i="1"/>
  <c r="AI110" i="1"/>
  <c r="AJ109" i="1"/>
  <c r="AI109" i="1"/>
  <c r="AJ108" i="1"/>
  <c r="AI108" i="1"/>
  <c r="AJ107" i="1"/>
  <c r="AI107" i="1"/>
  <c r="AJ106" i="1"/>
  <c r="AI106" i="1"/>
  <c r="AJ105" i="1"/>
  <c r="AI105" i="1"/>
  <c r="AJ104" i="1"/>
  <c r="AI104" i="1"/>
  <c r="AJ103" i="1"/>
  <c r="AI103" i="1"/>
  <c r="AJ102" i="1"/>
  <c r="AI102" i="1"/>
  <c r="AJ101" i="1"/>
  <c r="AI101" i="1"/>
  <c r="AJ100" i="1"/>
  <c r="AI100" i="1"/>
  <c r="AJ99" i="1"/>
  <c r="AI99" i="1"/>
  <c r="AJ98" i="1"/>
  <c r="AI98" i="1"/>
  <c r="AJ97" i="1"/>
  <c r="AI97" i="1"/>
  <c r="AJ96" i="1"/>
  <c r="AI96" i="1"/>
  <c r="AJ95" i="1"/>
  <c r="AI95" i="1"/>
  <c r="AJ94" i="1"/>
  <c r="AI94" i="1"/>
  <c r="AJ93" i="1"/>
  <c r="AI93" i="1"/>
  <c r="AJ92" i="1"/>
  <c r="AI92" i="1"/>
  <c r="AJ91" i="1"/>
  <c r="AI91" i="1"/>
  <c r="AJ90" i="1"/>
  <c r="AI90" i="1"/>
  <c r="AJ89" i="1"/>
  <c r="AI89" i="1"/>
  <c r="AJ88" i="1"/>
  <c r="AI88" i="1"/>
  <c r="AJ87" i="1"/>
  <c r="AI87" i="1"/>
  <c r="AJ86" i="1"/>
  <c r="AI86" i="1"/>
  <c r="AJ85" i="1"/>
  <c r="AI85" i="1"/>
  <c r="AJ84" i="1"/>
  <c r="AI84" i="1"/>
  <c r="AJ83" i="1"/>
  <c r="AI83" i="1"/>
  <c r="AI82" i="1"/>
  <c r="AK82" i="1" s="1"/>
  <c r="AJ81" i="1"/>
  <c r="AI81" i="1"/>
  <c r="AJ80" i="1"/>
  <c r="AI80" i="1"/>
  <c r="AJ79" i="1"/>
  <c r="AI79" i="1"/>
  <c r="AJ78" i="1"/>
  <c r="AI78" i="1"/>
  <c r="AJ77" i="1"/>
  <c r="AI77" i="1"/>
  <c r="AJ76" i="1"/>
  <c r="AI76" i="1"/>
  <c r="AJ75" i="1"/>
  <c r="AI75" i="1"/>
  <c r="AJ74" i="1"/>
  <c r="AI74" i="1"/>
  <c r="D73" i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K68" i="1"/>
  <c r="AJ68" i="1"/>
  <c r="AI68" i="1"/>
  <c r="AJ67" i="1"/>
  <c r="AI67" i="1"/>
  <c r="AK66" i="1"/>
  <c r="AJ66" i="1"/>
  <c r="AI66" i="1"/>
  <c r="AJ65" i="1"/>
  <c r="AI65" i="1"/>
  <c r="AJ64" i="1"/>
  <c r="AI64" i="1"/>
  <c r="AK63" i="1"/>
  <c r="AJ63" i="1"/>
  <c r="AI63" i="1"/>
  <c r="AJ62" i="1"/>
  <c r="AI62" i="1"/>
  <c r="AJ61" i="1"/>
  <c r="AI61" i="1"/>
  <c r="AJ60" i="1"/>
  <c r="AI60" i="1"/>
  <c r="AJ59" i="1"/>
  <c r="AI59" i="1"/>
  <c r="AK58" i="1"/>
  <c r="AJ58" i="1"/>
  <c r="AI58" i="1"/>
  <c r="AJ57" i="1"/>
  <c r="AI57" i="1"/>
  <c r="AJ56" i="1"/>
  <c r="AI56" i="1"/>
  <c r="AJ55" i="1"/>
  <c r="AI55" i="1"/>
  <c r="AJ54" i="1"/>
  <c r="AI54" i="1"/>
  <c r="AK53" i="1"/>
  <c r="AJ53" i="1"/>
  <c r="AI53" i="1"/>
  <c r="AJ52" i="1"/>
  <c r="AI52" i="1"/>
  <c r="AJ51" i="1"/>
  <c r="AI51" i="1"/>
  <c r="AJ50" i="1"/>
  <c r="AI50" i="1"/>
  <c r="AJ49" i="1"/>
  <c r="AI49" i="1"/>
  <c r="AK48" i="1"/>
  <c r="AJ48" i="1"/>
  <c r="AI48" i="1"/>
  <c r="AJ47" i="1"/>
  <c r="AI47" i="1"/>
  <c r="AJ46" i="1"/>
  <c r="AI46" i="1"/>
  <c r="AJ45" i="1"/>
  <c r="AI45" i="1"/>
  <c r="AJ44" i="1"/>
  <c r="AI44" i="1"/>
  <c r="AK43" i="1"/>
  <c r="AJ43" i="1"/>
  <c r="AI43" i="1"/>
  <c r="AJ42" i="1"/>
  <c r="AI42" i="1"/>
  <c r="AJ41" i="1"/>
  <c r="AI41" i="1"/>
  <c r="AJ40" i="1"/>
  <c r="AI40" i="1"/>
  <c r="AJ39" i="1"/>
  <c r="AI39" i="1"/>
  <c r="AK38" i="1"/>
  <c r="AJ38" i="1"/>
  <c r="AI38" i="1"/>
  <c r="AJ37" i="1"/>
  <c r="AI37" i="1"/>
  <c r="AJ36" i="1"/>
  <c r="AI36" i="1"/>
  <c r="AJ35" i="1"/>
  <c r="AI35" i="1"/>
  <c r="AJ34" i="1"/>
  <c r="AI34" i="1"/>
  <c r="AK33" i="1"/>
  <c r="AJ33" i="1"/>
  <c r="AI33" i="1"/>
  <c r="AK32" i="1"/>
  <c r="AJ32" i="1"/>
  <c r="AI32" i="1"/>
  <c r="AJ31" i="1"/>
  <c r="AI31" i="1"/>
  <c r="AJ30" i="1"/>
  <c r="AI30" i="1"/>
  <c r="AJ29" i="1"/>
  <c r="AI29" i="1"/>
  <c r="AK28" i="1"/>
  <c r="AJ28" i="1"/>
  <c r="AI28" i="1"/>
  <c r="AJ27" i="1"/>
  <c r="AI27" i="1"/>
  <c r="AJ26" i="1"/>
  <c r="AI26" i="1"/>
  <c r="AJ25" i="1"/>
  <c r="AI25" i="1"/>
  <c r="AJ24" i="1"/>
  <c r="AI24" i="1"/>
  <c r="AK23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K13" i="1"/>
  <c r="AJ13" i="1"/>
  <c r="AI13" i="1"/>
  <c r="AJ12" i="1"/>
  <c r="AI12" i="1"/>
  <c r="AJ11" i="1"/>
  <c r="AI11" i="1"/>
  <c r="AJ10" i="1"/>
  <c r="AI10" i="1"/>
  <c r="AJ9" i="1"/>
  <c r="AI9" i="1"/>
  <c r="AK8" i="1"/>
  <c r="AJ8" i="1"/>
  <c r="AI8" i="1"/>
  <c r="AJ7" i="1"/>
  <c r="AI7" i="1"/>
  <c r="AJ6" i="1"/>
  <c r="AI6" i="1"/>
  <c r="AJ5" i="1"/>
  <c r="AI5" i="1"/>
  <c r="AJ4" i="1"/>
  <c r="AI4" i="1"/>
  <c r="F3" i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J126" i="8"/>
  <c r="AI126" i="8"/>
  <c r="AJ125" i="8"/>
  <c r="AI125" i="8"/>
  <c r="AJ124" i="8"/>
  <c r="AI124" i="8"/>
  <c r="AJ123" i="8"/>
  <c r="AI123" i="8"/>
  <c r="AJ122" i="8"/>
  <c r="AI122" i="8"/>
  <c r="AJ121" i="8"/>
  <c r="AI121" i="8"/>
  <c r="AJ120" i="8"/>
  <c r="AI120" i="8"/>
  <c r="AJ119" i="8"/>
  <c r="AI119" i="8"/>
  <c r="AJ118" i="8"/>
  <c r="AI118" i="8"/>
  <c r="AJ117" i="8"/>
  <c r="AI117" i="8"/>
  <c r="AJ116" i="8"/>
  <c r="AI116" i="8"/>
  <c r="AJ115" i="8"/>
  <c r="AI115" i="8"/>
  <c r="AJ114" i="8"/>
  <c r="AI114" i="8"/>
  <c r="AJ113" i="8"/>
  <c r="AI113" i="8"/>
  <c r="AJ112" i="8"/>
  <c r="AI112" i="8"/>
  <c r="AJ111" i="8"/>
  <c r="AI111" i="8"/>
  <c r="AJ110" i="8"/>
  <c r="AI110" i="8"/>
  <c r="AJ109" i="8"/>
  <c r="AI109" i="8"/>
  <c r="AJ108" i="8"/>
  <c r="AI108" i="8"/>
  <c r="AJ107" i="8"/>
  <c r="AI107" i="8"/>
  <c r="AJ106" i="8"/>
  <c r="AI106" i="8"/>
  <c r="AJ105" i="8"/>
  <c r="AI105" i="8"/>
  <c r="AJ104" i="8"/>
  <c r="AI104" i="8"/>
  <c r="AJ103" i="8"/>
  <c r="AI103" i="8"/>
  <c r="AJ102" i="8"/>
  <c r="AI102" i="8"/>
  <c r="AJ101" i="8"/>
  <c r="AI101" i="8"/>
  <c r="AJ100" i="8"/>
  <c r="AI100" i="8"/>
  <c r="AJ99" i="8"/>
  <c r="AI99" i="8"/>
  <c r="AJ98" i="8"/>
  <c r="AI98" i="8"/>
  <c r="AJ97" i="8"/>
  <c r="AI97" i="8"/>
  <c r="AJ96" i="8"/>
  <c r="AI96" i="8"/>
  <c r="AJ95" i="8"/>
  <c r="AI95" i="8"/>
  <c r="AJ94" i="8"/>
  <c r="AI94" i="8"/>
  <c r="AJ93" i="8"/>
  <c r="AI93" i="8"/>
  <c r="AJ92" i="8"/>
  <c r="AI92" i="8"/>
  <c r="AJ91" i="8"/>
  <c r="AI91" i="8"/>
  <c r="AJ90" i="8"/>
  <c r="AI90" i="8"/>
  <c r="AJ89" i="8"/>
  <c r="AI89" i="8"/>
  <c r="AJ88" i="8"/>
  <c r="AI88" i="8"/>
  <c r="AJ87" i="8"/>
  <c r="AI87" i="8"/>
  <c r="AJ86" i="8"/>
  <c r="AI86" i="8"/>
  <c r="AJ85" i="8"/>
  <c r="AI85" i="8"/>
  <c r="AJ84" i="8"/>
  <c r="AI84" i="8"/>
  <c r="AI83" i="8"/>
  <c r="AK83" i="8" s="1"/>
  <c r="AJ82" i="8"/>
  <c r="AI82" i="8"/>
  <c r="AJ81" i="8"/>
  <c r="AI81" i="8"/>
  <c r="AJ80" i="8"/>
  <c r="AI80" i="8"/>
  <c r="AJ79" i="8"/>
  <c r="AI79" i="8"/>
  <c r="AJ78" i="8"/>
  <c r="AI78" i="8"/>
  <c r="AJ77" i="8"/>
  <c r="AI77" i="8"/>
  <c r="AJ76" i="8"/>
  <c r="AI76" i="8"/>
  <c r="AJ75" i="8"/>
  <c r="AI75" i="8"/>
  <c r="F74" i="8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AH74" i="8" s="1"/>
  <c r="AK68" i="8"/>
  <c r="AJ68" i="8"/>
  <c r="AI68" i="8"/>
  <c r="AJ67" i="8"/>
  <c r="AI67" i="8"/>
  <c r="AJ66" i="8"/>
  <c r="AI66" i="8"/>
  <c r="AJ65" i="8"/>
  <c r="AI65" i="8"/>
  <c r="AJ64" i="8"/>
  <c r="AI64" i="8"/>
  <c r="AK63" i="8"/>
  <c r="AJ63" i="8"/>
  <c r="AI63" i="8"/>
  <c r="AJ62" i="8"/>
  <c r="AI62" i="8"/>
  <c r="AJ61" i="8"/>
  <c r="AI61" i="8"/>
  <c r="AJ60" i="8"/>
  <c r="AI60" i="8"/>
  <c r="AJ59" i="8"/>
  <c r="AI59" i="8"/>
  <c r="AK58" i="8"/>
  <c r="AJ58" i="8"/>
  <c r="AI58" i="8"/>
  <c r="AJ57" i="8"/>
  <c r="AI57" i="8"/>
  <c r="AJ56" i="8"/>
  <c r="AI56" i="8"/>
  <c r="AJ55" i="8"/>
  <c r="AI55" i="8"/>
  <c r="AJ54" i="8"/>
  <c r="AI54" i="8"/>
  <c r="AK53" i="8"/>
  <c r="AJ53" i="8"/>
  <c r="AI53" i="8"/>
  <c r="AJ52" i="8"/>
  <c r="AI52" i="8"/>
  <c r="AJ51" i="8"/>
  <c r="AI51" i="8"/>
  <c r="AJ50" i="8"/>
  <c r="AI50" i="8"/>
  <c r="AJ49" i="8"/>
  <c r="AI49" i="8"/>
  <c r="AK48" i="8"/>
  <c r="AJ48" i="8"/>
  <c r="AI48" i="8"/>
  <c r="AJ47" i="8"/>
  <c r="AI47" i="8"/>
  <c r="AJ46" i="8"/>
  <c r="AI46" i="8"/>
  <c r="AJ45" i="8"/>
  <c r="AI45" i="8"/>
  <c r="AJ44" i="8"/>
  <c r="AI44" i="8"/>
  <c r="AK43" i="8"/>
  <c r="AJ43" i="8"/>
  <c r="AI43" i="8"/>
  <c r="AJ42" i="8"/>
  <c r="AI42" i="8"/>
  <c r="AJ41" i="8"/>
  <c r="AI41" i="8"/>
  <c r="AJ40" i="8"/>
  <c r="AI40" i="8"/>
  <c r="AJ39" i="8"/>
  <c r="AI39" i="8"/>
  <c r="AK38" i="8"/>
  <c r="AJ38" i="8"/>
  <c r="AI38" i="8"/>
  <c r="AJ37" i="8"/>
  <c r="AI37" i="8"/>
  <c r="AJ36" i="8"/>
  <c r="AI36" i="8"/>
  <c r="AJ35" i="8"/>
  <c r="AI35" i="8"/>
  <c r="AJ34" i="8"/>
  <c r="AI34" i="8"/>
  <c r="AK33" i="8"/>
  <c r="AJ33" i="8"/>
  <c r="AI33" i="8"/>
  <c r="AJ32" i="8"/>
  <c r="AI32" i="8"/>
  <c r="AJ31" i="8"/>
  <c r="AI31" i="8"/>
  <c r="AJ30" i="8"/>
  <c r="AI30" i="8"/>
  <c r="AJ29" i="8"/>
  <c r="AI29" i="8"/>
  <c r="AK28" i="8"/>
  <c r="AJ28" i="8"/>
  <c r="AI28" i="8"/>
  <c r="AJ27" i="8"/>
  <c r="AI27" i="8"/>
  <c r="AJ26" i="8"/>
  <c r="AI26" i="8"/>
  <c r="AJ25" i="8"/>
  <c r="AI25" i="8"/>
  <c r="AJ24" i="8"/>
  <c r="AI24" i="8"/>
  <c r="AK23" i="8"/>
  <c r="AJ23" i="8"/>
  <c r="AI23" i="8"/>
  <c r="AJ22" i="8"/>
  <c r="AI22" i="8"/>
  <c r="AJ21" i="8"/>
  <c r="AI21" i="8"/>
  <c r="AJ20" i="8"/>
  <c r="AI20" i="8"/>
  <c r="AJ19" i="8"/>
  <c r="AI19" i="8"/>
  <c r="AK18" i="8"/>
  <c r="AJ18" i="8"/>
  <c r="AI18" i="8"/>
  <c r="AJ17" i="8"/>
  <c r="AI17" i="8"/>
  <c r="AJ16" i="8"/>
  <c r="AI16" i="8"/>
  <c r="AJ15" i="8"/>
  <c r="AI15" i="8"/>
  <c r="AJ14" i="8"/>
  <c r="AI14" i="8"/>
  <c r="AK13" i="8"/>
  <c r="AJ13" i="8"/>
  <c r="AI13" i="8"/>
  <c r="AJ12" i="8"/>
  <c r="AI12" i="8"/>
  <c r="AJ11" i="8"/>
  <c r="AI11" i="8"/>
  <c r="AJ10" i="8"/>
  <c r="AI10" i="8"/>
  <c r="AJ9" i="8"/>
  <c r="AI9" i="8"/>
  <c r="AK8" i="8"/>
  <c r="AJ8" i="8"/>
  <c r="AI8" i="8"/>
  <c r="AJ7" i="8"/>
  <c r="AI7" i="8"/>
  <c r="AJ6" i="8"/>
  <c r="AI6" i="8"/>
  <c r="AJ5" i="8"/>
  <c r="AI5" i="8"/>
  <c r="AJ4" i="8"/>
  <c r="AI4" i="8"/>
  <c r="F3" i="8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AH3" i="8" s="1"/>
  <c r="F12" i="24" l="1"/>
  <c r="AJ127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9" i="1"/>
  <c r="AK10" i="1"/>
  <c r="AK11" i="1"/>
  <c r="AK12" i="1"/>
  <c r="AK24" i="1"/>
  <c r="AK25" i="1"/>
  <c r="AK26" i="1"/>
  <c r="AK27" i="1"/>
  <c r="AK39" i="1"/>
  <c r="AK40" i="1"/>
  <c r="AK41" i="1"/>
  <c r="AK42" i="1"/>
  <c r="AK49" i="1"/>
  <c r="AK50" i="1"/>
  <c r="AK51" i="1"/>
  <c r="AK52" i="1"/>
  <c r="AK59" i="1"/>
  <c r="AK60" i="1"/>
  <c r="AK61" i="1"/>
  <c r="AJ126" i="4"/>
  <c r="AJ127" i="6"/>
  <c r="AJ127" i="9"/>
  <c r="AJ127" i="10"/>
  <c r="AJ127" i="11"/>
  <c r="F11" i="17"/>
  <c r="AK14" i="8"/>
  <c r="AK15" i="8"/>
  <c r="AK16" i="8"/>
  <c r="AK17" i="8"/>
  <c r="AK24" i="8"/>
  <c r="AK25" i="8"/>
  <c r="AK26" i="8"/>
  <c r="AK27" i="8"/>
  <c r="AK34" i="8"/>
  <c r="AK35" i="8"/>
  <c r="AK36" i="8"/>
  <c r="AK37" i="8"/>
  <c r="AK44" i="8"/>
  <c r="AK45" i="8"/>
  <c r="AK46" i="8"/>
  <c r="AK47" i="8"/>
  <c r="AK54" i="8"/>
  <c r="AK55" i="8"/>
  <c r="AK56" i="8"/>
  <c r="AK57" i="8"/>
  <c r="AK64" i="8"/>
  <c r="AK65" i="8"/>
  <c r="AK66" i="8"/>
  <c r="AK67" i="8"/>
  <c r="AK9" i="4"/>
  <c r="AK10" i="4"/>
  <c r="AK11" i="4"/>
  <c r="AK24" i="4"/>
  <c r="AK25" i="4"/>
  <c r="AK26" i="4"/>
  <c r="AK27" i="4"/>
  <c r="AK31" i="4"/>
  <c r="AK32" i="4"/>
  <c r="AK39" i="4"/>
  <c r="AK40" i="4"/>
  <c r="AK41" i="4"/>
  <c r="AK42" i="4"/>
  <c r="AK49" i="4"/>
  <c r="AK50" i="4"/>
  <c r="AK51" i="4"/>
  <c r="AK52" i="4"/>
  <c r="AK59" i="4"/>
  <c r="AK60" i="4"/>
  <c r="AK61" i="4"/>
  <c r="AK62" i="4"/>
  <c r="AK4" i="5"/>
  <c r="AK5" i="5"/>
  <c r="AK6" i="5"/>
  <c r="AK7" i="5"/>
  <c r="AK8" i="5"/>
  <c r="AK9" i="5"/>
  <c r="AK10" i="5"/>
  <c r="F10" i="21"/>
  <c r="F11" i="2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9" i="2"/>
  <c r="AK10" i="2"/>
  <c r="AK11" i="2"/>
  <c r="AK12" i="2"/>
  <c r="AK24" i="2"/>
  <c r="AK25" i="2"/>
  <c r="AK26" i="2"/>
  <c r="AK27" i="2"/>
  <c r="AK39" i="2"/>
  <c r="AK40" i="2"/>
  <c r="AK41" i="2"/>
  <c r="AK42" i="2"/>
  <c r="AK49" i="2"/>
  <c r="AK50" i="2"/>
  <c r="AK51" i="2"/>
  <c r="AK52" i="2"/>
  <c r="AK59" i="2"/>
  <c r="AK60" i="2"/>
  <c r="AK61" i="2"/>
  <c r="AK62" i="2"/>
  <c r="AK67" i="2"/>
  <c r="AJ126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4" i="3"/>
  <c r="AK5" i="3"/>
  <c r="AK6" i="3"/>
  <c r="AK7" i="3"/>
  <c r="AK14" i="3"/>
  <c r="AK15" i="3"/>
  <c r="AK16" i="3"/>
  <c r="AK17" i="3"/>
  <c r="AK18" i="3"/>
  <c r="AK19" i="3"/>
  <c r="AK20" i="3"/>
  <c r="AK21" i="3"/>
  <c r="AK22" i="3"/>
  <c r="AK29" i="3"/>
  <c r="AK34" i="3"/>
  <c r="AK35" i="3"/>
  <c r="AK36" i="3"/>
  <c r="AK37" i="3"/>
  <c r="AK44" i="3"/>
  <c r="AK45" i="3"/>
  <c r="AK46" i="3"/>
  <c r="AK47" i="3"/>
  <c r="AK54" i="3"/>
  <c r="AK55" i="3"/>
  <c r="AK56" i="3"/>
  <c r="AK57" i="3"/>
  <c r="AK64" i="3"/>
  <c r="AK65" i="3"/>
  <c r="AK66" i="3"/>
  <c r="AK67" i="3"/>
  <c r="AK74" i="3"/>
  <c r="AK75" i="3"/>
  <c r="AK76" i="3"/>
  <c r="AK77" i="3"/>
  <c r="AK78" i="3"/>
  <c r="AK79" i="3"/>
  <c r="AK80" i="3"/>
  <c r="AK81" i="3"/>
  <c r="AJ126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19" i="5"/>
  <c r="AK120" i="5"/>
  <c r="AK121" i="5"/>
  <c r="AK122" i="5"/>
  <c r="AK123" i="5"/>
  <c r="AK124" i="5"/>
  <c r="AK125" i="5"/>
  <c r="AK9" i="6"/>
  <c r="AK10" i="6"/>
  <c r="AK11" i="6"/>
  <c r="AK12" i="6"/>
  <c r="AK19" i="6"/>
  <c r="AK20" i="6"/>
  <c r="AK21" i="6"/>
  <c r="AK22" i="6"/>
  <c r="AK29" i="6"/>
  <c r="AK30" i="6"/>
  <c r="AK31" i="6"/>
  <c r="AK32" i="6"/>
  <c r="AK39" i="6"/>
  <c r="AK40" i="6"/>
  <c r="AK41" i="6"/>
  <c r="AK42" i="6"/>
  <c r="AK49" i="6"/>
  <c r="AK50" i="6"/>
  <c r="AK51" i="6"/>
  <c r="AK52" i="6"/>
  <c r="AK59" i="6"/>
  <c r="AK60" i="6"/>
  <c r="AK61" i="6"/>
  <c r="AK62" i="6"/>
  <c r="AK4" i="7"/>
  <c r="AK5" i="7"/>
  <c r="AK6" i="7"/>
  <c r="AK7" i="7"/>
  <c r="AK14" i="7"/>
  <c r="AK15" i="7"/>
  <c r="AK16" i="7"/>
  <c r="AK17" i="7"/>
  <c r="AK24" i="7"/>
  <c r="AK25" i="7"/>
  <c r="AK26" i="7"/>
  <c r="AK27" i="7"/>
  <c r="AK34" i="7"/>
  <c r="AK35" i="7"/>
  <c r="AK36" i="7"/>
  <c r="AK37" i="7"/>
  <c r="AK44" i="7"/>
  <c r="AK45" i="7"/>
  <c r="AK46" i="7"/>
  <c r="AK47" i="7"/>
  <c r="AK54" i="7"/>
  <c r="AK55" i="7"/>
  <c r="AK56" i="7"/>
  <c r="AK57" i="7"/>
  <c r="AK64" i="7"/>
  <c r="AK65" i="7"/>
  <c r="AK66" i="7"/>
  <c r="AK67" i="7"/>
  <c r="AK75" i="7"/>
  <c r="AK76" i="7"/>
  <c r="AK77" i="7"/>
  <c r="AK78" i="7"/>
  <c r="AK79" i="7"/>
  <c r="AK80" i="7"/>
  <c r="AK81" i="7"/>
  <c r="AK82" i="7"/>
  <c r="AK76" i="12"/>
  <c r="AK77" i="12"/>
  <c r="AK78" i="12"/>
  <c r="AK80" i="12"/>
  <c r="AK81" i="12"/>
  <c r="AK82" i="12"/>
  <c r="F9" i="15"/>
  <c r="F11" i="19"/>
  <c r="F12" i="19"/>
  <c r="F9" i="23"/>
  <c r="F10" i="23"/>
  <c r="AK62" i="1"/>
  <c r="AK67" i="1"/>
  <c r="AK74" i="1"/>
  <c r="AK75" i="1"/>
  <c r="AK76" i="1"/>
  <c r="AK77" i="1"/>
  <c r="AK78" i="1"/>
  <c r="AK79" i="1"/>
  <c r="AK80" i="1"/>
  <c r="AK81" i="1"/>
  <c r="AJ126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34" i="5"/>
  <c r="AK35" i="5"/>
  <c r="AK36" i="5"/>
  <c r="AK37" i="5"/>
  <c r="AK44" i="5"/>
  <c r="AK45" i="5"/>
  <c r="AK46" i="5"/>
  <c r="AK47" i="5"/>
  <c r="AK54" i="5"/>
  <c r="AK55" i="5"/>
  <c r="AK56" i="5"/>
  <c r="AK57" i="5"/>
  <c r="AK64" i="5"/>
  <c r="AK65" i="5"/>
  <c r="AK66" i="5"/>
  <c r="AK67" i="5"/>
  <c r="AK74" i="5"/>
  <c r="AK75" i="5"/>
  <c r="AK76" i="5"/>
  <c r="AK77" i="5"/>
  <c r="AK78" i="5"/>
  <c r="AK79" i="5"/>
  <c r="AK80" i="5"/>
  <c r="AK81" i="5"/>
  <c r="AJ127" i="7"/>
  <c r="AK84" i="7"/>
  <c r="AK85" i="7"/>
  <c r="AK86" i="7"/>
  <c r="AK87" i="7"/>
  <c r="AK88" i="7"/>
  <c r="AK89" i="7"/>
  <c r="AK4" i="8"/>
  <c r="AK5" i="8"/>
  <c r="AK6" i="8"/>
  <c r="AK7" i="8"/>
  <c r="AK75" i="8"/>
  <c r="AK76" i="8"/>
  <c r="AK77" i="8"/>
  <c r="AK78" i="8"/>
  <c r="AK79" i="8"/>
  <c r="AK80" i="8"/>
  <c r="AK81" i="8"/>
  <c r="AK82" i="8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19" i="7"/>
  <c r="AK120" i="7"/>
  <c r="AK121" i="7"/>
  <c r="AK122" i="7"/>
  <c r="AK123" i="7"/>
  <c r="AK124" i="7"/>
  <c r="AK125" i="7"/>
  <c r="AK126" i="7"/>
  <c r="AK9" i="9"/>
  <c r="AK10" i="9"/>
  <c r="AK11" i="9"/>
  <c r="AK19" i="9"/>
  <c r="AK20" i="9"/>
  <c r="AK21" i="9"/>
  <c r="AK29" i="9"/>
  <c r="AK30" i="9"/>
  <c r="AK31" i="9"/>
  <c r="AK39" i="9"/>
  <c r="AK40" i="9"/>
  <c r="AK41" i="9"/>
  <c r="AK42" i="9"/>
  <c r="AK49" i="9"/>
  <c r="AK50" i="9"/>
  <c r="AK51" i="9"/>
  <c r="AK52" i="9"/>
  <c r="AK59" i="9"/>
  <c r="AK60" i="9"/>
  <c r="AK61" i="9"/>
  <c r="AK62" i="9"/>
  <c r="AK4" i="10"/>
  <c r="AK5" i="10"/>
  <c r="AK6" i="10"/>
  <c r="AK7" i="10"/>
  <c r="AK14" i="10"/>
  <c r="AK15" i="10"/>
  <c r="AK16" i="10"/>
  <c r="AK17" i="10"/>
  <c r="AK24" i="10"/>
  <c r="AK25" i="10"/>
  <c r="AK27" i="10"/>
  <c r="AK34" i="10"/>
  <c r="AK35" i="10"/>
  <c r="AK37" i="10"/>
  <c r="AK44" i="10"/>
  <c r="AK45" i="10"/>
  <c r="AK47" i="10"/>
  <c r="AK54" i="10"/>
  <c r="AK55" i="10"/>
  <c r="AK57" i="10"/>
  <c r="AK64" i="10"/>
  <c r="AK65" i="10"/>
  <c r="AK67" i="10"/>
  <c r="AK9" i="11"/>
  <c r="AK10" i="11"/>
  <c r="AK11" i="11"/>
  <c r="AK19" i="11"/>
  <c r="AK20" i="11"/>
  <c r="AK21" i="11"/>
  <c r="AK29" i="11"/>
  <c r="AK30" i="11"/>
  <c r="AK31" i="11"/>
  <c r="AK39" i="11"/>
  <c r="AK40" i="11"/>
  <c r="AK41" i="11"/>
  <c r="AK49" i="11"/>
  <c r="AK50" i="11"/>
  <c r="AK51" i="11"/>
  <c r="AK59" i="11"/>
  <c r="AK60" i="11"/>
  <c r="AK61" i="11"/>
  <c r="AK9" i="12"/>
  <c r="AK10" i="12"/>
  <c r="AK11" i="12"/>
  <c r="AK19" i="12"/>
  <c r="AK20" i="12"/>
  <c r="AK21" i="12"/>
  <c r="AK29" i="12"/>
  <c r="AK30" i="12"/>
  <c r="AK31" i="12"/>
  <c r="AK39" i="12"/>
  <c r="AK40" i="12"/>
  <c r="AK41" i="12"/>
  <c r="AK49" i="12"/>
  <c r="AK50" i="12"/>
  <c r="AK51" i="12"/>
  <c r="AK59" i="12"/>
  <c r="AK60" i="12"/>
  <c r="AK61" i="12"/>
  <c r="AJ127" i="12"/>
  <c r="AK85" i="12"/>
  <c r="AK86" i="12"/>
  <c r="AK87" i="12"/>
  <c r="AK89" i="12"/>
  <c r="AK90" i="12"/>
  <c r="AK91" i="12"/>
  <c r="AK93" i="12"/>
  <c r="AK94" i="12"/>
  <c r="AK95" i="12"/>
  <c r="AK97" i="12"/>
  <c r="AK98" i="12"/>
  <c r="AK99" i="12"/>
  <c r="AK101" i="12"/>
  <c r="AK102" i="12"/>
  <c r="AK103" i="12"/>
  <c r="AK105" i="12"/>
  <c r="AK106" i="12"/>
  <c r="AK107" i="12"/>
  <c r="AK109" i="12"/>
  <c r="AK110" i="12"/>
  <c r="AK111" i="12"/>
  <c r="AK113" i="12"/>
  <c r="AK114" i="12"/>
  <c r="AK115" i="12"/>
  <c r="AK117" i="12"/>
  <c r="AK118" i="12"/>
  <c r="AK119" i="12"/>
  <c r="AK121" i="12"/>
  <c r="AK122" i="12"/>
  <c r="AK123" i="12"/>
  <c r="AK125" i="12"/>
  <c r="AK126" i="12"/>
  <c r="F9" i="13"/>
  <c r="F11" i="16"/>
  <c r="F12" i="16"/>
  <c r="F10" i="18"/>
  <c r="F11" i="18"/>
  <c r="F11" i="20"/>
  <c r="F9" i="22"/>
  <c r="F8" i="24"/>
  <c r="F9" i="24"/>
  <c r="AK9" i="8"/>
  <c r="AK10" i="8"/>
  <c r="AK11" i="8"/>
  <c r="AK12" i="8"/>
  <c r="AK19" i="8"/>
  <c r="AK20" i="8"/>
  <c r="AK21" i="8"/>
  <c r="AK22" i="8"/>
  <c r="AK29" i="8"/>
  <c r="AK30" i="8"/>
  <c r="AK31" i="8"/>
  <c r="AK32" i="8"/>
  <c r="AK39" i="8"/>
  <c r="AK40" i="8"/>
  <c r="AK41" i="8"/>
  <c r="AK42" i="8"/>
  <c r="AK49" i="8"/>
  <c r="AK50" i="8"/>
  <c r="AK51" i="8"/>
  <c r="AK52" i="8"/>
  <c r="AK59" i="8"/>
  <c r="AK60" i="8"/>
  <c r="AK61" i="8"/>
  <c r="AK62" i="8"/>
  <c r="AK4" i="1"/>
  <c r="AK5" i="1"/>
  <c r="AK6" i="1"/>
  <c r="AK7" i="1"/>
  <c r="AK14" i="1"/>
  <c r="AK15" i="1"/>
  <c r="AK16" i="1"/>
  <c r="AK17" i="1"/>
  <c r="AK18" i="1"/>
  <c r="AK19" i="1"/>
  <c r="AK20" i="1"/>
  <c r="AK21" i="1"/>
  <c r="AK22" i="1"/>
  <c r="AK29" i="1"/>
  <c r="AK30" i="1"/>
  <c r="AK31" i="1"/>
  <c r="AK34" i="1"/>
  <c r="AK35" i="1"/>
  <c r="AK36" i="1"/>
  <c r="AK37" i="1"/>
  <c r="AK44" i="1"/>
  <c r="AK45" i="1"/>
  <c r="AK46" i="1"/>
  <c r="AK47" i="1"/>
  <c r="AK54" i="1"/>
  <c r="AK55" i="1"/>
  <c r="AK56" i="1"/>
  <c r="AK57" i="1"/>
  <c r="AK64" i="1"/>
  <c r="AK65" i="1"/>
  <c r="AK4" i="2"/>
  <c r="AK5" i="2"/>
  <c r="AK6" i="2"/>
  <c r="AK7" i="2"/>
  <c r="AK14" i="2"/>
  <c r="AK15" i="2"/>
  <c r="AK16" i="2"/>
  <c r="AK17" i="2"/>
  <c r="AK18" i="2"/>
  <c r="AK19" i="2"/>
  <c r="AK20" i="2"/>
  <c r="AK21" i="2"/>
  <c r="AK22" i="2"/>
  <c r="AK29" i="2"/>
  <c r="AK30" i="2"/>
  <c r="AK31" i="2"/>
  <c r="AK34" i="2"/>
  <c r="AK35" i="2"/>
  <c r="AK36" i="2"/>
  <c r="AK44" i="2"/>
  <c r="AK45" i="2"/>
  <c r="AK46" i="2"/>
  <c r="AK47" i="2"/>
  <c r="AK54" i="2"/>
  <c r="AK55" i="2"/>
  <c r="AK56" i="2"/>
  <c r="AK57" i="2"/>
  <c r="AK64" i="2"/>
  <c r="AK65" i="2"/>
  <c r="AK74" i="2"/>
  <c r="AK75" i="2"/>
  <c r="AK76" i="2"/>
  <c r="AK77" i="2"/>
  <c r="AK78" i="2"/>
  <c r="AK79" i="2"/>
  <c r="AK80" i="2"/>
  <c r="AK81" i="2"/>
  <c r="AK9" i="3"/>
  <c r="AK10" i="3"/>
  <c r="AK11" i="3"/>
  <c r="AK12" i="3"/>
  <c r="AK24" i="3"/>
  <c r="AK25" i="3"/>
  <c r="AK26" i="3"/>
  <c r="AK27" i="3"/>
  <c r="AK31" i="3"/>
  <c r="AK32" i="3"/>
  <c r="AK39" i="3"/>
  <c r="AK40" i="3"/>
  <c r="AK41" i="3"/>
  <c r="AK42" i="3"/>
  <c r="AK49" i="3"/>
  <c r="AK50" i="3"/>
  <c r="AK51" i="3"/>
  <c r="AK52" i="3"/>
  <c r="AK59" i="3"/>
  <c r="AK60" i="3"/>
  <c r="AK61" i="3"/>
  <c r="AK62" i="3"/>
  <c r="AK4" i="4"/>
  <c r="AK5" i="4"/>
  <c r="AK7" i="4"/>
  <c r="AK14" i="4"/>
  <c r="AK15" i="4"/>
  <c r="AK16" i="4"/>
  <c r="AK17" i="4"/>
  <c r="AK18" i="4"/>
  <c r="AK19" i="4"/>
  <c r="AK21" i="4"/>
  <c r="AK22" i="4"/>
  <c r="AK29" i="4"/>
  <c r="AK34" i="4"/>
  <c r="AK35" i="4"/>
  <c r="AK36" i="4"/>
  <c r="AK37" i="4"/>
  <c r="AK44" i="4"/>
  <c r="AK45" i="4"/>
  <c r="AK46" i="4"/>
  <c r="AK47" i="4"/>
  <c r="AK54" i="4"/>
  <c r="AK55" i="4"/>
  <c r="AK56" i="4"/>
  <c r="AK57" i="4"/>
  <c r="AK64" i="4"/>
  <c r="AK65" i="4"/>
  <c r="AK66" i="4"/>
  <c r="AK67" i="4"/>
  <c r="AK74" i="4"/>
  <c r="AK75" i="4"/>
  <c r="AK76" i="4"/>
  <c r="AK77" i="4"/>
  <c r="AK78" i="4"/>
  <c r="AK79" i="4"/>
  <c r="AK80" i="4"/>
  <c r="AK81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29" i="5"/>
  <c r="AK30" i="5"/>
  <c r="AK31" i="5"/>
  <c r="AK32" i="5"/>
  <c r="AK39" i="5"/>
  <c r="AK40" i="5"/>
  <c r="AK41" i="5"/>
  <c r="AK42" i="5"/>
  <c r="AK49" i="5"/>
  <c r="AK50" i="5"/>
  <c r="AK51" i="5"/>
  <c r="AK52" i="5"/>
  <c r="AK59" i="5"/>
  <c r="AK60" i="5"/>
  <c r="AK61" i="5"/>
  <c r="AK62" i="5"/>
  <c r="AK4" i="6"/>
  <c r="AK5" i="6"/>
  <c r="AK6" i="6"/>
  <c r="AK7" i="6"/>
  <c r="AK14" i="6"/>
  <c r="AK15" i="6"/>
  <c r="AK16" i="6"/>
  <c r="AK17" i="6"/>
  <c r="AK24" i="6"/>
  <c r="AK25" i="6"/>
  <c r="AK26" i="6"/>
  <c r="AK27" i="6"/>
  <c r="AK34" i="6"/>
  <c r="AK35" i="6"/>
  <c r="AK36" i="6"/>
  <c r="AK37" i="6"/>
  <c r="AK44" i="6"/>
  <c r="AK45" i="6"/>
  <c r="AK46" i="6"/>
  <c r="AK47" i="6"/>
  <c r="AK54" i="6"/>
  <c r="AK55" i="6"/>
  <c r="AK56" i="6"/>
  <c r="AK57" i="6"/>
  <c r="AK64" i="6"/>
  <c r="AK65" i="6"/>
  <c r="AK66" i="6"/>
  <c r="AK67" i="6"/>
  <c r="AK75" i="6"/>
  <c r="AK76" i="6"/>
  <c r="AK77" i="6"/>
  <c r="AK78" i="6"/>
  <c r="AK79" i="6"/>
  <c r="AK80" i="6"/>
  <c r="AK81" i="6"/>
  <c r="AK82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9" i="7"/>
  <c r="AK10" i="7"/>
  <c r="AK11" i="7"/>
  <c r="AK12" i="7"/>
  <c r="AK19" i="7"/>
  <c r="AK20" i="7"/>
  <c r="AK21" i="7"/>
  <c r="AK22" i="7"/>
  <c r="AK29" i="7"/>
  <c r="AK30" i="7"/>
  <c r="AK31" i="7"/>
  <c r="AK32" i="7"/>
  <c r="AK39" i="7"/>
  <c r="AK40" i="7"/>
  <c r="AK41" i="7"/>
  <c r="AK42" i="7"/>
  <c r="AK49" i="7"/>
  <c r="AK50" i="7"/>
  <c r="AK51" i="7"/>
  <c r="AK52" i="7"/>
  <c r="AK59" i="7"/>
  <c r="AK60" i="7"/>
  <c r="AK61" i="7"/>
  <c r="AK62" i="7"/>
  <c r="AK4" i="9"/>
  <c r="AK5" i="9"/>
  <c r="AK6" i="9"/>
  <c r="AK7" i="9"/>
  <c r="AK14" i="9"/>
  <c r="AK15" i="9"/>
  <c r="AK17" i="9"/>
  <c r="AK24" i="9"/>
  <c r="AK25" i="9"/>
  <c r="AK27" i="9"/>
  <c r="AK34" i="9"/>
  <c r="AK35" i="9"/>
  <c r="AK36" i="9"/>
  <c r="AK37" i="9"/>
  <c r="AK44" i="9"/>
  <c r="AK45" i="9"/>
  <c r="AK46" i="9"/>
  <c r="AK47" i="9"/>
  <c r="AK54" i="9"/>
  <c r="AK55" i="9"/>
  <c r="AK56" i="9"/>
  <c r="AK57" i="9"/>
  <c r="AK64" i="9"/>
  <c r="AK65" i="9"/>
  <c r="AK66" i="9"/>
  <c r="AK67" i="9"/>
  <c r="AK75" i="9"/>
  <c r="AK76" i="9"/>
  <c r="AK77" i="9"/>
  <c r="AK78" i="9"/>
  <c r="AK79" i="9"/>
  <c r="AK80" i="9"/>
  <c r="AK81" i="9"/>
  <c r="AK82" i="9"/>
  <c r="AK84" i="9"/>
  <c r="AK85" i="9"/>
  <c r="AK86" i="9"/>
  <c r="AK87" i="9"/>
  <c r="AK88" i="9"/>
  <c r="AK89" i="9"/>
  <c r="AK90" i="9"/>
  <c r="AK91" i="9"/>
  <c r="AK92" i="9"/>
  <c r="AK93" i="9"/>
  <c r="AK94" i="9"/>
  <c r="AK95" i="9"/>
  <c r="AK96" i="9"/>
  <c r="AK97" i="9"/>
  <c r="AK98" i="9"/>
  <c r="AK99" i="9"/>
  <c r="AK100" i="9"/>
  <c r="AK101" i="9"/>
  <c r="AK102" i="9"/>
  <c r="AK103" i="9"/>
  <c r="AK104" i="9"/>
  <c r="AK105" i="9"/>
  <c r="AK106" i="9"/>
  <c r="AK107" i="9"/>
  <c r="AK108" i="9"/>
  <c r="AK109" i="9"/>
  <c r="AK110" i="9"/>
  <c r="AK111" i="9"/>
  <c r="AK112" i="9"/>
  <c r="AK113" i="9"/>
  <c r="AK114" i="9"/>
  <c r="AK115" i="9"/>
  <c r="AK116" i="9"/>
  <c r="AK117" i="9"/>
  <c r="AK118" i="9"/>
  <c r="AK119" i="9"/>
  <c r="AK120" i="9"/>
  <c r="AK121" i="9"/>
  <c r="AK122" i="9"/>
  <c r="AK123" i="9"/>
  <c r="AK124" i="9"/>
  <c r="AK125" i="9"/>
  <c r="AK126" i="9"/>
  <c r="AK9" i="10"/>
  <c r="AK10" i="10"/>
  <c r="AK11" i="10"/>
  <c r="AK12" i="10"/>
  <c r="AK19" i="10"/>
  <c r="AK20" i="10"/>
  <c r="AK21" i="10"/>
  <c r="AK22" i="10"/>
  <c r="AK29" i="10"/>
  <c r="AK30" i="10"/>
  <c r="AK31" i="10"/>
  <c r="AK39" i="10"/>
  <c r="AK40" i="10"/>
  <c r="AK41" i="10"/>
  <c r="AK49" i="10"/>
  <c r="AK50" i="10"/>
  <c r="AK51" i="10"/>
  <c r="AK59" i="10"/>
  <c r="AK60" i="10"/>
  <c r="AK61" i="10"/>
  <c r="AK76" i="10"/>
  <c r="AK77" i="10"/>
  <c r="AK78" i="10"/>
  <c r="AK80" i="10"/>
  <c r="AK81" i="10"/>
  <c r="AK82" i="10"/>
  <c r="AK85" i="10"/>
  <c r="AK86" i="10"/>
  <c r="AK87" i="10"/>
  <c r="AK89" i="10"/>
  <c r="AK90" i="10"/>
  <c r="AK91" i="10"/>
  <c r="AK93" i="10"/>
  <c r="AK94" i="10"/>
  <c r="AK95" i="10"/>
  <c r="AK97" i="10"/>
  <c r="AK98" i="10"/>
  <c r="AK99" i="10"/>
  <c r="AK101" i="10"/>
  <c r="AK102" i="10"/>
  <c r="AK103" i="10"/>
  <c r="AK105" i="10"/>
  <c r="AK106" i="10"/>
  <c r="AK107" i="10"/>
  <c r="AK109" i="10"/>
  <c r="AK110" i="10"/>
  <c r="AK111" i="10"/>
  <c r="AK113" i="10"/>
  <c r="AK114" i="10"/>
  <c r="AK115" i="10"/>
  <c r="AK117" i="10"/>
  <c r="AK118" i="10"/>
  <c r="AK119" i="10"/>
  <c r="AK121" i="10"/>
  <c r="AK122" i="10"/>
  <c r="AK123" i="10"/>
  <c r="AK125" i="10"/>
  <c r="AK126" i="10"/>
  <c r="AK4" i="11"/>
  <c r="AK5" i="11"/>
  <c r="AK7" i="11"/>
  <c r="AK14" i="11"/>
  <c r="AK15" i="11"/>
  <c r="AK17" i="11"/>
  <c r="AK24" i="11"/>
  <c r="AK25" i="11"/>
  <c r="AK27" i="11"/>
  <c r="AK34" i="11"/>
  <c r="AK35" i="11"/>
  <c r="AK37" i="11"/>
  <c r="AK44" i="11"/>
  <c r="AK45" i="11"/>
  <c r="AK47" i="11"/>
  <c r="AK54" i="11"/>
  <c r="AK55" i="11"/>
  <c r="AK57" i="11"/>
  <c r="AK64" i="11"/>
  <c r="AK65" i="11"/>
  <c r="AK66" i="11"/>
  <c r="AK67" i="11"/>
  <c r="AK75" i="11"/>
  <c r="AK76" i="11"/>
  <c r="AK77" i="11"/>
  <c r="AK78" i="11"/>
  <c r="AK79" i="11"/>
  <c r="AK80" i="11"/>
  <c r="AK81" i="11"/>
  <c r="AK82" i="11"/>
  <c r="AK84" i="11"/>
  <c r="AK85" i="11"/>
  <c r="AK86" i="11"/>
  <c r="AK87" i="11"/>
  <c r="AK88" i="11"/>
  <c r="AK89" i="11"/>
  <c r="AK90" i="11"/>
  <c r="AK91" i="11"/>
  <c r="F10" i="13"/>
  <c r="F11" i="13"/>
  <c r="F10" i="15"/>
  <c r="F11" i="15"/>
  <c r="AK92" i="11"/>
  <c r="AK93" i="11"/>
  <c r="AK94" i="11"/>
  <c r="AK95" i="11"/>
  <c r="AK96" i="11"/>
  <c r="AK97" i="11"/>
  <c r="AK98" i="11"/>
  <c r="AK99" i="11"/>
  <c r="AK100" i="11"/>
  <c r="AK101" i="11"/>
  <c r="AK102" i="11"/>
  <c r="AK103" i="11"/>
  <c r="AK104" i="11"/>
  <c r="AK105" i="11"/>
  <c r="AK106" i="11"/>
  <c r="AK107" i="11"/>
  <c r="AK108" i="11"/>
  <c r="AK109" i="11"/>
  <c r="AK110" i="11"/>
  <c r="AK111" i="11"/>
  <c r="AK112" i="11"/>
  <c r="AK113" i="11"/>
  <c r="AK114" i="11"/>
  <c r="AK115" i="11"/>
  <c r="AK116" i="11"/>
  <c r="AK117" i="11"/>
  <c r="AK118" i="11"/>
  <c r="AK119" i="11"/>
  <c r="AK121" i="11"/>
  <c r="AK122" i="11"/>
  <c r="AK123" i="11"/>
  <c r="AK125" i="11"/>
  <c r="AK126" i="11"/>
  <c r="AK4" i="12"/>
  <c r="AK5" i="12"/>
  <c r="AK7" i="12"/>
  <c r="AK14" i="12"/>
  <c r="AK15" i="12"/>
  <c r="AK17" i="12"/>
  <c r="AK24" i="12"/>
  <c r="AK25" i="12"/>
  <c r="AK27" i="12"/>
  <c r="AK34" i="12"/>
  <c r="AK35" i="12"/>
  <c r="AK37" i="12"/>
  <c r="AK44" i="12"/>
  <c r="AK45" i="12"/>
  <c r="AK47" i="12"/>
  <c r="AK54" i="12"/>
  <c r="AK55" i="12"/>
  <c r="AK57" i="12"/>
  <c r="AK64" i="12"/>
  <c r="AK65" i="12"/>
  <c r="AK67" i="12"/>
  <c r="F9" i="16"/>
  <c r="F10" i="16"/>
  <c r="H12" i="17"/>
  <c r="H13" i="17" s="1"/>
  <c r="F9" i="17"/>
  <c r="F10" i="17"/>
  <c r="F9" i="18"/>
  <c r="F9" i="19"/>
  <c r="F10" i="19"/>
  <c r="F9" i="20"/>
  <c r="F10" i="20"/>
  <c r="F8" i="21"/>
  <c r="F9" i="21"/>
  <c r="F12" i="21"/>
  <c r="F10" i="22"/>
  <c r="F11" i="22"/>
  <c r="F11" i="23"/>
  <c r="F10" i="24"/>
  <c r="F11" i="24"/>
  <c r="G37" i="2"/>
  <c r="H37" i="2" s="1"/>
  <c r="AK6" i="4"/>
  <c r="AK12" i="4"/>
  <c r="AK20" i="4"/>
  <c r="AK12" i="9"/>
  <c r="AK16" i="9"/>
  <c r="AK22" i="9"/>
  <c r="AK26" i="9"/>
  <c r="AK32" i="9"/>
  <c r="AK26" i="10"/>
  <c r="AK32" i="10"/>
  <c r="AK36" i="10"/>
  <c r="AK42" i="10"/>
  <c r="AK46" i="10"/>
  <c r="AK52" i="10"/>
  <c r="AK56" i="10"/>
  <c r="AK62" i="10"/>
  <c r="AK66" i="10"/>
  <c r="AK75" i="10"/>
  <c r="AK79" i="10"/>
  <c r="AK84" i="10"/>
  <c r="AK88" i="10"/>
  <c r="AK92" i="10"/>
  <c r="AK96" i="10"/>
  <c r="AK100" i="10"/>
  <c r="AK104" i="10"/>
  <c r="AK108" i="10"/>
  <c r="AK112" i="10"/>
  <c r="AK116" i="10"/>
  <c r="AK120" i="10"/>
  <c r="AK124" i="10"/>
  <c r="AK6" i="11"/>
  <c r="AK12" i="11"/>
  <c r="AK16" i="11"/>
  <c r="AK22" i="11"/>
  <c r="AK26" i="11"/>
  <c r="AK32" i="11"/>
  <c r="AK36" i="11"/>
  <c r="AK42" i="11"/>
  <c r="AK46" i="11"/>
  <c r="AK52" i="11"/>
  <c r="AK56" i="11"/>
  <c r="AK62" i="11"/>
  <c r="AK120" i="11"/>
  <c r="AK124" i="11"/>
  <c r="AK6" i="12"/>
  <c r="AK12" i="12"/>
  <c r="AK16" i="12"/>
  <c r="AK22" i="12"/>
  <c r="AK26" i="12"/>
  <c r="AK32" i="12"/>
  <c r="AK36" i="12"/>
  <c r="AK42" i="12"/>
  <c r="AK46" i="12"/>
  <c r="AK52" i="12"/>
  <c r="AK56" i="12"/>
  <c r="AK62" i="12"/>
  <c r="AK66" i="12"/>
  <c r="AK75" i="12"/>
  <c r="AK79" i="12"/>
  <c r="AK84" i="12"/>
  <c r="AK88" i="12"/>
  <c r="AK92" i="12"/>
  <c r="AK96" i="12"/>
  <c r="AK100" i="12"/>
  <c r="AK104" i="12"/>
  <c r="AK108" i="12"/>
  <c r="AK112" i="12"/>
  <c r="AK116" i="12"/>
  <c r="AK120" i="12"/>
  <c r="AK124" i="12"/>
  <c r="E12" i="13"/>
  <c r="C5" i="13" s="1"/>
  <c r="G12" i="13"/>
  <c r="G13" i="13" s="1"/>
  <c r="I12" i="13"/>
  <c r="I13" i="13" s="1"/>
  <c r="F8" i="16"/>
  <c r="E13" i="16"/>
  <c r="C5" i="16" s="1"/>
  <c r="G13" i="16"/>
  <c r="G14" i="16" s="1"/>
  <c r="F8" i="17"/>
  <c r="D12" i="17"/>
  <c r="D13" i="17" s="1"/>
  <c r="E12" i="18"/>
  <c r="C5" i="18" s="1"/>
  <c r="I12" i="23"/>
  <c r="I13" i="23" s="1"/>
  <c r="F8" i="13"/>
  <c r="D12" i="13"/>
  <c r="D13" i="13" s="1"/>
  <c r="H12" i="13"/>
  <c r="H13" i="13" s="1"/>
  <c r="I8" i="16"/>
  <c r="D13" i="16"/>
  <c r="D14" i="16" s="1"/>
  <c r="H13" i="16"/>
  <c r="I13" i="16" s="1"/>
  <c r="G12" i="17"/>
  <c r="G13" i="17" s="1"/>
  <c r="I8" i="17"/>
  <c r="E12" i="17"/>
  <c r="C5" i="17" s="1"/>
  <c r="G12" i="18"/>
  <c r="G13" i="18" s="1"/>
  <c r="I12" i="18"/>
  <c r="I13" i="18" s="1"/>
  <c r="I12" i="20"/>
  <c r="I13" i="20" s="1"/>
  <c r="F8" i="19"/>
  <c r="E13" i="19"/>
  <c r="C5" i="19" s="1"/>
  <c r="G13" i="19"/>
  <c r="G14" i="19" s="1"/>
  <c r="F8" i="20"/>
  <c r="D12" i="20"/>
  <c r="D13" i="20" s="1"/>
  <c r="H12" i="20"/>
  <c r="H13" i="20" s="1"/>
  <c r="D13" i="21"/>
  <c r="D14" i="21" s="1"/>
  <c r="H13" i="21"/>
  <c r="I13" i="21" s="1"/>
  <c r="I14" i="21" s="1"/>
  <c r="E12" i="22"/>
  <c r="C5" i="22" s="1"/>
  <c r="G12" i="22"/>
  <c r="G13" i="22" s="1"/>
  <c r="I12" i="22"/>
  <c r="I13" i="22" s="1"/>
  <c r="F8" i="23"/>
  <c r="D12" i="23"/>
  <c r="D13" i="23" s="1"/>
  <c r="H12" i="23"/>
  <c r="H13" i="23" s="1"/>
  <c r="D13" i="24"/>
  <c r="D14" i="24" s="1"/>
  <c r="H13" i="24"/>
  <c r="I13" i="24" s="1"/>
  <c r="I14" i="24" s="1"/>
  <c r="F8" i="18"/>
  <c r="D12" i="18"/>
  <c r="D13" i="18" s="1"/>
  <c r="H12" i="18"/>
  <c r="H13" i="18" s="1"/>
  <c r="I8" i="19"/>
  <c r="D13" i="19"/>
  <c r="D14" i="19" s="1"/>
  <c r="H13" i="19"/>
  <c r="I13" i="19" s="1"/>
  <c r="E12" i="20"/>
  <c r="C5" i="20" s="1"/>
  <c r="G12" i="20"/>
  <c r="G13" i="20" s="1"/>
  <c r="E13" i="21"/>
  <c r="C5" i="21" s="1"/>
  <c r="G13" i="21"/>
  <c r="G14" i="21" s="1"/>
  <c r="F8" i="22"/>
  <c r="D12" i="22"/>
  <c r="D13" i="22" s="1"/>
  <c r="H12" i="22"/>
  <c r="H13" i="22" s="1"/>
  <c r="E12" i="23"/>
  <c r="C5" i="23" s="1"/>
  <c r="G12" i="23"/>
  <c r="G13" i="23" s="1"/>
  <c r="E13" i="24"/>
  <c r="C5" i="24" s="1"/>
  <c r="G13" i="24"/>
  <c r="G14" i="24" s="1"/>
  <c r="AK126" i="3" l="1"/>
  <c r="AK127" i="11"/>
  <c r="H8" i="14"/>
  <c r="I8" i="14" s="1"/>
  <c r="AK127" i="7"/>
  <c r="AK126" i="2"/>
  <c r="AK127" i="8"/>
  <c r="AK126" i="5"/>
  <c r="AK127" i="9"/>
  <c r="AK126" i="4"/>
  <c r="F13" i="21"/>
  <c r="A5" i="21" s="1"/>
  <c r="H14" i="24"/>
  <c r="E14" i="21"/>
  <c r="AK127" i="6"/>
  <c r="I14" i="19"/>
  <c r="F12" i="20"/>
  <c r="A5" i="20" s="1"/>
  <c r="F12" i="17"/>
  <c r="A5" i="17" s="1"/>
  <c r="E14" i="16"/>
  <c r="G8" i="14"/>
  <c r="F13" i="24"/>
  <c r="F12" i="23"/>
  <c r="A5" i="23" s="1"/>
  <c r="H14" i="19"/>
  <c r="I12" i="17"/>
  <c r="I13" i="17" s="1"/>
  <c r="I14" i="16"/>
  <c r="AK127" i="12"/>
  <c r="E13" i="13"/>
  <c r="AK127" i="10"/>
  <c r="F12" i="22"/>
  <c r="A5" i="22" s="1"/>
  <c r="F13" i="19"/>
  <c r="A5" i="19" s="1"/>
  <c r="F12" i="18"/>
  <c r="A5" i="18" s="1"/>
  <c r="E14" i="24"/>
  <c r="E13" i="22"/>
  <c r="E13" i="20"/>
  <c r="E14" i="19"/>
  <c r="E13" i="17"/>
  <c r="F13" i="16"/>
  <c r="A5" i="16" s="1"/>
  <c r="F12" i="13"/>
  <c r="A5" i="13" s="1"/>
  <c r="E13" i="23"/>
  <c r="H14" i="21"/>
  <c r="E13" i="18"/>
  <c r="H14" i="16"/>
  <c r="I37" i="2"/>
  <c r="D8" i="14"/>
  <c r="J8" i="14"/>
  <c r="E8" i="14"/>
  <c r="F14" i="16" l="1"/>
  <c r="F14" i="21"/>
  <c r="F13" i="13"/>
  <c r="F13" i="22"/>
  <c r="F13" i="23"/>
  <c r="F8" i="14"/>
  <c r="F14" i="19"/>
  <c r="F13" i="18"/>
  <c r="A5" i="24"/>
  <c r="F14" i="24"/>
  <c r="F13" i="17"/>
  <c r="F13" i="20"/>
  <c r="J37" i="2"/>
  <c r="K37" i="2" s="1"/>
  <c r="L37" i="2" s="1"/>
  <c r="M37" i="2" s="1"/>
  <c r="N37" i="2" s="1"/>
  <c r="O37" i="2" s="1"/>
  <c r="H9" i="14" l="1"/>
  <c r="E9" i="14"/>
  <c r="G9" i="14"/>
  <c r="J9" i="14"/>
  <c r="I9" i="14"/>
  <c r="P37" i="2"/>
  <c r="D9" i="14"/>
  <c r="Q37" i="2" l="1"/>
  <c r="F9" i="14"/>
  <c r="R37" i="2" l="1"/>
  <c r="S37" i="2" l="1"/>
  <c r="T37" i="2" l="1"/>
  <c r="U37" i="2" l="1"/>
  <c r="H10" i="14" s="1"/>
  <c r="E10" i="14"/>
  <c r="G10" i="14" l="1"/>
  <c r="I10" i="14"/>
  <c r="V37" i="2"/>
  <c r="J10" i="14"/>
  <c r="D10" i="14"/>
  <c r="F10" i="14" l="1"/>
  <c r="W37" i="2"/>
  <c r="X37" i="2" s="1"/>
  <c r="Y37" i="2" s="1"/>
  <c r="Z37" i="2" s="1"/>
  <c r="AA37" i="2" s="1"/>
  <c r="AB37" i="2" s="1"/>
  <c r="AC37" i="2" s="1"/>
  <c r="E11" i="14" l="1"/>
  <c r="E12" i="14" s="1"/>
  <c r="C5" i="14" s="1"/>
  <c r="D11" i="14"/>
  <c r="J11" i="14"/>
  <c r="AD37" i="2"/>
  <c r="G11" i="14"/>
  <c r="H11" i="14"/>
  <c r="E13" i="14" l="1"/>
  <c r="I11" i="14"/>
  <c r="H12" i="14"/>
  <c r="H13" i="14" s="1"/>
  <c r="AE37" i="2"/>
  <c r="G5" i="14" s="1"/>
  <c r="E5" i="14"/>
  <c r="G8" i="15"/>
  <c r="H8" i="15"/>
  <c r="G12" i="14"/>
  <c r="G13" i="14" s="1"/>
  <c r="F11" i="14"/>
  <c r="D12" i="14"/>
  <c r="D13" i="14" s="1"/>
  <c r="AF37" i="2" l="1"/>
  <c r="AG37" i="2" s="1"/>
  <c r="AH37" i="2" s="1"/>
  <c r="AI37" i="2" s="1"/>
  <c r="AK37" i="2" s="1"/>
  <c r="J8" i="15"/>
  <c r="D8" i="15"/>
  <c r="E8" i="15"/>
  <c r="H12" i="15"/>
  <c r="H13" i="15" s="1"/>
  <c r="I8" i="15"/>
  <c r="F12" i="14"/>
  <c r="A5" i="14" s="1"/>
  <c r="G12" i="15"/>
  <c r="G13" i="15" s="1"/>
  <c r="I12" i="14"/>
  <c r="I13" i="14" s="1"/>
  <c r="E12" i="15" l="1"/>
  <c r="C5" i="15" s="1"/>
  <c r="F13" i="14"/>
  <c r="I12" i="15"/>
  <c r="I13" i="15" s="1"/>
  <c r="D12" i="15"/>
  <c r="D13" i="15" s="1"/>
  <c r="F8" i="15"/>
  <c r="F12" i="15" l="1"/>
  <c r="A5" i="15" s="1"/>
  <c r="E13" i="15"/>
  <c r="F13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V17" authorId="0" shapeId="0" xr:uid="{00000000-0006-0000-0600-000001000000}">
      <text>
        <r>
          <rPr>
            <sz val="11"/>
            <color theme="1"/>
            <rFont val="Arial"/>
            <family val="2"/>
          </rPr>
          <t>Admin:</t>
        </r>
      </text>
    </comment>
    <comment ref="F62" authorId="0" shapeId="0" xr:uid="{00000000-0006-0000-0600-000002000000}">
      <text>
        <r>
          <rPr>
            <sz val="11"/>
            <color theme="1"/>
            <rFont val="Arial"/>
            <family val="2"/>
          </rPr>
          <t>Admin:
chấm công tháng trước nhầm</t>
        </r>
      </text>
    </comment>
    <comment ref="G62" authorId="0" shapeId="0" xr:uid="{00000000-0006-0000-0600-000003000000}">
      <text>
        <r>
          <rPr>
            <sz val="11"/>
            <color theme="1"/>
            <rFont val="Arial"/>
            <family val="2"/>
          </rPr>
          <t>Admin:
chấm công tháng trước nhầm</t>
        </r>
      </text>
    </comment>
    <comment ref="Q62" authorId="0" shapeId="0" xr:uid="{00000000-0006-0000-0600-000004000000}">
      <text>
        <r>
          <rPr>
            <sz val="11"/>
            <color theme="1"/>
            <rFont val="Arial"/>
            <family val="2"/>
          </rPr>
          <t>Admin:
chấm công tháng trước nhầm</t>
        </r>
      </text>
    </comment>
    <comment ref="T62" authorId="0" shapeId="0" xr:uid="{00000000-0006-0000-0600-000005000000}">
      <text>
        <r>
          <rPr>
            <sz val="11"/>
            <color theme="1"/>
            <rFont val="Arial"/>
            <family val="2"/>
          </rPr>
          <t>Admin:
chấm công tháng trước nhầm</t>
        </r>
      </text>
    </comment>
    <comment ref="U62" authorId="0" shapeId="0" xr:uid="{00000000-0006-0000-0600-000006000000}">
      <text>
        <r>
          <rPr>
            <sz val="11"/>
            <color theme="1"/>
            <rFont val="Arial"/>
            <family val="2"/>
          </rPr>
          <t>Admin:
chấm công tháng trước nhầm</t>
        </r>
      </text>
    </comment>
  </commentList>
</comments>
</file>

<file path=xl/sharedStrings.xml><?xml version="1.0" encoding="utf-8"?>
<sst xmlns="http://schemas.openxmlformats.org/spreadsheetml/2006/main" count="3713" uniqueCount="97">
  <si>
    <t>Px GCCK</t>
  </si>
  <si>
    <t>BẢNG CHẤM CÔNG THÁNG - THÁNG 8/2026</t>
  </si>
  <si>
    <t>Tổng công ca</t>
  </si>
  <si>
    <t>Tổng công TC</t>
  </si>
  <si>
    <t>∑</t>
  </si>
  <si>
    <t>STT</t>
  </si>
  <si>
    <t>Họ tên</t>
  </si>
  <si>
    <t>Nguyễn Trung Đông</t>
  </si>
  <si>
    <t>TC</t>
  </si>
  <si>
    <t>C1</t>
  </si>
  <si>
    <t>x</t>
  </si>
  <si>
    <t>C2</t>
  </si>
  <si>
    <t>C3</t>
  </si>
  <si>
    <t>Trần Văn Dũng</t>
  </si>
  <si>
    <t>Hoàng Ngọc Hà</t>
  </si>
  <si>
    <t>x/2</t>
  </si>
  <si>
    <t>Phùng Đình Hùng</t>
  </si>
  <si>
    <t>Đặng Ngọc Long</t>
  </si>
  <si>
    <t>Trần Văn Nhận</t>
  </si>
  <si>
    <t>Phùng Gia Phúc</t>
  </si>
  <si>
    <t>Trần Văn Quỳnh</t>
  </si>
  <si>
    <t>Phạm Ngọc Sam</t>
  </si>
  <si>
    <t>Phùng Công Thắng</t>
  </si>
  <si>
    <t>Nguyễn Văn Thanh</t>
  </si>
  <si>
    <t>Vũ Tiến Thuận</t>
  </si>
  <si>
    <t/>
  </si>
  <si>
    <t>Phạm Văn Tráng</t>
  </si>
  <si>
    <t>Note:</t>
  </si>
  <si>
    <t>HC: Hành chính (ĐVT: Ca)</t>
  </si>
  <si>
    <t>BẢNG CHẤM CÔNG THÁNG - THÁNG 1/2026</t>
  </si>
  <si>
    <t>C1/C2/C3: Công theo ca; TC: Tăng ca (ĐVT: giờ)</t>
  </si>
  <si>
    <t>BẢNG CHẤM CÔNG THÁNG - THÁNG 2/2026</t>
  </si>
  <si>
    <t>BẢNG CHẤM CÔNG THÁNG - THÁNG 3/2026</t>
  </si>
  <si>
    <t>X</t>
  </si>
  <si>
    <t>x/3</t>
  </si>
  <si>
    <t>x/4</t>
  </si>
  <si>
    <t>x/5</t>
  </si>
  <si>
    <t>x/6</t>
  </si>
  <si>
    <t>x/7</t>
  </si>
  <si>
    <t>x/8</t>
  </si>
  <si>
    <t>x/9</t>
  </si>
  <si>
    <t>x/10</t>
  </si>
  <si>
    <t>x/11</t>
  </si>
  <si>
    <t>x/12</t>
  </si>
  <si>
    <t>x/13</t>
  </si>
  <si>
    <t>BẢNG CHẤM CÔNG THÁNG - THÁNG 4/2026</t>
  </si>
  <si>
    <t>BẢNG CHẤM CÔNG THÁNG - THÁNG 5/2026</t>
  </si>
  <si>
    <t>x-1,25</t>
  </si>
  <si>
    <t>X-1</t>
  </si>
  <si>
    <t>x-0.75</t>
  </si>
  <si>
    <t>x-1</t>
  </si>
  <si>
    <t>BẢNG CHẤM CÔNG THÁNG - THÁNG 6/2026</t>
  </si>
  <si>
    <t>x-2</t>
  </si>
  <si>
    <t>x-1,55</t>
  </si>
  <si>
    <t>x-0,50</t>
  </si>
  <si>
    <t>x-1,5</t>
  </si>
  <si>
    <t>BẢNG CHẤM CÔNG THÁNG - THÁNG 7/2026</t>
  </si>
  <si>
    <t>x-0,25</t>
  </si>
  <si>
    <t>BẢNG CHẤM CÔNG THÁNG - THÁNG 9/2026</t>
  </si>
  <si>
    <t>45</t>
  </si>
  <si>
    <t>BẢNG CHẤM CÔNG THÁNG - THÁNG 10/2026</t>
  </si>
  <si>
    <t>BẢNG CHẤM CÔNG THÁNG - THÁNG 11/2026</t>
  </si>
  <si>
    <t>BẢNG CHẤM CÔNG THÁNG - THÁNG 12/2026</t>
  </si>
  <si>
    <t>BÁO CÁO CHẤM CÔNG TUẦN - THÁNG 1/2026</t>
  </si>
  <si>
    <t>Tuần: Thứ 5 → Thứ 4. Tuần thuộc tháng có ngày Thứ 4 kết thúc. x và x-... = 1 công; x/2 = 0,5 công; 0/trống = 0.</t>
  </si>
  <si>
    <t>Tổng công trong tháng</t>
  </si>
  <si>
    <t>Công Chủ nhật</t>
  </si>
  <si>
    <t>Tổng TC trong tháng (giờ)</t>
  </si>
  <si>
    <t>Số ngày đã nhập</t>
  </si>
  <si>
    <t>Cập nhật</t>
  </si>
  <si>
    <t>Tuần</t>
  </si>
  <si>
    <t>Từ ngày</t>
  </si>
  <si>
    <t>Đến ngày</t>
  </si>
  <si>
    <t>Công ngày thường</t>
  </si>
  <si>
    <t>Tổng công</t>
  </si>
  <si>
    <t>TC ngày thường (giờ)</t>
  </si>
  <si>
    <t>Tổng TC (giờ)</t>
  </si>
  <si>
    <t>TC quy đổi công</t>
  </si>
  <si>
    <t>Trạng thái</t>
  </si>
  <si>
    <t>Tuần 01</t>
  </si>
  <si>
    <t>Tuần 02</t>
  </si>
  <si>
    <t>Tuần 03</t>
  </si>
  <si>
    <t>Tuần 04</t>
  </si>
  <si>
    <t>TỔNG CÁC TUẦN HIỂN THỊ</t>
  </si>
  <si>
    <t>Lưu ý: Công ngày thường và Chủ nhật tách riêng. TC = Tăng ca; cột Tổng TC gồm toàn bộ giờ tăng ca trong tuần.</t>
  </si>
  <si>
    <t>BÁO CÁO CHẤM CÔNG TUẦN - THÁNG 2/2026</t>
  </si>
  <si>
    <t>BÁO CÁO CHẤM CÔNG TUẦN - THÁNG 3/2026</t>
  </si>
  <si>
    <t>BÁO CÁO CHẤM CÔNG TUẦN - THÁNG 4/2026</t>
  </si>
  <si>
    <t>Tuần 05</t>
  </si>
  <si>
    <t>BÁO CÁO CHẤM CÔNG TUẦN - THÁNG 5/2026</t>
  </si>
  <si>
    <t>BÁO CÁO CHẤM CÔNG TUẦN - THÁNG 6/2026</t>
  </si>
  <si>
    <t>BÁO CÁO CHẤM CÔNG TUẦN - THÁNG 7/2026</t>
  </si>
  <si>
    <t>BÁO CÁO CHẤM CÔNG TUẦN - THÁNG 8/2026</t>
  </si>
  <si>
    <t>BÁO CÁO CHẤM CÔNG TUẦN - THÁNG 9/2026</t>
  </si>
  <si>
    <t>BÁO CÁO CHẤM CÔNG TUẦN - THÁNG 10/2026</t>
  </si>
  <si>
    <t>BÁO CÁO CHẤM CÔNG TUẦN - THÁNG 11/2026</t>
  </si>
  <si>
    <t>BÁO CÁO CHẤM CÔNG TUẦN - THÁNG 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</si>
</sst>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"/>
    <numFmt numFmtId="165" formatCode="0.000"/>
    <numFmt numFmtId="166" formatCode="0.0"/>
    <numFmt numFmtId="167" formatCode="dd/mm/yyyy\ hh:mm"/>
  </numFmts>
  <fonts count="26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rgb="FF006100"/>
      <name val="Times New Roman"/>
      <family val="1"/>
    </font>
    <font>
      <sz val="12"/>
      <color rgb="FF9C0006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Arial"/>
      <family val="2"/>
    </font>
    <font>
      <b/>
      <sz val="13"/>
      <color theme="1"/>
      <name val="Times New Roman"/>
      <family val="1"/>
    </font>
    <font>
      <i/>
      <sz val="11"/>
      <color rgb="FFFF0000"/>
      <name val="Arial"/>
      <family val="2"/>
    </font>
    <font>
      <sz val="11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i/>
      <sz val="10"/>
      <color rgb="FFC00000"/>
      <name val="Calibri"/>
      <family val="2"/>
    </font>
    <font>
      <b/>
      <sz val="12"/>
      <color rgb="FFFFFFFF"/>
      <name val="Arial"/>
      <family val="2"/>
    </font>
    <font>
      <i/>
      <sz val="11"/>
      <color rgb="FF1F2937"/>
      <name val="Arial"/>
      <family val="2"/>
    </font>
    <font>
      <b/>
      <sz val="11"/>
      <color rgb="FFFFFFFF"/>
      <name val="Arial"/>
      <family val="2"/>
    </font>
    <font>
      <b/>
      <sz val="11"/>
      <color rgb="FF17365D"/>
      <name val="Arial"/>
      <family val="2"/>
    </font>
    <font>
      <b/>
      <sz val="11"/>
      <color rgb="FF274E13"/>
      <name val="Arial"/>
      <family val="2"/>
    </font>
    <font>
      <i/>
      <sz val="11"/>
      <color rgb="FF4B5563"/>
      <name val="Arial"/>
      <family val="2"/>
    </font>
    <font>
      <sz val="13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theme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C6EFCE"/>
      </patternFill>
    </fill>
    <fill>
      <patternFill patternType="solid">
        <fgColor theme="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AAB7A1"/>
      </left>
      <right style="thin">
        <color rgb="FFAAB7A1"/>
      </right>
      <top style="thin">
        <color rgb="FFAAB7A1"/>
      </top>
      <bottom style="thin">
        <color rgb="FFAAB7A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AAB7A1"/>
      </top>
      <bottom style="thin">
        <color rgb="FFAAB7A1"/>
      </bottom>
      <diagonal/>
    </border>
    <border>
      <left/>
      <right style="thin">
        <color rgb="FFAAB7A1"/>
      </right>
      <top style="thin">
        <color rgb="FFAAB7A1"/>
      </top>
      <bottom style="thin">
        <color rgb="FFAAB7A1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4">
    <xf numFmtId="0" fontId="0" fillId="0" borderId="0"/>
    <xf numFmtId="0" fontId="3" fillId="20" borderId="0"/>
    <xf numFmtId="0" fontId="4" fillId="5" borderId="0"/>
    <xf numFmtId="43" fontId="13" fillId="0" borderId="0"/>
  </cellStyleXfs>
  <cellXfs count="138">
    <xf numFmtId="0" fontId="0" fillId="0" borderId="0" xfId="0"/>
    <xf numFmtId="0" fontId="0" fillId="3" borderId="0" xfId="0" applyFill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/>
    <xf numFmtId="0" fontId="12" fillId="0" borderId="0" xfId="0" applyFont="1"/>
    <xf numFmtId="0" fontId="0" fillId="0" borderId="1" xfId="0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0" fontId="15" fillId="8" borderId="13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/>
    </xf>
    <xf numFmtId="2" fontId="15" fillId="0" borderId="13" xfId="0" applyNumberFormat="1" applyFont="1" applyBorder="1" applyAlignment="1">
      <alignment vertical="center"/>
    </xf>
    <xf numFmtId="2" fontId="15" fillId="0" borderId="13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left" vertical="center"/>
    </xf>
    <xf numFmtId="0" fontId="15" fillId="9" borderId="13" xfId="0" applyFont="1" applyFill="1" applyBorder="1" applyAlignment="1">
      <alignment horizontal="center" vertical="center"/>
    </xf>
    <xf numFmtId="2" fontId="15" fillId="9" borderId="13" xfId="0" applyNumberFormat="1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vertical="center"/>
    </xf>
    <xf numFmtId="0" fontId="18" fillId="9" borderId="13" xfId="0" applyFont="1" applyFill="1" applyBorder="1" applyAlignment="1">
      <alignment horizontal="left" vertical="center"/>
    </xf>
    <xf numFmtId="0" fontId="18" fillId="9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3" xfId="0" applyFont="1" applyBorder="1" applyAlignment="1">
      <alignment horizontal="left" vertical="center"/>
    </xf>
    <xf numFmtId="0" fontId="18" fillId="0" borderId="13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2" fontId="6" fillId="0" borderId="6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6" fillId="0" borderId="5" xfId="0" applyNumberFormat="1" applyFont="1" applyBorder="1" applyAlignment="1">
      <alignment vertical="center"/>
    </xf>
    <xf numFmtId="2" fontId="0" fillId="0" borderId="5" xfId="0" applyNumberFormat="1" applyBorder="1"/>
    <xf numFmtId="2" fontId="0" fillId="0" borderId="1" xfId="0" applyNumberFormat="1" applyBorder="1"/>
    <xf numFmtId="2" fontId="6" fillId="6" borderId="5" xfId="0" applyNumberFormat="1" applyFont="1" applyFill="1" applyBorder="1" applyAlignment="1">
      <alignment vertical="center"/>
    </xf>
    <xf numFmtId="2" fontId="0" fillId="6" borderId="5" xfId="0" applyNumberFormat="1" applyFill="1" applyBorder="1"/>
    <xf numFmtId="2" fontId="0" fillId="6" borderId="1" xfId="0" applyNumberFormat="1" applyFill="1" applyBorder="1"/>
    <xf numFmtId="0" fontId="21" fillId="14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23" fillId="16" borderId="15" xfId="0" applyFont="1" applyFill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9" borderId="14" xfId="0" applyNumberFormat="1" applyFill="1" applyBorder="1" applyAlignment="1">
      <alignment horizontal="center" vertical="center"/>
    </xf>
    <xf numFmtId="2" fontId="0" fillId="15" borderId="14" xfId="0" applyNumberFormat="1" applyFill="1" applyBorder="1" applyAlignment="1">
      <alignment horizontal="center" vertical="center"/>
    </xf>
    <xf numFmtId="2" fontId="23" fillId="16" borderId="15" xfId="0" applyNumberFormat="1" applyFont="1" applyFill="1" applyBorder="1" applyAlignment="1">
      <alignment horizontal="center" vertical="center"/>
    </xf>
    <xf numFmtId="164" fontId="15" fillId="18" borderId="13" xfId="0" applyNumberFormat="1" applyFont="1" applyFill="1" applyBorder="1" applyAlignment="1">
      <alignment horizontal="center" vertical="center"/>
    </xf>
    <xf numFmtId="0" fontId="15" fillId="18" borderId="13" xfId="0" applyFont="1" applyFill="1" applyBorder="1" applyAlignment="1">
      <alignment horizontal="center" vertical="center"/>
    </xf>
    <xf numFmtId="2" fontId="15" fillId="18" borderId="13" xfId="0" applyNumberFormat="1" applyFont="1" applyFill="1" applyBorder="1" applyAlignment="1">
      <alignment horizontal="center" vertical="center"/>
    </xf>
    <xf numFmtId="0" fontId="14" fillId="18" borderId="13" xfId="0" applyFont="1" applyFill="1" applyBorder="1" applyAlignment="1">
      <alignment horizontal="center" vertical="center"/>
    </xf>
    <xf numFmtId="14" fontId="14" fillId="18" borderId="13" xfId="0" applyNumberFormat="1" applyFont="1" applyFill="1" applyBorder="1" applyAlignment="1">
      <alignment horizontal="center" vertical="center"/>
    </xf>
    <xf numFmtId="0" fontId="15" fillId="19" borderId="13" xfId="0" applyFont="1" applyFill="1" applyBorder="1" applyAlignment="1">
      <alignment horizontal="center" vertical="center"/>
    </xf>
    <xf numFmtId="164" fontId="15" fillId="20" borderId="13" xfId="0" applyNumberFormat="1" applyFont="1" applyFill="1" applyBorder="1" applyAlignment="1">
      <alignment horizontal="center" vertical="center"/>
    </xf>
    <xf numFmtId="0" fontId="15" fillId="20" borderId="13" xfId="0" applyFont="1" applyFill="1" applyBorder="1" applyAlignment="1">
      <alignment horizontal="center" vertical="center"/>
    </xf>
    <xf numFmtId="2" fontId="15" fillId="20" borderId="13" xfId="0" applyNumberFormat="1" applyFont="1" applyFill="1" applyBorder="1" applyAlignment="1">
      <alignment horizontal="center" vertical="center"/>
    </xf>
    <xf numFmtId="0" fontId="14" fillId="20" borderId="13" xfId="0" applyFont="1" applyFill="1" applyBorder="1" applyAlignment="1">
      <alignment horizontal="center" vertical="center"/>
    </xf>
    <xf numFmtId="14" fontId="14" fillId="20" borderId="13" xfId="0" applyNumberFormat="1" applyFont="1" applyFill="1" applyBorder="1" applyAlignment="1">
      <alignment horizontal="center" vertical="center"/>
    </xf>
    <xf numFmtId="166" fontId="15" fillId="18" borderId="13" xfId="0" applyNumberFormat="1" applyFont="1" applyFill="1" applyBorder="1" applyAlignment="1">
      <alignment horizontal="center" vertical="center"/>
    </xf>
    <xf numFmtId="0" fontId="14" fillId="19" borderId="13" xfId="0" applyFont="1" applyFill="1" applyBorder="1" applyAlignment="1">
      <alignment horizontal="center" vertical="center"/>
    </xf>
    <xf numFmtId="165" fontId="15" fillId="18" borderId="13" xfId="0" applyNumberFormat="1" applyFont="1" applyFill="1" applyBorder="1" applyAlignment="1">
      <alignment horizontal="center" vertical="center"/>
    </xf>
    <xf numFmtId="2" fontId="15" fillId="6" borderId="13" xfId="0" applyNumberFormat="1" applyFont="1" applyFill="1" applyBorder="1" applyAlignment="1">
      <alignment horizontal="center" vertical="center"/>
    </xf>
    <xf numFmtId="2" fontId="15" fillId="6" borderId="13" xfId="0" applyNumberFormat="1" applyFont="1" applyFill="1" applyBorder="1" applyAlignment="1">
      <alignment horizontal="center" vertical="center" wrapText="1"/>
    </xf>
    <xf numFmtId="0" fontId="15" fillId="21" borderId="13" xfId="0" applyFont="1" applyFill="1" applyBorder="1" applyAlignment="1">
      <alignment vertical="center"/>
    </xf>
    <xf numFmtId="0" fontId="15" fillId="21" borderId="13" xfId="0" applyFont="1" applyFill="1" applyBorder="1" applyAlignment="1">
      <alignment horizontal="left" vertical="center"/>
    </xf>
    <xf numFmtId="0" fontId="15" fillId="21" borderId="13" xfId="0" applyFont="1" applyFill="1" applyBorder="1" applyAlignment="1">
      <alignment horizontal="center" vertical="center"/>
    </xf>
    <xf numFmtId="2" fontId="15" fillId="21" borderId="13" xfId="0" applyNumberFormat="1" applyFont="1" applyFill="1" applyBorder="1" applyAlignment="1">
      <alignment horizontal="center" vertical="center"/>
    </xf>
    <xf numFmtId="0" fontId="0" fillId="21" borderId="0" xfId="0" applyFill="1"/>
    <xf numFmtId="164" fontId="15" fillId="8" borderId="13" xfId="0" applyNumberFormat="1" applyFont="1" applyFill="1" applyBorder="1" applyAlignment="1">
      <alignment horizontal="center" vertical="center"/>
    </xf>
    <xf numFmtId="164" fontId="15" fillId="4" borderId="13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6" xfId="0" applyBorder="1"/>
    <xf numFmtId="14" fontId="11" fillId="2" borderId="4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7" xfId="0" applyBorder="1"/>
    <xf numFmtId="0" fontId="1" fillId="0" borderId="2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 wrapText="1"/>
    </xf>
    <xf numFmtId="14" fontId="16" fillId="7" borderId="13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7" fillId="8" borderId="13" xfId="0" applyFont="1" applyFill="1" applyBorder="1" applyAlignment="1">
      <alignment horizontal="center" vertical="center" wrapText="1"/>
    </xf>
    <xf numFmtId="0" fontId="0" fillId="0" borderId="16" xfId="0" applyBorder="1"/>
    <xf numFmtId="0" fontId="16" fillId="7" borderId="13" xfId="0" applyFont="1" applyFill="1" applyBorder="1" applyAlignment="1">
      <alignment horizontal="center" vertical="center"/>
    </xf>
    <xf numFmtId="0" fontId="11" fillId="21" borderId="2" xfId="2" applyFont="1" applyFill="1" applyBorder="1" applyAlignment="1">
      <alignment horizontal="center" vertical="center"/>
    </xf>
    <xf numFmtId="14" fontId="11" fillId="21" borderId="4" xfId="0" applyNumberFormat="1" applyFont="1" applyFill="1" applyBorder="1" applyAlignment="1">
      <alignment horizontal="center" vertical="center"/>
    </xf>
    <xf numFmtId="0" fontId="5" fillId="21" borderId="1" xfId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5" fillId="8" borderId="13" xfId="0" applyFont="1" applyFill="1" applyBorder="1" applyAlignment="1">
      <alignment horizontal="center" vertical="center" wrapText="1"/>
    </xf>
    <xf numFmtId="0" fontId="19" fillId="10" borderId="0" xfId="0" applyFont="1" applyFill="1" applyAlignment="1">
      <alignment horizontal="center" vertical="center"/>
    </xf>
    <xf numFmtId="0" fontId="0" fillId="0" borderId="0" xfId="0"/>
    <xf numFmtId="0" fontId="21" fillId="12" borderId="0" xfId="0" applyFont="1" applyFill="1" applyAlignment="1">
      <alignment horizontal="center" vertical="center" wrapText="1"/>
    </xf>
    <xf numFmtId="0" fontId="24" fillId="17" borderId="0" xfId="0" applyFont="1" applyFill="1" applyAlignment="1">
      <alignment vertical="center" wrapText="1"/>
    </xf>
    <xf numFmtId="167" fontId="22" fillId="13" borderId="0" xfId="0" applyNumberFormat="1" applyFont="1" applyFill="1" applyAlignment="1">
      <alignment horizontal="center" vertical="center"/>
    </xf>
    <xf numFmtId="0" fontId="20" fillId="11" borderId="0" xfId="0" applyFont="1" applyFill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23" fillId="16" borderId="15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2" fontId="22" fillId="13" borderId="0" xfId="0" applyNumberFormat="1" applyFont="1" applyFill="1" applyAlignment="1">
      <alignment horizontal="center" vertical="center"/>
    </xf>
    <xf numFmtId="1" fontId="22" fillId="13" borderId="0" xfId="0" applyNumberFormat="1" applyFont="1" applyFill="1" applyAlignment="1">
      <alignment horizontal="center" vertical="center"/>
    </xf>
  </cellXfs>
  <cellStyles count="4">
    <cellStyle name="Bad" xfId="2" xr:uid="{00000000-0005-0000-0000-000002000000}"/>
    <cellStyle name="Comma" xfId="3" xr:uid="{00000000-0005-0000-0000-000003000000}"/>
    <cellStyle name="Good" xfId="1" xr:uid="{00000000-0005-0000-0000-000001000000}"/>
    <cellStyle name="Normal" xfId="0" builtinId="0"/>
  </cellStyles>
  <dxfs count="151"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62828"/>
      </font>
      <fill>
        <patternFill>
          <bgColor rgb="FFFCE8E6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6EFCE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D9E8FF"/>
        </patternFill>
      </fill>
    </dxf>
    <dxf>
      <fill>
        <patternFill>
          <bgColor rgb="FFE2EFDA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1"/>
  <sheetViews>
    <sheetView topLeftCell="A13" workbookViewId="0">
      <selection sqref="A1:C2"/>
    </sheetView>
  </sheetViews>
  <sheetFormatPr defaultColWidth="12.625" defaultRowHeight="14.25" x14ac:dyDescent="0.2"/>
  <cols>
    <col min="1" max="1" width="5" customWidth="1"/>
    <col min="2" max="2" width="22" customWidth="1"/>
    <col min="3" max="3" width="7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10" customWidth="1"/>
  </cols>
  <sheetData>
    <row r="1" spans="1:37" ht="27.95" customHeight="1" x14ac:dyDescent="0.2">
      <c r="A1" s="114" t="s">
        <v>0</v>
      </c>
      <c r="B1" s="118"/>
      <c r="C1" s="119"/>
      <c r="D1" s="114" t="s">
        <v>29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1"/>
      <c r="AI1" s="112" t="s">
        <v>2</v>
      </c>
      <c r="AJ1" s="112" t="s">
        <v>3</v>
      </c>
      <c r="AK1" s="112" t="s">
        <v>4</v>
      </c>
    </row>
    <row r="2" spans="1:37" ht="20.100000000000001" customHeight="1" x14ac:dyDescent="0.2">
      <c r="A2" s="120"/>
      <c r="B2" s="121"/>
      <c r="C2" s="122"/>
      <c r="D2" s="109">
        <v>46023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1"/>
      <c r="AI2" s="113"/>
      <c r="AJ2" s="113"/>
      <c r="AK2" s="113"/>
    </row>
    <row r="3" spans="1:37" ht="21.95" customHeight="1" x14ac:dyDescent="0.2">
      <c r="A3" s="2" t="s">
        <v>5</v>
      </c>
      <c r="B3" s="2" t="s">
        <v>6</v>
      </c>
      <c r="C3" s="32"/>
      <c r="D3" s="85">
        <v>46023</v>
      </c>
      <c r="E3" s="85">
        <v>46024</v>
      </c>
      <c r="F3" s="85">
        <f t="shared" ref="F3:AH3" si="0">+E3+1</f>
        <v>46025</v>
      </c>
      <c r="G3" s="86">
        <f t="shared" si="0"/>
        <v>46026</v>
      </c>
      <c r="H3" s="85">
        <f t="shared" si="0"/>
        <v>46027</v>
      </c>
      <c r="I3" s="85">
        <f t="shared" si="0"/>
        <v>46028</v>
      </c>
      <c r="J3" s="85">
        <f t="shared" si="0"/>
        <v>46029</v>
      </c>
      <c r="K3" s="85">
        <f t="shared" si="0"/>
        <v>46030</v>
      </c>
      <c r="L3" s="85">
        <f t="shared" si="0"/>
        <v>46031</v>
      </c>
      <c r="M3" s="85">
        <f t="shared" si="0"/>
        <v>46032</v>
      </c>
      <c r="N3" s="86">
        <f t="shared" si="0"/>
        <v>46033</v>
      </c>
      <c r="O3" s="85">
        <f t="shared" si="0"/>
        <v>46034</v>
      </c>
      <c r="P3" s="85">
        <f t="shared" si="0"/>
        <v>46035</v>
      </c>
      <c r="Q3" s="85">
        <f t="shared" si="0"/>
        <v>46036</v>
      </c>
      <c r="R3" s="85">
        <f t="shared" si="0"/>
        <v>46037</v>
      </c>
      <c r="S3" s="85">
        <f t="shared" si="0"/>
        <v>46038</v>
      </c>
      <c r="T3" s="85">
        <f t="shared" si="0"/>
        <v>46039</v>
      </c>
      <c r="U3" s="86">
        <f t="shared" si="0"/>
        <v>46040</v>
      </c>
      <c r="V3" s="85">
        <f t="shared" si="0"/>
        <v>46041</v>
      </c>
      <c r="W3" s="85">
        <f t="shared" si="0"/>
        <v>46042</v>
      </c>
      <c r="X3" s="85">
        <f t="shared" si="0"/>
        <v>46043</v>
      </c>
      <c r="Y3" s="85">
        <f t="shared" si="0"/>
        <v>46044</v>
      </c>
      <c r="Z3" s="85">
        <f t="shared" si="0"/>
        <v>46045</v>
      </c>
      <c r="AA3" s="85">
        <f t="shared" si="0"/>
        <v>46046</v>
      </c>
      <c r="AB3" s="86">
        <f t="shared" si="0"/>
        <v>46047</v>
      </c>
      <c r="AC3" s="85">
        <f t="shared" si="0"/>
        <v>46048</v>
      </c>
      <c r="AD3" s="85">
        <f t="shared" si="0"/>
        <v>46049</v>
      </c>
      <c r="AE3" s="85">
        <f t="shared" si="0"/>
        <v>46050</v>
      </c>
      <c r="AF3" s="85">
        <f t="shared" si="0"/>
        <v>46051</v>
      </c>
      <c r="AG3" s="85">
        <f t="shared" si="0"/>
        <v>46052</v>
      </c>
      <c r="AH3" s="85">
        <f t="shared" si="0"/>
        <v>46053</v>
      </c>
      <c r="AI3" s="31"/>
      <c r="AJ3" s="32"/>
      <c r="AK3" s="32"/>
    </row>
    <row r="4" spans="1:37" ht="13.5" customHeight="1" x14ac:dyDescent="0.2">
      <c r="A4" s="94">
        <v>1</v>
      </c>
      <c r="B4" s="95" t="s">
        <v>7</v>
      </c>
      <c r="C4" s="28" t="s">
        <v>8</v>
      </c>
      <c r="D4" s="65"/>
      <c r="E4" s="65"/>
      <c r="F4" s="65"/>
      <c r="G4" s="71"/>
      <c r="H4" s="65"/>
      <c r="I4" s="65"/>
      <c r="J4" s="65"/>
      <c r="K4" s="65"/>
      <c r="L4" s="65"/>
      <c r="M4" s="65"/>
      <c r="N4" s="71"/>
      <c r="O4" s="65">
        <v>1</v>
      </c>
      <c r="P4" s="65"/>
      <c r="Q4" s="65"/>
      <c r="R4" s="65"/>
      <c r="S4" s="65"/>
      <c r="T4" s="65"/>
      <c r="U4" s="71"/>
      <c r="V4" s="65"/>
      <c r="W4" s="65"/>
      <c r="X4" s="65"/>
      <c r="Y4" s="65"/>
      <c r="Z4" s="65"/>
      <c r="AA4" s="65"/>
      <c r="AB4" s="71">
        <v>5.25</v>
      </c>
      <c r="AC4" s="65"/>
      <c r="AD4" s="65"/>
      <c r="AE4" s="65"/>
      <c r="AF4" s="65"/>
      <c r="AG4" s="65"/>
      <c r="AH4" s="65"/>
      <c r="AI4" s="33">
        <f>0</f>
        <v>0</v>
      </c>
      <c r="AJ4" s="33">
        <f>SUM(D4:AH4)/8</f>
        <v>0.78125</v>
      </c>
      <c r="AK4" s="33">
        <f>AI4+AJ4</f>
        <v>0.78125</v>
      </c>
    </row>
    <row r="5" spans="1:37" s="7" customFormat="1" ht="13.5" customHeight="1" x14ac:dyDescent="0.2">
      <c r="A5" s="89"/>
      <c r="B5" s="89"/>
      <c r="C5" s="28" t="s">
        <v>9</v>
      </c>
      <c r="D5" s="65"/>
      <c r="E5" s="65" t="s">
        <v>10</v>
      </c>
      <c r="F5" s="65" t="s">
        <v>10</v>
      </c>
      <c r="G5" s="71"/>
      <c r="H5" s="65" t="s">
        <v>10</v>
      </c>
      <c r="I5" s="65"/>
      <c r="J5" s="65"/>
      <c r="K5" s="65" t="s">
        <v>10</v>
      </c>
      <c r="L5" s="65" t="s">
        <v>10</v>
      </c>
      <c r="M5" s="65" t="s">
        <v>10</v>
      </c>
      <c r="N5" s="71" t="s">
        <v>10</v>
      </c>
      <c r="O5" s="65" t="s">
        <v>10</v>
      </c>
      <c r="P5" s="65" t="s">
        <v>10</v>
      </c>
      <c r="Q5" s="65" t="s">
        <v>10</v>
      </c>
      <c r="R5" s="65" t="s">
        <v>10</v>
      </c>
      <c r="S5" s="65" t="s">
        <v>10</v>
      </c>
      <c r="T5" s="65"/>
      <c r="U5" s="71" t="s">
        <v>10</v>
      </c>
      <c r="V5" s="65" t="s">
        <v>10</v>
      </c>
      <c r="W5" s="65" t="s">
        <v>10</v>
      </c>
      <c r="X5" s="65" t="s">
        <v>10</v>
      </c>
      <c r="Y5" s="65" t="s">
        <v>10</v>
      </c>
      <c r="Z5" s="65" t="s">
        <v>10</v>
      </c>
      <c r="AA5" s="65" t="s">
        <v>10</v>
      </c>
      <c r="AB5" s="72"/>
      <c r="AC5" s="65" t="s">
        <v>10</v>
      </c>
      <c r="AD5" s="65" t="s">
        <v>10</v>
      </c>
      <c r="AE5" s="65" t="s">
        <v>10</v>
      </c>
      <c r="AF5" s="65"/>
      <c r="AG5" s="65" t="s">
        <v>10</v>
      </c>
      <c r="AH5" s="65"/>
      <c r="AI5" s="33">
        <f>COUNTIF(D5:AH5,"x")+COUNTIF(D5:AH5,"x-0,25")+COUNTIF(D5:AH5,"x-0,50")+COUNTIF(D5:AH5,"x-0.75")+COUNTIF(D5:AH5,"x-1")+COUNTIF(D5:AH5,"x-1,25")+COUNTIF(D5:AH5,"x-1,5")+COUNTIF(D5:AH5,"x-1,55")+COUNTIF(D5:AH5,"x-2")+COUNTIF(D5:AH5,"x/2")/2</f>
        <v>23</v>
      </c>
      <c r="AJ5" s="33">
        <f>0</f>
        <v>0</v>
      </c>
      <c r="AK5" s="33">
        <f>AI5+AJ5</f>
        <v>23</v>
      </c>
    </row>
    <row r="6" spans="1:37" s="7" customFormat="1" ht="13.5" customHeight="1" x14ac:dyDescent="0.2">
      <c r="A6" s="89"/>
      <c r="B6" s="89"/>
      <c r="C6" s="28" t="s">
        <v>11</v>
      </c>
      <c r="D6" s="65"/>
      <c r="E6" s="65"/>
      <c r="F6" s="65"/>
      <c r="G6" s="71"/>
      <c r="H6" s="65"/>
      <c r="I6" s="65"/>
      <c r="J6" s="65"/>
      <c r="K6" s="65"/>
      <c r="L6" s="65"/>
      <c r="M6" s="65"/>
      <c r="N6" s="71"/>
      <c r="O6" s="65"/>
      <c r="P6" s="65"/>
      <c r="Q6" s="65"/>
      <c r="R6" s="65"/>
      <c r="S6" s="65"/>
      <c r="T6" s="65"/>
      <c r="U6" s="71"/>
      <c r="V6" s="65"/>
      <c r="W6" s="65"/>
      <c r="X6" s="65"/>
      <c r="Y6" s="65"/>
      <c r="Z6" s="65"/>
      <c r="AA6" s="65"/>
      <c r="AB6" s="71"/>
      <c r="AC6" s="65"/>
      <c r="AD6" s="65"/>
      <c r="AE6" s="65"/>
      <c r="AF6" s="65"/>
      <c r="AG6" s="65"/>
      <c r="AH6" s="65"/>
      <c r="AI6" s="33">
        <f>COUNTIF(D6:AH6,"x")+COUNTIF(D6:AH6,"x-0,25")+COUNTIF(D6:AH6,"x-0,50")+COUNTIF(D6:AH6,"x-0.75")+COUNTIF(D6:AH6,"x-1")+COUNTIF(D6:AH6,"x-1,25")+COUNTIF(D6:AH6,"x-1,5")+COUNTIF(D6:AH6,"x-1,55")+COUNTIF(D6:AH6,"x-2")+COUNTIF(D6:AH6,"x/2")/2</f>
        <v>0</v>
      </c>
      <c r="AJ6" s="33">
        <f>0</f>
        <v>0</v>
      </c>
      <c r="AK6" s="33">
        <f>AI6+AJ6</f>
        <v>0</v>
      </c>
    </row>
    <row r="7" spans="1:37" s="7" customFormat="1" ht="13.5" customHeight="1" x14ac:dyDescent="0.2">
      <c r="A7" s="90"/>
      <c r="B7" s="96"/>
      <c r="C7" s="28" t="s">
        <v>12</v>
      </c>
      <c r="D7" s="65"/>
      <c r="E7" s="65"/>
      <c r="F7" s="65"/>
      <c r="G7" s="71"/>
      <c r="H7" s="65"/>
      <c r="I7" s="65"/>
      <c r="J7" s="65"/>
      <c r="K7" s="65"/>
      <c r="L7" s="65"/>
      <c r="M7" s="65"/>
      <c r="N7" s="71"/>
      <c r="O7" s="65"/>
      <c r="P7" s="65"/>
      <c r="Q7" s="65"/>
      <c r="R7" s="65"/>
      <c r="S7" s="65"/>
      <c r="T7" s="65"/>
      <c r="U7" s="71"/>
      <c r="V7" s="65"/>
      <c r="W7" s="65"/>
      <c r="X7" s="65"/>
      <c r="Y7" s="65"/>
      <c r="Z7" s="65"/>
      <c r="AA7" s="65"/>
      <c r="AB7" s="71"/>
      <c r="AC7" s="65"/>
      <c r="AD7" s="65"/>
      <c r="AE7" s="65"/>
      <c r="AF7" s="65"/>
      <c r="AG7" s="65"/>
      <c r="AH7" s="65"/>
      <c r="AI7" s="33">
        <f>COUNTIF(D7:AH7,"x")+COUNTIF(D7:AH7,"x-0,25")+COUNTIF(D7:AH7,"x-0,50")+COUNTIF(D7:AH7,"x-0.75")+COUNTIF(D7:AH7,"x-1")+COUNTIF(D7:AH7,"x-1,25")+COUNTIF(D7:AH7,"x-1,5")+COUNTIF(D7:AH7,"x-1,55")+COUNTIF(D7:AH7,"x-2")+COUNTIF(D7:AH7,"x/2")/2</f>
        <v>0</v>
      </c>
      <c r="AJ7" s="33">
        <f>0</f>
        <v>0</v>
      </c>
      <c r="AK7" s="33">
        <f>AI7+AJ7</f>
        <v>0</v>
      </c>
    </row>
    <row r="8" spans="1:37" s="7" customFormat="1" ht="13.5" customHeight="1" x14ac:dyDescent="0.2">
      <c r="A8" s="16"/>
      <c r="B8" s="17"/>
      <c r="C8" s="69"/>
      <c r="D8" s="69"/>
      <c r="E8" s="69"/>
      <c r="F8" s="69"/>
      <c r="G8" s="71"/>
      <c r="H8" s="69"/>
      <c r="I8" s="69"/>
      <c r="J8" s="69"/>
      <c r="K8" s="69"/>
      <c r="L8" s="69"/>
      <c r="M8" s="69"/>
      <c r="N8" s="71"/>
      <c r="O8" s="69"/>
      <c r="P8" s="69"/>
      <c r="Q8" s="69"/>
      <c r="R8" s="69"/>
      <c r="S8" s="69"/>
      <c r="T8" s="69"/>
      <c r="U8" s="71"/>
      <c r="V8" s="69"/>
      <c r="W8" s="69"/>
      <c r="X8" s="69"/>
      <c r="Y8" s="69"/>
      <c r="Z8" s="69"/>
      <c r="AA8" s="69"/>
      <c r="AB8" s="71"/>
      <c r="AC8" s="69"/>
      <c r="AD8" s="69"/>
      <c r="AE8" s="69"/>
      <c r="AF8" s="69"/>
      <c r="AG8" s="69"/>
      <c r="AH8" s="69"/>
      <c r="AI8" s="78" t="str">
        <f>""</f>
        <v/>
      </c>
      <c r="AJ8" s="78" t="str">
        <f>""</f>
        <v/>
      </c>
      <c r="AK8" s="78" t="str">
        <f>""</f>
        <v/>
      </c>
    </row>
    <row r="9" spans="1:37" s="7" customFormat="1" ht="13.5" customHeight="1" x14ac:dyDescent="0.2">
      <c r="A9" s="94">
        <v>2</v>
      </c>
      <c r="B9" s="97" t="s">
        <v>13</v>
      </c>
      <c r="C9" s="28" t="s">
        <v>8</v>
      </c>
      <c r="D9" s="65"/>
      <c r="E9" s="65"/>
      <c r="F9" s="65"/>
      <c r="G9" s="71"/>
      <c r="H9" s="65"/>
      <c r="I9" s="65"/>
      <c r="J9" s="65"/>
      <c r="K9" s="65"/>
      <c r="L9" s="65"/>
      <c r="M9" s="65"/>
      <c r="N9" s="71"/>
      <c r="O9" s="65">
        <v>1</v>
      </c>
      <c r="P9" s="65"/>
      <c r="Q9" s="65"/>
      <c r="R9" s="65"/>
      <c r="S9" s="65"/>
      <c r="T9" s="65"/>
      <c r="U9" s="71"/>
      <c r="V9" s="65"/>
      <c r="W9" s="65"/>
      <c r="X9" s="65"/>
      <c r="Y9" s="65"/>
      <c r="Z9" s="65"/>
      <c r="AA9" s="65"/>
      <c r="AB9" s="71">
        <v>5.25</v>
      </c>
      <c r="AC9" s="65"/>
      <c r="AD9" s="65"/>
      <c r="AE9" s="65"/>
      <c r="AF9" s="65"/>
      <c r="AG9" s="65"/>
      <c r="AH9" s="65"/>
      <c r="AI9" s="33">
        <f>0</f>
        <v>0</v>
      </c>
      <c r="AJ9" s="33">
        <f>SUM(D9:AH9)/8</f>
        <v>0.78125</v>
      </c>
      <c r="AK9" s="33">
        <f>AI9+AJ9</f>
        <v>0.78125</v>
      </c>
    </row>
    <row r="10" spans="1:37" s="7" customFormat="1" ht="13.5" customHeight="1" x14ac:dyDescent="0.2">
      <c r="A10" s="89"/>
      <c r="B10" s="89"/>
      <c r="C10" s="28" t="s">
        <v>9</v>
      </c>
      <c r="D10" s="65"/>
      <c r="E10" s="65" t="s">
        <v>10</v>
      </c>
      <c r="F10" s="65" t="s">
        <v>10</v>
      </c>
      <c r="G10" s="71"/>
      <c r="H10" s="65" t="s">
        <v>10</v>
      </c>
      <c r="I10" s="65"/>
      <c r="J10" s="65"/>
      <c r="K10" s="65" t="s">
        <v>10</v>
      </c>
      <c r="L10" s="65" t="s">
        <v>10</v>
      </c>
      <c r="M10" s="65" t="s">
        <v>10</v>
      </c>
      <c r="N10" s="71" t="s">
        <v>10</v>
      </c>
      <c r="O10" s="65" t="s">
        <v>10</v>
      </c>
      <c r="P10" s="65" t="s">
        <v>10</v>
      </c>
      <c r="Q10" s="65" t="s">
        <v>10</v>
      </c>
      <c r="R10" s="65" t="s">
        <v>10</v>
      </c>
      <c r="S10" s="65" t="s">
        <v>10</v>
      </c>
      <c r="T10" s="65"/>
      <c r="U10" s="71" t="s">
        <v>10</v>
      </c>
      <c r="V10" s="65" t="s">
        <v>10</v>
      </c>
      <c r="W10" s="65" t="s">
        <v>10</v>
      </c>
      <c r="X10" s="65" t="s">
        <v>10</v>
      </c>
      <c r="Y10" s="65" t="s">
        <v>10</v>
      </c>
      <c r="Z10" s="65" t="s">
        <v>10</v>
      </c>
      <c r="AA10" s="65" t="s">
        <v>10</v>
      </c>
      <c r="AB10" s="72"/>
      <c r="AC10" s="65" t="s">
        <v>10</v>
      </c>
      <c r="AD10" s="65" t="s">
        <v>10</v>
      </c>
      <c r="AE10" s="65" t="s">
        <v>10</v>
      </c>
      <c r="AF10" s="65"/>
      <c r="AG10" s="65" t="s">
        <v>10</v>
      </c>
      <c r="AH10" s="65"/>
      <c r="AI10" s="33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23</v>
      </c>
      <c r="AJ10" s="33">
        <f>0</f>
        <v>0</v>
      </c>
      <c r="AK10" s="33">
        <f>AI10+AJ10</f>
        <v>23</v>
      </c>
    </row>
    <row r="11" spans="1:37" s="7" customFormat="1" ht="13.5" customHeight="1" x14ac:dyDescent="0.2">
      <c r="A11" s="89"/>
      <c r="B11" s="89"/>
      <c r="C11" s="28" t="s">
        <v>11</v>
      </c>
      <c r="D11" s="65"/>
      <c r="E11" s="65"/>
      <c r="F11" s="65"/>
      <c r="G11" s="71"/>
      <c r="H11" s="65"/>
      <c r="I11" s="65"/>
      <c r="J11" s="65"/>
      <c r="K11" s="65"/>
      <c r="L11" s="65"/>
      <c r="M11" s="65"/>
      <c r="N11" s="71"/>
      <c r="O11" s="65"/>
      <c r="P11" s="65"/>
      <c r="Q11" s="65"/>
      <c r="R11" s="65"/>
      <c r="S11" s="65"/>
      <c r="T11" s="65"/>
      <c r="U11" s="71"/>
      <c r="V11" s="65"/>
      <c r="W11" s="65"/>
      <c r="X11" s="65"/>
      <c r="Y11" s="65"/>
      <c r="Z11" s="65"/>
      <c r="AA11" s="65"/>
      <c r="AB11" s="71"/>
      <c r="AC11" s="65"/>
      <c r="AD11" s="65"/>
      <c r="AE11" s="65"/>
      <c r="AF11" s="65"/>
      <c r="AG11" s="65"/>
      <c r="AH11" s="65"/>
      <c r="AI11" s="33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0</v>
      </c>
      <c r="AJ11" s="33">
        <f>0</f>
        <v>0</v>
      </c>
      <c r="AK11" s="33">
        <f>AI11+AJ11</f>
        <v>0</v>
      </c>
    </row>
    <row r="12" spans="1:37" s="7" customFormat="1" ht="13.5" customHeight="1" x14ac:dyDescent="0.2">
      <c r="A12" s="90"/>
      <c r="B12" s="96"/>
      <c r="C12" s="28" t="s">
        <v>12</v>
      </c>
      <c r="D12" s="65"/>
      <c r="E12" s="65"/>
      <c r="F12" s="65"/>
      <c r="G12" s="71"/>
      <c r="H12" s="65"/>
      <c r="I12" s="65"/>
      <c r="J12" s="65"/>
      <c r="K12" s="65"/>
      <c r="L12" s="65"/>
      <c r="M12" s="65"/>
      <c r="N12" s="71"/>
      <c r="O12" s="65"/>
      <c r="P12" s="65"/>
      <c r="Q12" s="65"/>
      <c r="R12" s="65"/>
      <c r="S12" s="65"/>
      <c r="T12" s="65"/>
      <c r="U12" s="71"/>
      <c r="V12" s="65"/>
      <c r="W12" s="65"/>
      <c r="X12" s="65"/>
      <c r="Y12" s="65"/>
      <c r="Z12" s="65"/>
      <c r="AA12" s="65"/>
      <c r="AB12" s="71"/>
      <c r="AC12" s="65"/>
      <c r="AD12" s="65"/>
      <c r="AE12" s="65"/>
      <c r="AF12" s="65"/>
      <c r="AG12" s="65"/>
      <c r="AH12" s="65"/>
      <c r="AI12" s="33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0</v>
      </c>
      <c r="AJ12" s="33">
        <f>0</f>
        <v>0</v>
      </c>
      <c r="AK12" s="33">
        <f>AI12+AJ12</f>
        <v>0</v>
      </c>
    </row>
    <row r="13" spans="1:37" s="7" customFormat="1" ht="13.5" customHeight="1" x14ac:dyDescent="0.2">
      <c r="A13" s="16"/>
      <c r="B13" s="17"/>
      <c r="C13" s="69"/>
      <c r="D13" s="69"/>
      <c r="E13" s="69"/>
      <c r="F13" s="69"/>
      <c r="G13" s="71"/>
      <c r="H13" s="69"/>
      <c r="I13" s="69"/>
      <c r="J13" s="69"/>
      <c r="K13" s="69"/>
      <c r="L13" s="69"/>
      <c r="M13" s="69"/>
      <c r="N13" s="71"/>
      <c r="O13" s="69"/>
      <c r="P13" s="69"/>
      <c r="Q13" s="69"/>
      <c r="R13" s="69"/>
      <c r="S13" s="69"/>
      <c r="T13" s="69"/>
      <c r="U13" s="71"/>
      <c r="V13" s="69"/>
      <c r="W13" s="69"/>
      <c r="X13" s="69"/>
      <c r="Y13" s="69"/>
      <c r="Z13" s="69"/>
      <c r="AA13" s="69"/>
      <c r="AB13" s="71"/>
      <c r="AC13" s="69"/>
      <c r="AD13" s="69"/>
      <c r="AE13" s="69"/>
      <c r="AF13" s="69"/>
      <c r="AG13" s="69"/>
      <c r="AH13" s="69"/>
      <c r="AI13" s="78" t="str">
        <f>""</f>
        <v/>
      </c>
      <c r="AJ13" s="78" t="str">
        <f>""</f>
        <v/>
      </c>
      <c r="AK13" s="78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8" t="s">
        <v>8</v>
      </c>
      <c r="D14" s="65"/>
      <c r="E14" s="65"/>
      <c r="F14" s="65"/>
      <c r="G14" s="71"/>
      <c r="H14" s="65"/>
      <c r="I14" s="65"/>
      <c r="J14" s="65"/>
      <c r="K14" s="65"/>
      <c r="L14" s="65"/>
      <c r="M14" s="65"/>
      <c r="N14" s="71"/>
      <c r="O14" s="65">
        <v>1</v>
      </c>
      <c r="P14" s="65"/>
      <c r="Q14" s="65"/>
      <c r="R14" s="65"/>
      <c r="S14" s="65"/>
      <c r="T14" s="65"/>
      <c r="U14" s="71"/>
      <c r="V14" s="65"/>
      <c r="W14" s="65"/>
      <c r="X14" s="65"/>
      <c r="Y14" s="65"/>
      <c r="Z14" s="65"/>
      <c r="AA14" s="65"/>
      <c r="AB14" s="71">
        <v>5.25</v>
      </c>
      <c r="AC14" s="65"/>
      <c r="AD14" s="65"/>
      <c r="AE14" s="65"/>
      <c r="AF14" s="65"/>
      <c r="AG14" s="65"/>
      <c r="AH14" s="65"/>
      <c r="AI14" s="33">
        <f>0</f>
        <v>0</v>
      </c>
      <c r="AJ14" s="33">
        <f>SUM(D14:AH14)/8</f>
        <v>0.78125</v>
      </c>
      <c r="AK14" s="33">
        <f t="shared" ref="AK14:AK22" si="1">AI14+AJ14</f>
        <v>0.78125</v>
      </c>
    </row>
    <row r="15" spans="1:37" s="7" customFormat="1" ht="13.5" customHeight="1" x14ac:dyDescent="0.2">
      <c r="A15" s="89"/>
      <c r="B15" s="89"/>
      <c r="C15" s="28" t="s">
        <v>9</v>
      </c>
      <c r="D15" s="65"/>
      <c r="E15" s="65" t="s">
        <v>10</v>
      </c>
      <c r="F15" s="65" t="s">
        <v>10</v>
      </c>
      <c r="G15" s="71"/>
      <c r="H15" s="65" t="s">
        <v>10</v>
      </c>
      <c r="I15" s="65"/>
      <c r="J15" s="65"/>
      <c r="K15" s="65" t="s">
        <v>10</v>
      </c>
      <c r="L15" s="65" t="s">
        <v>10</v>
      </c>
      <c r="M15" s="65" t="s">
        <v>10</v>
      </c>
      <c r="N15" s="71" t="s">
        <v>10</v>
      </c>
      <c r="O15" s="65" t="s">
        <v>10</v>
      </c>
      <c r="P15" s="65" t="s">
        <v>10</v>
      </c>
      <c r="Q15" s="65" t="s">
        <v>10</v>
      </c>
      <c r="R15" s="65" t="s">
        <v>10</v>
      </c>
      <c r="S15" s="65" t="s">
        <v>10</v>
      </c>
      <c r="T15" s="65"/>
      <c r="U15" s="71" t="s">
        <v>10</v>
      </c>
      <c r="V15" s="65" t="s">
        <v>10</v>
      </c>
      <c r="W15" s="65" t="s">
        <v>10</v>
      </c>
      <c r="X15" s="65" t="s">
        <v>10</v>
      </c>
      <c r="Y15" s="65" t="s">
        <v>10</v>
      </c>
      <c r="Z15" s="65" t="s">
        <v>10</v>
      </c>
      <c r="AA15" s="65" t="s">
        <v>10</v>
      </c>
      <c r="AB15" s="72"/>
      <c r="AC15" s="65" t="s">
        <v>10</v>
      </c>
      <c r="AD15" s="65" t="s">
        <v>10</v>
      </c>
      <c r="AE15" s="65" t="s">
        <v>10</v>
      </c>
      <c r="AF15" s="65"/>
      <c r="AG15" s="65" t="s">
        <v>10</v>
      </c>
      <c r="AH15" s="65"/>
      <c r="AI15" s="33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23</v>
      </c>
      <c r="AJ15" s="33">
        <f>0</f>
        <v>0</v>
      </c>
      <c r="AK15" s="33">
        <f t="shared" si="1"/>
        <v>23</v>
      </c>
    </row>
    <row r="16" spans="1:37" s="7" customFormat="1" ht="13.5" customHeight="1" x14ac:dyDescent="0.2">
      <c r="A16" s="89"/>
      <c r="B16" s="89"/>
      <c r="C16" s="28" t="s">
        <v>11</v>
      </c>
      <c r="D16" s="65"/>
      <c r="E16" s="65"/>
      <c r="F16" s="65"/>
      <c r="G16" s="71"/>
      <c r="H16" s="65"/>
      <c r="I16" s="65"/>
      <c r="J16" s="65"/>
      <c r="K16" s="65"/>
      <c r="L16" s="65"/>
      <c r="M16" s="65"/>
      <c r="N16" s="71"/>
      <c r="O16" s="65"/>
      <c r="P16" s="65"/>
      <c r="Q16" s="65"/>
      <c r="R16" s="65"/>
      <c r="S16" s="65"/>
      <c r="T16" s="65"/>
      <c r="U16" s="71"/>
      <c r="V16" s="65"/>
      <c r="W16" s="65"/>
      <c r="X16" s="65"/>
      <c r="Y16" s="65"/>
      <c r="Z16" s="65"/>
      <c r="AA16" s="65"/>
      <c r="AB16" s="71"/>
      <c r="AC16" s="65"/>
      <c r="AD16" s="65"/>
      <c r="AE16" s="65"/>
      <c r="AF16" s="65"/>
      <c r="AG16" s="65"/>
      <c r="AH16" s="65"/>
      <c r="AI16" s="33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33">
        <f>0</f>
        <v>0</v>
      </c>
      <c r="AK16" s="33">
        <f t="shared" si="1"/>
        <v>0</v>
      </c>
    </row>
    <row r="17" spans="1:44" s="7" customFormat="1" ht="13.5" customHeight="1" x14ac:dyDescent="0.2">
      <c r="A17" s="90"/>
      <c r="B17" s="96"/>
      <c r="C17" s="28" t="s">
        <v>12</v>
      </c>
      <c r="D17" s="65"/>
      <c r="E17" s="65"/>
      <c r="F17" s="65"/>
      <c r="G17" s="71"/>
      <c r="H17" s="65"/>
      <c r="I17" s="65"/>
      <c r="J17" s="65"/>
      <c r="K17" s="65"/>
      <c r="L17" s="65"/>
      <c r="M17" s="65"/>
      <c r="N17" s="71"/>
      <c r="O17" s="65"/>
      <c r="P17" s="65"/>
      <c r="Q17" s="65"/>
      <c r="R17" s="65"/>
      <c r="S17" s="65"/>
      <c r="T17" s="65"/>
      <c r="U17" s="71"/>
      <c r="V17" s="65"/>
      <c r="W17" s="65"/>
      <c r="X17" s="65"/>
      <c r="Y17" s="65"/>
      <c r="Z17" s="65"/>
      <c r="AA17" s="65"/>
      <c r="AB17" s="71"/>
      <c r="AC17" s="65"/>
      <c r="AD17" s="65"/>
      <c r="AE17" s="65"/>
      <c r="AF17" s="65"/>
      <c r="AG17" s="65"/>
      <c r="AH17" s="65"/>
      <c r="AI17" s="33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33">
        <f>0</f>
        <v>0</v>
      </c>
      <c r="AK17" s="33">
        <f t="shared" si="1"/>
        <v>0</v>
      </c>
    </row>
    <row r="18" spans="1:44" s="7" customFormat="1" ht="13.5" customHeight="1" x14ac:dyDescent="0.2">
      <c r="A18" s="16"/>
      <c r="B18" s="17"/>
      <c r="C18" s="69"/>
      <c r="D18" s="69"/>
      <c r="E18" s="69"/>
      <c r="F18" s="69"/>
      <c r="G18" s="71"/>
      <c r="H18" s="69"/>
      <c r="I18" s="69"/>
      <c r="J18" s="69"/>
      <c r="K18" s="69"/>
      <c r="L18" s="69"/>
      <c r="M18" s="69"/>
      <c r="N18" s="71"/>
      <c r="O18" s="69"/>
      <c r="P18" s="69"/>
      <c r="Q18" s="69"/>
      <c r="R18" s="69"/>
      <c r="S18" s="69"/>
      <c r="T18" s="69"/>
      <c r="U18" s="71"/>
      <c r="V18" s="69"/>
      <c r="W18" s="69"/>
      <c r="X18" s="69"/>
      <c r="Y18" s="69"/>
      <c r="Z18" s="69"/>
      <c r="AA18" s="69"/>
      <c r="AB18" s="71"/>
      <c r="AC18" s="69"/>
      <c r="AD18" s="69"/>
      <c r="AE18" s="69"/>
      <c r="AF18" s="69"/>
      <c r="AG18" s="69"/>
      <c r="AH18" s="69"/>
      <c r="AI18" s="78" t="str">
        <f>""</f>
        <v/>
      </c>
      <c r="AJ18" s="78" t="str">
        <f>""</f>
        <v/>
      </c>
      <c r="AK18" s="78" t="e">
        <f t="shared" si="1"/>
        <v>#VALUE!</v>
      </c>
    </row>
    <row r="19" spans="1:44" s="7" customFormat="1" ht="13.5" customHeight="1" x14ac:dyDescent="0.2">
      <c r="A19" s="94">
        <v>4</v>
      </c>
      <c r="B19" s="97" t="s">
        <v>16</v>
      </c>
      <c r="C19" s="28" t="s">
        <v>8</v>
      </c>
      <c r="D19" s="65"/>
      <c r="E19" s="65"/>
      <c r="F19" s="65"/>
      <c r="G19" s="71"/>
      <c r="H19" s="65"/>
      <c r="I19" s="65"/>
      <c r="J19" s="65"/>
      <c r="K19" s="65"/>
      <c r="L19" s="65"/>
      <c r="M19" s="65"/>
      <c r="N19" s="71"/>
      <c r="O19" s="65">
        <v>1</v>
      </c>
      <c r="P19" s="65"/>
      <c r="Q19" s="65"/>
      <c r="R19" s="65"/>
      <c r="S19" s="65"/>
      <c r="T19" s="65"/>
      <c r="U19" s="71"/>
      <c r="V19" s="65"/>
      <c r="W19" s="65"/>
      <c r="X19" s="65"/>
      <c r="Y19" s="65"/>
      <c r="Z19" s="65"/>
      <c r="AA19" s="65"/>
      <c r="AB19" s="71">
        <v>5.25</v>
      </c>
      <c r="AC19" s="65"/>
      <c r="AD19" s="65"/>
      <c r="AE19" s="65"/>
      <c r="AF19" s="65"/>
      <c r="AG19" s="65"/>
      <c r="AH19" s="65"/>
      <c r="AI19" s="33">
        <f>0</f>
        <v>0</v>
      </c>
      <c r="AJ19" s="33">
        <f>SUM(D19:AH19)/8</f>
        <v>0.78125</v>
      </c>
      <c r="AK19" s="33">
        <f t="shared" si="1"/>
        <v>0.78125</v>
      </c>
    </row>
    <row r="20" spans="1:44" s="7" customFormat="1" ht="13.5" customHeight="1" x14ac:dyDescent="0.2">
      <c r="A20" s="89"/>
      <c r="B20" s="89"/>
      <c r="C20" s="28" t="s">
        <v>9</v>
      </c>
      <c r="D20" s="65"/>
      <c r="E20" s="65" t="s">
        <v>10</v>
      </c>
      <c r="F20" s="65" t="s">
        <v>10</v>
      </c>
      <c r="G20" s="71"/>
      <c r="H20" s="65" t="s">
        <v>10</v>
      </c>
      <c r="I20" s="65"/>
      <c r="J20" s="65"/>
      <c r="K20" s="65" t="s">
        <v>10</v>
      </c>
      <c r="L20" s="65" t="s">
        <v>10</v>
      </c>
      <c r="M20" s="65" t="s">
        <v>10</v>
      </c>
      <c r="N20" s="71" t="s">
        <v>10</v>
      </c>
      <c r="O20" s="65" t="s">
        <v>10</v>
      </c>
      <c r="P20" s="65" t="s">
        <v>10</v>
      </c>
      <c r="Q20" s="65" t="s">
        <v>10</v>
      </c>
      <c r="R20" s="65" t="s">
        <v>10</v>
      </c>
      <c r="S20" s="65" t="s">
        <v>10</v>
      </c>
      <c r="T20" s="65"/>
      <c r="U20" s="71" t="s">
        <v>10</v>
      </c>
      <c r="V20" s="65" t="s">
        <v>10</v>
      </c>
      <c r="W20" s="65" t="s">
        <v>10</v>
      </c>
      <c r="X20" s="65" t="s">
        <v>10</v>
      </c>
      <c r="Y20" s="65" t="s">
        <v>10</v>
      </c>
      <c r="Z20" s="65" t="s">
        <v>10</v>
      </c>
      <c r="AA20" s="65" t="s">
        <v>10</v>
      </c>
      <c r="AB20" s="72"/>
      <c r="AC20" s="65" t="s">
        <v>10</v>
      </c>
      <c r="AD20" s="65" t="s">
        <v>10</v>
      </c>
      <c r="AE20" s="65" t="s">
        <v>10</v>
      </c>
      <c r="AF20" s="65"/>
      <c r="AG20" s="65" t="s">
        <v>10</v>
      </c>
      <c r="AH20" s="65"/>
      <c r="AI20" s="33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23</v>
      </c>
      <c r="AJ20" s="33">
        <f>0</f>
        <v>0</v>
      </c>
      <c r="AK20" s="33">
        <f t="shared" si="1"/>
        <v>23</v>
      </c>
    </row>
    <row r="21" spans="1:44" s="7" customFormat="1" ht="13.5" customHeight="1" x14ac:dyDescent="0.2">
      <c r="A21" s="89"/>
      <c r="B21" s="89"/>
      <c r="C21" s="28" t="s">
        <v>11</v>
      </c>
      <c r="D21" s="65"/>
      <c r="E21" s="65"/>
      <c r="F21" s="65"/>
      <c r="G21" s="71"/>
      <c r="H21" s="65"/>
      <c r="I21" s="65"/>
      <c r="J21" s="65"/>
      <c r="K21" s="65"/>
      <c r="L21" s="65"/>
      <c r="M21" s="65"/>
      <c r="N21" s="71"/>
      <c r="O21" s="65"/>
      <c r="P21" s="65"/>
      <c r="Q21" s="65"/>
      <c r="R21" s="65"/>
      <c r="S21" s="65"/>
      <c r="T21" s="65"/>
      <c r="U21" s="71"/>
      <c r="V21" s="65"/>
      <c r="W21" s="65"/>
      <c r="X21" s="65"/>
      <c r="Y21" s="65"/>
      <c r="Z21" s="65"/>
      <c r="AA21" s="65"/>
      <c r="AB21" s="71"/>
      <c r="AC21" s="65"/>
      <c r="AD21" s="65"/>
      <c r="AE21" s="65"/>
      <c r="AF21" s="65"/>
      <c r="AG21" s="65"/>
      <c r="AH21" s="65"/>
      <c r="AI21" s="33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0</v>
      </c>
      <c r="AJ21" s="33">
        <f>0</f>
        <v>0</v>
      </c>
      <c r="AK21" s="33">
        <f t="shared" si="1"/>
        <v>0</v>
      </c>
    </row>
    <row r="22" spans="1:44" s="7" customFormat="1" ht="13.5" customHeight="1" x14ac:dyDescent="0.2">
      <c r="A22" s="90"/>
      <c r="B22" s="96"/>
      <c r="C22" s="28" t="s">
        <v>12</v>
      </c>
      <c r="D22" s="65"/>
      <c r="E22" s="65"/>
      <c r="F22" s="65"/>
      <c r="G22" s="71"/>
      <c r="H22" s="65"/>
      <c r="I22" s="65"/>
      <c r="J22" s="65"/>
      <c r="K22" s="65"/>
      <c r="L22" s="65"/>
      <c r="M22" s="65"/>
      <c r="N22" s="71"/>
      <c r="O22" s="65"/>
      <c r="P22" s="65"/>
      <c r="Q22" s="65"/>
      <c r="R22" s="65"/>
      <c r="S22" s="65"/>
      <c r="T22" s="65"/>
      <c r="U22" s="71"/>
      <c r="V22" s="65"/>
      <c r="W22" s="65"/>
      <c r="X22" s="65"/>
      <c r="Y22" s="65"/>
      <c r="Z22" s="65"/>
      <c r="AA22" s="65"/>
      <c r="AB22" s="71"/>
      <c r="AC22" s="65"/>
      <c r="AD22" s="65"/>
      <c r="AE22" s="65"/>
      <c r="AF22" s="65"/>
      <c r="AG22" s="65"/>
      <c r="AH22" s="65"/>
      <c r="AI22" s="33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33">
        <f>0</f>
        <v>0</v>
      </c>
      <c r="AK22" s="33">
        <f t="shared" si="1"/>
        <v>0</v>
      </c>
    </row>
    <row r="23" spans="1:44" s="7" customFormat="1" ht="13.5" customHeight="1" x14ac:dyDescent="0.2">
      <c r="A23" s="16"/>
      <c r="B23" s="17"/>
      <c r="C23" s="69"/>
      <c r="D23" s="69"/>
      <c r="E23" s="69"/>
      <c r="F23" s="69"/>
      <c r="G23" s="71"/>
      <c r="H23" s="69"/>
      <c r="I23" s="69"/>
      <c r="J23" s="69"/>
      <c r="K23" s="69"/>
      <c r="L23" s="69"/>
      <c r="M23" s="69"/>
      <c r="N23" s="71"/>
      <c r="O23" s="69"/>
      <c r="P23" s="69"/>
      <c r="Q23" s="69"/>
      <c r="R23" s="69"/>
      <c r="S23" s="69"/>
      <c r="T23" s="69"/>
      <c r="U23" s="71"/>
      <c r="V23" s="69"/>
      <c r="W23" s="69"/>
      <c r="X23" s="69"/>
      <c r="Y23" s="69"/>
      <c r="Z23" s="69"/>
      <c r="AA23" s="69"/>
      <c r="AB23" s="71"/>
      <c r="AC23" s="69"/>
      <c r="AD23" s="69"/>
      <c r="AE23" s="69"/>
      <c r="AF23" s="69"/>
      <c r="AG23" s="69"/>
      <c r="AH23" s="69"/>
      <c r="AI23" s="78" t="str">
        <f>""</f>
        <v/>
      </c>
      <c r="AJ23" s="78" t="str">
        <f>""</f>
        <v/>
      </c>
      <c r="AK23" s="78" t="str">
        <f>""</f>
        <v/>
      </c>
    </row>
    <row r="24" spans="1:44" s="7" customFormat="1" ht="13.5" customHeight="1" x14ac:dyDescent="0.2">
      <c r="A24" s="94">
        <v>5</v>
      </c>
      <c r="B24" s="97" t="s">
        <v>17</v>
      </c>
      <c r="C24" s="28" t="s">
        <v>8</v>
      </c>
      <c r="D24" s="65"/>
      <c r="E24" s="65"/>
      <c r="F24" s="65"/>
      <c r="G24" s="71"/>
      <c r="H24" s="65"/>
      <c r="I24" s="65"/>
      <c r="J24" s="65"/>
      <c r="K24" s="65"/>
      <c r="L24" s="65"/>
      <c r="M24" s="65"/>
      <c r="N24" s="71"/>
      <c r="O24" s="65">
        <v>1</v>
      </c>
      <c r="P24" s="65"/>
      <c r="Q24" s="65"/>
      <c r="R24" s="65"/>
      <c r="S24" s="65"/>
      <c r="T24" s="65"/>
      <c r="U24" s="71"/>
      <c r="V24" s="65"/>
      <c r="W24" s="65"/>
      <c r="X24" s="65"/>
      <c r="Y24" s="65"/>
      <c r="Z24" s="65"/>
      <c r="AA24" s="65"/>
      <c r="AB24" s="71">
        <v>5.25</v>
      </c>
      <c r="AC24" s="65"/>
      <c r="AD24" s="65"/>
      <c r="AE24" s="65"/>
      <c r="AF24" s="65"/>
      <c r="AG24" s="65"/>
      <c r="AH24" s="65"/>
      <c r="AI24" s="33">
        <f>0</f>
        <v>0</v>
      </c>
      <c r="AJ24" s="33">
        <f>SUM(D24:AH24)/8</f>
        <v>0.78125</v>
      </c>
      <c r="AK24" s="33">
        <f>AI24+AJ24</f>
        <v>0.78125</v>
      </c>
    </row>
    <row r="25" spans="1:44" s="7" customFormat="1" ht="13.5" customHeight="1" x14ac:dyDescent="0.2">
      <c r="A25" s="89"/>
      <c r="B25" s="89"/>
      <c r="C25" s="28" t="s">
        <v>9</v>
      </c>
      <c r="D25" s="65"/>
      <c r="E25" s="65" t="s">
        <v>10</v>
      </c>
      <c r="F25" s="65" t="s">
        <v>10</v>
      </c>
      <c r="G25" s="71"/>
      <c r="H25" s="65" t="s">
        <v>10</v>
      </c>
      <c r="I25" s="65"/>
      <c r="J25" s="65"/>
      <c r="K25" s="65" t="s">
        <v>10</v>
      </c>
      <c r="L25" s="65" t="s">
        <v>10</v>
      </c>
      <c r="M25" s="65" t="s">
        <v>10</v>
      </c>
      <c r="N25" s="71" t="s">
        <v>10</v>
      </c>
      <c r="O25" s="65" t="s">
        <v>10</v>
      </c>
      <c r="P25" s="65" t="s">
        <v>10</v>
      </c>
      <c r="Q25" s="65" t="s">
        <v>10</v>
      </c>
      <c r="R25" s="65" t="s">
        <v>10</v>
      </c>
      <c r="S25" s="65" t="s">
        <v>10</v>
      </c>
      <c r="T25" s="65"/>
      <c r="U25" s="71" t="s">
        <v>10</v>
      </c>
      <c r="V25" s="65" t="s">
        <v>10</v>
      </c>
      <c r="W25" s="65" t="s">
        <v>10</v>
      </c>
      <c r="X25" s="65" t="s">
        <v>10</v>
      </c>
      <c r="Y25" s="65" t="s">
        <v>10</v>
      </c>
      <c r="Z25" s="65" t="s">
        <v>10</v>
      </c>
      <c r="AA25" s="65" t="s">
        <v>10</v>
      </c>
      <c r="AB25" s="72"/>
      <c r="AC25" s="65" t="s">
        <v>10</v>
      </c>
      <c r="AD25" s="65" t="s">
        <v>10</v>
      </c>
      <c r="AE25" s="65" t="s">
        <v>10</v>
      </c>
      <c r="AF25" s="65"/>
      <c r="AG25" s="65" t="s">
        <v>10</v>
      </c>
      <c r="AH25" s="65"/>
      <c r="AI25" s="33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23</v>
      </c>
      <c r="AJ25" s="33">
        <f>0</f>
        <v>0</v>
      </c>
      <c r="AK25" s="33">
        <f>AI25+AJ25</f>
        <v>23</v>
      </c>
    </row>
    <row r="26" spans="1:44" s="7" customFormat="1" ht="13.5" customHeight="1" x14ac:dyDescent="0.2">
      <c r="A26" s="89"/>
      <c r="B26" s="89"/>
      <c r="C26" s="28" t="s">
        <v>11</v>
      </c>
      <c r="D26" s="65"/>
      <c r="E26" s="65"/>
      <c r="F26" s="65"/>
      <c r="G26" s="71"/>
      <c r="H26" s="65"/>
      <c r="I26" s="65"/>
      <c r="J26" s="65"/>
      <c r="K26" s="65"/>
      <c r="L26" s="65"/>
      <c r="M26" s="65"/>
      <c r="N26" s="71"/>
      <c r="O26" s="65"/>
      <c r="P26" s="65"/>
      <c r="Q26" s="65"/>
      <c r="R26" s="65"/>
      <c r="S26" s="65"/>
      <c r="T26" s="65"/>
      <c r="U26" s="71"/>
      <c r="V26" s="65"/>
      <c r="W26" s="65"/>
      <c r="X26" s="65"/>
      <c r="Y26" s="65"/>
      <c r="Z26" s="65"/>
      <c r="AA26" s="65"/>
      <c r="AB26" s="71"/>
      <c r="AC26" s="65"/>
      <c r="AD26" s="65"/>
      <c r="AE26" s="65"/>
      <c r="AF26" s="65"/>
      <c r="AG26" s="65"/>
      <c r="AH26" s="65"/>
      <c r="AI26" s="33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0</v>
      </c>
      <c r="AJ26" s="33">
        <f>0</f>
        <v>0</v>
      </c>
      <c r="AK26" s="33">
        <f>AI26+AJ26</f>
        <v>0</v>
      </c>
      <c r="AR26" s="10"/>
    </row>
    <row r="27" spans="1:44" s="7" customFormat="1" ht="13.5" customHeight="1" x14ac:dyDescent="0.2">
      <c r="A27" s="90"/>
      <c r="B27" s="96"/>
      <c r="C27" s="28" t="s">
        <v>12</v>
      </c>
      <c r="D27" s="65"/>
      <c r="E27" s="65"/>
      <c r="F27" s="65"/>
      <c r="G27" s="71"/>
      <c r="H27" s="65"/>
      <c r="I27" s="65"/>
      <c r="J27" s="65"/>
      <c r="K27" s="65"/>
      <c r="L27" s="65"/>
      <c r="M27" s="65"/>
      <c r="N27" s="71"/>
      <c r="O27" s="65"/>
      <c r="P27" s="65"/>
      <c r="Q27" s="65"/>
      <c r="R27" s="65"/>
      <c r="S27" s="65"/>
      <c r="T27" s="65"/>
      <c r="U27" s="71"/>
      <c r="V27" s="65"/>
      <c r="W27" s="65"/>
      <c r="X27" s="65"/>
      <c r="Y27" s="65"/>
      <c r="Z27" s="65"/>
      <c r="AA27" s="65"/>
      <c r="AB27" s="71"/>
      <c r="AC27" s="65"/>
      <c r="AD27" s="65"/>
      <c r="AE27" s="65"/>
      <c r="AF27" s="65"/>
      <c r="AG27" s="65"/>
      <c r="AH27" s="65"/>
      <c r="AI27" s="33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33">
        <f>0</f>
        <v>0</v>
      </c>
      <c r="AK27" s="33">
        <f>AI27+AJ27</f>
        <v>0</v>
      </c>
    </row>
    <row r="28" spans="1:44" ht="13.5" customHeight="1" x14ac:dyDescent="0.2">
      <c r="A28" s="16"/>
      <c r="B28" s="17"/>
      <c r="C28" s="69"/>
      <c r="D28" s="69"/>
      <c r="E28" s="69"/>
      <c r="F28" s="69"/>
      <c r="G28" s="71"/>
      <c r="H28" s="69"/>
      <c r="I28" s="69"/>
      <c r="J28" s="69"/>
      <c r="K28" s="69"/>
      <c r="L28" s="69"/>
      <c r="M28" s="69"/>
      <c r="N28" s="71"/>
      <c r="O28" s="69"/>
      <c r="P28" s="69"/>
      <c r="Q28" s="69"/>
      <c r="R28" s="69"/>
      <c r="S28" s="69"/>
      <c r="T28" s="69"/>
      <c r="U28" s="71"/>
      <c r="V28" s="69"/>
      <c r="W28" s="69"/>
      <c r="X28" s="69"/>
      <c r="Y28" s="69"/>
      <c r="Z28" s="69"/>
      <c r="AA28" s="69"/>
      <c r="AB28" s="71"/>
      <c r="AC28" s="69"/>
      <c r="AD28" s="69"/>
      <c r="AE28" s="69"/>
      <c r="AF28" s="69"/>
      <c r="AG28" s="69"/>
      <c r="AH28" s="69"/>
      <c r="AI28" s="78" t="str">
        <f>""</f>
        <v/>
      </c>
      <c r="AJ28" s="78" t="str">
        <f>""</f>
        <v/>
      </c>
      <c r="AK28" s="78" t="str">
        <f>""</f>
        <v/>
      </c>
    </row>
    <row r="29" spans="1:44" s="7" customFormat="1" ht="13.5" customHeight="1" x14ac:dyDescent="0.2">
      <c r="A29" s="94">
        <v>6</v>
      </c>
      <c r="B29" s="97" t="s">
        <v>18</v>
      </c>
      <c r="C29" s="28" t="s">
        <v>8</v>
      </c>
      <c r="D29" s="65"/>
      <c r="E29" s="65"/>
      <c r="F29" s="65"/>
      <c r="G29" s="71"/>
      <c r="H29" s="65"/>
      <c r="I29" s="65"/>
      <c r="J29" s="65"/>
      <c r="K29" s="65"/>
      <c r="L29" s="65"/>
      <c r="M29" s="65"/>
      <c r="N29" s="71"/>
      <c r="O29" s="65">
        <v>1</v>
      </c>
      <c r="P29" s="65"/>
      <c r="Q29" s="65"/>
      <c r="R29" s="65"/>
      <c r="S29" s="65"/>
      <c r="T29" s="65"/>
      <c r="U29" s="71"/>
      <c r="V29" s="65"/>
      <c r="W29" s="65"/>
      <c r="X29" s="65"/>
      <c r="Y29" s="65"/>
      <c r="Z29" s="65"/>
      <c r="AA29" s="65"/>
      <c r="AB29" s="71">
        <v>5.25</v>
      </c>
      <c r="AC29" s="65"/>
      <c r="AD29" s="65"/>
      <c r="AE29" s="65"/>
      <c r="AF29" s="65"/>
      <c r="AG29" s="65"/>
      <c r="AH29" s="65"/>
      <c r="AI29" s="33">
        <f>0</f>
        <v>0</v>
      </c>
      <c r="AJ29" s="33">
        <f>SUM(D29:AH29)/8</f>
        <v>0.78125</v>
      </c>
      <c r="AK29" s="33">
        <f>AI29+AJ29</f>
        <v>0.78125</v>
      </c>
    </row>
    <row r="30" spans="1:44" ht="13.5" customHeight="1" x14ac:dyDescent="0.2">
      <c r="A30" s="89"/>
      <c r="B30" s="89"/>
      <c r="C30" s="28" t="s">
        <v>9</v>
      </c>
      <c r="D30" s="65"/>
      <c r="E30" s="65" t="s">
        <v>10</v>
      </c>
      <c r="F30" s="65" t="s">
        <v>10</v>
      </c>
      <c r="G30" s="71"/>
      <c r="H30" s="65" t="s">
        <v>10</v>
      </c>
      <c r="I30" s="65"/>
      <c r="J30" s="65"/>
      <c r="K30" s="65" t="s">
        <v>10</v>
      </c>
      <c r="L30" s="65" t="s">
        <v>10</v>
      </c>
      <c r="M30" s="65" t="s">
        <v>10</v>
      </c>
      <c r="N30" s="71" t="s">
        <v>10</v>
      </c>
      <c r="O30" s="65" t="s">
        <v>10</v>
      </c>
      <c r="P30" s="65" t="s">
        <v>10</v>
      </c>
      <c r="Q30" s="65" t="s">
        <v>10</v>
      </c>
      <c r="R30" s="65" t="s">
        <v>10</v>
      </c>
      <c r="S30" s="65" t="s">
        <v>10</v>
      </c>
      <c r="T30" s="65"/>
      <c r="U30" s="71" t="s">
        <v>10</v>
      </c>
      <c r="V30" s="65" t="s">
        <v>10</v>
      </c>
      <c r="W30" s="65" t="s">
        <v>10</v>
      </c>
      <c r="X30" s="65" t="s">
        <v>10</v>
      </c>
      <c r="Y30" s="65" t="s">
        <v>10</v>
      </c>
      <c r="Z30" s="65" t="s">
        <v>10</v>
      </c>
      <c r="AA30" s="65" t="s">
        <v>10</v>
      </c>
      <c r="AB30" s="72"/>
      <c r="AC30" s="65" t="s">
        <v>10</v>
      </c>
      <c r="AD30" s="65" t="s">
        <v>10</v>
      </c>
      <c r="AE30" s="65" t="s">
        <v>10</v>
      </c>
      <c r="AF30" s="65"/>
      <c r="AG30" s="65" t="s">
        <v>10</v>
      </c>
      <c r="AH30" s="65"/>
      <c r="AI30" s="33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23</v>
      </c>
      <c r="AJ30" s="33">
        <f>0</f>
        <v>0</v>
      </c>
      <c r="AK30" s="33">
        <f>AI30+AJ30</f>
        <v>23</v>
      </c>
    </row>
    <row r="31" spans="1:44" s="7" customFormat="1" ht="13.5" customHeight="1" x14ac:dyDescent="0.2">
      <c r="A31" s="89"/>
      <c r="B31" s="89"/>
      <c r="C31" s="28" t="s">
        <v>11</v>
      </c>
      <c r="D31" s="65"/>
      <c r="E31" s="65"/>
      <c r="F31" s="65"/>
      <c r="G31" s="71"/>
      <c r="H31" s="65"/>
      <c r="I31" s="65"/>
      <c r="J31" s="65"/>
      <c r="K31" s="65"/>
      <c r="L31" s="65"/>
      <c r="M31" s="65"/>
      <c r="N31" s="71"/>
      <c r="O31" s="65"/>
      <c r="P31" s="65"/>
      <c r="Q31" s="65"/>
      <c r="R31" s="65"/>
      <c r="S31" s="65"/>
      <c r="T31" s="65"/>
      <c r="U31" s="71"/>
      <c r="V31" s="65"/>
      <c r="W31" s="65"/>
      <c r="X31" s="65"/>
      <c r="Y31" s="65"/>
      <c r="Z31" s="65"/>
      <c r="AA31" s="65"/>
      <c r="AB31" s="71"/>
      <c r="AC31" s="65"/>
      <c r="AD31" s="65"/>
      <c r="AE31" s="65"/>
      <c r="AF31" s="65"/>
      <c r="AG31" s="65"/>
      <c r="AH31" s="65"/>
      <c r="AI31" s="33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0</v>
      </c>
      <c r="AJ31" s="33">
        <f>0</f>
        <v>0</v>
      </c>
      <c r="AK31" s="33">
        <f>AI31+AJ31</f>
        <v>0</v>
      </c>
    </row>
    <row r="32" spans="1:44" ht="20.25" customHeight="1" x14ac:dyDescent="0.2">
      <c r="A32" s="90"/>
      <c r="B32" s="96"/>
      <c r="C32" s="28" t="s">
        <v>12</v>
      </c>
      <c r="D32" s="65"/>
      <c r="E32" s="65"/>
      <c r="F32" s="65"/>
      <c r="G32" s="71"/>
      <c r="H32" s="65"/>
      <c r="I32" s="65"/>
      <c r="J32" s="65"/>
      <c r="K32" s="65"/>
      <c r="L32" s="65"/>
      <c r="M32" s="65"/>
      <c r="N32" s="71"/>
      <c r="O32" s="65"/>
      <c r="P32" s="65"/>
      <c r="Q32" s="65"/>
      <c r="R32" s="65"/>
      <c r="S32" s="65"/>
      <c r="T32" s="65"/>
      <c r="U32" s="71"/>
      <c r="V32" s="65"/>
      <c r="W32" s="65"/>
      <c r="X32" s="65"/>
      <c r="Y32" s="65"/>
      <c r="Z32" s="65"/>
      <c r="AA32" s="65"/>
      <c r="AB32" s="71"/>
      <c r="AC32" s="65"/>
      <c r="AD32" s="65"/>
      <c r="AE32" s="65"/>
      <c r="AF32" s="65"/>
      <c r="AG32" s="65"/>
      <c r="AH32" s="65"/>
      <c r="AI32" s="33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0</v>
      </c>
      <c r="AJ32" s="33">
        <f>0</f>
        <v>0</v>
      </c>
      <c r="AK32" s="33">
        <f>0</f>
        <v>0</v>
      </c>
    </row>
    <row r="33" spans="1:37" ht="14.25" customHeight="1" x14ac:dyDescent="0.2">
      <c r="A33" s="16"/>
      <c r="B33" s="17"/>
      <c r="C33" s="69"/>
      <c r="D33" s="69"/>
      <c r="E33" s="69"/>
      <c r="F33" s="69"/>
      <c r="G33" s="71"/>
      <c r="H33" s="69"/>
      <c r="I33" s="69"/>
      <c r="J33" s="69"/>
      <c r="K33" s="69"/>
      <c r="L33" s="69"/>
      <c r="M33" s="69"/>
      <c r="N33" s="71"/>
      <c r="O33" s="69"/>
      <c r="P33" s="69"/>
      <c r="Q33" s="69"/>
      <c r="R33" s="69"/>
      <c r="S33" s="69"/>
      <c r="T33" s="69"/>
      <c r="U33" s="71"/>
      <c r="V33" s="69"/>
      <c r="W33" s="69"/>
      <c r="X33" s="69"/>
      <c r="Y33" s="69"/>
      <c r="Z33" s="69"/>
      <c r="AA33" s="69"/>
      <c r="AB33" s="71"/>
      <c r="AC33" s="69"/>
      <c r="AD33" s="69"/>
      <c r="AE33" s="69"/>
      <c r="AF33" s="69"/>
      <c r="AG33" s="69"/>
      <c r="AH33" s="69"/>
      <c r="AI33" s="78" t="str">
        <f>""</f>
        <v/>
      </c>
      <c r="AJ33" s="78" t="str">
        <f>""</f>
        <v/>
      </c>
      <c r="AK33" s="78" t="str">
        <f>""</f>
        <v/>
      </c>
    </row>
    <row r="34" spans="1:37" x14ac:dyDescent="0.2">
      <c r="A34" s="94">
        <v>7</v>
      </c>
      <c r="B34" s="97" t="s">
        <v>19</v>
      </c>
      <c r="C34" s="28" t="s">
        <v>8</v>
      </c>
      <c r="D34" s="65"/>
      <c r="E34" s="65"/>
      <c r="F34" s="65"/>
      <c r="G34" s="71"/>
      <c r="H34" s="65"/>
      <c r="I34" s="65"/>
      <c r="J34" s="65"/>
      <c r="K34" s="65"/>
      <c r="L34" s="65"/>
      <c r="M34" s="65"/>
      <c r="N34" s="71"/>
      <c r="O34" s="65">
        <v>1</v>
      </c>
      <c r="P34" s="65"/>
      <c r="Q34" s="65"/>
      <c r="R34" s="65"/>
      <c r="S34" s="65"/>
      <c r="T34" s="65"/>
      <c r="U34" s="71"/>
      <c r="V34" s="65"/>
      <c r="W34" s="65"/>
      <c r="X34" s="65"/>
      <c r="Y34" s="65"/>
      <c r="Z34" s="65"/>
      <c r="AA34" s="65"/>
      <c r="AB34" s="71">
        <v>5.25</v>
      </c>
      <c r="AC34" s="65"/>
      <c r="AD34" s="65"/>
      <c r="AE34" s="65"/>
      <c r="AF34" s="65"/>
      <c r="AG34" s="65"/>
      <c r="AH34" s="65"/>
      <c r="AI34" s="33">
        <f>0</f>
        <v>0</v>
      </c>
      <c r="AJ34" s="33">
        <f>SUM(D34:AH34)/8</f>
        <v>0.78125</v>
      </c>
      <c r="AK34" s="33">
        <f>AI34+AJ34</f>
        <v>0.78125</v>
      </c>
    </row>
    <row r="35" spans="1:37" ht="14.25" customHeight="1" x14ac:dyDescent="0.2">
      <c r="A35" s="89"/>
      <c r="B35" s="89"/>
      <c r="C35" s="28" t="s">
        <v>9</v>
      </c>
      <c r="D35" s="65"/>
      <c r="E35" s="65" t="s">
        <v>10</v>
      </c>
      <c r="F35" s="65" t="s">
        <v>10</v>
      </c>
      <c r="G35" s="71"/>
      <c r="H35" s="65" t="s">
        <v>10</v>
      </c>
      <c r="I35" s="65"/>
      <c r="J35" s="65"/>
      <c r="K35" s="65" t="s">
        <v>10</v>
      </c>
      <c r="L35" s="65" t="s">
        <v>10</v>
      </c>
      <c r="M35" s="65" t="s">
        <v>10</v>
      </c>
      <c r="N35" s="71" t="s">
        <v>10</v>
      </c>
      <c r="O35" s="65" t="s">
        <v>10</v>
      </c>
      <c r="P35" s="65" t="s">
        <v>10</v>
      </c>
      <c r="Q35" s="65" t="s">
        <v>10</v>
      </c>
      <c r="R35" s="65" t="s">
        <v>10</v>
      </c>
      <c r="S35" s="65" t="s">
        <v>10</v>
      </c>
      <c r="T35" s="65"/>
      <c r="U35" s="71" t="s">
        <v>10</v>
      </c>
      <c r="V35" s="65" t="s">
        <v>10</v>
      </c>
      <c r="W35" s="65" t="s">
        <v>10</v>
      </c>
      <c r="X35" s="65" t="s">
        <v>10</v>
      </c>
      <c r="Y35" s="65" t="s">
        <v>10</v>
      </c>
      <c r="Z35" s="65" t="s">
        <v>10</v>
      </c>
      <c r="AA35" s="65" t="s">
        <v>10</v>
      </c>
      <c r="AB35" s="72"/>
      <c r="AC35" s="65" t="s">
        <v>10</v>
      </c>
      <c r="AD35" s="65" t="s">
        <v>10</v>
      </c>
      <c r="AE35" s="65" t="s">
        <v>10</v>
      </c>
      <c r="AF35" s="65"/>
      <c r="AG35" s="65" t="s">
        <v>10</v>
      </c>
      <c r="AH35" s="65"/>
      <c r="AI35" s="35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23</v>
      </c>
      <c r="AJ35" s="35">
        <f>0</f>
        <v>0</v>
      </c>
      <c r="AK35" s="33">
        <f>AI35+AJ35</f>
        <v>23</v>
      </c>
    </row>
    <row r="36" spans="1:37" ht="14.25" customHeight="1" x14ac:dyDescent="0.2">
      <c r="A36" s="89"/>
      <c r="B36" s="89"/>
      <c r="C36" s="28" t="s">
        <v>11</v>
      </c>
      <c r="D36" s="65"/>
      <c r="E36" s="65"/>
      <c r="F36" s="65"/>
      <c r="G36" s="71"/>
      <c r="H36" s="65"/>
      <c r="I36" s="65"/>
      <c r="J36" s="65"/>
      <c r="K36" s="65"/>
      <c r="L36" s="65"/>
      <c r="M36" s="65"/>
      <c r="N36" s="71"/>
      <c r="O36" s="65"/>
      <c r="P36" s="65"/>
      <c r="Q36" s="65"/>
      <c r="R36" s="65"/>
      <c r="S36" s="65"/>
      <c r="T36" s="65"/>
      <c r="U36" s="71"/>
      <c r="V36" s="65"/>
      <c r="W36" s="65"/>
      <c r="X36" s="65"/>
      <c r="Y36" s="65"/>
      <c r="Z36" s="65"/>
      <c r="AA36" s="65"/>
      <c r="AB36" s="71"/>
      <c r="AC36" s="65"/>
      <c r="AD36" s="65"/>
      <c r="AE36" s="65"/>
      <c r="AF36" s="65"/>
      <c r="AG36" s="65"/>
      <c r="AH36" s="65"/>
      <c r="AI36" s="35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0</v>
      </c>
      <c r="AJ36" s="35">
        <f>0</f>
        <v>0</v>
      </c>
      <c r="AK36" s="33">
        <f>AI36+AJ36</f>
        <v>0</v>
      </c>
    </row>
    <row r="37" spans="1:37" ht="14.25" customHeight="1" x14ac:dyDescent="0.2">
      <c r="A37" s="90"/>
      <c r="B37" s="96"/>
      <c r="C37" s="28" t="s">
        <v>12</v>
      </c>
      <c r="D37" s="65"/>
      <c r="E37" s="65"/>
      <c r="F37" s="65"/>
      <c r="G37" s="71"/>
      <c r="H37" s="65"/>
      <c r="I37" s="65"/>
      <c r="J37" s="65"/>
      <c r="K37" s="65"/>
      <c r="L37" s="65"/>
      <c r="M37" s="65"/>
      <c r="N37" s="71"/>
      <c r="O37" s="65"/>
      <c r="P37" s="65"/>
      <c r="Q37" s="65"/>
      <c r="R37" s="65"/>
      <c r="S37" s="65"/>
      <c r="T37" s="65"/>
      <c r="U37" s="71"/>
      <c r="V37" s="65"/>
      <c r="W37" s="65"/>
      <c r="X37" s="65"/>
      <c r="Y37" s="65"/>
      <c r="Z37" s="65"/>
      <c r="AA37" s="65"/>
      <c r="AB37" s="71"/>
      <c r="AC37" s="65"/>
      <c r="AD37" s="65"/>
      <c r="AE37" s="65"/>
      <c r="AF37" s="65"/>
      <c r="AG37" s="65"/>
      <c r="AH37" s="65"/>
      <c r="AI37" s="35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0</v>
      </c>
      <c r="AJ37" s="33">
        <f>0</f>
        <v>0</v>
      </c>
      <c r="AK37" s="33">
        <f>AI37+AJ37</f>
        <v>0</v>
      </c>
    </row>
    <row r="38" spans="1:37" ht="14.25" customHeight="1" x14ac:dyDescent="0.2">
      <c r="A38" s="16"/>
      <c r="B38" s="17"/>
      <c r="C38" s="69"/>
      <c r="D38" s="69"/>
      <c r="E38" s="69"/>
      <c r="F38" s="69"/>
      <c r="G38" s="71"/>
      <c r="H38" s="69"/>
      <c r="I38" s="69"/>
      <c r="J38" s="69"/>
      <c r="K38" s="69"/>
      <c r="L38" s="69"/>
      <c r="M38" s="69"/>
      <c r="N38" s="71"/>
      <c r="O38" s="69"/>
      <c r="P38" s="69"/>
      <c r="Q38" s="69"/>
      <c r="R38" s="69"/>
      <c r="S38" s="69"/>
      <c r="T38" s="69"/>
      <c r="U38" s="71"/>
      <c r="V38" s="69"/>
      <c r="W38" s="69"/>
      <c r="X38" s="69"/>
      <c r="Y38" s="69"/>
      <c r="Z38" s="69"/>
      <c r="AA38" s="69"/>
      <c r="AB38" s="71"/>
      <c r="AC38" s="69"/>
      <c r="AD38" s="69"/>
      <c r="AE38" s="69"/>
      <c r="AF38" s="69"/>
      <c r="AG38" s="69"/>
      <c r="AH38" s="69"/>
      <c r="AI38" s="78" t="str">
        <f>""</f>
        <v/>
      </c>
      <c r="AJ38" s="78" t="str">
        <f>""</f>
        <v/>
      </c>
      <c r="AK38" s="78" t="str">
        <f>""</f>
        <v/>
      </c>
    </row>
    <row r="39" spans="1:37" ht="14.25" customHeight="1" x14ac:dyDescent="0.2">
      <c r="A39" s="94">
        <v>8</v>
      </c>
      <c r="B39" s="97" t="s">
        <v>20</v>
      </c>
      <c r="C39" s="28" t="s">
        <v>8</v>
      </c>
      <c r="D39" s="65"/>
      <c r="E39" s="65"/>
      <c r="F39" s="65"/>
      <c r="G39" s="71"/>
      <c r="H39" s="65"/>
      <c r="I39" s="65"/>
      <c r="J39" s="65"/>
      <c r="K39" s="65"/>
      <c r="L39" s="65"/>
      <c r="M39" s="65"/>
      <c r="N39" s="71"/>
      <c r="O39" s="65">
        <v>1</v>
      </c>
      <c r="P39" s="65"/>
      <c r="Q39" s="65"/>
      <c r="R39" s="65"/>
      <c r="S39" s="65"/>
      <c r="T39" s="65"/>
      <c r="U39" s="71"/>
      <c r="V39" s="65"/>
      <c r="W39" s="65"/>
      <c r="X39" s="65"/>
      <c r="Y39" s="65"/>
      <c r="Z39" s="65"/>
      <c r="AA39" s="65"/>
      <c r="AB39" s="71">
        <v>5.25</v>
      </c>
      <c r="AC39" s="65"/>
      <c r="AD39" s="65"/>
      <c r="AE39" s="65"/>
      <c r="AF39" s="65"/>
      <c r="AG39" s="65"/>
      <c r="AH39" s="65"/>
      <c r="AI39" s="33">
        <f>0</f>
        <v>0</v>
      </c>
      <c r="AJ39" s="33">
        <f>SUM(D39:AH39)/8</f>
        <v>0.78125</v>
      </c>
      <c r="AK39" s="33">
        <f>AI39+AJ39</f>
        <v>0.78125</v>
      </c>
    </row>
    <row r="40" spans="1:37" ht="14.25" customHeight="1" x14ac:dyDescent="0.2">
      <c r="A40" s="89"/>
      <c r="B40" s="89"/>
      <c r="C40" s="28" t="s">
        <v>9</v>
      </c>
      <c r="D40" s="65"/>
      <c r="E40" s="65" t="s">
        <v>10</v>
      </c>
      <c r="F40" s="65" t="s">
        <v>10</v>
      </c>
      <c r="G40" s="71"/>
      <c r="H40" s="65" t="s">
        <v>10</v>
      </c>
      <c r="I40" s="65"/>
      <c r="J40" s="65"/>
      <c r="K40" s="65" t="s">
        <v>10</v>
      </c>
      <c r="L40" s="65" t="s">
        <v>10</v>
      </c>
      <c r="M40" s="65" t="s">
        <v>10</v>
      </c>
      <c r="N40" s="71" t="s">
        <v>10</v>
      </c>
      <c r="O40" s="65" t="s">
        <v>10</v>
      </c>
      <c r="P40" s="65" t="s">
        <v>10</v>
      </c>
      <c r="Q40" s="65" t="s">
        <v>10</v>
      </c>
      <c r="R40" s="65" t="s">
        <v>10</v>
      </c>
      <c r="S40" s="65" t="s">
        <v>10</v>
      </c>
      <c r="T40" s="65"/>
      <c r="U40" s="71" t="s">
        <v>10</v>
      </c>
      <c r="V40" s="65" t="s">
        <v>10</v>
      </c>
      <c r="W40" s="65" t="s">
        <v>10</v>
      </c>
      <c r="X40" s="65" t="s">
        <v>10</v>
      </c>
      <c r="Y40" s="65" t="s">
        <v>10</v>
      </c>
      <c r="Z40" s="65" t="s">
        <v>10</v>
      </c>
      <c r="AA40" s="65" t="s">
        <v>10</v>
      </c>
      <c r="AB40" s="72"/>
      <c r="AC40" s="65" t="s">
        <v>10</v>
      </c>
      <c r="AD40" s="65" t="s">
        <v>10</v>
      </c>
      <c r="AE40" s="65" t="s">
        <v>10</v>
      </c>
      <c r="AF40" s="65"/>
      <c r="AG40" s="65" t="s">
        <v>10</v>
      </c>
      <c r="AH40" s="65"/>
      <c r="AI40" s="33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23</v>
      </c>
      <c r="AJ40" s="33">
        <f>0</f>
        <v>0</v>
      </c>
      <c r="AK40" s="33">
        <f>AI40+AJ40</f>
        <v>23</v>
      </c>
    </row>
    <row r="41" spans="1:37" ht="14.25" customHeight="1" x14ac:dyDescent="0.2">
      <c r="A41" s="89"/>
      <c r="B41" s="89"/>
      <c r="C41" s="28" t="s">
        <v>11</v>
      </c>
      <c r="D41" s="65"/>
      <c r="E41" s="65"/>
      <c r="F41" s="65"/>
      <c r="G41" s="71"/>
      <c r="H41" s="65"/>
      <c r="I41" s="65"/>
      <c r="J41" s="65"/>
      <c r="K41" s="65"/>
      <c r="L41" s="65"/>
      <c r="M41" s="65"/>
      <c r="N41" s="71"/>
      <c r="O41" s="65"/>
      <c r="P41" s="65"/>
      <c r="Q41" s="65"/>
      <c r="R41" s="65"/>
      <c r="S41" s="65"/>
      <c r="T41" s="65"/>
      <c r="U41" s="71"/>
      <c r="V41" s="65"/>
      <c r="W41" s="65"/>
      <c r="X41" s="65"/>
      <c r="Y41" s="65"/>
      <c r="Z41" s="65"/>
      <c r="AA41" s="65"/>
      <c r="AB41" s="71"/>
      <c r="AC41" s="65"/>
      <c r="AD41" s="65"/>
      <c r="AE41" s="65"/>
      <c r="AF41" s="65"/>
      <c r="AG41" s="65"/>
      <c r="AH41" s="65"/>
      <c r="AI41" s="33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0</v>
      </c>
      <c r="AJ41" s="33">
        <f>0</f>
        <v>0</v>
      </c>
      <c r="AK41" s="33">
        <f>AI41+AJ41</f>
        <v>0</v>
      </c>
    </row>
    <row r="42" spans="1:37" ht="14.25" customHeight="1" x14ac:dyDescent="0.2">
      <c r="A42" s="90"/>
      <c r="B42" s="96"/>
      <c r="C42" s="28" t="s">
        <v>12</v>
      </c>
      <c r="D42" s="65"/>
      <c r="E42" s="65"/>
      <c r="F42" s="65"/>
      <c r="G42" s="71"/>
      <c r="H42" s="65"/>
      <c r="I42" s="65"/>
      <c r="J42" s="65"/>
      <c r="K42" s="65"/>
      <c r="L42" s="65"/>
      <c r="M42" s="65"/>
      <c r="N42" s="71"/>
      <c r="O42" s="65"/>
      <c r="P42" s="65"/>
      <c r="Q42" s="65"/>
      <c r="R42" s="65"/>
      <c r="S42" s="65"/>
      <c r="T42" s="65"/>
      <c r="U42" s="71"/>
      <c r="V42" s="65"/>
      <c r="W42" s="65"/>
      <c r="X42" s="65"/>
      <c r="Y42" s="65"/>
      <c r="Z42" s="65"/>
      <c r="AA42" s="65"/>
      <c r="AB42" s="71"/>
      <c r="AC42" s="65"/>
      <c r="AD42" s="65"/>
      <c r="AE42" s="65"/>
      <c r="AF42" s="65"/>
      <c r="AG42" s="65"/>
      <c r="AH42" s="65"/>
      <c r="AI42" s="33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33">
        <f>0</f>
        <v>0</v>
      </c>
      <c r="AK42" s="33">
        <f>AI42+AJ42</f>
        <v>0</v>
      </c>
    </row>
    <row r="43" spans="1:37" ht="14.25" customHeight="1" x14ac:dyDescent="0.2">
      <c r="A43" s="16"/>
      <c r="B43" s="17"/>
      <c r="C43" s="69"/>
      <c r="D43" s="69"/>
      <c r="E43" s="69"/>
      <c r="F43" s="69"/>
      <c r="G43" s="71"/>
      <c r="H43" s="69"/>
      <c r="I43" s="69"/>
      <c r="J43" s="69"/>
      <c r="K43" s="69"/>
      <c r="L43" s="69"/>
      <c r="M43" s="69"/>
      <c r="N43" s="71"/>
      <c r="O43" s="69"/>
      <c r="P43" s="69"/>
      <c r="Q43" s="69"/>
      <c r="R43" s="69"/>
      <c r="S43" s="69"/>
      <c r="T43" s="69"/>
      <c r="U43" s="71"/>
      <c r="V43" s="69"/>
      <c r="W43" s="69"/>
      <c r="X43" s="69"/>
      <c r="Y43" s="69"/>
      <c r="Z43" s="69"/>
      <c r="AA43" s="69"/>
      <c r="AB43" s="71"/>
      <c r="AC43" s="69"/>
      <c r="AD43" s="69"/>
      <c r="AE43" s="69"/>
      <c r="AF43" s="69"/>
      <c r="AG43" s="69"/>
      <c r="AH43" s="69"/>
      <c r="AI43" s="78" t="str">
        <f>""</f>
        <v/>
      </c>
      <c r="AJ43" s="78" t="str">
        <f>""</f>
        <v/>
      </c>
      <c r="AK43" s="78" t="str">
        <f>""</f>
        <v/>
      </c>
    </row>
    <row r="44" spans="1:37" ht="14.25" customHeight="1" x14ac:dyDescent="0.2">
      <c r="A44" s="94">
        <v>9</v>
      </c>
      <c r="B44" s="97" t="s">
        <v>21</v>
      </c>
      <c r="C44" s="28" t="s">
        <v>8</v>
      </c>
      <c r="D44" s="65"/>
      <c r="E44" s="65"/>
      <c r="F44" s="65"/>
      <c r="G44" s="71"/>
      <c r="H44" s="65"/>
      <c r="I44" s="65"/>
      <c r="J44" s="65"/>
      <c r="K44" s="65"/>
      <c r="L44" s="65"/>
      <c r="M44" s="65"/>
      <c r="N44" s="71"/>
      <c r="O44" s="65">
        <v>1</v>
      </c>
      <c r="P44" s="65"/>
      <c r="Q44" s="65"/>
      <c r="R44" s="65"/>
      <c r="S44" s="65"/>
      <c r="T44" s="65"/>
      <c r="U44" s="71"/>
      <c r="V44" s="65"/>
      <c r="W44" s="65"/>
      <c r="X44" s="65"/>
      <c r="Y44" s="65"/>
      <c r="Z44" s="65"/>
      <c r="AA44" s="65"/>
      <c r="AB44" s="71">
        <v>5.25</v>
      </c>
      <c r="AC44" s="65"/>
      <c r="AD44" s="65"/>
      <c r="AE44" s="65"/>
      <c r="AF44" s="65"/>
      <c r="AG44" s="65"/>
      <c r="AH44" s="65"/>
      <c r="AI44" s="33">
        <f>0</f>
        <v>0</v>
      </c>
      <c r="AJ44" s="33">
        <f>SUM(D44:AH44)/8</f>
        <v>0.78125</v>
      </c>
      <c r="AK44" s="33">
        <f>AI44+AJ44</f>
        <v>0.78125</v>
      </c>
    </row>
    <row r="45" spans="1:37" ht="14.25" customHeight="1" x14ac:dyDescent="0.2">
      <c r="A45" s="89"/>
      <c r="B45" s="89"/>
      <c r="C45" s="28" t="s">
        <v>9</v>
      </c>
      <c r="D45" s="65"/>
      <c r="E45" s="65" t="s">
        <v>10</v>
      </c>
      <c r="F45" s="65" t="s">
        <v>10</v>
      </c>
      <c r="G45" s="71"/>
      <c r="H45" s="65" t="s">
        <v>10</v>
      </c>
      <c r="I45" s="65"/>
      <c r="J45" s="65"/>
      <c r="K45" s="65" t="s">
        <v>10</v>
      </c>
      <c r="L45" s="65" t="s">
        <v>10</v>
      </c>
      <c r="M45" s="65" t="s">
        <v>10</v>
      </c>
      <c r="N45" s="71" t="s">
        <v>10</v>
      </c>
      <c r="O45" s="65" t="s">
        <v>10</v>
      </c>
      <c r="P45" s="65" t="s">
        <v>10</v>
      </c>
      <c r="Q45" s="65" t="s">
        <v>10</v>
      </c>
      <c r="R45" s="65" t="s">
        <v>10</v>
      </c>
      <c r="S45" s="65" t="s">
        <v>10</v>
      </c>
      <c r="T45" s="65"/>
      <c r="U45" s="71" t="s">
        <v>10</v>
      </c>
      <c r="V45" s="65" t="s">
        <v>10</v>
      </c>
      <c r="W45" s="65" t="s">
        <v>10</v>
      </c>
      <c r="X45" s="65" t="s">
        <v>10</v>
      </c>
      <c r="Y45" s="65" t="s">
        <v>10</v>
      </c>
      <c r="Z45" s="65" t="s">
        <v>10</v>
      </c>
      <c r="AA45" s="65" t="s">
        <v>10</v>
      </c>
      <c r="AB45" s="72"/>
      <c r="AC45" s="65" t="s">
        <v>10</v>
      </c>
      <c r="AD45" s="65" t="s">
        <v>10</v>
      </c>
      <c r="AE45" s="65" t="s">
        <v>10</v>
      </c>
      <c r="AF45" s="65"/>
      <c r="AG45" s="65" t="s">
        <v>10</v>
      </c>
      <c r="AH45" s="65"/>
      <c r="AI45" s="33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23</v>
      </c>
      <c r="AJ45" s="33">
        <f>0</f>
        <v>0</v>
      </c>
      <c r="AK45" s="33">
        <f>AI45+AJ45</f>
        <v>23</v>
      </c>
    </row>
    <row r="46" spans="1:37" ht="14.25" customHeight="1" x14ac:dyDescent="0.2">
      <c r="A46" s="89"/>
      <c r="B46" s="89"/>
      <c r="C46" s="28" t="s">
        <v>11</v>
      </c>
      <c r="D46" s="65"/>
      <c r="E46" s="65"/>
      <c r="F46" s="65"/>
      <c r="G46" s="71"/>
      <c r="H46" s="65"/>
      <c r="I46" s="65"/>
      <c r="J46" s="65"/>
      <c r="K46" s="65"/>
      <c r="L46" s="65"/>
      <c r="M46" s="65"/>
      <c r="N46" s="71"/>
      <c r="O46" s="65"/>
      <c r="P46" s="65"/>
      <c r="Q46" s="65"/>
      <c r="R46" s="65"/>
      <c r="S46" s="65"/>
      <c r="T46" s="65"/>
      <c r="U46" s="71"/>
      <c r="V46" s="65"/>
      <c r="W46" s="65"/>
      <c r="X46" s="65"/>
      <c r="Y46" s="65"/>
      <c r="Z46" s="65"/>
      <c r="AA46" s="65"/>
      <c r="AB46" s="71"/>
      <c r="AC46" s="65"/>
      <c r="AD46" s="65"/>
      <c r="AE46" s="65"/>
      <c r="AF46" s="65"/>
      <c r="AG46" s="65"/>
      <c r="AH46" s="65"/>
      <c r="AI46" s="33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0</v>
      </c>
      <c r="AJ46" s="33">
        <f>0</f>
        <v>0</v>
      </c>
      <c r="AK46" s="33">
        <f>AI46+AJ46</f>
        <v>0</v>
      </c>
    </row>
    <row r="47" spans="1:37" ht="14.25" customHeight="1" x14ac:dyDescent="0.2">
      <c r="A47" s="90"/>
      <c r="B47" s="96"/>
      <c r="C47" s="28" t="s">
        <v>12</v>
      </c>
      <c r="D47" s="65"/>
      <c r="E47" s="65"/>
      <c r="F47" s="65"/>
      <c r="G47" s="71"/>
      <c r="H47" s="65"/>
      <c r="I47" s="65"/>
      <c r="J47" s="65"/>
      <c r="K47" s="65"/>
      <c r="L47" s="65"/>
      <c r="M47" s="65"/>
      <c r="N47" s="71"/>
      <c r="O47" s="65"/>
      <c r="P47" s="65"/>
      <c r="Q47" s="65"/>
      <c r="R47" s="65"/>
      <c r="S47" s="65"/>
      <c r="T47" s="65"/>
      <c r="U47" s="71"/>
      <c r="V47" s="65"/>
      <c r="W47" s="65"/>
      <c r="X47" s="65"/>
      <c r="Y47" s="65"/>
      <c r="Z47" s="65"/>
      <c r="AA47" s="65"/>
      <c r="AB47" s="71"/>
      <c r="AC47" s="65"/>
      <c r="AD47" s="65"/>
      <c r="AE47" s="65"/>
      <c r="AF47" s="65"/>
      <c r="AG47" s="65"/>
      <c r="AH47" s="65"/>
      <c r="AI47" s="33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0</v>
      </c>
      <c r="AJ47" s="33">
        <f>0</f>
        <v>0</v>
      </c>
      <c r="AK47" s="33">
        <f>AI47+AJ47</f>
        <v>0</v>
      </c>
    </row>
    <row r="48" spans="1:37" ht="14.25" customHeight="1" x14ac:dyDescent="0.2">
      <c r="A48" s="16"/>
      <c r="B48" s="17"/>
      <c r="C48" s="69"/>
      <c r="D48" s="69"/>
      <c r="E48" s="69"/>
      <c r="F48" s="69"/>
      <c r="G48" s="71"/>
      <c r="H48" s="69"/>
      <c r="I48" s="69"/>
      <c r="J48" s="69"/>
      <c r="K48" s="69"/>
      <c r="L48" s="69"/>
      <c r="M48" s="69"/>
      <c r="N48" s="71"/>
      <c r="O48" s="69"/>
      <c r="P48" s="69"/>
      <c r="Q48" s="69"/>
      <c r="R48" s="69"/>
      <c r="S48" s="69"/>
      <c r="T48" s="69"/>
      <c r="U48" s="71"/>
      <c r="V48" s="69"/>
      <c r="W48" s="69"/>
      <c r="X48" s="69"/>
      <c r="Y48" s="69"/>
      <c r="Z48" s="69"/>
      <c r="AA48" s="69"/>
      <c r="AB48" s="71"/>
      <c r="AC48" s="69"/>
      <c r="AD48" s="69"/>
      <c r="AE48" s="69"/>
      <c r="AF48" s="69"/>
      <c r="AG48" s="69"/>
      <c r="AH48" s="69"/>
      <c r="AI48" s="78" t="str">
        <f>""</f>
        <v/>
      </c>
      <c r="AJ48" s="78" t="str">
        <f>""</f>
        <v/>
      </c>
      <c r="AK48" s="78" t="str">
        <f>""</f>
        <v/>
      </c>
    </row>
    <row r="49" spans="1:37" ht="14.25" customHeight="1" x14ac:dyDescent="0.2">
      <c r="A49" s="94">
        <v>10</v>
      </c>
      <c r="B49" s="97" t="s">
        <v>22</v>
      </c>
      <c r="C49" s="28" t="s">
        <v>8</v>
      </c>
      <c r="D49" s="65"/>
      <c r="E49" s="65"/>
      <c r="F49" s="65"/>
      <c r="G49" s="71"/>
      <c r="H49" s="65"/>
      <c r="I49" s="65"/>
      <c r="J49" s="65"/>
      <c r="K49" s="65"/>
      <c r="L49" s="65"/>
      <c r="M49" s="65"/>
      <c r="N49" s="71"/>
      <c r="O49" s="65">
        <v>1</v>
      </c>
      <c r="P49" s="65"/>
      <c r="Q49" s="65"/>
      <c r="R49" s="65"/>
      <c r="S49" s="65"/>
      <c r="T49" s="65"/>
      <c r="U49" s="71"/>
      <c r="V49" s="65"/>
      <c r="W49" s="65"/>
      <c r="X49" s="65"/>
      <c r="Y49" s="65"/>
      <c r="Z49" s="65"/>
      <c r="AA49" s="65"/>
      <c r="AB49" s="71">
        <v>5.25</v>
      </c>
      <c r="AC49" s="65"/>
      <c r="AD49" s="65"/>
      <c r="AE49" s="65"/>
      <c r="AF49" s="65"/>
      <c r="AG49" s="65"/>
      <c r="AH49" s="65"/>
      <c r="AI49" s="33">
        <f>0</f>
        <v>0</v>
      </c>
      <c r="AJ49" s="33">
        <f>SUM(D49:AH49)/8</f>
        <v>0.78125</v>
      </c>
      <c r="AK49" s="33">
        <f>AI49+AJ49</f>
        <v>0.78125</v>
      </c>
    </row>
    <row r="50" spans="1:37" ht="14.25" customHeight="1" x14ac:dyDescent="0.2">
      <c r="A50" s="89"/>
      <c r="B50" s="89"/>
      <c r="C50" s="28" t="s">
        <v>9</v>
      </c>
      <c r="D50" s="65"/>
      <c r="E50" s="65" t="s">
        <v>10</v>
      </c>
      <c r="F50" s="65" t="s">
        <v>10</v>
      </c>
      <c r="G50" s="71"/>
      <c r="H50" s="65" t="s">
        <v>10</v>
      </c>
      <c r="I50" s="65"/>
      <c r="J50" s="65"/>
      <c r="K50" s="65" t="s">
        <v>10</v>
      </c>
      <c r="L50" s="65" t="s">
        <v>10</v>
      </c>
      <c r="M50" s="65" t="s">
        <v>10</v>
      </c>
      <c r="N50" s="71" t="s">
        <v>10</v>
      </c>
      <c r="O50" s="65" t="s">
        <v>10</v>
      </c>
      <c r="P50" s="65" t="s">
        <v>10</v>
      </c>
      <c r="Q50" s="65" t="s">
        <v>10</v>
      </c>
      <c r="R50" s="65" t="s">
        <v>10</v>
      </c>
      <c r="S50" s="65" t="s">
        <v>10</v>
      </c>
      <c r="T50" s="65"/>
      <c r="U50" s="71" t="s">
        <v>10</v>
      </c>
      <c r="V50" s="65" t="s">
        <v>10</v>
      </c>
      <c r="W50" s="65" t="s">
        <v>10</v>
      </c>
      <c r="X50" s="65" t="s">
        <v>10</v>
      </c>
      <c r="Y50" s="65" t="s">
        <v>10</v>
      </c>
      <c r="Z50" s="65" t="s">
        <v>10</v>
      </c>
      <c r="AA50" s="65" t="s">
        <v>10</v>
      </c>
      <c r="AB50" s="72"/>
      <c r="AC50" s="65" t="s">
        <v>10</v>
      </c>
      <c r="AD50" s="65" t="s">
        <v>10</v>
      </c>
      <c r="AE50" s="65" t="s">
        <v>10</v>
      </c>
      <c r="AF50" s="65"/>
      <c r="AG50" s="65" t="s">
        <v>10</v>
      </c>
      <c r="AH50" s="65"/>
      <c r="AI50" s="33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23</v>
      </c>
      <c r="AJ50" s="33">
        <f>0</f>
        <v>0</v>
      </c>
      <c r="AK50" s="33">
        <f>AI50+AJ50</f>
        <v>23</v>
      </c>
    </row>
    <row r="51" spans="1:37" ht="14.25" customHeight="1" x14ac:dyDescent="0.2">
      <c r="A51" s="89"/>
      <c r="B51" s="89"/>
      <c r="C51" s="28" t="s">
        <v>11</v>
      </c>
      <c r="D51" s="65"/>
      <c r="E51" s="65"/>
      <c r="F51" s="65"/>
      <c r="G51" s="71"/>
      <c r="H51" s="65"/>
      <c r="I51" s="65"/>
      <c r="J51" s="65"/>
      <c r="K51" s="65"/>
      <c r="L51" s="65"/>
      <c r="M51" s="65"/>
      <c r="N51" s="71"/>
      <c r="O51" s="65"/>
      <c r="P51" s="65"/>
      <c r="Q51" s="65"/>
      <c r="R51" s="65"/>
      <c r="S51" s="65"/>
      <c r="T51" s="65"/>
      <c r="U51" s="71"/>
      <c r="V51" s="65"/>
      <c r="W51" s="65"/>
      <c r="X51" s="65"/>
      <c r="Y51" s="65"/>
      <c r="Z51" s="65"/>
      <c r="AA51" s="65"/>
      <c r="AB51" s="71"/>
      <c r="AC51" s="65"/>
      <c r="AD51" s="65"/>
      <c r="AE51" s="65"/>
      <c r="AF51" s="65"/>
      <c r="AG51" s="65"/>
      <c r="AH51" s="65"/>
      <c r="AI51" s="33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0</v>
      </c>
      <c r="AJ51" s="33">
        <f>0</f>
        <v>0</v>
      </c>
      <c r="AK51" s="33">
        <f>AI51+AJ51</f>
        <v>0</v>
      </c>
    </row>
    <row r="52" spans="1:37" ht="14.25" customHeight="1" x14ac:dyDescent="0.2">
      <c r="A52" s="90"/>
      <c r="B52" s="96"/>
      <c r="C52" s="28" t="s">
        <v>12</v>
      </c>
      <c r="D52" s="65"/>
      <c r="E52" s="65"/>
      <c r="F52" s="65"/>
      <c r="G52" s="71"/>
      <c r="H52" s="65"/>
      <c r="I52" s="65"/>
      <c r="J52" s="65"/>
      <c r="K52" s="65"/>
      <c r="L52" s="65"/>
      <c r="M52" s="65"/>
      <c r="N52" s="71"/>
      <c r="O52" s="65"/>
      <c r="P52" s="65"/>
      <c r="Q52" s="65"/>
      <c r="R52" s="65"/>
      <c r="S52" s="65"/>
      <c r="T52" s="65"/>
      <c r="U52" s="71"/>
      <c r="V52" s="65"/>
      <c r="W52" s="65"/>
      <c r="X52" s="65"/>
      <c r="Y52" s="65"/>
      <c r="Z52" s="65"/>
      <c r="AA52" s="65"/>
      <c r="AB52" s="71"/>
      <c r="AC52" s="65"/>
      <c r="AD52" s="65"/>
      <c r="AE52" s="65"/>
      <c r="AF52" s="65"/>
      <c r="AG52" s="65"/>
      <c r="AH52" s="65"/>
      <c r="AI52" s="33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0</v>
      </c>
      <c r="AJ52" s="33">
        <f>0</f>
        <v>0</v>
      </c>
      <c r="AK52" s="33">
        <f>AI52+AJ52</f>
        <v>0</v>
      </c>
    </row>
    <row r="53" spans="1:37" ht="14.25" customHeight="1" x14ac:dyDescent="0.2">
      <c r="A53" s="16"/>
      <c r="B53" s="17"/>
      <c r="C53" s="69"/>
      <c r="D53" s="69"/>
      <c r="E53" s="69"/>
      <c r="F53" s="69"/>
      <c r="G53" s="71"/>
      <c r="H53" s="69"/>
      <c r="I53" s="69"/>
      <c r="J53" s="69"/>
      <c r="K53" s="69"/>
      <c r="L53" s="69"/>
      <c r="M53" s="69"/>
      <c r="N53" s="71"/>
      <c r="O53" s="69"/>
      <c r="P53" s="69"/>
      <c r="Q53" s="69"/>
      <c r="R53" s="69"/>
      <c r="S53" s="69"/>
      <c r="T53" s="69"/>
      <c r="U53" s="71"/>
      <c r="V53" s="69"/>
      <c r="W53" s="69"/>
      <c r="X53" s="69"/>
      <c r="Y53" s="69"/>
      <c r="Z53" s="69"/>
      <c r="AA53" s="69"/>
      <c r="AB53" s="71"/>
      <c r="AC53" s="69"/>
      <c r="AD53" s="69"/>
      <c r="AE53" s="69"/>
      <c r="AF53" s="69"/>
      <c r="AG53" s="69"/>
      <c r="AH53" s="69"/>
      <c r="AI53" s="78" t="str">
        <f>""</f>
        <v/>
      </c>
      <c r="AJ53" s="78" t="str">
        <f>""</f>
        <v/>
      </c>
      <c r="AK53" s="78" t="str">
        <f>""</f>
        <v/>
      </c>
    </row>
    <row r="54" spans="1:37" ht="14.25" customHeight="1" x14ac:dyDescent="0.2">
      <c r="A54" s="94">
        <v>11</v>
      </c>
      <c r="B54" s="97" t="s">
        <v>23</v>
      </c>
      <c r="C54" s="28" t="s">
        <v>8</v>
      </c>
      <c r="D54" s="65"/>
      <c r="E54" s="65"/>
      <c r="F54" s="65"/>
      <c r="G54" s="71"/>
      <c r="H54" s="65"/>
      <c r="I54" s="65"/>
      <c r="J54" s="65"/>
      <c r="K54" s="65"/>
      <c r="L54" s="65"/>
      <c r="M54" s="65"/>
      <c r="N54" s="71"/>
      <c r="O54" s="65">
        <v>1</v>
      </c>
      <c r="P54" s="65"/>
      <c r="Q54" s="65"/>
      <c r="R54" s="65"/>
      <c r="S54" s="65"/>
      <c r="T54" s="65"/>
      <c r="U54" s="71"/>
      <c r="V54" s="65"/>
      <c r="W54" s="65"/>
      <c r="X54" s="65"/>
      <c r="Y54" s="65"/>
      <c r="Z54" s="65"/>
      <c r="AA54" s="65"/>
      <c r="AB54" s="71">
        <v>5.25</v>
      </c>
      <c r="AC54" s="65"/>
      <c r="AD54" s="65"/>
      <c r="AE54" s="65"/>
      <c r="AF54" s="65"/>
      <c r="AG54" s="65"/>
      <c r="AH54" s="65"/>
      <c r="AI54" s="33">
        <f>0</f>
        <v>0</v>
      </c>
      <c r="AJ54" s="33">
        <f>SUM(D54:AH54)/8</f>
        <v>0.78125</v>
      </c>
      <c r="AK54" s="33">
        <f>AI54+AJ54</f>
        <v>0.78125</v>
      </c>
    </row>
    <row r="55" spans="1:37" ht="14.25" customHeight="1" x14ac:dyDescent="0.2">
      <c r="A55" s="89"/>
      <c r="B55" s="89"/>
      <c r="C55" s="28" t="s">
        <v>9</v>
      </c>
      <c r="D55" s="65"/>
      <c r="E55" s="65" t="s">
        <v>10</v>
      </c>
      <c r="F55" s="65" t="s">
        <v>10</v>
      </c>
      <c r="G55" s="71"/>
      <c r="H55" s="65" t="s">
        <v>10</v>
      </c>
      <c r="I55" s="65"/>
      <c r="J55" s="65"/>
      <c r="K55" s="65" t="s">
        <v>10</v>
      </c>
      <c r="L55" s="65" t="s">
        <v>10</v>
      </c>
      <c r="M55" s="65" t="s">
        <v>10</v>
      </c>
      <c r="N55" s="71" t="s">
        <v>10</v>
      </c>
      <c r="O55" s="65" t="s">
        <v>10</v>
      </c>
      <c r="P55" s="65" t="s">
        <v>10</v>
      </c>
      <c r="Q55" s="65" t="s">
        <v>10</v>
      </c>
      <c r="R55" s="65" t="s">
        <v>10</v>
      </c>
      <c r="S55" s="65" t="s">
        <v>10</v>
      </c>
      <c r="T55" s="65"/>
      <c r="U55" s="71" t="s">
        <v>10</v>
      </c>
      <c r="V55" s="65" t="s">
        <v>10</v>
      </c>
      <c r="W55" s="65" t="s">
        <v>10</v>
      </c>
      <c r="X55" s="65" t="s">
        <v>10</v>
      </c>
      <c r="Y55" s="65" t="s">
        <v>10</v>
      </c>
      <c r="Z55" s="65" t="s">
        <v>10</v>
      </c>
      <c r="AA55" s="65" t="s">
        <v>10</v>
      </c>
      <c r="AB55" s="72"/>
      <c r="AC55" s="65" t="s">
        <v>10</v>
      </c>
      <c r="AD55" s="65" t="s">
        <v>10</v>
      </c>
      <c r="AE55" s="65" t="s">
        <v>10</v>
      </c>
      <c r="AF55" s="65"/>
      <c r="AG55" s="65" t="s">
        <v>10</v>
      </c>
      <c r="AH55" s="65"/>
      <c r="AI55" s="33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23</v>
      </c>
      <c r="AJ55" s="33">
        <f>0</f>
        <v>0</v>
      </c>
      <c r="AK55" s="33">
        <f>AI55+AJ55</f>
        <v>23</v>
      </c>
    </row>
    <row r="56" spans="1:37" ht="14.25" customHeight="1" x14ac:dyDescent="0.2">
      <c r="A56" s="89"/>
      <c r="B56" s="89"/>
      <c r="C56" s="28" t="s">
        <v>11</v>
      </c>
      <c r="D56" s="65"/>
      <c r="E56" s="65"/>
      <c r="F56" s="65"/>
      <c r="G56" s="71"/>
      <c r="H56" s="65"/>
      <c r="I56" s="65"/>
      <c r="J56" s="65"/>
      <c r="K56" s="65"/>
      <c r="L56" s="65"/>
      <c r="M56" s="65"/>
      <c r="N56" s="71"/>
      <c r="O56" s="65"/>
      <c r="P56" s="65"/>
      <c r="Q56" s="65"/>
      <c r="R56" s="65"/>
      <c r="S56" s="65"/>
      <c r="T56" s="65"/>
      <c r="U56" s="71"/>
      <c r="V56" s="65"/>
      <c r="W56" s="65"/>
      <c r="X56" s="65"/>
      <c r="Y56" s="65"/>
      <c r="Z56" s="65"/>
      <c r="AA56" s="65"/>
      <c r="AB56" s="71"/>
      <c r="AC56" s="65"/>
      <c r="AD56" s="65"/>
      <c r="AE56" s="65"/>
      <c r="AF56" s="65"/>
      <c r="AG56" s="65"/>
      <c r="AH56" s="65"/>
      <c r="AI56" s="33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0</v>
      </c>
      <c r="AJ56" s="33">
        <f>0</f>
        <v>0</v>
      </c>
      <c r="AK56" s="33">
        <f>AI56+AJ56</f>
        <v>0</v>
      </c>
    </row>
    <row r="57" spans="1:37" ht="14.25" customHeight="1" x14ac:dyDescent="0.2">
      <c r="A57" s="90"/>
      <c r="B57" s="96"/>
      <c r="C57" s="28" t="s">
        <v>12</v>
      </c>
      <c r="D57" s="65"/>
      <c r="E57" s="65"/>
      <c r="F57" s="65"/>
      <c r="G57" s="71"/>
      <c r="H57" s="65"/>
      <c r="I57" s="65"/>
      <c r="J57" s="65"/>
      <c r="K57" s="65"/>
      <c r="L57" s="65"/>
      <c r="M57" s="65"/>
      <c r="N57" s="71"/>
      <c r="O57" s="65"/>
      <c r="P57" s="65"/>
      <c r="Q57" s="65"/>
      <c r="R57" s="65"/>
      <c r="S57" s="65"/>
      <c r="T57" s="65"/>
      <c r="U57" s="71"/>
      <c r="V57" s="65"/>
      <c r="W57" s="65"/>
      <c r="X57" s="65"/>
      <c r="Y57" s="65"/>
      <c r="Z57" s="65"/>
      <c r="AA57" s="65"/>
      <c r="AB57" s="71"/>
      <c r="AC57" s="65"/>
      <c r="AD57" s="65"/>
      <c r="AE57" s="65"/>
      <c r="AF57" s="65"/>
      <c r="AG57" s="65"/>
      <c r="AH57" s="65"/>
      <c r="AI57" s="33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0</v>
      </c>
      <c r="AJ57" s="33">
        <f>0</f>
        <v>0</v>
      </c>
      <c r="AK57" s="33">
        <f>AI57+AJ57</f>
        <v>0</v>
      </c>
    </row>
    <row r="58" spans="1:37" ht="14.25" customHeight="1" x14ac:dyDescent="0.2">
      <c r="A58" s="16"/>
      <c r="B58" s="17"/>
      <c r="C58" s="69"/>
      <c r="D58" s="69"/>
      <c r="E58" s="69"/>
      <c r="F58" s="69"/>
      <c r="G58" s="71"/>
      <c r="H58" s="69"/>
      <c r="I58" s="69"/>
      <c r="J58" s="69"/>
      <c r="K58" s="69"/>
      <c r="L58" s="69"/>
      <c r="M58" s="69"/>
      <c r="N58" s="71"/>
      <c r="O58" s="69"/>
      <c r="P58" s="69"/>
      <c r="Q58" s="69"/>
      <c r="R58" s="69"/>
      <c r="S58" s="69"/>
      <c r="T58" s="69"/>
      <c r="U58" s="71"/>
      <c r="V58" s="69"/>
      <c r="W58" s="69"/>
      <c r="X58" s="69"/>
      <c r="Y58" s="69"/>
      <c r="Z58" s="69"/>
      <c r="AA58" s="69"/>
      <c r="AB58" s="71"/>
      <c r="AC58" s="69"/>
      <c r="AD58" s="69"/>
      <c r="AE58" s="69"/>
      <c r="AF58" s="69"/>
      <c r="AG58" s="69"/>
      <c r="AH58" s="69"/>
      <c r="AI58" s="78" t="str">
        <f>""</f>
        <v/>
      </c>
      <c r="AJ58" s="78" t="str">
        <f>""</f>
        <v/>
      </c>
      <c r="AK58" s="78" t="str">
        <f>""</f>
        <v/>
      </c>
    </row>
    <row r="59" spans="1:37" ht="14.25" customHeight="1" x14ac:dyDescent="0.2">
      <c r="A59" s="94">
        <v>12</v>
      </c>
      <c r="B59" s="88" t="s">
        <v>24</v>
      </c>
      <c r="C59" s="28" t="s">
        <v>8</v>
      </c>
      <c r="D59" s="65"/>
      <c r="E59" s="65"/>
      <c r="F59" s="65"/>
      <c r="G59" s="71"/>
      <c r="H59" s="65"/>
      <c r="I59" s="65"/>
      <c r="J59" s="65"/>
      <c r="K59" s="65"/>
      <c r="L59" s="65"/>
      <c r="M59" s="65"/>
      <c r="N59" s="71"/>
      <c r="O59" s="65">
        <v>1</v>
      </c>
      <c r="P59" s="65"/>
      <c r="Q59" s="65"/>
      <c r="R59" s="65"/>
      <c r="S59" s="65"/>
      <c r="T59" s="65"/>
      <c r="U59" s="71"/>
      <c r="V59" s="65"/>
      <c r="W59" s="65"/>
      <c r="X59" s="65"/>
      <c r="Y59" s="65"/>
      <c r="Z59" s="65"/>
      <c r="AA59" s="65"/>
      <c r="AB59" s="71">
        <v>5.25</v>
      </c>
      <c r="AC59" s="65"/>
      <c r="AD59" s="65"/>
      <c r="AE59" s="65"/>
      <c r="AF59" s="65"/>
      <c r="AG59" s="65"/>
      <c r="AH59" s="65"/>
      <c r="AI59" s="33">
        <f>0</f>
        <v>0</v>
      </c>
      <c r="AJ59" s="33">
        <f>SUM(D59:AH59)/8</f>
        <v>0.78125</v>
      </c>
      <c r="AK59" s="33">
        <f>AI59+AJ59</f>
        <v>0.78125</v>
      </c>
    </row>
    <row r="60" spans="1:37" ht="14.25" customHeight="1" x14ac:dyDescent="0.2">
      <c r="A60" s="89"/>
      <c r="B60" s="89"/>
      <c r="C60" s="28" t="s">
        <v>9</v>
      </c>
      <c r="D60" s="65"/>
      <c r="E60" s="65" t="s">
        <v>10</v>
      </c>
      <c r="F60" s="65" t="s">
        <v>10</v>
      </c>
      <c r="G60" s="71"/>
      <c r="H60" s="65" t="s">
        <v>10</v>
      </c>
      <c r="I60" s="65"/>
      <c r="J60" s="65"/>
      <c r="K60" s="65" t="s">
        <v>10</v>
      </c>
      <c r="L60" s="65" t="s">
        <v>10</v>
      </c>
      <c r="M60" s="65" t="s">
        <v>10</v>
      </c>
      <c r="N60" s="71" t="s">
        <v>10</v>
      </c>
      <c r="O60" s="65" t="s">
        <v>10</v>
      </c>
      <c r="P60" s="65" t="s">
        <v>10</v>
      </c>
      <c r="Q60" s="65" t="s">
        <v>10</v>
      </c>
      <c r="R60" s="65" t="s">
        <v>10</v>
      </c>
      <c r="S60" s="65" t="s">
        <v>10</v>
      </c>
      <c r="T60" s="65"/>
      <c r="U60" s="71" t="s">
        <v>10</v>
      </c>
      <c r="V60" s="65" t="s">
        <v>10</v>
      </c>
      <c r="W60" s="65" t="s">
        <v>10</v>
      </c>
      <c r="X60" s="65" t="s">
        <v>10</v>
      </c>
      <c r="Y60" s="65" t="s">
        <v>10</v>
      </c>
      <c r="Z60" s="65" t="s">
        <v>10</v>
      </c>
      <c r="AA60" s="65" t="s">
        <v>10</v>
      </c>
      <c r="AB60" s="72"/>
      <c r="AC60" s="65" t="s">
        <v>10</v>
      </c>
      <c r="AD60" s="65" t="s">
        <v>10</v>
      </c>
      <c r="AE60" s="65" t="s">
        <v>10</v>
      </c>
      <c r="AF60" s="65"/>
      <c r="AG60" s="65" t="s">
        <v>10</v>
      </c>
      <c r="AH60" s="65"/>
      <c r="AI60" s="33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23</v>
      </c>
      <c r="AJ60" s="33">
        <f>0</f>
        <v>0</v>
      </c>
      <c r="AK60" s="33">
        <f>AI60+AJ60</f>
        <v>23</v>
      </c>
    </row>
    <row r="61" spans="1:37" ht="14.25" customHeight="1" x14ac:dyDescent="0.2">
      <c r="A61" s="89"/>
      <c r="B61" s="89"/>
      <c r="C61" s="28" t="s">
        <v>11</v>
      </c>
      <c r="D61" s="65"/>
      <c r="E61" s="65"/>
      <c r="F61" s="65"/>
      <c r="G61" s="71"/>
      <c r="H61" s="65"/>
      <c r="I61" s="65"/>
      <c r="J61" s="65"/>
      <c r="K61" s="65"/>
      <c r="L61" s="65"/>
      <c r="M61" s="65"/>
      <c r="N61" s="71"/>
      <c r="O61" s="65"/>
      <c r="P61" s="65"/>
      <c r="Q61" s="65"/>
      <c r="R61" s="65"/>
      <c r="S61" s="65"/>
      <c r="T61" s="65"/>
      <c r="U61" s="71"/>
      <c r="V61" s="65"/>
      <c r="W61" s="65"/>
      <c r="X61" s="65"/>
      <c r="Y61" s="65"/>
      <c r="Z61" s="65"/>
      <c r="AA61" s="65"/>
      <c r="AB61" s="71"/>
      <c r="AC61" s="65"/>
      <c r="AD61" s="65"/>
      <c r="AE61" s="65"/>
      <c r="AF61" s="65"/>
      <c r="AG61" s="65"/>
      <c r="AH61" s="65"/>
      <c r="AI61" s="33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0</v>
      </c>
      <c r="AJ61" s="33">
        <f>0</f>
        <v>0</v>
      </c>
      <c r="AK61" s="33">
        <f>AI61+AJ61</f>
        <v>0</v>
      </c>
    </row>
    <row r="62" spans="1:37" ht="14.25" customHeight="1" x14ac:dyDescent="0.2">
      <c r="A62" s="90"/>
      <c r="B62" s="90"/>
      <c r="C62" s="28" t="s">
        <v>12</v>
      </c>
      <c r="D62" s="65"/>
      <c r="E62" s="65"/>
      <c r="F62" s="65"/>
      <c r="G62" s="71"/>
      <c r="H62" s="65"/>
      <c r="I62" s="65"/>
      <c r="J62" s="65"/>
      <c r="K62" s="65"/>
      <c r="L62" s="65"/>
      <c r="M62" s="65"/>
      <c r="N62" s="71"/>
      <c r="O62" s="65"/>
      <c r="P62" s="65"/>
      <c r="Q62" s="65"/>
      <c r="R62" s="65"/>
      <c r="S62" s="65"/>
      <c r="T62" s="65"/>
      <c r="U62" s="71"/>
      <c r="V62" s="65"/>
      <c r="W62" s="65"/>
      <c r="X62" s="65"/>
      <c r="Y62" s="65"/>
      <c r="Z62" s="65"/>
      <c r="AA62" s="65"/>
      <c r="AB62" s="71"/>
      <c r="AC62" s="65"/>
      <c r="AD62" s="65"/>
      <c r="AE62" s="65"/>
      <c r="AF62" s="65"/>
      <c r="AG62" s="65"/>
      <c r="AH62" s="65"/>
      <c r="AI62" s="33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0</v>
      </c>
      <c r="AJ62" s="33">
        <f>0</f>
        <v>0</v>
      </c>
      <c r="AK62" s="33">
        <f>AI62+AJ62</f>
        <v>0</v>
      </c>
    </row>
    <row r="63" spans="1:37" ht="14.25" customHeight="1" x14ac:dyDescent="0.2">
      <c r="A63" s="16"/>
      <c r="B63" s="23"/>
      <c r="C63" s="69"/>
      <c r="D63" s="69"/>
      <c r="E63" s="69"/>
      <c r="F63" s="69"/>
      <c r="G63" s="71"/>
      <c r="H63" s="69"/>
      <c r="I63" s="69"/>
      <c r="J63" s="69"/>
      <c r="K63" s="69"/>
      <c r="L63" s="69"/>
      <c r="M63" s="69"/>
      <c r="N63" s="71"/>
      <c r="O63" s="69"/>
      <c r="P63" s="69"/>
      <c r="Q63" s="69"/>
      <c r="R63" s="69"/>
      <c r="S63" s="69"/>
      <c r="T63" s="69"/>
      <c r="U63" s="71"/>
      <c r="V63" s="69"/>
      <c r="W63" s="69"/>
      <c r="X63" s="69"/>
      <c r="Y63" s="69"/>
      <c r="Z63" s="69"/>
      <c r="AA63" s="69"/>
      <c r="AB63" s="71"/>
      <c r="AC63" s="69"/>
      <c r="AD63" s="69"/>
      <c r="AE63" s="69"/>
      <c r="AF63" s="69"/>
      <c r="AG63" s="69"/>
      <c r="AH63" s="69"/>
      <c r="AI63" s="78" t="str">
        <f>""</f>
        <v/>
      </c>
      <c r="AJ63" s="78" t="str">
        <f>""</f>
        <v/>
      </c>
      <c r="AK63" s="78" t="str">
        <f>""</f>
        <v/>
      </c>
    </row>
    <row r="64" spans="1:37" ht="14.25" customHeight="1" x14ac:dyDescent="0.2">
      <c r="A64" s="94">
        <v>13</v>
      </c>
      <c r="B64" s="94" t="s">
        <v>26</v>
      </c>
      <c r="C64" s="28" t="s">
        <v>8</v>
      </c>
      <c r="D64" s="65"/>
      <c r="E64" s="65"/>
      <c r="F64" s="65"/>
      <c r="G64" s="71"/>
      <c r="H64" s="65"/>
      <c r="I64" s="65"/>
      <c r="J64" s="65"/>
      <c r="K64" s="65"/>
      <c r="L64" s="65"/>
      <c r="M64" s="65"/>
      <c r="N64" s="71"/>
      <c r="O64" s="65">
        <v>1</v>
      </c>
      <c r="P64" s="65"/>
      <c r="Q64" s="65"/>
      <c r="R64" s="65"/>
      <c r="S64" s="65"/>
      <c r="T64" s="65"/>
      <c r="U64" s="71"/>
      <c r="V64" s="65"/>
      <c r="W64" s="65"/>
      <c r="X64" s="65"/>
      <c r="Y64" s="65"/>
      <c r="Z64" s="65"/>
      <c r="AA64" s="65"/>
      <c r="AB64" s="71">
        <v>5.25</v>
      </c>
      <c r="AC64" s="65"/>
      <c r="AD64" s="65"/>
      <c r="AE64" s="65"/>
      <c r="AF64" s="65"/>
      <c r="AG64" s="65"/>
      <c r="AH64" s="65"/>
      <c r="AI64" s="33">
        <f>0</f>
        <v>0</v>
      </c>
      <c r="AJ64" s="33">
        <f>SUM(D64:AH64)/8</f>
        <v>0.78125</v>
      </c>
      <c r="AK64" s="33">
        <f>AI64+AJ64</f>
        <v>0.78125</v>
      </c>
    </row>
    <row r="65" spans="1:37" ht="14.25" customHeight="1" x14ac:dyDescent="0.2">
      <c r="A65" s="89"/>
      <c r="B65" s="89"/>
      <c r="C65" s="28" t="s">
        <v>9</v>
      </c>
      <c r="D65" s="65"/>
      <c r="E65" s="65"/>
      <c r="F65" s="65"/>
      <c r="G65" s="71"/>
      <c r="H65" s="65" t="s">
        <v>10</v>
      </c>
      <c r="I65" s="65"/>
      <c r="J65" s="65"/>
      <c r="K65" s="65" t="s">
        <v>10</v>
      </c>
      <c r="L65" s="65" t="s">
        <v>10</v>
      </c>
      <c r="M65" s="65" t="s">
        <v>10</v>
      </c>
      <c r="N65" s="71" t="s">
        <v>10</v>
      </c>
      <c r="O65" s="65" t="s">
        <v>10</v>
      </c>
      <c r="P65" s="65" t="s">
        <v>10</v>
      </c>
      <c r="Q65" s="65" t="s">
        <v>10</v>
      </c>
      <c r="R65" s="65" t="s">
        <v>10</v>
      </c>
      <c r="S65" s="65" t="s">
        <v>10</v>
      </c>
      <c r="T65" s="65"/>
      <c r="U65" s="71" t="s">
        <v>10</v>
      </c>
      <c r="V65" s="65" t="s">
        <v>10</v>
      </c>
      <c r="W65" s="65" t="s">
        <v>10</v>
      </c>
      <c r="X65" s="65" t="s">
        <v>10</v>
      </c>
      <c r="Y65" s="65" t="s">
        <v>10</v>
      </c>
      <c r="Z65" s="65" t="s">
        <v>10</v>
      </c>
      <c r="AA65" s="65" t="s">
        <v>10</v>
      </c>
      <c r="AB65" s="72"/>
      <c r="AC65" s="65"/>
      <c r="AD65" s="65"/>
      <c r="AE65" s="65"/>
      <c r="AF65" s="65"/>
      <c r="AG65" s="65"/>
      <c r="AH65" s="65"/>
      <c r="AI65" s="33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17</v>
      </c>
      <c r="AJ65" s="33">
        <f>0</f>
        <v>0</v>
      </c>
      <c r="AK65" s="33">
        <f>AI65+AJ65</f>
        <v>17</v>
      </c>
    </row>
    <row r="66" spans="1:37" ht="14.25" customHeight="1" x14ac:dyDescent="0.2">
      <c r="A66" s="89"/>
      <c r="B66" s="89"/>
      <c r="C66" s="28" t="s">
        <v>11</v>
      </c>
      <c r="D66" s="65"/>
      <c r="E66" s="65"/>
      <c r="F66" s="65"/>
      <c r="G66" s="71"/>
      <c r="H66" s="65"/>
      <c r="I66" s="65"/>
      <c r="J66" s="65"/>
      <c r="K66" s="65"/>
      <c r="L66" s="65"/>
      <c r="M66" s="65"/>
      <c r="N66" s="71"/>
      <c r="O66" s="65"/>
      <c r="P66" s="65"/>
      <c r="Q66" s="65"/>
      <c r="R66" s="65"/>
      <c r="S66" s="65"/>
      <c r="T66" s="65"/>
      <c r="U66" s="71"/>
      <c r="V66" s="65"/>
      <c r="W66" s="65"/>
      <c r="X66" s="65"/>
      <c r="Y66" s="65"/>
      <c r="Z66" s="65"/>
      <c r="AA66" s="65"/>
      <c r="AB66" s="71"/>
      <c r="AC66" s="65"/>
      <c r="AD66" s="65"/>
      <c r="AE66" s="65"/>
      <c r="AF66" s="65"/>
      <c r="AG66" s="65"/>
      <c r="AH66" s="65"/>
      <c r="AI66" s="33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0</v>
      </c>
      <c r="AJ66" s="33">
        <f>0</f>
        <v>0</v>
      </c>
      <c r="AK66" s="33">
        <f>0</f>
        <v>0</v>
      </c>
    </row>
    <row r="67" spans="1:37" ht="14.25" customHeight="1" x14ac:dyDescent="0.2">
      <c r="A67" s="90"/>
      <c r="B67" s="90"/>
      <c r="C67" s="28" t="s">
        <v>12</v>
      </c>
      <c r="D67" s="65"/>
      <c r="E67" s="65"/>
      <c r="F67" s="65"/>
      <c r="G67" s="71"/>
      <c r="H67" s="65"/>
      <c r="I67" s="65"/>
      <c r="J67" s="65"/>
      <c r="K67" s="65"/>
      <c r="L67" s="65"/>
      <c r="M67" s="65"/>
      <c r="N67" s="71"/>
      <c r="O67" s="65"/>
      <c r="P67" s="65"/>
      <c r="Q67" s="65"/>
      <c r="R67" s="65"/>
      <c r="S67" s="65"/>
      <c r="T67" s="65"/>
      <c r="U67" s="71"/>
      <c r="V67" s="65"/>
      <c r="W67" s="65"/>
      <c r="X67" s="65"/>
      <c r="Y67" s="65"/>
      <c r="Z67" s="65"/>
      <c r="AA67" s="65"/>
      <c r="AB67" s="71"/>
      <c r="AC67" s="65"/>
      <c r="AD67" s="65"/>
      <c r="AE67" s="65"/>
      <c r="AF67" s="65"/>
      <c r="AG67" s="65"/>
      <c r="AH67" s="65"/>
      <c r="AI67" s="33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0</v>
      </c>
      <c r="AJ67" s="33">
        <f>0</f>
        <v>0</v>
      </c>
      <c r="AK67" s="33">
        <f>AI67+AJ67</f>
        <v>0</v>
      </c>
    </row>
    <row r="68" spans="1:37" ht="14.25" customHeight="1" x14ac:dyDescent="0.2">
      <c r="A68" s="30" t="s">
        <v>27</v>
      </c>
      <c r="B68" s="36" t="s">
        <v>30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33" t="str">
        <f>""</f>
        <v/>
      </c>
      <c r="AJ68" s="33" t="str">
        <f>""</f>
        <v/>
      </c>
      <c r="AK68" s="33" t="str">
        <f>""</f>
        <v/>
      </c>
    </row>
    <row r="69" spans="1:37" s="84" customFormat="1" ht="14.25" customHeight="1" x14ac:dyDescent="0.2">
      <c r="A69" s="80"/>
      <c r="B69" s="81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3"/>
      <c r="AJ69" s="83"/>
      <c r="AK69" s="83"/>
    </row>
    <row r="70" spans="1:37" s="84" customFormat="1" ht="14.25" customHeight="1" x14ac:dyDescent="0.2">
      <c r="A70" s="80"/>
      <c r="B70" s="81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3"/>
      <c r="AJ70" s="83"/>
      <c r="AK70" s="83"/>
    </row>
    <row r="71" spans="1:37" s="84" customFormat="1" ht="14.25" customHeight="1" x14ac:dyDescent="0.2">
      <c r="A71" s="115"/>
      <c r="B71" s="104"/>
      <c r="C71" s="104"/>
      <c r="D71" s="117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3"/>
      <c r="AI71" s="106"/>
      <c r="AJ71" s="108"/>
      <c r="AK71" s="107"/>
    </row>
    <row r="72" spans="1:37" s="84" customFormat="1" ht="14.25" customHeight="1" x14ac:dyDescent="0.2">
      <c r="A72" s="100"/>
      <c r="B72" s="105"/>
      <c r="C72" s="105"/>
      <c r="D72" s="116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89"/>
      <c r="AJ72" s="99"/>
      <c r="AK72" s="89"/>
    </row>
    <row r="73" spans="1:37" ht="14.25" customHeight="1" x14ac:dyDescent="0.25">
      <c r="A73" s="2"/>
      <c r="B73" s="2"/>
      <c r="C73" s="3"/>
      <c r="D73" s="14">
        <f t="shared" ref="D73:AH73" si="2">+C73+1</f>
        <v>1</v>
      </c>
      <c r="E73" s="14">
        <f t="shared" si="2"/>
        <v>2</v>
      </c>
      <c r="F73" s="14">
        <f t="shared" si="2"/>
        <v>3</v>
      </c>
      <c r="G73" s="14">
        <f t="shared" si="2"/>
        <v>4</v>
      </c>
      <c r="H73" s="14">
        <f t="shared" si="2"/>
        <v>5</v>
      </c>
      <c r="I73" s="14">
        <f t="shared" si="2"/>
        <v>6</v>
      </c>
      <c r="J73" s="14">
        <f t="shared" si="2"/>
        <v>7</v>
      </c>
      <c r="K73" s="14">
        <f t="shared" si="2"/>
        <v>8</v>
      </c>
      <c r="L73" s="14">
        <f t="shared" si="2"/>
        <v>9</v>
      </c>
      <c r="M73" s="14">
        <f t="shared" si="2"/>
        <v>10</v>
      </c>
      <c r="N73" s="14">
        <f t="shared" si="2"/>
        <v>11</v>
      </c>
      <c r="O73" s="14">
        <f t="shared" si="2"/>
        <v>12</v>
      </c>
      <c r="P73" s="14">
        <f t="shared" si="2"/>
        <v>13</v>
      </c>
      <c r="Q73" s="14">
        <f t="shared" si="2"/>
        <v>14</v>
      </c>
      <c r="R73" s="14">
        <f t="shared" si="2"/>
        <v>15</v>
      </c>
      <c r="S73" s="14">
        <f t="shared" si="2"/>
        <v>16</v>
      </c>
      <c r="T73" s="14">
        <f t="shared" si="2"/>
        <v>17</v>
      </c>
      <c r="U73" s="14">
        <f t="shared" si="2"/>
        <v>18</v>
      </c>
      <c r="V73" s="14">
        <f t="shared" si="2"/>
        <v>19</v>
      </c>
      <c r="W73" s="14">
        <f t="shared" si="2"/>
        <v>20</v>
      </c>
      <c r="X73" s="14">
        <f t="shared" si="2"/>
        <v>21</v>
      </c>
      <c r="Y73" s="14">
        <f t="shared" si="2"/>
        <v>22</v>
      </c>
      <c r="Z73" s="14">
        <f t="shared" si="2"/>
        <v>23</v>
      </c>
      <c r="AA73" s="14">
        <f t="shared" si="2"/>
        <v>24</v>
      </c>
      <c r="AB73" s="14">
        <f t="shared" si="2"/>
        <v>25</v>
      </c>
      <c r="AC73" s="14">
        <f t="shared" si="2"/>
        <v>26</v>
      </c>
      <c r="AD73" s="14">
        <f t="shared" si="2"/>
        <v>27</v>
      </c>
      <c r="AE73" s="14">
        <f t="shared" si="2"/>
        <v>28</v>
      </c>
      <c r="AF73" s="14">
        <f t="shared" si="2"/>
        <v>29</v>
      </c>
      <c r="AG73" s="14">
        <f t="shared" si="2"/>
        <v>30</v>
      </c>
      <c r="AH73" s="14">
        <f t="shared" si="2"/>
        <v>31</v>
      </c>
      <c r="AI73" s="90"/>
      <c r="AJ73" s="100"/>
      <c r="AK73" s="90"/>
    </row>
    <row r="74" spans="1:37" ht="14.25" customHeight="1" x14ac:dyDescent="0.2">
      <c r="A74" s="94"/>
      <c r="B74" s="95"/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8"/>
      <c r="Z74" s="8"/>
      <c r="AA74" s="8"/>
      <c r="AB74" s="8"/>
      <c r="AC74" s="8"/>
      <c r="AD74" s="8"/>
      <c r="AE74" s="8"/>
      <c r="AF74" s="8"/>
      <c r="AG74" s="8"/>
      <c r="AH74" s="4"/>
      <c r="AI74" s="50">
        <f>0</f>
        <v>0</v>
      </c>
      <c r="AJ74" s="51">
        <f t="shared" ref="AJ74:AJ81" si="3">SUM(D74:AH74)/8</f>
        <v>0</v>
      </c>
      <c r="AK74" s="52">
        <f t="shared" ref="AK74:AK105" si="4">AI74+AJ74</f>
        <v>0</v>
      </c>
    </row>
    <row r="75" spans="1:37" ht="14.25" customHeight="1" x14ac:dyDescent="0.2">
      <c r="A75" s="89"/>
      <c r="B75" s="89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si="3"/>
        <v>0</v>
      </c>
      <c r="AK75" s="52">
        <f t="shared" si="4"/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3"/>
        <v>0</v>
      </c>
      <c r="AK76" s="52">
        <f t="shared" si="4"/>
        <v>0</v>
      </c>
    </row>
    <row r="77" spans="1:37" ht="14.25" customHeight="1" x14ac:dyDescent="0.2">
      <c r="A77" s="90"/>
      <c r="B77" s="96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9"/>
      <c r="AF77" s="8"/>
      <c r="AG77" s="8"/>
      <c r="AH77" s="6"/>
      <c r="AI77" s="50">
        <f>0</f>
        <v>0</v>
      </c>
      <c r="AJ77" s="51">
        <f t="shared" si="3"/>
        <v>0</v>
      </c>
      <c r="AK77" s="52">
        <f t="shared" si="4"/>
        <v>0</v>
      </c>
    </row>
    <row r="78" spans="1:37" ht="14.25" customHeight="1" x14ac:dyDescent="0.2">
      <c r="A78" s="94"/>
      <c r="B78" s="97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3"/>
        <v>0</v>
      </c>
      <c r="AK78" s="52">
        <f t="shared" si="4"/>
        <v>0</v>
      </c>
    </row>
    <row r="79" spans="1:37" ht="14.25" customHeight="1" x14ac:dyDescent="0.2">
      <c r="A79" s="89"/>
      <c r="B79" s="89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3"/>
        <v>0</v>
      </c>
      <c r="AK79" s="52">
        <f t="shared" si="4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3"/>
        <v>0</v>
      </c>
      <c r="AK80" s="52">
        <f t="shared" si="4"/>
        <v>0</v>
      </c>
    </row>
    <row r="81" spans="1:37" ht="14.25" customHeight="1" x14ac:dyDescent="0.2">
      <c r="A81" s="90"/>
      <c r="B81" s="96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3"/>
        <v>0</v>
      </c>
      <c r="AK81" s="52">
        <f t="shared" si="4"/>
        <v>0</v>
      </c>
    </row>
    <row r="82" spans="1:37" ht="14.25" customHeight="1" x14ac:dyDescent="0.2">
      <c r="A82" s="94"/>
      <c r="B82" s="97"/>
      <c r="C82" s="2"/>
      <c r="D82" s="8"/>
      <c r="E82" s="8"/>
      <c r="F82" s="8"/>
      <c r="G82" s="8"/>
      <c r="H82" s="8"/>
      <c r="I82" s="8"/>
      <c r="J82" s="8"/>
      <c r="K82" s="8"/>
      <c r="L82" s="15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/>
      <c r="AK82" s="52">
        <f t="shared" si="4"/>
        <v>0</v>
      </c>
    </row>
    <row r="83" spans="1:37" ht="14.25" customHeight="1" x14ac:dyDescent="0.2">
      <c r="A83" s="89"/>
      <c r="B83" s="89"/>
      <c r="C83" s="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>
        <f>0</f>
        <v>0</v>
      </c>
      <c r="AK83" s="52">
        <f t="shared" si="4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4"/>
        <v>0</v>
      </c>
    </row>
    <row r="85" spans="1:37" ht="14.25" customHeight="1" x14ac:dyDescent="0.2">
      <c r="A85" s="90"/>
      <c r="B85" s="96"/>
      <c r="C85" s="2"/>
      <c r="D85" s="8"/>
      <c r="E85" s="8"/>
      <c r="F85" s="8"/>
      <c r="G85" s="8"/>
      <c r="H85" s="8"/>
      <c r="I85" s="8"/>
      <c r="J85" s="8"/>
      <c r="K85" s="8"/>
      <c r="L85" s="15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4"/>
        <v>0</v>
      </c>
    </row>
    <row r="86" spans="1:37" ht="14.25" customHeight="1" x14ac:dyDescent="0.2">
      <c r="A86" s="94"/>
      <c r="B86" s="97"/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4"/>
        <v>0</v>
      </c>
    </row>
    <row r="87" spans="1:37" ht="14.25" customHeight="1" x14ac:dyDescent="0.2">
      <c r="A87" s="89"/>
      <c r="B87" s="89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4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4"/>
        <v>0</v>
      </c>
    </row>
    <row r="89" spans="1:37" ht="14.25" customHeight="1" x14ac:dyDescent="0.2">
      <c r="A89" s="90"/>
      <c r="B89" s="96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4"/>
        <v>0</v>
      </c>
    </row>
    <row r="90" spans="1:37" ht="14.25" customHeight="1" x14ac:dyDescent="0.2">
      <c r="A90" s="94"/>
      <c r="B90" s="97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4"/>
        <v>0</v>
      </c>
    </row>
    <row r="91" spans="1:37" ht="14.25" customHeight="1" x14ac:dyDescent="0.2">
      <c r="A91" s="89"/>
      <c r="B91" s="89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4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4"/>
        <v>0</v>
      </c>
    </row>
    <row r="93" spans="1:37" ht="14.25" customHeight="1" x14ac:dyDescent="0.2">
      <c r="A93" s="90"/>
      <c r="B93" s="96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4"/>
        <v>0</v>
      </c>
    </row>
    <row r="94" spans="1:37" ht="14.25" customHeight="1" x14ac:dyDescent="0.2">
      <c r="A94" s="94"/>
      <c r="B94" s="97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4"/>
        <v>0</v>
      </c>
    </row>
    <row r="95" spans="1:37" ht="14.25" customHeight="1" x14ac:dyDescent="0.2">
      <c r="A95" s="89"/>
      <c r="B95" s="89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4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4"/>
        <v>0</v>
      </c>
    </row>
    <row r="97" spans="1:37" ht="14.25" customHeight="1" x14ac:dyDescent="0.2">
      <c r="A97" s="90"/>
      <c r="B97" s="96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4"/>
        <v>0</v>
      </c>
    </row>
    <row r="98" spans="1:37" ht="14.25" customHeight="1" x14ac:dyDescent="0.2">
      <c r="A98" s="94"/>
      <c r="B98" s="97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4"/>
        <v>0</v>
      </c>
    </row>
    <row r="99" spans="1:37" ht="14.25" customHeight="1" x14ac:dyDescent="0.2">
      <c r="A99" s="89"/>
      <c r="B99" s="89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4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4"/>
        <v>0</v>
      </c>
    </row>
    <row r="101" spans="1:37" ht="14.25" customHeight="1" x14ac:dyDescent="0.2">
      <c r="A101" s="90"/>
      <c r="B101" s="96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4"/>
        <v>0</v>
      </c>
    </row>
    <row r="102" spans="1:37" ht="14.25" customHeight="1" x14ac:dyDescent="0.2">
      <c r="A102" s="94"/>
      <c r="B102" s="97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6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4"/>
        <v>0</v>
      </c>
    </row>
    <row r="103" spans="1:37" ht="14.25" customHeight="1" x14ac:dyDescent="0.2">
      <c r="A103" s="89"/>
      <c r="B103" s="89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4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4"/>
        <v>0</v>
      </c>
    </row>
    <row r="105" spans="1:37" ht="14.25" customHeight="1" x14ac:dyDescent="0.2">
      <c r="A105" s="90"/>
      <c r="B105" s="96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4"/>
        <v>0</v>
      </c>
    </row>
    <row r="106" spans="1:37" ht="14.25" customHeight="1" x14ac:dyDescent="0.2">
      <c r="A106" s="94"/>
      <c r="B106" s="97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ref="AK106:AK125" si="5">AI106+AJ106</f>
        <v>0</v>
      </c>
    </row>
    <row r="107" spans="1:37" ht="14.25" customHeight="1" x14ac:dyDescent="0.2">
      <c r="A107" s="89"/>
      <c r="B107" s="89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si="5"/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5"/>
        <v>0</v>
      </c>
    </row>
    <row r="109" spans="1:37" ht="14.25" customHeight="1" x14ac:dyDescent="0.2">
      <c r="A109" s="90"/>
      <c r="B109" s="96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6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5"/>
        <v>0</v>
      </c>
    </row>
    <row r="110" spans="1:37" ht="14.25" customHeight="1" x14ac:dyDescent="0.2">
      <c r="A110" s="94"/>
      <c r="B110" s="97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5"/>
        <v>0</v>
      </c>
    </row>
    <row r="111" spans="1:37" ht="14.25" customHeight="1" x14ac:dyDescent="0.2">
      <c r="A111" s="89"/>
      <c r="B111" s="89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5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5"/>
        <v>0</v>
      </c>
    </row>
    <row r="113" spans="1:37" ht="14.25" customHeight="1" x14ac:dyDescent="0.2">
      <c r="A113" s="90"/>
      <c r="B113" s="96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6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5"/>
        <v>0</v>
      </c>
    </row>
    <row r="114" spans="1:37" ht="14.25" customHeight="1" x14ac:dyDescent="0.2">
      <c r="A114" s="94"/>
      <c r="B114" s="97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6"/>
      <c r="X114" s="9"/>
      <c r="Y114" s="8"/>
      <c r="Z114" s="8"/>
      <c r="AA114" s="8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5"/>
        <v>0</v>
      </c>
    </row>
    <row r="115" spans="1:37" ht="14.25" customHeight="1" x14ac:dyDescent="0.2">
      <c r="A115" s="89"/>
      <c r="B115" s="89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5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5"/>
        <v>0</v>
      </c>
    </row>
    <row r="117" spans="1:37" ht="14.25" customHeight="1" x14ac:dyDescent="0.2">
      <c r="A117" s="90"/>
      <c r="B117" s="96"/>
      <c r="C117" s="2"/>
      <c r="D117" s="8"/>
      <c r="E117" s="8"/>
      <c r="F117" s="8"/>
      <c r="G117" s="8"/>
      <c r="H117" s="8"/>
      <c r="I117" s="8"/>
      <c r="J117" s="13"/>
      <c r="K117" s="13"/>
      <c r="L117" s="13"/>
      <c r="M117" s="8"/>
      <c r="N117" s="13"/>
      <c r="O117" s="13"/>
      <c r="P117" s="13"/>
      <c r="Q117" s="13"/>
      <c r="R117" s="8"/>
      <c r="S117" s="8"/>
      <c r="T117" s="8"/>
      <c r="U117" s="8"/>
      <c r="V117" s="6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5"/>
        <v>0</v>
      </c>
    </row>
    <row r="118" spans="1:37" ht="14.25" customHeight="1" x14ac:dyDescent="0.2">
      <c r="A118" s="94"/>
      <c r="B118" s="88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4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4"/>
      <c r="AI118" s="50">
        <f>0</f>
        <v>0</v>
      </c>
      <c r="AJ118" s="51">
        <f>0</f>
        <v>0</v>
      </c>
      <c r="AK118" s="52">
        <f t="shared" si="5"/>
        <v>0</v>
      </c>
    </row>
    <row r="119" spans="1:37" ht="14.25" customHeight="1" x14ac:dyDescent="0.2">
      <c r="A119" s="89"/>
      <c r="B119" s="89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5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5"/>
        <v>0</v>
      </c>
    </row>
    <row r="121" spans="1:37" ht="14.25" customHeight="1" x14ac:dyDescent="0.2">
      <c r="A121" s="90"/>
      <c r="B121" s="90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6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6"/>
      <c r="AI121" s="50">
        <f>0</f>
        <v>0</v>
      </c>
      <c r="AJ121" s="51">
        <f>0</f>
        <v>0</v>
      </c>
      <c r="AK121" s="52">
        <f t="shared" si="5"/>
        <v>0</v>
      </c>
    </row>
    <row r="122" spans="1:37" ht="14.25" customHeight="1" x14ac:dyDescent="0.2">
      <c r="A122" s="94"/>
      <c r="B122" s="94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4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4"/>
      <c r="AI122" s="50">
        <f>0</f>
        <v>0</v>
      </c>
      <c r="AJ122" s="51">
        <f>0</f>
        <v>0</v>
      </c>
      <c r="AK122" s="52">
        <f t="shared" si="5"/>
        <v>0</v>
      </c>
    </row>
    <row r="123" spans="1:37" ht="14.25" customHeight="1" x14ac:dyDescent="0.2">
      <c r="A123" s="89"/>
      <c r="B123" s="89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5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5"/>
        <v>0</v>
      </c>
    </row>
    <row r="125" spans="1:37" ht="14.25" customHeight="1" x14ac:dyDescent="0.2">
      <c r="A125" s="90"/>
      <c r="B125" s="90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6"/>
      <c r="W125" s="6"/>
      <c r="X125" s="9"/>
      <c r="Y125" s="8"/>
      <c r="Z125" s="8"/>
      <c r="AA125" s="6"/>
      <c r="AB125" s="8"/>
      <c r="AC125" s="8"/>
      <c r="AD125" s="8"/>
      <c r="AE125" s="9"/>
      <c r="AF125" s="8"/>
      <c r="AG125" s="8"/>
      <c r="AH125" s="6"/>
      <c r="AI125" s="50">
        <f>0</f>
        <v>0</v>
      </c>
      <c r="AJ125" s="51">
        <f>0</f>
        <v>0</v>
      </c>
      <c r="AK125" s="52">
        <f t="shared" si="5"/>
        <v>0</v>
      </c>
    </row>
    <row r="126" spans="1:37" ht="14.25" customHeight="1" x14ac:dyDescent="0.2">
      <c r="A126" s="30"/>
      <c r="B126" s="36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33"/>
      <c r="AJ126" s="33"/>
      <c r="AK126" s="33"/>
    </row>
    <row r="127" spans="1:37" ht="14.25" customHeight="1" x14ac:dyDescent="0.2">
      <c r="A127" s="30"/>
      <c r="B127" s="36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33"/>
      <c r="AJ127" s="33"/>
      <c r="AK127" s="33"/>
    </row>
    <row r="128" spans="1:37" ht="14.25" customHeight="1" x14ac:dyDescent="0.2">
      <c r="A128" s="30"/>
      <c r="B128" s="36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33"/>
      <c r="AJ128" s="33"/>
      <c r="AK128" s="33"/>
    </row>
    <row r="129" spans="1:37" ht="14.25" customHeight="1" x14ac:dyDescent="0.2">
      <c r="A129" s="30"/>
      <c r="B129" s="36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33"/>
      <c r="AJ129" s="33"/>
      <c r="AK129" s="33"/>
    </row>
    <row r="130" spans="1:37" ht="14.25" customHeight="1" x14ac:dyDescent="0.2">
      <c r="A130" s="30"/>
      <c r="B130" s="36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33"/>
      <c r="AJ130" s="33"/>
      <c r="AK130" s="33"/>
    </row>
    <row r="131" spans="1:37" ht="14.25" customHeight="1" x14ac:dyDescent="0.2">
      <c r="A131" s="30"/>
      <c r="B131" s="36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33"/>
      <c r="AJ131" s="33"/>
      <c r="AK131" s="33"/>
    </row>
    <row r="132" spans="1:37" ht="14.25" customHeight="1" x14ac:dyDescent="0.2">
      <c r="A132" s="30"/>
      <c r="B132" s="36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33"/>
      <c r="AJ132" s="33"/>
      <c r="AK132" s="33"/>
    </row>
    <row r="133" spans="1:37" ht="14.25" customHeight="1" x14ac:dyDescent="0.2">
      <c r="A133" s="30"/>
      <c r="B133" s="36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33"/>
      <c r="AJ133" s="33"/>
      <c r="AK133" s="33"/>
    </row>
    <row r="134" spans="1:37" ht="14.25" customHeight="1" x14ac:dyDescent="0.2">
      <c r="A134" s="30"/>
      <c r="B134" s="36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33"/>
      <c r="AJ134" s="33"/>
      <c r="AK134" s="33"/>
    </row>
    <row r="135" spans="1:37" ht="14.25" customHeight="1" x14ac:dyDescent="0.2">
      <c r="A135" s="30"/>
      <c r="B135" s="36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33"/>
      <c r="AJ135" s="33"/>
      <c r="AK135" s="33"/>
    </row>
    <row r="136" spans="1:37" ht="14.25" customHeight="1" x14ac:dyDescent="0.2">
      <c r="A136" s="30"/>
      <c r="B136" s="36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33"/>
      <c r="AJ136" s="33"/>
      <c r="AK136" s="33"/>
    </row>
    <row r="137" spans="1:37" ht="14.25" customHeight="1" x14ac:dyDescent="0.2">
      <c r="A137" s="30"/>
      <c r="B137" s="36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33"/>
      <c r="AJ137" s="33"/>
      <c r="AK137" s="33"/>
    </row>
    <row r="138" spans="1:37" ht="14.25" customHeight="1" x14ac:dyDescent="0.2">
      <c r="A138" s="30"/>
      <c r="B138" s="36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33"/>
      <c r="AJ138" s="33"/>
      <c r="AK138" s="33"/>
    </row>
    <row r="139" spans="1:37" ht="14.25" customHeight="1" x14ac:dyDescent="0.2">
      <c r="A139" s="30"/>
      <c r="B139" s="36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33"/>
      <c r="AJ139" s="33"/>
      <c r="AK139" s="33"/>
    </row>
    <row r="140" spans="1:37" ht="14.25" customHeight="1" x14ac:dyDescent="0.2">
      <c r="A140" s="30"/>
      <c r="B140" s="36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33"/>
      <c r="AJ140" s="33"/>
      <c r="AK140" s="33"/>
    </row>
    <row r="141" spans="1:37" ht="14.25" customHeight="1" x14ac:dyDescent="0.2">
      <c r="A141" s="30"/>
      <c r="B141" s="36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33"/>
      <c r="AJ141" s="33"/>
      <c r="AK141" s="33"/>
    </row>
    <row r="142" spans="1:37" ht="14.25" customHeight="1" x14ac:dyDescent="0.2">
      <c r="A142" s="30"/>
      <c r="B142" s="36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33"/>
      <c r="AJ142" s="33"/>
      <c r="AK142" s="33"/>
    </row>
    <row r="143" spans="1:37" ht="14.25" customHeight="1" x14ac:dyDescent="0.2">
      <c r="A143" s="30"/>
      <c r="B143" s="36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33"/>
      <c r="AJ143" s="33"/>
      <c r="AK143" s="33"/>
    </row>
    <row r="144" spans="1:37" ht="14.25" customHeight="1" x14ac:dyDescent="0.2">
      <c r="A144" s="30"/>
      <c r="B144" s="36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33"/>
      <c r="AJ144" s="33"/>
      <c r="AK144" s="33"/>
    </row>
    <row r="145" spans="1:37" ht="14.25" customHeight="1" x14ac:dyDescent="0.2">
      <c r="A145" s="30"/>
      <c r="B145" s="36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33"/>
      <c r="AJ145" s="33"/>
      <c r="AK145" s="33"/>
    </row>
    <row r="146" spans="1:37" ht="14.25" customHeight="1" x14ac:dyDescent="0.2">
      <c r="A146" s="30"/>
      <c r="B146" s="36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33"/>
      <c r="AJ146" s="33"/>
      <c r="AK146" s="33"/>
    </row>
    <row r="147" spans="1:37" ht="14.25" customHeight="1" x14ac:dyDescent="0.2">
      <c r="A147" s="30"/>
      <c r="B147" s="36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33"/>
      <c r="AJ147" s="33"/>
      <c r="AK147" s="33"/>
    </row>
    <row r="148" spans="1:37" ht="14.25" customHeight="1" x14ac:dyDescent="0.2">
      <c r="A148" s="30"/>
      <c r="B148" s="36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33"/>
      <c r="AJ148" s="33"/>
      <c r="AK148" s="33"/>
    </row>
    <row r="149" spans="1:37" ht="14.25" customHeight="1" x14ac:dyDescent="0.2">
      <c r="A149" s="39"/>
      <c r="B149" s="40"/>
      <c r="C149" s="41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8"/>
      <c r="AJ149" s="38"/>
      <c r="AK149" s="38"/>
    </row>
    <row r="150" spans="1:37" ht="14.25" customHeight="1" x14ac:dyDescent="0.2">
      <c r="A150" s="42"/>
      <c r="B150" s="43"/>
      <c r="C150" s="44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4"/>
      <c r="AJ150" s="34"/>
      <c r="AK150" s="34"/>
    </row>
    <row r="151" spans="1:37" ht="14.25" customHeight="1" x14ac:dyDescent="0.2">
      <c r="AI151" s="45"/>
      <c r="AJ151" s="45"/>
      <c r="AK151" s="45"/>
    </row>
    <row r="152" spans="1:37" ht="14.25" customHeight="1" x14ac:dyDescent="0.2">
      <c r="AI152" s="45"/>
      <c r="AJ152" s="45"/>
      <c r="AK152" s="45"/>
    </row>
    <row r="153" spans="1:37" ht="14.25" customHeight="1" x14ac:dyDescent="0.2">
      <c r="AI153" s="45"/>
      <c r="AJ153" s="45"/>
      <c r="AK153" s="45"/>
    </row>
    <row r="154" spans="1:37" ht="14.25" customHeight="1" x14ac:dyDescent="0.2">
      <c r="AI154" s="45"/>
      <c r="AJ154" s="45"/>
      <c r="AK154" s="45"/>
    </row>
    <row r="155" spans="1:37" ht="14.25" customHeight="1" x14ac:dyDescent="0.2">
      <c r="AI155" s="45"/>
      <c r="AJ155" s="45"/>
      <c r="AK155" s="45"/>
    </row>
    <row r="156" spans="1:37" ht="14.25" customHeight="1" x14ac:dyDescent="0.2">
      <c r="AI156" s="45"/>
      <c r="AJ156" s="45"/>
      <c r="AK156" s="45"/>
    </row>
    <row r="157" spans="1:37" ht="14.25" customHeight="1" x14ac:dyDescent="0.2">
      <c r="AI157" s="45"/>
      <c r="AJ157" s="45"/>
      <c r="AK157" s="45"/>
    </row>
    <row r="158" spans="1:37" ht="14.25" customHeight="1" x14ac:dyDescent="0.2">
      <c r="AI158" s="45"/>
      <c r="AJ158" s="45"/>
      <c r="AK158" s="45"/>
    </row>
    <row r="159" spans="1:37" ht="14.25" customHeight="1" x14ac:dyDescent="0.2">
      <c r="AI159" s="45"/>
      <c r="AJ159" s="45"/>
      <c r="AK159" s="45"/>
    </row>
    <row r="160" spans="1:37" ht="14.25" customHeight="1" x14ac:dyDescent="0.2">
      <c r="AI160" s="45"/>
      <c r="AJ160" s="45"/>
      <c r="AK160" s="45"/>
    </row>
    <row r="161" spans="35:37" ht="14.25" customHeight="1" x14ac:dyDescent="0.2">
      <c r="AI161" s="45"/>
      <c r="AJ161" s="45"/>
      <c r="AK161" s="45"/>
    </row>
    <row r="162" spans="35:37" ht="14.25" customHeight="1" x14ac:dyDescent="0.2">
      <c r="AI162" s="45"/>
      <c r="AJ162" s="45"/>
      <c r="AK162" s="45"/>
    </row>
    <row r="163" spans="35:37" ht="14.25" customHeight="1" x14ac:dyDescent="0.2">
      <c r="AI163" s="45"/>
      <c r="AJ163" s="45"/>
      <c r="AK163" s="45"/>
    </row>
    <row r="164" spans="35:37" ht="14.25" customHeight="1" x14ac:dyDescent="0.2">
      <c r="AI164" s="45"/>
      <c r="AJ164" s="45"/>
      <c r="AK164" s="45"/>
    </row>
    <row r="165" spans="35:37" ht="14.25" customHeight="1" x14ac:dyDescent="0.2">
      <c r="AI165" s="45"/>
      <c r="AJ165" s="45"/>
      <c r="AK165" s="45"/>
    </row>
    <row r="166" spans="35:37" ht="14.25" customHeight="1" x14ac:dyDescent="0.2">
      <c r="AI166" s="45"/>
      <c r="AJ166" s="45"/>
      <c r="AK166" s="45"/>
    </row>
    <row r="167" spans="35:37" ht="14.25" customHeight="1" x14ac:dyDescent="0.2">
      <c r="AI167" s="45"/>
      <c r="AJ167" s="45"/>
      <c r="AK167" s="45"/>
    </row>
    <row r="168" spans="35:37" ht="14.25" customHeight="1" x14ac:dyDescent="0.2">
      <c r="AI168" s="45"/>
      <c r="AJ168" s="45"/>
      <c r="AK168" s="45"/>
    </row>
    <row r="169" spans="35:37" ht="14.25" customHeight="1" x14ac:dyDescent="0.2">
      <c r="AI169" s="45"/>
      <c r="AJ169" s="45"/>
      <c r="AK169" s="45"/>
    </row>
    <row r="170" spans="35:37" ht="14.25" customHeight="1" x14ac:dyDescent="0.2">
      <c r="AI170" s="45"/>
      <c r="AJ170" s="45"/>
      <c r="AK170" s="45"/>
    </row>
    <row r="171" spans="35:37" ht="14.25" customHeight="1" x14ac:dyDescent="0.2">
      <c r="AI171" s="45"/>
      <c r="AJ171" s="45"/>
      <c r="AK171" s="45"/>
    </row>
    <row r="172" spans="35:37" ht="14.25" customHeight="1" x14ac:dyDescent="0.2">
      <c r="AI172" s="45"/>
      <c r="AJ172" s="45"/>
      <c r="AK172" s="45"/>
    </row>
    <row r="173" spans="35:37" ht="14.25" customHeight="1" x14ac:dyDescent="0.2">
      <c r="AI173" s="45"/>
      <c r="AJ173" s="45"/>
      <c r="AK173" s="45"/>
    </row>
    <row r="174" spans="35:37" ht="14.25" customHeight="1" x14ac:dyDescent="0.2">
      <c r="AI174" s="45"/>
      <c r="AJ174" s="45"/>
      <c r="AK174" s="45"/>
    </row>
    <row r="175" spans="35:37" ht="14.25" customHeight="1" x14ac:dyDescent="0.2">
      <c r="AI175" s="45"/>
      <c r="AJ175" s="45"/>
      <c r="AK175" s="45"/>
    </row>
    <row r="176" spans="35:37" ht="14.25" customHeight="1" x14ac:dyDescent="0.2">
      <c r="AI176" s="45"/>
      <c r="AJ176" s="45"/>
      <c r="AK176" s="45"/>
    </row>
    <row r="177" spans="35:37" ht="14.25" customHeight="1" x14ac:dyDescent="0.2">
      <c r="AI177" s="45"/>
      <c r="AJ177" s="45"/>
      <c r="AK177" s="45"/>
    </row>
    <row r="178" spans="35:37" ht="14.25" customHeight="1" x14ac:dyDescent="0.2">
      <c r="AI178" s="45"/>
      <c r="AJ178" s="45"/>
      <c r="AK178" s="45"/>
    </row>
    <row r="179" spans="35:37" ht="14.25" customHeight="1" x14ac:dyDescent="0.2">
      <c r="AI179" s="45"/>
      <c r="AJ179" s="45"/>
      <c r="AK179" s="45"/>
    </row>
    <row r="180" spans="35:37" ht="14.25" customHeight="1" x14ac:dyDescent="0.2">
      <c r="AI180" s="45"/>
      <c r="AJ180" s="45"/>
      <c r="AK180" s="45"/>
    </row>
    <row r="181" spans="35:37" ht="14.25" customHeight="1" x14ac:dyDescent="0.2">
      <c r="AI181" s="45"/>
      <c r="AJ181" s="45"/>
      <c r="AK181" s="45"/>
    </row>
    <row r="182" spans="35:37" ht="14.25" customHeight="1" x14ac:dyDescent="0.2">
      <c r="AI182" s="45"/>
      <c r="AJ182" s="45"/>
      <c r="AK182" s="45"/>
    </row>
    <row r="183" spans="35:37" ht="14.25" customHeight="1" x14ac:dyDescent="0.2">
      <c r="AI183" s="45"/>
      <c r="AJ183" s="45"/>
      <c r="AK183" s="45"/>
    </row>
    <row r="184" spans="35:37" ht="14.25" customHeight="1" x14ac:dyDescent="0.2">
      <c r="AI184" s="45"/>
      <c r="AJ184" s="45"/>
      <c r="AK184" s="45"/>
    </row>
    <row r="185" spans="35:37" ht="14.25" customHeight="1" x14ac:dyDescent="0.2">
      <c r="AI185" s="45"/>
      <c r="AJ185" s="45"/>
      <c r="AK185" s="45"/>
    </row>
    <row r="186" spans="35:37" ht="14.25" customHeight="1" x14ac:dyDescent="0.2">
      <c r="AI186" s="45"/>
      <c r="AJ186" s="45"/>
      <c r="AK186" s="45"/>
    </row>
    <row r="187" spans="35:37" ht="14.25" customHeight="1" x14ac:dyDescent="0.2">
      <c r="AI187" s="45"/>
      <c r="AJ187" s="45"/>
      <c r="AK187" s="45"/>
    </row>
    <row r="188" spans="35:37" ht="14.25" customHeight="1" x14ac:dyDescent="0.2">
      <c r="AI188" s="45"/>
      <c r="AJ188" s="45"/>
      <c r="AK188" s="45"/>
    </row>
    <row r="189" spans="35:37" ht="14.25" customHeight="1" x14ac:dyDescent="0.2">
      <c r="AI189" s="45"/>
      <c r="AJ189" s="45"/>
      <c r="AK189" s="45"/>
    </row>
    <row r="190" spans="35:37" ht="14.25" customHeight="1" x14ac:dyDescent="0.2">
      <c r="AI190" s="45"/>
      <c r="AJ190" s="45"/>
      <c r="AK190" s="45"/>
    </row>
    <row r="191" spans="35:37" ht="14.25" customHeight="1" x14ac:dyDescent="0.2">
      <c r="AI191" s="45"/>
      <c r="AJ191" s="45"/>
      <c r="AK191" s="45"/>
    </row>
    <row r="192" spans="35:37" ht="14.25" customHeight="1" x14ac:dyDescent="0.2">
      <c r="AI192" s="45"/>
      <c r="AJ192" s="45"/>
      <c r="AK192" s="45"/>
    </row>
    <row r="193" spans="4:37" ht="14.25" customHeight="1" x14ac:dyDescent="0.2">
      <c r="AI193" s="45"/>
      <c r="AJ193" s="45"/>
      <c r="AK193" s="45"/>
    </row>
    <row r="194" spans="4:37" ht="14.25" customHeight="1" x14ac:dyDescent="0.2">
      <c r="AI194" s="45"/>
      <c r="AJ194" s="45"/>
      <c r="AK194" s="45"/>
    </row>
    <row r="195" spans="4:37" ht="14.25" customHeight="1" x14ac:dyDescent="0.2">
      <c r="AI195" s="45"/>
      <c r="AJ195" s="45"/>
      <c r="AK195" s="45"/>
    </row>
    <row r="196" spans="4:37" ht="14.25" customHeight="1" x14ac:dyDescent="0.2">
      <c r="AI196" s="45"/>
      <c r="AJ196" s="45"/>
      <c r="AK196" s="45"/>
    </row>
    <row r="197" spans="4:37" ht="14.25" customHeight="1" x14ac:dyDescent="0.2">
      <c r="AI197" s="45"/>
      <c r="AJ197" s="45"/>
      <c r="AK197" s="45"/>
    </row>
    <row r="198" spans="4:37" ht="14.25" customHeight="1" x14ac:dyDescent="0.2">
      <c r="AI198" s="45"/>
      <c r="AJ198" s="45"/>
      <c r="AK198" s="45"/>
    </row>
    <row r="199" spans="4:37" ht="14.25" customHeight="1" x14ac:dyDescent="0.2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5"/>
      <c r="AJ199" s="45"/>
      <c r="AK199" s="45"/>
    </row>
    <row r="200" spans="4:37" ht="14.25" customHeight="1" x14ac:dyDescent="0.2"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4:37" ht="14.25" customHeight="1" x14ac:dyDescent="0.2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4:37" ht="14.25" customHeight="1" x14ac:dyDescent="0.2"/>
    <row r="203" spans="4:37" ht="14.25" customHeight="1" x14ac:dyDescent="0.2"/>
    <row r="204" spans="4:37" ht="14.25" customHeight="1" x14ac:dyDescent="0.2"/>
    <row r="205" spans="4:37" ht="14.25" customHeight="1" x14ac:dyDescent="0.2"/>
    <row r="206" spans="4:37" ht="14.25" customHeight="1" x14ac:dyDescent="0.2"/>
    <row r="207" spans="4:37" ht="14.25" customHeight="1" x14ac:dyDescent="0.2"/>
    <row r="208" spans="4:3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64">
    <mergeCell ref="A114:A117"/>
    <mergeCell ref="A94:A97"/>
    <mergeCell ref="B122:B125"/>
    <mergeCell ref="B94:B97"/>
    <mergeCell ref="A110:A113"/>
    <mergeCell ref="A122:A125"/>
    <mergeCell ref="B110:B113"/>
    <mergeCell ref="A102:A105"/>
    <mergeCell ref="B90:B93"/>
    <mergeCell ref="B59:B62"/>
    <mergeCell ref="B106:B109"/>
    <mergeCell ref="B102:B105"/>
    <mergeCell ref="A90:A93"/>
    <mergeCell ref="B98:B101"/>
    <mergeCell ref="A82:A85"/>
    <mergeCell ref="A64:A67"/>
    <mergeCell ref="A78:A81"/>
    <mergeCell ref="B86:B89"/>
    <mergeCell ref="B78:B81"/>
    <mergeCell ref="AJ1:AJ2"/>
    <mergeCell ref="A4:A7"/>
    <mergeCell ref="AI71:AI73"/>
    <mergeCell ref="B14:B17"/>
    <mergeCell ref="A118:A121"/>
    <mergeCell ref="B39:B42"/>
    <mergeCell ref="A1:C2"/>
    <mergeCell ref="A74:A77"/>
    <mergeCell ref="B82:B85"/>
    <mergeCell ref="A86:A89"/>
    <mergeCell ref="B29:B32"/>
    <mergeCell ref="B19:B22"/>
    <mergeCell ref="A98:A101"/>
    <mergeCell ref="B118:B121"/>
    <mergeCell ref="A106:A109"/>
    <mergeCell ref="B114:B117"/>
    <mergeCell ref="B9:B12"/>
    <mergeCell ref="D1:AH1"/>
    <mergeCell ref="B34:B37"/>
    <mergeCell ref="A71:C72"/>
    <mergeCell ref="B74:B77"/>
    <mergeCell ref="A14:A17"/>
    <mergeCell ref="A29:A32"/>
    <mergeCell ref="B24:B27"/>
    <mergeCell ref="A19:A22"/>
    <mergeCell ref="B49:B52"/>
    <mergeCell ref="A54:A57"/>
    <mergeCell ref="D72:AH72"/>
    <mergeCell ref="D71:AH71"/>
    <mergeCell ref="AK71:AK73"/>
    <mergeCell ref="A9:A12"/>
    <mergeCell ref="D2:AH2"/>
    <mergeCell ref="A44:A47"/>
    <mergeCell ref="B4:B7"/>
    <mergeCell ref="B64:B67"/>
    <mergeCell ref="A34:A37"/>
    <mergeCell ref="A39:A42"/>
    <mergeCell ref="A59:A62"/>
    <mergeCell ref="A24:A27"/>
    <mergeCell ref="B54:B57"/>
    <mergeCell ref="A49:A52"/>
    <mergeCell ref="AI1:AI2"/>
    <mergeCell ref="AK1:AK2"/>
    <mergeCell ref="B44:B47"/>
    <mergeCell ref="AJ71:AJ73"/>
  </mergeCells>
  <conditionalFormatting sqref="A126:AK148">
    <cfRule type="expression" dxfId="150" priority="21">
      <formula>AND($A126="",$B126="",$C126="")</formula>
    </cfRule>
  </conditionalFormatting>
  <conditionalFormatting sqref="A68:XFD70 A1 A126:XFD1048576 C3:XFD34 C34:C37 C37:AK67 D1:XFD1 D9:AH67 D35:AK35 AI2:XFD2 AI36:AK36 AL35:XFD67">
    <cfRule type="colorScale" priority="11">
      <colorScale>
        <cfvo type="min"/>
        <cfvo type="max"/>
        <color rgb="FFEDFC2C"/>
        <color rgb="FFFFEF9C"/>
      </colorScale>
    </cfRule>
    <cfRule type="colorScale" priority="13">
      <colorScale>
        <cfvo type="min"/>
        <cfvo type="max"/>
        <color rgb="FFFFC000"/>
        <color rgb="FFFFEF9C"/>
      </colorScale>
    </cfRule>
    <cfRule type="colorScale" priority="14">
      <colorScale>
        <cfvo type="min"/>
        <cfvo type="max"/>
        <color rgb="FFFF7128"/>
        <color rgb="FFFFEF9C"/>
      </colorScale>
    </cfRule>
    <cfRule type="colorScale" priority="15">
      <colorScale>
        <cfvo type="min"/>
        <cfvo type="max"/>
        <color rgb="FFFF7128"/>
        <color rgb="FFFFFF00"/>
      </colorScale>
    </cfRule>
  </conditionalFormatting>
  <conditionalFormatting sqref="C4:AK67 A68:AK70">
    <cfRule type="expression" dxfId="149" priority="16">
      <formula>AND($A4="",$B4="",$C4="")</formula>
    </cfRule>
  </conditionalFormatting>
  <conditionalFormatting sqref="D3:AH63">
    <cfRule type="expression" dxfId="148" priority="9">
      <formula>WEEKDAY(D$3)=1</formula>
    </cfRule>
  </conditionalFormatting>
  <conditionalFormatting sqref="D3:AH70">
    <cfRule type="expression" dxfId="147" priority="20">
      <formula>AND(D$3&lt;&gt;"",WEEKDAY(D$3,2)=7)</formula>
    </cfRule>
  </conditionalFormatting>
  <conditionalFormatting sqref="D4:AH67">
    <cfRule type="expression" dxfId="146" priority="26">
      <formula>AND($C4="TC",D4&lt;&gt;"")</formula>
    </cfRule>
    <cfRule type="expression" dxfId="145" priority="27">
      <formula>AND($C4="C1",D4&lt;&gt;"")</formula>
    </cfRule>
    <cfRule type="expression" dxfId="144" priority="28">
      <formula>AND($C4="C3",D4&lt;&gt;"")</formula>
    </cfRule>
  </conditionalFormatting>
  <conditionalFormatting sqref="D4:AH70">
    <cfRule type="expression" dxfId="143" priority="17">
      <formula>AND($C4="TC",D4&lt;&gt;"")</formula>
    </cfRule>
    <cfRule type="expression" dxfId="142" priority="18">
      <formula>AND($C4="C1",D4&lt;&gt;"")</formula>
    </cfRule>
    <cfRule type="expression" dxfId="141" priority="19">
      <formula>AND(OR($C4="C2",$C4="C3"),D4&lt;&gt;"")</formula>
    </cfRule>
  </conditionalFormatting>
  <conditionalFormatting sqref="D37:AH67">
    <cfRule type="expression" dxfId="140" priority="1">
      <formula>WEEKDAY(D$3)=1</formula>
    </cfRule>
  </conditionalFormatting>
  <conditionalFormatting sqref="D73:AH125">
    <cfRule type="expression" dxfId="139" priority="5">
      <formula>WEEKDAY(D$3)=1</formula>
    </cfRule>
  </conditionalFormatting>
  <conditionalFormatting sqref="D74:AH125">
    <cfRule type="expression" dxfId="138" priority="2">
      <formula>AND($C74="C3",D74&lt;&gt;"")</formula>
    </cfRule>
    <cfRule type="expression" dxfId="137" priority="3">
      <formula>AND($C74="C1",D74&lt;&gt;"")</formula>
    </cfRule>
    <cfRule type="expression" dxfId="136" priority="4">
      <formula>AND($C74="TC",D74&lt;&gt;"")</formula>
    </cfRule>
  </conditionalFormatting>
  <conditionalFormatting sqref="D126:AH148">
    <cfRule type="expression" dxfId="135" priority="22">
      <formula>AND($C126="TC",D126&lt;&gt;"")</formula>
    </cfRule>
    <cfRule type="expression" dxfId="134" priority="23">
      <formula>AND($C126="C1",D126&lt;&gt;"")</formula>
    </cfRule>
    <cfRule type="expression" dxfId="133" priority="24">
      <formula>AND(OR($C126="C2",$C126="C3"),D126&lt;&gt;"")</formula>
    </cfRule>
    <cfRule type="expression" dxfId="132" priority="25">
      <formula>AND(D$79&lt;&gt;"",WEEKDAY(D$79,2)=7)</formula>
    </cfRule>
  </conditionalFormatting>
  <conditionalFormatting sqref="V23">
    <cfRule type="colorScale" priority="10">
      <colorScale>
        <cfvo type="min"/>
        <cfvo type="max"/>
        <color rgb="FFFFC000"/>
        <color rgb="FFFFEF9C"/>
      </colorScale>
    </cfRule>
  </conditionalFormatting>
  <conditionalFormatting sqref="V57">
    <cfRule type="colorScale" priority="7">
      <colorScale>
        <cfvo type="min"/>
        <cfvo type="max"/>
        <color rgb="FFFFC000"/>
        <color rgb="FFFFEF9C"/>
      </colorScale>
    </cfRule>
  </conditionalFormatting>
  <conditionalFormatting sqref="V14:W14">
    <cfRule type="colorScale" priority="12">
      <colorScale>
        <cfvo type="min"/>
        <cfvo type="max"/>
        <color rgb="FFE8FC2C"/>
        <color rgb="FFFFEF9C"/>
      </colorScale>
    </cfRule>
  </conditionalFormatting>
  <conditionalFormatting sqref="V48:W48">
    <cfRule type="colorScale" priority="8">
      <colorScale>
        <cfvo type="min"/>
        <cfvo type="max"/>
        <color rgb="FFE8FC2C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875"/>
  <sheetViews>
    <sheetView topLeftCell="A13" workbookViewId="0">
      <selection sqref="A1:C2"/>
    </sheetView>
  </sheetViews>
  <sheetFormatPr defaultColWidth="12.625" defaultRowHeight="14.25" x14ac:dyDescent="0.2"/>
  <cols>
    <col min="1" max="1" width="5" customWidth="1"/>
    <col min="2" max="2" width="22" customWidth="1"/>
    <col min="3" max="3" width="7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10" customWidth="1"/>
  </cols>
  <sheetData>
    <row r="1" spans="1:37" ht="27.95" customHeight="1" x14ac:dyDescent="0.2">
      <c r="A1" s="114" t="s">
        <v>0</v>
      </c>
      <c r="B1" s="118"/>
      <c r="C1" s="119"/>
      <c r="D1" s="114" t="s">
        <v>31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1"/>
      <c r="AI1" s="112" t="s">
        <v>2</v>
      </c>
      <c r="AJ1" s="112" t="s">
        <v>3</v>
      </c>
      <c r="AK1" s="112" t="s">
        <v>4</v>
      </c>
    </row>
    <row r="2" spans="1:37" ht="20.100000000000001" customHeight="1" x14ac:dyDescent="0.2">
      <c r="A2" s="120"/>
      <c r="B2" s="121"/>
      <c r="C2" s="122"/>
      <c r="D2" s="109">
        <v>46054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1"/>
      <c r="AI2" s="113"/>
      <c r="AJ2" s="113"/>
      <c r="AK2" s="113"/>
    </row>
    <row r="3" spans="1:37" ht="21.95" customHeight="1" x14ac:dyDescent="0.2">
      <c r="A3" s="2" t="s">
        <v>5</v>
      </c>
      <c r="B3" s="2" t="s">
        <v>6</v>
      </c>
      <c r="C3" s="32"/>
      <c r="D3" s="86">
        <v>46054</v>
      </c>
      <c r="E3" s="85">
        <v>46055</v>
      </c>
      <c r="F3" s="85">
        <f t="shared" ref="F3:AH3" si="0">+E3+1</f>
        <v>46056</v>
      </c>
      <c r="G3" s="85">
        <f t="shared" si="0"/>
        <v>46057</v>
      </c>
      <c r="H3" s="85">
        <f t="shared" si="0"/>
        <v>46058</v>
      </c>
      <c r="I3" s="85">
        <f t="shared" si="0"/>
        <v>46059</v>
      </c>
      <c r="J3" s="85">
        <f t="shared" si="0"/>
        <v>46060</v>
      </c>
      <c r="K3" s="86">
        <f t="shared" si="0"/>
        <v>46061</v>
      </c>
      <c r="L3" s="85">
        <f t="shared" si="0"/>
        <v>46062</v>
      </c>
      <c r="M3" s="85">
        <f t="shared" si="0"/>
        <v>46063</v>
      </c>
      <c r="N3" s="85">
        <f t="shared" si="0"/>
        <v>46064</v>
      </c>
      <c r="O3" s="85">
        <f t="shared" si="0"/>
        <v>46065</v>
      </c>
      <c r="P3" s="85">
        <f t="shared" si="0"/>
        <v>46066</v>
      </c>
      <c r="Q3" s="85">
        <f t="shared" si="0"/>
        <v>46067</v>
      </c>
      <c r="R3" s="86">
        <f t="shared" si="0"/>
        <v>46068</v>
      </c>
      <c r="S3" s="85">
        <f t="shared" si="0"/>
        <v>46069</v>
      </c>
      <c r="T3" s="85">
        <f t="shared" si="0"/>
        <v>46070</v>
      </c>
      <c r="U3" s="85">
        <f t="shared" si="0"/>
        <v>46071</v>
      </c>
      <c r="V3" s="85">
        <f t="shared" si="0"/>
        <v>46072</v>
      </c>
      <c r="W3" s="85">
        <f t="shared" si="0"/>
        <v>46073</v>
      </c>
      <c r="X3" s="85">
        <f t="shared" si="0"/>
        <v>46074</v>
      </c>
      <c r="Y3" s="86">
        <f t="shared" si="0"/>
        <v>46075</v>
      </c>
      <c r="Z3" s="85">
        <f t="shared" si="0"/>
        <v>46076</v>
      </c>
      <c r="AA3" s="85">
        <f t="shared" si="0"/>
        <v>46077</v>
      </c>
      <c r="AB3" s="85">
        <f t="shared" si="0"/>
        <v>46078</v>
      </c>
      <c r="AC3" s="85">
        <f t="shared" si="0"/>
        <v>46079</v>
      </c>
      <c r="AD3" s="85">
        <f t="shared" si="0"/>
        <v>46080</v>
      </c>
      <c r="AE3" s="85">
        <f t="shared" si="0"/>
        <v>46081</v>
      </c>
      <c r="AF3" s="85">
        <f t="shared" si="0"/>
        <v>46082</v>
      </c>
      <c r="AG3" s="85">
        <f t="shared" si="0"/>
        <v>46083</v>
      </c>
      <c r="AH3" s="85">
        <f t="shared" si="0"/>
        <v>46084</v>
      </c>
      <c r="AI3" s="31"/>
      <c r="AJ3" s="32"/>
      <c r="AK3" s="32"/>
    </row>
    <row r="4" spans="1:37" ht="13.5" customHeight="1" x14ac:dyDescent="0.2">
      <c r="A4" s="94">
        <v>1</v>
      </c>
      <c r="B4" s="95" t="s">
        <v>7</v>
      </c>
      <c r="C4" s="28" t="s">
        <v>8</v>
      </c>
      <c r="D4" s="71"/>
      <c r="E4" s="65"/>
      <c r="F4" s="65"/>
      <c r="G4" s="65"/>
      <c r="H4" s="65"/>
      <c r="I4" s="65"/>
      <c r="J4" s="65"/>
      <c r="K4" s="71"/>
      <c r="L4" s="65"/>
      <c r="M4" s="65"/>
      <c r="N4" s="65"/>
      <c r="O4" s="65"/>
      <c r="P4" s="65"/>
      <c r="Q4" s="65"/>
      <c r="R4" s="71"/>
      <c r="S4" s="65"/>
      <c r="T4" s="65"/>
      <c r="U4" s="65"/>
      <c r="V4" s="65"/>
      <c r="W4" s="65"/>
      <c r="X4" s="65"/>
      <c r="Y4" s="71"/>
      <c r="Z4" s="65"/>
      <c r="AA4" s="65"/>
      <c r="AB4" s="65"/>
      <c r="AC4" s="65"/>
      <c r="AD4" s="65"/>
      <c r="AE4" s="65"/>
      <c r="AF4" s="65"/>
      <c r="AG4" s="65"/>
      <c r="AH4" s="65"/>
      <c r="AI4" s="33">
        <f>0</f>
        <v>0</v>
      </c>
      <c r="AJ4" s="33">
        <f>SUM(D4:AH4)/8</f>
        <v>0</v>
      </c>
      <c r="AK4" s="33">
        <f>AI4+AJ4</f>
        <v>0</v>
      </c>
    </row>
    <row r="5" spans="1:37" s="7" customFormat="1" ht="13.5" customHeight="1" x14ac:dyDescent="0.2">
      <c r="A5" s="89"/>
      <c r="B5" s="89"/>
      <c r="C5" s="28" t="s">
        <v>9</v>
      </c>
      <c r="D5" s="71"/>
      <c r="E5" s="65" t="s">
        <v>10</v>
      </c>
      <c r="F5" s="65" t="s">
        <v>10</v>
      </c>
      <c r="G5" s="65" t="s">
        <v>10</v>
      </c>
      <c r="H5" s="65">
        <v>0</v>
      </c>
      <c r="I5" s="65" t="s">
        <v>10</v>
      </c>
      <c r="J5" s="65" t="s">
        <v>10</v>
      </c>
      <c r="K5" s="71"/>
      <c r="L5" s="65" t="s">
        <v>10</v>
      </c>
      <c r="M5" s="65" t="s">
        <v>10</v>
      </c>
      <c r="N5" s="65" t="s">
        <v>10</v>
      </c>
      <c r="O5" s="65" t="s">
        <v>10</v>
      </c>
      <c r="P5" s="65" t="s">
        <v>15</v>
      </c>
      <c r="Q5" s="65"/>
      <c r="R5" s="71"/>
      <c r="S5" s="65"/>
      <c r="T5" s="65"/>
      <c r="U5" s="65"/>
      <c r="V5" s="65"/>
      <c r="W5" s="65"/>
      <c r="X5" s="65" t="s">
        <v>10</v>
      </c>
      <c r="Y5" s="71" t="s">
        <v>10</v>
      </c>
      <c r="Z5" s="65" t="s">
        <v>10</v>
      </c>
      <c r="AA5" s="65" t="s">
        <v>10</v>
      </c>
      <c r="AB5" s="65" t="s">
        <v>10</v>
      </c>
      <c r="AC5" s="65" t="s">
        <v>10</v>
      </c>
      <c r="AD5" s="65" t="s">
        <v>10</v>
      </c>
      <c r="AE5" s="65" t="s">
        <v>10</v>
      </c>
      <c r="AF5" s="65"/>
      <c r="AG5" s="65"/>
      <c r="AH5" s="65"/>
      <c r="AI5" s="33">
        <f>COUNTIF(D5:AH5,"x")+COUNTIF(D5:AH5,"x-0,25")+COUNTIF(D5:AH5,"x-0,50")+COUNTIF(D5:AH5,"x-0.75")+COUNTIF(D5:AH5,"x-1")+COUNTIF(D5:AH5,"x-1,25")+COUNTIF(D5:AH5,"x-1,5")+COUNTIF(D5:AH5,"x-1,55")+COUNTIF(D5:AH5,"x-2")+COUNTIF(D5:AH5,"x/2")/2</f>
        <v>17.5</v>
      </c>
      <c r="AJ5" s="33">
        <f>0</f>
        <v>0</v>
      </c>
      <c r="AK5" s="33">
        <f>AI5+AJ5</f>
        <v>17.5</v>
      </c>
    </row>
    <row r="6" spans="1:37" s="7" customFormat="1" ht="13.5" customHeight="1" x14ac:dyDescent="0.2">
      <c r="A6" s="89"/>
      <c r="B6" s="89"/>
      <c r="C6" s="28" t="s">
        <v>11</v>
      </c>
      <c r="D6" s="71"/>
      <c r="E6" s="65"/>
      <c r="F6" s="65"/>
      <c r="G6" s="65"/>
      <c r="H6" s="65"/>
      <c r="I6" s="65"/>
      <c r="J6" s="65"/>
      <c r="K6" s="71"/>
      <c r="L6" s="65"/>
      <c r="M6" s="65"/>
      <c r="N6" s="65"/>
      <c r="O6" s="65"/>
      <c r="P6" s="65"/>
      <c r="Q6" s="65"/>
      <c r="R6" s="71"/>
      <c r="S6" s="65"/>
      <c r="T6" s="65"/>
      <c r="U6" s="65"/>
      <c r="V6" s="65"/>
      <c r="W6" s="65"/>
      <c r="X6" s="65"/>
      <c r="Y6" s="71"/>
      <c r="Z6" s="65"/>
      <c r="AA6" s="65"/>
      <c r="AB6" s="65"/>
      <c r="AC6" s="65"/>
      <c r="AD6" s="65"/>
      <c r="AE6" s="65"/>
      <c r="AF6" s="65"/>
      <c r="AG6" s="65"/>
      <c r="AH6" s="65"/>
      <c r="AI6" s="33">
        <f>COUNTIF(D6:AH6,"x")+COUNTIF(D6:AH6,"x-0,25")+COUNTIF(D6:AH6,"x-0,50")+COUNTIF(D6:AH6,"x-0.75")+COUNTIF(D6:AH6,"x-1")+COUNTIF(D6:AH6,"x-1,25")+COUNTIF(D6:AH6,"x-1,5")+COUNTIF(D6:AH6,"x-1,55")+COUNTIF(D6:AH6,"x-2")+COUNTIF(D6:AH6,"x/2")/2</f>
        <v>0</v>
      </c>
      <c r="AJ6" s="33">
        <f>0</f>
        <v>0</v>
      </c>
      <c r="AK6" s="33">
        <f>AI6+AJ6</f>
        <v>0</v>
      </c>
    </row>
    <row r="7" spans="1:37" s="7" customFormat="1" ht="13.5" customHeight="1" x14ac:dyDescent="0.2">
      <c r="A7" s="90"/>
      <c r="B7" s="96"/>
      <c r="C7" s="28" t="s">
        <v>12</v>
      </c>
      <c r="D7" s="71"/>
      <c r="E7" s="65"/>
      <c r="F7" s="65"/>
      <c r="G7" s="65"/>
      <c r="H7" s="65"/>
      <c r="I7" s="65"/>
      <c r="J7" s="65"/>
      <c r="K7" s="71"/>
      <c r="L7" s="65"/>
      <c r="M7" s="65"/>
      <c r="N7" s="65"/>
      <c r="O7" s="65"/>
      <c r="P7" s="65"/>
      <c r="Q7" s="65"/>
      <c r="R7" s="71"/>
      <c r="S7" s="65"/>
      <c r="T7" s="65"/>
      <c r="U7" s="65"/>
      <c r="V7" s="65"/>
      <c r="W7" s="65"/>
      <c r="X7" s="65"/>
      <c r="Y7" s="71"/>
      <c r="Z7" s="65"/>
      <c r="AA7" s="65"/>
      <c r="AB7" s="65"/>
      <c r="AC7" s="65"/>
      <c r="AD7" s="65"/>
      <c r="AE7" s="65"/>
      <c r="AF7" s="65"/>
      <c r="AG7" s="65"/>
      <c r="AH7" s="65"/>
      <c r="AI7" s="33">
        <f>COUNTIF(D7:AH7,"x")+COUNTIF(D7:AH7,"x-0,25")+COUNTIF(D7:AH7,"x-0,50")+COUNTIF(D7:AH7,"x-0.75")+COUNTIF(D7:AH7,"x-1")+COUNTIF(D7:AH7,"x-1,25")+COUNTIF(D7:AH7,"x-1,5")+COUNTIF(D7:AH7,"x-1,55")+COUNTIF(D7:AH7,"x-2")+COUNTIF(D7:AH7,"x/2")/2</f>
        <v>0</v>
      </c>
      <c r="AJ7" s="33">
        <f>0</f>
        <v>0</v>
      </c>
      <c r="AK7" s="33">
        <f>AI7+AJ7</f>
        <v>0</v>
      </c>
    </row>
    <row r="8" spans="1:37" s="7" customFormat="1" ht="13.5" customHeight="1" x14ac:dyDescent="0.2">
      <c r="A8" s="16"/>
      <c r="B8" s="17"/>
      <c r="C8" s="69"/>
      <c r="D8" s="71"/>
      <c r="E8" s="69"/>
      <c r="F8" s="69"/>
      <c r="G8" s="69"/>
      <c r="H8" s="69"/>
      <c r="I8" s="69"/>
      <c r="J8" s="69"/>
      <c r="K8" s="71"/>
      <c r="L8" s="69"/>
      <c r="M8" s="69"/>
      <c r="N8" s="69"/>
      <c r="O8" s="69"/>
      <c r="P8" s="69"/>
      <c r="Q8" s="69"/>
      <c r="R8" s="71"/>
      <c r="S8" s="69"/>
      <c r="T8" s="69"/>
      <c r="U8" s="69"/>
      <c r="V8" s="69"/>
      <c r="W8" s="69"/>
      <c r="X8" s="69"/>
      <c r="Y8" s="71"/>
      <c r="Z8" s="69"/>
      <c r="AA8" s="69"/>
      <c r="AB8" s="69"/>
      <c r="AC8" s="69"/>
      <c r="AD8" s="69"/>
      <c r="AE8" s="69"/>
      <c r="AF8" s="69"/>
      <c r="AG8" s="69"/>
      <c r="AH8" s="69"/>
      <c r="AI8" s="78" t="str">
        <f>""</f>
        <v/>
      </c>
      <c r="AJ8" s="78" t="str">
        <f>""</f>
        <v/>
      </c>
      <c r="AK8" s="78" t="str">
        <f>""</f>
        <v/>
      </c>
    </row>
    <row r="9" spans="1:37" s="7" customFormat="1" ht="13.5" customHeight="1" x14ac:dyDescent="0.2">
      <c r="A9" s="94">
        <v>2</v>
      </c>
      <c r="B9" s="97" t="s">
        <v>13</v>
      </c>
      <c r="C9" s="28" t="s">
        <v>8</v>
      </c>
      <c r="D9" s="71"/>
      <c r="E9" s="65"/>
      <c r="F9" s="65"/>
      <c r="G9" s="65"/>
      <c r="H9" s="65"/>
      <c r="I9" s="65"/>
      <c r="J9" s="65"/>
      <c r="K9" s="72"/>
      <c r="L9" s="65"/>
      <c r="M9" s="65"/>
      <c r="N9" s="65"/>
      <c r="O9" s="65"/>
      <c r="P9" s="65"/>
      <c r="Q9" s="65"/>
      <c r="R9" s="71"/>
      <c r="S9" s="65"/>
      <c r="T9" s="65"/>
      <c r="U9" s="65"/>
      <c r="V9" s="65"/>
      <c r="W9" s="65"/>
      <c r="X9" s="65"/>
      <c r="Y9" s="71"/>
      <c r="Z9" s="65"/>
      <c r="AA9" s="65"/>
      <c r="AB9" s="65"/>
      <c r="AC9" s="65"/>
      <c r="AD9" s="65"/>
      <c r="AE9" s="65"/>
      <c r="AF9" s="65"/>
      <c r="AG9" s="65"/>
      <c r="AH9" s="65"/>
      <c r="AI9" s="33">
        <f>0</f>
        <v>0</v>
      </c>
      <c r="AJ9" s="33">
        <f>SUM(D9:AH9)/8</f>
        <v>0</v>
      </c>
      <c r="AK9" s="33">
        <f>AI9+AJ9</f>
        <v>0</v>
      </c>
    </row>
    <row r="10" spans="1:37" s="7" customFormat="1" ht="13.5" customHeight="1" x14ac:dyDescent="0.2">
      <c r="A10" s="89"/>
      <c r="B10" s="89"/>
      <c r="C10" s="28" t="s">
        <v>9</v>
      </c>
      <c r="D10" s="71"/>
      <c r="E10" s="65" t="s">
        <v>10</v>
      </c>
      <c r="F10" s="65" t="s">
        <v>10</v>
      </c>
      <c r="G10" s="65" t="s">
        <v>10</v>
      </c>
      <c r="H10" s="65" t="s">
        <v>10</v>
      </c>
      <c r="I10" s="65" t="s">
        <v>10</v>
      </c>
      <c r="J10" s="65" t="s">
        <v>10</v>
      </c>
      <c r="K10" s="71"/>
      <c r="L10" s="65" t="s">
        <v>10</v>
      </c>
      <c r="M10" s="65" t="s">
        <v>10</v>
      </c>
      <c r="N10" s="65" t="s">
        <v>10</v>
      </c>
      <c r="O10" s="65" t="s">
        <v>10</v>
      </c>
      <c r="P10" s="65" t="s">
        <v>10</v>
      </c>
      <c r="Q10" s="65"/>
      <c r="R10" s="71"/>
      <c r="S10" s="65"/>
      <c r="T10" s="65"/>
      <c r="U10" s="65"/>
      <c r="V10" s="65"/>
      <c r="W10" s="65"/>
      <c r="X10" s="65"/>
      <c r="Y10" s="71" t="s">
        <v>10</v>
      </c>
      <c r="Z10" s="65" t="s">
        <v>10</v>
      </c>
      <c r="AA10" s="65" t="s">
        <v>10</v>
      </c>
      <c r="AB10" s="65" t="s">
        <v>10</v>
      </c>
      <c r="AC10" s="65" t="s">
        <v>10</v>
      </c>
      <c r="AD10" s="65" t="s">
        <v>10</v>
      </c>
      <c r="AE10" s="65" t="s">
        <v>10</v>
      </c>
      <c r="AF10" s="65"/>
      <c r="AG10" s="65"/>
      <c r="AH10" s="65"/>
      <c r="AI10" s="33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18</v>
      </c>
      <c r="AJ10" s="33">
        <f>0</f>
        <v>0</v>
      </c>
      <c r="AK10" s="33">
        <f>AI10+AJ10</f>
        <v>18</v>
      </c>
    </row>
    <row r="11" spans="1:37" s="7" customFormat="1" ht="13.5" customHeight="1" x14ac:dyDescent="0.2">
      <c r="A11" s="89"/>
      <c r="B11" s="89"/>
      <c r="C11" s="28" t="s">
        <v>11</v>
      </c>
      <c r="D11" s="71"/>
      <c r="E11" s="65"/>
      <c r="F11" s="65"/>
      <c r="G11" s="65"/>
      <c r="H11" s="65"/>
      <c r="I11" s="65"/>
      <c r="J11" s="65"/>
      <c r="K11" s="71"/>
      <c r="L11" s="65"/>
      <c r="M11" s="65"/>
      <c r="N11" s="65"/>
      <c r="O11" s="65"/>
      <c r="P11" s="65"/>
      <c r="Q11" s="65"/>
      <c r="R11" s="71"/>
      <c r="S11" s="65"/>
      <c r="T11" s="65"/>
      <c r="U11" s="65"/>
      <c r="V11" s="65"/>
      <c r="W11" s="65"/>
      <c r="X11" s="65"/>
      <c r="Y11" s="71"/>
      <c r="Z11" s="65"/>
      <c r="AA11" s="65"/>
      <c r="AB11" s="65"/>
      <c r="AC11" s="65"/>
      <c r="AD11" s="65"/>
      <c r="AE11" s="65"/>
      <c r="AF11" s="65"/>
      <c r="AG11" s="65"/>
      <c r="AH11" s="65"/>
      <c r="AI11" s="33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0</v>
      </c>
      <c r="AJ11" s="33">
        <f>0</f>
        <v>0</v>
      </c>
      <c r="AK11" s="33">
        <f>AI11+AJ11</f>
        <v>0</v>
      </c>
    </row>
    <row r="12" spans="1:37" s="7" customFormat="1" ht="13.5" customHeight="1" x14ac:dyDescent="0.2">
      <c r="A12" s="90"/>
      <c r="B12" s="96"/>
      <c r="C12" s="28" t="s">
        <v>12</v>
      </c>
      <c r="D12" s="71"/>
      <c r="E12" s="65"/>
      <c r="F12" s="65"/>
      <c r="G12" s="65"/>
      <c r="H12" s="65"/>
      <c r="I12" s="65"/>
      <c r="J12" s="65"/>
      <c r="K12" s="71"/>
      <c r="L12" s="65"/>
      <c r="M12" s="65"/>
      <c r="N12" s="65"/>
      <c r="O12" s="65"/>
      <c r="P12" s="65"/>
      <c r="Q12" s="65"/>
      <c r="R12" s="71"/>
      <c r="S12" s="65"/>
      <c r="T12" s="65"/>
      <c r="U12" s="65"/>
      <c r="V12" s="65"/>
      <c r="W12" s="65"/>
      <c r="X12" s="65"/>
      <c r="Y12" s="71"/>
      <c r="Z12" s="65"/>
      <c r="AA12" s="65"/>
      <c r="AB12" s="65"/>
      <c r="AC12" s="65"/>
      <c r="AD12" s="65"/>
      <c r="AE12" s="65"/>
      <c r="AF12" s="65"/>
      <c r="AG12" s="65"/>
      <c r="AH12" s="65"/>
      <c r="AI12" s="33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0</v>
      </c>
      <c r="AJ12" s="33">
        <f>0</f>
        <v>0</v>
      </c>
      <c r="AK12" s="33">
        <f>AI12+AJ12</f>
        <v>0</v>
      </c>
    </row>
    <row r="13" spans="1:37" s="7" customFormat="1" ht="13.5" customHeight="1" x14ac:dyDescent="0.2">
      <c r="A13" s="16"/>
      <c r="B13" s="17"/>
      <c r="C13" s="69"/>
      <c r="D13" s="71"/>
      <c r="E13" s="69"/>
      <c r="F13" s="69"/>
      <c r="G13" s="69"/>
      <c r="H13" s="69"/>
      <c r="I13" s="69"/>
      <c r="J13" s="69"/>
      <c r="K13" s="71"/>
      <c r="L13" s="69"/>
      <c r="M13" s="69"/>
      <c r="N13" s="69"/>
      <c r="O13" s="69"/>
      <c r="P13" s="69"/>
      <c r="Q13" s="69"/>
      <c r="R13" s="71"/>
      <c r="S13" s="69"/>
      <c r="T13" s="69"/>
      <c r="U13" s="69"/>
      <c r="V13" s="69"/>
      <c r="W13" s="69"/>
      <c r="X13" s="69"/>
      <c r="Y13" s="71"/>
      <c r="Z13" s="69"/>
      <c r="AA13" s="69"/>
      <c r="AB13" s="69"/>
      <c r="AC13" s="69"/>
      <c r="AD13" s="69"/>
      <c r="AE13" s="69"/>
      <c r="AF13" s="69"/>
      <c r="AG13" s="69"/>
      <c r="AH13" s="69"/>
      <c r="AI13" s="78" t="str">
        <f>""</f>
        <v/>
      </c>
      <c r="AJ13" s="78" t="str">
        <f>""</f>
        <v/>
      </c>
      <c r="AK13" s="78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8" t="s">
        <v>8</v>
      </c>
      <c r="D14" s="71"/>
      <c r="E14" s="65"/>
      <c r="F14" s="65"/>
      <c r="G14" s="65"/>
      <c r="H14" s="65"/>
      <c r="I14" s="65"/>
      <c r="J14" s="65"/>
      <c r="K14" s="71">
        <v>0.75</v>
      </c>
      <c r="L14" s="65"/>
      <c r="M14" s="65"/>
      <c r="N14" s="65"/>
      <c r="O14" s="65"/>
      <c r="P14" s="65"/>
      <c r="Q14" s="65"/>
      <c r="R14" s="71"/>
      <c r="S14" s="65"/>
      <c r="T14" s="65"/>
      <c r="U14" s="65"/>
      <c r="V14" s="65"/>
      <c r="W14" s="65"/>
      <c r="X14" s="65"/>
      <c r="Y14" s="71"/>
      <c r="Z14" s="65"/>
      <c r="AA14" s="65"/>
      <c r="AB14" s="65"/>
      <c r="AC14" s="65"/>
      <c r="AD14" s="65"/>
      <c r="AE14" s="65"/>
      <c r="AF14" s="65"/>
      <c r="AG14" s="65"/>
      <c r="AH14" s="65"/>
      <c r="AI14" s="33">
        <f>0</f>
        <v>0</v>
      </c>
      <c r="AJ14" s="33">
        <f>SUM(D14:AH14)/8</f>
        <v>9.375E-2</v>
      </c>
      <c r="AK14" s="33">
        <f t="shared" ref="AK14:AK22" si="1">AI14+AJ14</f>
        <v>9.375E-2</v>
      </c>
    </row>
    <row r="15" spans="1:37" s="7" customFormat="1" ht="13.5" customHeight="1" x14ac:dyDescent="0.2">
      <c r="A15" s="89"/>
      <c r="B15" s="89"/>
      <c r="C15" s="28" t="s">
        <v>9</v>
      </c>
      <c r="D15" s="71"/>
      <c r="E15" s="65" t="s">
        <v>10</v>
      </c>
      <c r="F15" s="65" t="s">
        <v>10</v>
      </c>
      <c r="G15" s="65" t="s">
        <v>10</v>
      </c>
      <c r="H15" s="65" t="s">
        <v>10</v>
      </c>
      <c r="I15" s="65" t="s">
        <v>10</v>
      </c>
      <c r="J15" s="65" t="s">
        <v>10</v>
      </c>
      <c r="K15" s="71" t="s">
        <v>10</v>
      </c>
      <c r="L15" s="65" t="s">
        <v>10</v>
      </c>
      <c r="M15" s="65" t="s">
        <v>10</v>
      </c>
      <c r="N15" s="65" t="s">
        <v>10</v>
      </c>
      <c r="O15" s="65" t="s">
        <v>10</v>
      </c>
      <c r="P15" s="65" t="s">
        <v>10</v>
      </c>
      <c r="Q15" s="65"/>
      <c r="R15" s="71"/>
      <c r="S15" s="65"/>
      <c r="T15" s="65"/>
      <c r="U15" s="65"/>
      <c r="V15" s="65"/>
      <c r="W15" s="65"/>
      <c r="X15" s="65" t="s">
        <v>10</v>
      </c>
      <c r="Y15" s="71" t="s">
        <v>10</v>
      </c>
      <c r="Z15" s="65" t="s">
        <v>10</v>
      </c>
      <c r="AA15" s="65" t="s">
        <v>10</v>
      </c>
      <c r="AB15" s="65" t="s">
        <v>10</v>
      </c>
      <c r="AC15" s="65" t="s">
        <v>10</v>
      </c>
      <c r="AD15" s="65" t="s">
        <v>10</v>
      </c>
      <c r="AE15" s="65" t="s">
        <v>10</v>
      </c>
      <c r="AF15" s="65"/>
      <c r="AG15" s="65"/>
      <c r="AH15" s="65"/>
      <c r="AI15" s="33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20</v>
      </c>
      <c r="AJ15" s="33">
        <f>0</f>
        <v>0</v>
      </c>
      <c r="AK15" s="33">
        <f t="shared" si="1"/>
        <v>20</v>
      </c>
    </row>
    <row r="16" spans="1:37" s="7" customFormat="1" ht="13.5" customHeight="1" x14ac:dyDescent="0.2">
      <c r="A16" s="89"/>
      <c r="B16" s="89"/>
      <c r="C16" s="28" t="s">
        <v>11</v>
      </c>
      <c r="D16" s="71"/>
      <c r="E16" s="65"/>
      <c r="F16" s="65"/>
      <c r="G16" s="65"/>
      <c r="H16" s="65"/>
      <c r="I16" s="65"/>
      <c r="J16" s="65"/>
      <c r="K16" s="71"/>
      <c r="L16" s="65"/>
      <c r="M16" s="65"/>
      <c r="N16" s="65"/>
      <c r="O16" s="65"/>
      <c r="P16" s="65"/>
      <c r="Q16" s="65"/>
      <c r="R16" s="71"/>
      <c r="S16" s="65"/>
      <c r="T16" s="65"/>
      <c r="U16" s="65"/>
      <c r="V16" s="65"/>
      <c r="W16" s="65"/>
      <c r="X16" s="65"/>
      <c r="Y16" s="71"/>
      <c r="Z16" s="65"/>
      <c r="AA16" s="65"/>
      <c r="AB16" s="65"/>
      <c r="AC16" s="65"/>
      <c r="AD16" s="65"/>
      <c r="AE16" s="65"/>
      <c r="AF16" s="65"/>
      <c r="AG16" s="65"/>
      <c r="AH16" s="65"/>
      <c r="AI16" s="33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33">
        <f>0</f>
        <v>0</v>
      </c>
      <c r="AK16" s="33">
        <f t="shared" si="1"/>
        <v>0</v>
      </c>
    </row>
    <row r="17" spans="1:44" s="7" customFormat="1" ht="13.5" customHeight="1" x14ac:dyDescent="0.2">
      <c r="A17" s="90"/>
      <c r="B17" s="96"/>
      <c r="C17" s="28" t="s">
        <v>12</v>
      </c>
      <c r="D17" s="71"/>
      <c r="E17" s="65"/>
      <c r="F17" s="65"/>
      <c r="G17" s="65"/>
      <c r="H17" s="65"/>
      <c r="I17" s="65"/>
      <c r="J17" s="65"/>
      <c r="K17" s="71"/>
      <c r="L17" s="65"/>
      <c r="M17" s="65"/>
      <c r="N17" s="65"/>
      <c r="O17" s="65"/>
      <c r="P17" s="65"/>
      <c r="Q17" s="65"/>
      <c r="R17" s="71"/>
      <c r="S17" s="65"/>
      <c r="T17" s="65"/>
      <c r="U17" s="65"/>
      <c r="V17" s="65"/>
      <c r="W17" s="65"/>
      <c r="X17" s="65"/>
      <c r="Y17" s="71"/>
      <c r="Z17" s="65"/>
      <c r="AA17" s="65"/>
      <c r="AB17" s="65"/>
      <c r="AC17" s="65"/>
      <c r="AD17" s="65"/>
      <c r="AE17" s="65"/>
      <c r="AF17" s="65"/>
      <c r="AG17" s="65"/>
      <c r="AH17" s="65"/>
      <c r="AI17" s="33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33">
        <f>0</f>
        <v>0</v>
      </c>
      <c r="AK17" s="33">
        <f t="shared" si="1"/>
        <v>0</v>
      </c>
    </row>
    <row r="18" spans="1:44" s="7" customFormat="1" ht="13.5" customHeight="1" x14ac:dyDescent="0.2">
      <c r="A18" s="16"/>
      <c r="B18" s="17"/>
      <c r="C18" s="69"/>
      <c r="D18" s="71"/>
      <c r="E18" s="69"/>
      <c r="F18" s="69"/>
      <c r="G18" s="69"/>
      <c r="H18" s="69"/>
      <c r="I18" s="69"/>
      <c r="J18" s="69"/>
      <c r="K18" s="71"/>
      <c r="L18" s="69"/>
      <c r="M18" s="69"/>
      <c r="N18" s="69"/>
      <c r="O18" s="69"/>
      <c r="P18" s="69"/>
      <c r="Q18" s="69"/>
      <c r="R18" s="71"/>
      <c r="S18" s="69"/>
      <c r="T18" s="69"/>
      <c r="U18" s="69"/>
      <c r="V18" s="69"/>
      <c r="W18" s="69"/>
      <c r="X18" s="69"/>
      <c r="Y18" s="71"/>
      <c r="Z18" s="69"/>
      <c r="AA18" s="69"/>
      <c r="AB18" s="69"/>
      <c r="AC18" s="69"/>
      <c r="AD18" s="69"/>
      <c r="AE18" s="69"/>
      <c r="AF18" s="69"/>
      <c r="AG18" s="69"/>
      <c r="AH18" s="69"/>
      <c r="AI18" s="78" t="str">
        <f>""</f>
        <v/>
      </c>
      <c r="AJ18" s="78" t="str">
        <f>""</f>
        <v/>
      </c>
      <c r="AK18" s="78" t="e">
        <f t="shared" si="1"/>
        <v>#VALUE!</v>
      </c>
    </row>
    <row r="19" spans="1:44" s="7" customFormat="1" ht="13.5" customHeight="1" x14ac:dyDescent="0.2">
      <c r="A19" s="94">
        <v>4</v>
      </c>
      <c r="B19" s="97" t="s">
        <v>16</v>
      </c>
      <c r="C19" s="28" t="s">
        <v>8</v>
      </c>
      <c r="D19" s="71"/>
      <c r="E19" s="65"/>
      <c r="F19" s="65"/>
      <c r="G19" s="65"/>
      <c r="H19" s="65"/>
      <c r="I19" s="65"/>
      <c r="J19" s="65"/>
      <c r="K19" s="71"/>
      <c r="L19" s="65"/>
      <c r="M19" s="65"/>
      <c r="N19" s="65"/>
      <c r="O19" s="65"/>
      <c r="P19" s="65"/>
      <c r="Q19" s="65"/>
      <c r="R19" s="71"/>
      <c r="S19" s="65"/>
      <c r="T19" s="65"/>
      <c r="U19" s="65"/>
      <c r="V19" s="65"/>
      <c r="W19" s="65"/>
      <c r="X19" s="65"/>
      <c r="Y19" s="71"/>
      <c r="Z19" s="65"/>
      <c r="AA19" s="65"/>
      <c r="AB19" s="65"/>
      <c r="AC19" s="65"/>
      <c r="AD19" s="65"/>
      <c r="AE19" s="65"/>
      <c r="AF19" s="65"/>
      <c r="AG19" s="65"/>
      <c r="AH19" s="65"/>
      <c r="AI19" s="33">
        <f>0</f>
        <v>0</v>
      </c>
      <c r="AJ19" s="33">
        <f>SUM(D19:AH19)/8</f>
        <v>0</v>
      </c>
      <c r="AK19" s="33">
        <f t="shared" si="1"/>
        <v>0</v>
      </c>
    </row>
    <row r="20" spans="1:44" s="7" customFormat="1" ht="13.5" customHeight="1" x14ac:dyDescent="0.2">
      <c r="A20" s="89"/>
      <c r="B20" s="89"/>
      <c r="C20" s="28" t="s">
        <v>9</v>
      </c>
      <c r="D20" s="71"/>
      <c r="E20" s="65" t="s">
        <v>10</v>
      </c>
      <c r="F20" s="65" t="s">
        <v>10</v>
      </c>
      <c r="G20" s="65" t="s">
        <v>10</v>
      </c>
      <c r="H20" s="65" t="s">
        <v>10</v>
      </c>
      <c r="I20" s="65" t="s">
        <v>10</v>
      </c>
      <c r="J20" s="65">
        <v>0</v>
      </c>
      <c r="K20" s="71" t="s">
        <v>10</v>
      </c>
      <c r="L20" s="65" t="s">
        <v>10</v>
      </c>
      <c r="M20" s="65" t="s">
        <v>10</v>
      </c>
      <c r="N20" s="65" t="s">
        <v>10</v>
      </c>
      <c r="O20" s="65" t="s">
        <v>10</v>
      </c>
      <c r="P20" s="65" t="s">
        <v>10</v>
      </c>
      <c r="Q20" s="65"/>
      <c r="R20" s="71"/>
      <c r="S20" s="65"/>
      <c r="T20" s="65"/>
      <c r="U20" s="65"/>
      <c r="V20" s="65"/>
      <c r="W20" s="65"/>
      <c r="X20" s="65"/>
      <c r="Y20" s="71" t="s">
        <v>10</v>
      </c>
      <c r="Z20" s="65" t="s">
        <v>10</v>
      </c>
      <c r="AA20" s="65" t="s">
        <v>10</v>
      </c>
      <c r="AB20" s="65" t="s">
        <v>10</v>
      </c>
      <c r="AC20" s="65" t="s">
        <v>10</v>
      </c>
      <c r="AD20" s="65" t="s">
        <v>10</v>
      </c>
      <c r="AE20" s="65" t="s">
        <v>10</v>
      </c>
      <c r="AF20" s="65"/>
      <c r="AG20" s="65"/>
      <c r="AH20" s="65"/>
      <c r="AI20" s="33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18</v>
      </c>
      <c r="AJ20" s="33">
        <f>0</f>
        <v>0</v>
      </c>
      <c r="AK20" s="33">
        <f t="shared" si="1"/>
        <v>18</v>
      </c>
    </row>
    <row r="21" spans="1:44" s="7" customFormat="1" ht="13.5" customHeight="1" x14ac:dyDescent="0.2">
      <c r="A21" s="89"/>
      <c r="B21" s="89"/>
      <c r="C21" s="28" t="s">
        <v>11</v>
      </c>
      <c r="D21" s="71"/>
      <c r="E21" s="65"/>
      <c r="F21" s="65"/>
      <c r="G21" s="65"/>
      <c r="H21" s="65"/>
      <c r="I21" s="65"/>
      <c r="J21" s="65"/>
      <c r="K21" s="71"/>
      <c r="L21" s="65"/>
      <c r="M21" s="65"/>
      <c r="N21" s="65"/>
      <c r="O21" s="65"/>
      <c r="P21" s="65"/>
      <c r="Q21" s="65"/>
      <c r="R21" s="71"/>
      <c r="S21" s="65"/>
      <c r="T21" s="65"/>
      <c r="U21" s="65"/>
      <c r="V21" s="65"/>
      <c r="W21" s="65"/>
      <c r="X21" s="65"/>
      <c r="Y21" s="71"/>
      <c r="Z21" s="65"/>
      <c r="AA21" s="65"/>
      <c r="AB21" s="65"/>
      <c r="AC21" s="65"/>
      <c r="AD21" s="65"/>
      <c r="AE21" s="65"/>
      <c r="AF21" s="65"/>
      <c r="AG21" s="65"/>
      <c r="AH21" s="65"/>
      <c r="AI21" s="33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0</v>
      </c>
      <c r="AJ21" s="33">
        <f>0</f>
        <v>0</v>
      </c>
      <c r="AK21" s="33">
        <f t="shared" si="1"/>
        <v>0</v>
      </c>
    </row>
    <row r="22" spans="1:44" s="7" customFormat="1" ht="13.5" customHeight="1" x14ac:dyDescent="0.2">
      <c r="A22" s="90"/>
      <c r="B22" s="96"/>
      <c r="C22" s="28" t="s">
        <v>12</v>
      </c>
      <c r="D22" s="71"/>
      <c r="E22" s="65"/>
      <c r="F22" s="65"/>
      <c r="G22" s="65"/>
      <c r="H22" s="65"/>
      <c r="I22" s="65"/>
      <c r="J22" s="65"/>
      <c r="K22" s="71"/>
      <c r="L22" s="65"/>
      <c r="M22" s="65"/>
      <c r="N22" s="65"/>
      <c r="O22" s="65"/>
      <c r="P22" s="65"/>
      <c r="Q22" s="65"/>
      <c r="R22" s="71"/>
      <c r="S22" s="65"/>
      <c r="T22" s="65"/>
      <c r="U22" s="65"/>
      <c r="V22" s="65"/>
      <c r="W22" s="65"/>
      <c r="X22" s="65"/>
      <c r="Y22" s="71"/>
      <c r="Z22" s="65"/>
      <c r="AA22" s="65"/>
      <c r="AB22" s="65"/>
      <c r="AC22" s="65"/>
      <c r="AD22" s="65"/>
      <c r="AE22" s="65"/>
      <c r="AF22" s="65"/>
      <c r="AG22" s="65"/>
      <c r="AH22" s="65"/>
      <c r="AI22" s="33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33">
        <f>0</f>
        <v>0</v>
      </c>
      <c r="AK22" s="33">
        <f t="shared" si="1"/>
        <v>0</v>
      </c>
    </row>
    <row r="23" spans="1:44" s="7" customFormat="1" ht="13.5" customHeight="1" x14ac:dyDescent="0.2">
      <c r="A23" s="16"/>
      <c r="B23" s="17"/>
      <c r="C23" s="69"/>
      <c r="D23" s="71"/>
      <c r="E23" s="69"/>
      <c r="F23" s="69"/>
      <c r="G23" s="69"/>
      <c r="H23" s="69"/>
      <c r="I23" s="69"/>
      <c r="J23" s="69"/>
      <c r="K23" s="71"/>
      <c r="L23" s="69"/>
      <c r="M23" s="69"/>
      <c r="N23" s="69"/>
      <c r="O23" s="69"/>
      <c r="P23" s="69"/>
      <c r="Q23" s="69"/>
      <c r="R23" s="71"/>
      <c r="S23" s="69"/>
      <c r="T23" s="69"/>
      <c r="U23" s="69"/>
      <c r="V23" s="69"/>
      <c r="W23" s="69"/>
      <c r="X23" s="69"/>
      <c r="Y23" s="71"/>
      <c r="Z23" s="69"/>
      <c r="AA23" s="69"/>
      <c r="AB23" s="69"/>
      <c r="AC23" s="69"/>
      <c r="AD23" s="69"/>
      <c r="AE23" s="69"/>
      <c r="AF23" s="69"/>
      <c r="AG23" s="69"/>
      <c r="AH23" s="69"/>
      <c r="AI23" s="78" t="str">
        <f>""</f>
        <v/>
      </c>
      <c r="AJ23" s="78" t="str">
        <f>""</f>
        <v/>
      </c>
      <c r="AK23" s="78" t="str">
        <f>""</f>
        <v/>
      </c>
    </row>
    <row r="24" spans="1:44" s="7" customFormat="1" ht="13.5" customHeight="1" x14ac:dyDescent="0.2">
      <c r="A24" s="94">
        <v>5</v>
      </c>
      <c r="B24" s="97" t="s">
        <v>17</v>
      </c>
      <c r="C24" s="28" t="s">
        <v>8</v>
      </c>
      <c r="D24" s="71"/>
      <c r="E24" s="65"/>
      <c r="F24" s="65"/>
      <c r="G24" s="65"/>
      <c r="H24" s="65"/>
      <c r="I24" s="65"/>
      <c r="J24" s="65"/>
      <c r="K24" s="71"/>
      <c r="L24" s="65"/>
      <c r="M24" s="65"/>
      <c r="N24" s="65"/>
      <c r="O24" s="65"/>
      <c r="P24" s="65"/>
      <c r="Q24" s="65"/>
      <c r="R24" s="71"/>
      <c r="S24" s="65"/>
      <c r="T24" s="65"/>
      <c r="U24" s="65"/>
      <c r="V24" s="65"/>
      <c r="W24" s="65"/>
      <c r="X24" s="65"/>
      <c r="Y24" s="71"/>
      <c r="Z24" s="65"/>
      <c r="AA24" s="65"/>
      <c r="AB24" s="65"/>
      <c r="AC24" s="65"/>
      <c r="AD24" s="65"/>
      <c r="AE24" s="65"/>
      <c r="AF24" s="65"/>
      <c r="AG24" s="65"/>
      <c r="AH24" s="65"/>
      <c r="AI24" s="33">
        <f>0</f>
        <v>0</v>
      </c>
      <c r="AJ24" s="33">
        <f>SUM(D24:AH24)/8</f>
        <v>0</v>
      </c>
      <c r="AK24" s="33">
        <f>AI24+AJ24</f>
        <v>0</v>
      </c>
    </row>
    <row r="25" spans="1:44" s="7" customFormat="1" ht="13.5" customHeight="1" x14ac:dyDescent="0.2">
      <c r="A25" s="89"/>
      <c r="B25" s="89"/>
      <c r="C25" s="28" t="s">
        <v>9</v>
      </c>
      <c r="D25" s="71"/>
      <c r="E25" s="65" t="s">
        <v>10</v>
      </c>
      <c r="F25" s="65" t="s">
        <v>10</v>
      </c>
      <c r="G25" s="65" t="s">
        <v>10</v>
      </c>
      <c r="H25" s="65" t="s">
        <v>10</v>
      </c>
      <c r="I25" s="65" t="s">
        <v>10</v>
      </c>
      <c r="J25" s="65" t="s">
        <v>10</v>
      </c>
      <c r="K25" s="71" t="s">
        <v>10</v>
      </c>
      <c r="L25" s="65" t="s">
        <v>10</v>
      </c>
      <c r="M25" s="65" t="s">
        <v>10</v>
      </c>
      <c r="N25" s="65" t="s">
        <v>10</v>
      </c>
      <c r="O25" s="65" t="s">
        <v>10</v>
      </c>
      <c r="P25" s="65" t="s">
        <v>10</v>
      </c>
      <c r="Q25" s="65"/>
      <c r="R25" s="71"/>
      <c r="S25" s="65"/>
      <c r="T25" s="65"/>
      <c r="U25" s="65"/>
      <c r="V25" s="65"/>
      <c r="W25" s="65"/>
      <c r="X25" s="65" t="s">
        <v>15</v>
      </c>
      <c r="Y25" s="71" t="s">
        <v>10</v>
      </c>
      <c r="Z25" s="65" t="s">
        <v>10</v>
      </c>
      <c r="AA25" s="65" t="s">
        <v>10</v>
      </c>
      <c r="AB25" s="65" t="s">
        <v>10</v>
      </c>
      <c r="AC25" s="65" t="s">
        <v>10</v>
      </c>
      <c r="AD25" s="65" t="s">
        <v>10</v>
      </c>
      <c r="AE25" s="65" t="s">
        <v>10</v>
      </c>
      <c r="AF25" s="65"/>
      <c r="AG25" s="65"/>
      <c r="AH25" s="65"/>
      <c r="AI25" s="33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19.5</v>
      </c>
      <c r="AJ25" s="33">
        <f>0</f>
        <v>0</v>
      </c>
      <c r="AK25" s="33">
        <f>AI25+AJ25</f>
        <v>19.5</v>
      </c>
    </row>
    <row r="26" spans="1:44" s="7" customFormat="1" ht="13.5" customHeight="1" x14ac:dyDescent="0.2">
      <c r="A26" s="89"/>
      <c r="B26" s="89"/>
      <c r="C26" s="28" t="s">
        <v>11</v>
      </c>
      <c r="D26" s="71"/>
      <c r="E26" s="65"/>
      <c r="F26" s="65"/>
      <c r="G26" s="65"/>
      <c r="H26" s="65"/>
      <c r="I26" s="65"/>
      <c r="J26" s="65"/>
      <c r="K26" s="71"/>
      <c r="L26" s="65"/>
      <c r="M26" s="65"/>
      <c r="N26" s="65"/>
      <c r="O26" s="65"/>
      <c r="P26" s="65"/>
      <c r="Q26" s="65"/>
      <c r="R26" s="71"/>
      <c r="S26" s="65"/>
      <c r="T26" s="65"/>
      <c r="U26" s="65"/>
      <c r="V26" s="65"/>
      <c r="W26" s="65"/>
      <c r="X26" s="65"/>
      <c r="Y26" s="71"/>
      <c r="Z26" s="65"/>
      <c r="AA26" s="65"/>
      <c r="AB26" s="65"/>
      <c r="AC26" s="65"/>
      <c r="AD26" s="65"/>
      <c r="AE26" s="65"/>
      <c r="AF26" s="65"/>
      <c r="AG26" s="65"/>
      <c r="AH26" s="65"/>
      <c r="AI26" s="33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0</v>
      </c>
      <c r="AJ26" s="33">
        <f>0</f>
        <v>0</v>
      </c>
      <c r="AK26" s="33">
        <f>AI26+AJ26</f>
        <v>0</v>
      </c>
      <c r="AR26" s="10"/>
    </row>
    <row r="27" spans="1:44" s="7" customFormat="1" ht="13.5" customHeight="1" x14ac:dyDescent="0.2">
      <c r="A27" s="90"/>
      <c r="B27" s="96"/>
      <c r="C27" s="28" t="s">
        <v>12</v>
      </c>
      <c r="D27" s="71"/>
      <c r="E27" s="65"/>
      <c r="F27" s="65"/>
      <c r="G27" s="66"/>
      <c r="H27" s="65"/>
      <c r="I27" s="65"/>
      <c r="J27" s="65"/>
      <c r="K27" s="71"/>
      <c r="L27" s="65"/>
      <c r="M27" s="65"/>
      <c r="N27" s="65"/>
      <c r="O27" s="65"/>
      <c r="P27" s="65"/>
      <c r="Q27" s="65"/>
      <c r="R27" s="71"/>
      <c r="S27" s="65"/>
      <c r="T27" s="65"/>
      <c r="U27" s="65"/>
      <c r="V27" s="65"/>
      <c r="W27" s="65"/>
      <c r="X27" s="65"/>
      <c r="Y27" s="72"/>
      <c r="Z27" s="65"/>
      <c r="AA27" s="65"/>
      <c r="AB27" s="65"/>
      <c r="AC27" s="65"/>
      <c r="AD27" s="65"/>
      <c r="AE27" s="65"/>
      <c r="AF27" s="65"/>
      <c r="AG27" s="65"/>
      <c r="AH27" s="65"/>
      <c r="AI27" s="33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33">
        <f>0</f>
        <v>0</v>
      </c>
      <c r="AK27" s="33">
        <f>AI27+AJ27</f>
        <v>0</v>
      </c>
    </row>
    <row r="28" spans="1:44" ht="13.5" customHeight="1" x14ac:dyDescent="0.2">
      <c r="A28" s="16"/>
      <c r="B28" s="17"/>
      <c r="C28" s="69"/>
      <c r="D28" s="71"/>
      <c r="E28" s="69"/>
      <c r="F28" s="69"/>
      <c r="G28" s="69"/>
      <c r="H28" s="69"/>
      <c r="I28" s="69"/>
      <c r="J28" s="69"/>
      <c r="K28" s="71"/>
      <c r="L28" s="69"/>
      <c r="M28" s="69"/>
      <c r="N28" s="69"/>
      <c r="O28" s="69"/>
      <c r="P28" s="69"/>
      <c r="Q28" s="69"/>
      <c r="R28" s="71"/>
      <c r="S28" s="69"/>
      <c r="T28" s="69"/>
      <c r="U28" s="69"/>
      <c r="V28" s="69"/>
      <c r="W28" s="69"/>
      <c r="X28" s="69"/>
      <c r="Y28" s="71"/>
      <c r="Z28" s="69"/>
      <c r="AA28" s="69"/>
      <c r="AB28" s="69"/>
      <c r="AC28" s="69"/>
      <c r="AD28" s="69"/>
      <c r="AE28" s="69"/>
      <c r="AF28" s="69"/>
      <c r="AG28" s="69"/>
      <c r="AH28" s="69"/>
      <c r="AI28" s="78" t="str">
        <f>""</f>
        <v/>
      </c>
      <c r="AJ28" s="78" t="str">
        <f>""</f>
        <v/>
      </c>
      <c r="AK28" s="78" t="str">
        <f>""</f>
        <v/>
      </c>
    </row>
    <row r="29" spans="1:44" s="7" customFormat="1" ht="13.5" customHeight="1" x14ac:dyDescent="0.2">
      <c r="A29" s="94">
        <v>6</v>
      </c>
      <c r="B29" s="97" t="s">
        <v>18</v>
      </c>
      <c r="C29" s="28" t="s">
        <v>8</v>
      </c>
      <c r="D29" s="71"/>
      <c r="E29" s="65"/>
      <c r="F29" s="65"/>
      <c r="G29" s="65"/>
      <c r="H29" s="65"/>
      <c r="I29" s="65"/>
      <c r="J29" s="65"/>
      <c r="K29" s="71"/>
      <c r="L29" s="65"/>
      <c r="M29" s="65"/>
      <c r="N29" s="65"/>
      <c r="O29" s="65"/>
      <c r="P29" s="65"/>
      <c r="Q29" s="65"/>
      <c r="R29" s="71"/>
      <c r="S29" s="65"/>
      <c r="T29" s="65"/>
      <c r="U29" s="65"/>
      <c r="V29" s="65"/>
      <c r="W29" s="65"/>
      <c r="X29" s="65"/>
      <c r="Y29" s="71"/>
      <c r="Z29" s="65"/>
      <c r="AA29" s="65"/>
      <c r="AB29" s="65"/>
      <c r="AC29" s="65"/>
      <c r="AD29" s="65"/>
      <c r="AE29" s="65"/>
      <c r="AF29" s="65"/>
      <c r="AG29" s="65"/>
      <c r="AH29" s="65"/>
      <c r="AI29" s="33">
        <f>0</f>
        <v>0</v>
      </c>
      <c r="AJ29" s="33">
        <f>SUM(D29:AH29)/8</f>
        <v>0</v>
      </c>
      <c r="AK29" s="33">
        <f>AI29+AJ29</f>
        <v>0</v>
      </c>
    </row>
    <row r="30" spans="1:44" ht="13.5" customHeight="1" x14ac:dyDescent="0.2">
      <c r="A30" s="89"/>
      <c r="B30" s="89"/>
      <c r="C30" s="28" t="s">
        <v>9</v>
      </c>
      <c r="D30" s="71"/>
      <c r="E30" s="65" t="s">
        <v>10</v>
      </c>
      <c r="F30" s="65" t="s">
        <v>10</v>
      </c>
      <c r="G30" s="65" t="s">
        <v>10</v>
      </c>
      <c r="H30" s="65" t="s">
        <v>10</v>
      </c>
      <c r="I30" s="65" t="s">
        <v>10</v>
      </c>
      <c r="J30" s="65" t="s">
        <v>10</v>
      </c>
      <c r="K30" s="71"/>
      <c r="L30" s="65" t="s">
        <v>10</v>
      </c>
      <c r="M30" s="65" t="s">
        <v>10</v>
      </c>
      <c r="N30" s="65" t="s">
        <v>10</v>
      </c>
      <c r="O30" s="65" t="s">
        <v>10</v>
      </c>
      <c r="P30" s="65" t="s">
        <v>10</v>
      </c>
      <c r="Q30" s="65"/>
      <c r="R30" s="71"/>
      <c r="S30" s="65"/>
      <c r="T30" s="65"/>
      <c r="U30" s="65"/>
      <c r="V30" s="65"/>
      <c r="W30" s="65"/>
      <c r="X30" s="65" t="s">
        <v>10</v>
      </c>
      <c r="Y30" s="71" t="s">
        <v>10</v>
      </c>
      <c r="Z30" s="65" t="s">
        <v>10</v>
      </c>
      <c r="AA30" s="65" t="s">
        <v>10</v>
      </c>
      <c r="AB30" s="65" t="s">
        <v>10</v>
      </c>
      <c r="AC30" s="65" t="s">
        <v>10</v>
      </c>
      <c r="AD30" s="65" t="s">
        <v>10</v>
      </c>
      <c r="AE30" s="65" t="s">
        <v>10</v>
      </c>
      <c r="AF30" s="65"/>
      <c r="AG30" s="65"/>
      <c r="AH30" s="65"/>
      <c r="AI30" s="33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19</v>
      </c>
      <c r="AJ30" s="33">
        <f>0</f>
        <v>0</v>
      </c>
      <c r="AK30" s="33">
        <f>AI30+AJ30</f>
        <v>19</v>
      </c>
    </row>
    <row r="31" spans="1:44" s="7" customFormat="1" ht="13.5" customHeight="1" x14ac:dyDescent="0.2">
      <c r="A31" s="89"/>
      <c r="B31" s="89"/>
      <c r="C31" s="28" t="s">
        <v>11</v>
      </c>
      <c r="D31" s="71"/>
      <c r="E31" s="65"/>
      <c r="F31" s="65"/>
      <c r="G31" s="65"/>
      <c r="H31" s="65"/>
      <c r="I31" s="65"/>
      <c r="J31" s="65"/>
      <c r="K31" s="71"/>
      <c r="L31" s="65"/>
      <c r="M31" s="65"/>
      <c r="N31" s="65"/>
      <c r="O31" s="65"/>
      <c r="P31" s="65"/>
      <c r="Q31" s="65"/>
      <c r="R31" s="71"/>
      <c r="S31" s="65"/>
      <c r="T31" s="65"/>
      <c r="U31" s="65"/>
      <c r="V31" s="65"/>
      <c r="W31" s="65"/>
      <c r="X31" s="65"/>
      <c r="Y31" s="71"/>
      <c r="Z31" s="65"/>
      <c r="AA31" s="65"/>
      <c r="AB31" s="65"/>
      <c r="AC31" s="65"/>
      <c r="AD31" s="65"/>
      <c r="AE31" s="65"/>
      <c r="AF31" s="65"/>
      <c r="AG31" s="65"/>
      <c r="AH31" s="65"/>
      <c r="AI31" s="33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0</v>
      </c>
      <c r="AJ31" s="33">
        <f>0</f>
        <v>0</v>
      </c>
      <c r="AK31" s="33">
        <f>AI31+AJ31</f>
        <v>0</v>
      </c>
    </row>
    <row r="32" spans="1:44" ht="20.25" customHeight="1" x14ac:dyDescent="0.2">
      <c r="A32" s="90"/>
      <c r="B32" s="96"/>
      <c r="C32" s="28" t="s">
        <v>12</v>
      </c>
      <c r="D32" s="71"/>
      <c r="E32" s="65"/>
      <c r="F32" s="65"/>
      <c r="G32" s="65"/>
      <c r="H32" s="65"/>
      <c r="I32" s="65"/>
      <c r="J32" s="65"/>
      <c r="K32" s="71"/>
      <c r="L32" s="65"/>
      <c r="M32" s="65"/>
      <c r="N32" s="65"/>
      <c r="O32" s="65"/>
      <c r="P32" s="65"/>
      <c r="Q32" s="65"/>
      <c r="R32" s="71"/>
      <c r="S32" s="65"/>
      <c r="T32" s="65"/>
      <c r="U32" s="65"/>
      <c r="V32" s="65"/>
      <c r="W32" s="65"/>
      <c r="X32" s="65"/>
      <c r="Y32" s="71"/>
      <c r="Z32" s="65"/>
      <c r="AA32" s="65"/>
      <c r="AB32" s="65"/>
      <c r="AC32" s="65"/>
      <c r="AD32" s="65"/>
      <c r="AE32" s="65"/>
      <c r="AF32" s="65"/>
      <c r="AG32" s="65"/>
      <c r="AH32" s="65"/>
      <c r="AI32" s="33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0</v>
      </c>
      <c r="AJ32" s="33">
        <f>0</f>
        <v>0</v>
      </c>
      <c r="AK32" s="33">
        <f>0</f>
        <v>0</v>
      </c>
    </row>
    <row r="33" spans="1:37" ht="16.5" customHeight="1" x14ac:dyDescent="0.2">
      <c r="A33" s="16"/>
      <c r="B33" s="17"/>
      <c r="C33" s="69"/>
      <c r="D33" s="71"/>
      <c r="E33" s="69"/>
      <c r="F33" s="69"/>
      <c r="G33" s="69"/>
      <c r="H33" s="69"/>
      <c r="I33" s="69"/>
      <c r="J33" s="69"/>
      <c r="K33" s="71"/>
      <c r="L33" s="69"/>
      <c r="M33" s="69"/>
      <c r="N33" s="69"/>
      <c r="O33" s="69"/>
      <c r="P33" s="69"/>
      <c r="Q33" s="69"/>
      <c r="R33" s="71"/>
      <c r="S33" s="69"/>
      <c r="T33" s="69"/>
      <c r="U33" s="69"/>
      <c r="V33" s="69"/>
      <c r="W33" s="69"/>
      <c r="X33" s="69"/>
      <c r="Y33" s="71"/>
      <c r="Z33" s="69"/>
      <c r="AA33" s="69"/>
      <c r="AB33" s="69"/>
      <c r="AC33" s="69"/>
      <c r="AD33" s="69"/>
      <c r="AE33" s="69"/>
      <c r="AF33" s="69"/>
      <c r="AG33" s="69"/>
      <c r="AH33" s="69"/>
      <c r="AI33" s="78" t="str">
        <f>""</f>
        <v/>
      </c>
      <c r="AJ33" s="78" t="str">
        <f>""</f>
        <v/>
      </c>
      <c r="AK33" s="78" t="str">
        <f>""</f>
        <v/>
      </c>
    </row>
    <row r="34" spans="1:37" x14ac:dyDescent="0.2">
      <c r="A34" s="94">
        <v>7</v>
      </c>
      <c r="B34" s="97" t="s">
        <v>19</v>
      </c>
      <c r="C34" s="28" t="s">
        <v>8</v>
      </c>
      <c r="D34" s="71"/>
      <c r="E34" s="65"/>
      <c r="F34" s="65"/>
      <c r="G34" s="65"/>
      <c r="H34" s="65"/>
      <c r="I34" s="65"/>
      <c r="J34" s="65"/>
      <c r="K34" s="71"/>
      <c r="L34" s="65"/>
      <c r="M34" s="65"/>
      <c r="N34" s="65"/>
      <c r="O34" s="65"/>
      <c r="P34" s="65"/>
      <c r="Q34" s="65"/>
      <c r="R34" s="71"/>
      <c r="S34" s="65"/>
      <c r="T34" s="65"/>
      <c r="U34" s="65"/>
      <c r="V34" s="65"/>
      <c r="W34" s="65"/>
      <c r="X34" s="65"/>
      <c r="Y34" s="71"/>
      <c r="Z34" s="65"/>
      <c r="AA34" s="65"/>
      <c r="AB34" s="65"/>
      <c r="AC34" s="65"/>
      <c r="AD34" s="65"/>
      <c r="AE34" s="65"/>
      <c r="AF34" s="65"/>
      <c r="AG34" s="65"/>
      <c r="AH34" s="65"/>
      <c r="AI34" s="33">
        <f>0</f>
        <v>0</v>
      </c>
      <c r="AJ34" s="33">
        <f>SUM(D34:AH34)/8</f>
        <v>0</v>
      </c>
      <c r="AK34" s="33">
        <f>AI34+AJ34</f>
        <v>0</v>
      </c>
    </row>
    <row r="35" spans="1:37" ht="14.25" customHeight="1" x14ac:dyDescent="0.2">
      <c r="A35" s="89"/>
      <c r="B35" s="89"/>
      <c r="C35" s="27" t="s">
        <v>9</v>
      </c>
      <c r="D35" s="73"/>
      <c r="E35" s="67" t="s">
        <v>10</v>
      </c>
      <c r="F35" s="67" t="s">
        <v>10</v>
      </c>
      <c r="G35" s="67" t="s">
        <v>10</v>
      </c>
      <c r="H35" s="67" t="s">
        <v>10</v>
      </c>
      <c r="I35" s="67" t="s">
        <v>10</v>
      </c>
      <c r="J35" s="67" t="s">
        <v>10</v>
      </c>
      <c r="K35" s="73"/>
      <c r="L35" s="67" t="s">
        <v>10</v>
      </c>
      <c r="M35" s="67" t="s">
        <v>10</v>
      </c>
      <c r="N35" s="67" t="s">
        <v>10</v>
      </c>
      <c r="O35" s="67" t="s">
        <v>10</v>
      </c>
      <c r="P35" s="67" t="s">
        <v>10</v>
      </c>
      <c r="Q35" s="67"/>
      <c r="R35" s="73"/>
      <c r="S35" s="67"/>
      <c r="T35" s="67"/>
      <c r="U35" s="67"/>
      <c r="V35" s="67"/>
      <c r="W35" s="67"/>
      <c r="X35" s="67"/>
      <c r="Y35" s="73"/>
      <c r="Z35" s="67" t="s">
        <v>10</v>
      </c>
      <c r="AA35" s="67" t="s">
        <v>10</v>
      </c>
      <c r="AB35" s="67" t="s">
        <v>10</v>
      </c>
      <c r="AC35" s="67">
        <v>0</v>
      </c>
      <c r="AD35" s="67">
        <v>0</v>
      </c>
      <c r="AE35" s="67">
        <v>0</v>
      </c>
      <c r="AF35" s="67"/>
      <c r="AG35" s="67"/>
      <c r="AH35" s="67"/>
      <c r="AI35" s="35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14</v>
      </c>
      <c r="AJ35" s="35">
        <f>0</f>
        <v>0</v>
      </c>
      <c r="AK35" s="33">
        <f>AI35+AJ35</f>
        <v>14</v>
      </c>
    </row>
    <row r="36" spans="1:37" ht="14.25" customHeight="1" x14ac:dyDescent="0.2">
      <c r="A36" s="89"/>
      <c r="B36" s="89"/>
      <c r="C36" s="27" t="s">
        <v>11</v>
      </c>
      <c r="D36" s="74"/>
      <c r="E36" s="68"/>
      <c r="F36" s="68"/>
      <c r="G36" s="68"/>
      <c r="H36" s="68"/>
      <c r="I36" s="68"/>
      <c r="J36" s="68"/>
      <c r="K36" s="74"/>
      <c r="L36" s="68"/>
      <c r="M36" s="68"/>
      <c r="N36" s="68"/>
      <c r="O36" s="68"/>
      <c r="P36" s="68"/>
      <c r="Q36" s="68"/>
      <c r="R36" s="74"/>
      <c r="S36" s="68"/>
      <c r="T36" s="68"/>
      <c r="U36" s="68"/>
      <c r="V36" s="68"/>
      <c r="W36" s="68"/>
      <c r="X36" s="68"/>
      <c r="Y36" s="74"/>
      <c r="Z36" s="68"/>
      <c r="AA36" s="68"/>
      <c r="AB36" s="68"/>
      <c r="AC36" s="68"/>
      <c r="AD36" s="68"/>
      <c r="AE36" s="68"/>
      <c r="AF36" s="68"/>
      <c r="AG36" s="68"/>
      <c r="AH36" s="68"/>
      <c r="AI36" s="35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0</v>
      </c>
      <c r="AJ36" s="35">
        <f>0</f>
        <v>0</v>
      </c>
      <c r="AK36" s="33">
        <f>AI36+AJ36</f>
        <v>0</v>
      </c>
    </row>
    <row r="37" spans="1:37" ht="14.25" customHeight="1" x14ac:dyDescent="0.2">
      <c r="A37" s="90"/>
      <c r="B37" s="96"/>
      <c r="C37" s="28" t="s">
        <v>12</v>
      </c>
      <c r="D37" s="70"/>
      <c r="E37" s="64"/>
      <c r="F37" s="64">
        <f t="shared" ref="F37:AH37" si="2">+E37+1</f>
        <v>1</v>
      </c>
      <c r="G37" s="64">
        <f t="shared" si="2"/>
        <v>2</v>
      </c>
      <c r="H37" s="64">
        <f t="shared" si="2"/>
        <v>3</v>
      </c>
      <c r="I37" s="64">
        <f t="shared" si="2"/>
        <v>4</v>
      </c>
      <c r="J37" s="64">
        <f t="shared" si="2"/>
        <v>5</v>
      </c>
      <c r="K37" s="70">
        <f t="shared" si="2"/>
        <v>6</v>
      </c>
      <c r="L37" s="64">
        <f t="shared" si="2"/>
        <v>7</v>
      </c>
      <c r="M37" s="64">
        <f t="shared" si="2"/>
        <v>8</v>
      </c>
      <c r="N37" s="64">
        <f t="shared" si="2"/>
        <v>9</v>
      </c>
      <c r="O37" s="64">
        <f t="shared" si="2"/>
        <v>10</v>
      </c>
      <c r="P37" s="64">
        <f t="shared" si="2"/>
        <v>11</v>
      </c>
      <c r="Q37" s="64">
        <f t="shared" si="2"/>
        <v>12</v>
      </c>
      <c r="R37" s="70">
        <f t="shared" si="2"/>
        <v>13</v>
      </c>
      <c r="S37" s="64">
        <f t="shared" si="2"/>
        <v>14</v>
      </c>
      <c r="T37" s="64">
        <f t="shared" si="2"/>
        <v>15</v>
      </c>
      <c r="U37" s="64">
        <f t="shared" si="2"/>
        <v>16</v>
      </c>
      <c r="V37" s="64">
        <f t="shared" si="2"/>
        <v>17</v>
      </c>
      <c r="W37" s="64">
        <f t="shared" si="2"/>
        <v>18</v>
      </c>
      <c r="X37" s="64">
        <f t="shared" si="2"/>
        <v>19</v>
      </c>
      <c r="Y37" s="70">
        <f t="shared" si="2"/>
        <v>20</v>
      </c>
      <c r="Z37" s="64">
        <f t="shared" si="2"/>
        <v>21</v>
      </c>
      <c r="AA37" s="64">
        <f t="shared" si="2"/>
        <v>22</v>
      </c>
      <c r="AB37" s="64">
        <f t="shared" si="2"/>
        <v>23</v>
      </c>
      <c r="AC37" s="64">
        <f t="shared" si="2"/>
        <v>24</v>
      </c>
      <c r="AD37" s="64">
        <f t="shared" si="2"/>
        <v>25</v>
      </c>
      <c r="AE37" s="64">
        <f t="shared" si="2"/>
        <v>26</v>
      </c>
      <c r="AF37" s="64">
        <f t="shared" si="2"/>
        <v>27</v>
      </c>
      <c r="AG37" s="64">
        <f t="shared" si="2"/>
        <v>28</v>
      </c>
      <c r="AH37" s="64">
        <f t="shared" si="2"/>
        <v>29</v>
      </c>
      <c r="AI37" s="35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0</v>
      </c>
      <c r="AJ37" s="33">
        <f>0</f>
        <v>0</v>
      </c>
      <c r="AK37" s="33">
        <f>AI37+AJ37</f>
        <v>0</v>
      </c>
    </row>
    <row r="38" spans="1:37" ht="14.25" customHeight="1" x14ac:dyDescent="0.2">
      <c r="A38" s="16"/>
      <c r="B38" s="17"/>
      <c r="C38" s="69"/>
      <c r="D38" s="71"/>
      <c r="E38" s="69"/>
      <c r="F38" s="69"/>
      <c r="G38" s="69"/>
      <c r="H38" s="69"/>
      <c r="I38" s="69"/>
      <c r="J38" s="69"/>
      <c r="K38" s="71"/>
      <c r="L38" s="69"/>
      <c r="M38" s="69"/>
      <c r="N38" s="69"/>
      <c r="O38" s="69"/>
      <c r="P38" s="69"/>
      <c r="Q38" s="69"/>
      <c r="R38" s="71"/>
      <c r="S38" s="69"/>
      <c r="T38" s="69"/>
      <c r="U38" s="69"/>
      <c r="V38" s="69"/>
      <c r="W38" s="69"/>
      <c r="X38" s="69"/>
      <c r="Y38" s="71"/>
      <c r="Z38" s="69"/>
      <c r="AA38" s="69"/>
      <c r="AB38" s="69"/>
      <c r="AC38" s="69"/>
      <c r="AD38" s="69"/>
      <c r="AE38" s="69"/>
      <c r="AF38" s="69"/>
      <c r="AG38" s="69"/>
      <c r="AH38" s="69"/>
      <c r="AI38" s="78" t="str">
        <f>""</f>
        <v/>
      </c>
      <c r="AJ38" s="78" t="str">
        <f>""</f>
        <v/>
      </c>
      <c r="AK38" s="78" t="str">
        <f>""</f>
        <v/>
      </c>
    </row>
    <row r="39" spans="1:37" ht="14.25" customHeight="1" x14ac:dyDescent="0.2">
      <c r="A39" s="94">
        <v>8</v>
      </c>
      <c r="B39" s="97" t="s">
        <v>20</v>
      </c>
      <c r="C39" s="28" t="s">
        <v>8</v>
      </c>
      <c r="D39" s="71"/>
      <c r="E39" s="65"/>
      <c r="F39" s="65"/>
      <c r="G39" s="65"/>
      <c r="H39" s="65"/>
      <c r="I39" s="65"/>
      <c r="J39" s="65"/>
      <c r="K39" s="71"/>
      <c r="L39" s="65"/>
      <c r="M39" s="65"/>
      <c r="N39" s="65"/>
      <c r="O39" s="65"/>
      <c r="P39" s="65"/>
      <c r="Q39" s="65"/>
      <c r="R39" s="71"/>
      <c r="S39" s="65"/>
      <c r="T39" s="65"/>
      <c r="U39" s="65"/>
      <c r="V39" s="65"/>
      <c r="W39" s="65"/>
      <c r="X39" s="65"/>
      <c r="Y39" s="71"/>
      <c r="Z39" s="65"/>
      <c r="AA39" s="65"/>
      <c r="AB39" s="65"/>
      <c r="AC39" s="65"/>
      <c r="AD39" s="65"/>
      <c r="AE39" s="65"/>
      <c r="AF39" s="65"/>
      <c r="AG39" s="65"/>
      <c r="AH39" s="65"/>
      <c r="AI39" s="33">
        <f>0</f>
        <v>0</v>
      </c>
      <c r="AJ39" s="33">
        <f>SUM(D39:AH39)/8</f>
        <v>0</v>
      </c>
      <c r="AK39" s="33">
        <f>AI39+AJ39</f>
        <v>0</v>
      </c>
    </row>
    <row r="40" spans="1:37" ht="14.25" customHeight="1" x14ac:dyDescent="0.2">
      <c r="A40" s="89"/>
      <c r="B40" s="89"/>
      <c r="C40" s="28" t="s">
        <v>9</v>
      </c>
      <c r="D40" s="71"/>
      <c r="E40" s="65" t="s">
        <v>10</v>
      </c>
      <c r="F40" s="65" t="s">
        <v>10</v>
      </c>
      <c r="G40" s="65" t="s">
        <v>10</v>
      </c>
      <c r="H40" s="65" t="s">
        <v>10</v>
      </c>
      <c r="I40" s="65" t="s">
        <v>10</v>
      </c>
      <c r="J40" s="65">
        <v>0</v>
      </c>
      <c r="K40" s="71" t="s">
        <v>10</v>
      </c>
      <c r="L40" s="65" t="s">
        <v>10</v>
      </c>
      <c r="M40" s="65" t="s">
        <v>10</v>
      </c>
      <c r="N40" s="65" t="s">
        <v>10</v>
      </c>
      <c r="O40" s="65" t="s">
        <v>10</v>
      </c>
      <c r="P40" s="65" t="s">
        <v>10</v>
      </c>
      <c r="Q40" s="65"/>
      <c r="R40" s="71"/>
      <c r="S40" s="65"/>
      <c r="T40" s="65"/>
      <c r="U40" s="65"/>
      <c r="V40" s="65"/>
      <c r="W40" s="65"/>
      <c r="X40" s="65" t="s">
        <v>10</v>
      </c>
      <c r="Y40" s="71" t="s">
        <v>10</v>
      </c>
      <c r="Z40" s="65" t="s">
        <v>10</v>
      </c>
      <c r="AA40" s="65" t="s">
        <v>10</v>
      </c>
      <c r="AB40" s="65" t="s">
        <v>10</v>
      </c>
      <c r="AC40" s="65" t="s">
        <v>10</v>
      </c>
      <c r="AD40" s="65" t="s">
        <v>10</v>
      </c>
      <c r="AE40" s="65" t="s">
        <v>10</v>
      </c>
      <c r="AF40" s="65"/>
      <c r="AG40" s="65"/>
      <c r="AH40" s="65"/>
      <c r="AI40" s="33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19</v>
      </c>
      <c r="AJ40" s="33">
        <f>0</f>
        <v>0</v>
      </c>
      <c r="AK40" s="33">
        <f>AI40+AJ40</f>
        <v>19</v>
      </c>
    </row>
    <row r="41" spans="1:37" ht="14.25" customHeight="1" x14ac:dyDescent="0.2">
      <c r="A41" s="89"/>
      <c r="B41" s="89"/>
      <c r="C41" s="28" t="s">
        <v>11</v>
      </c>
      <c r="D41" s="71"/>
      <c r="E41" s="65"/>
      <c r="F41" s="65"/>
      <c r="G41" s="65"/>
      <c r="H41" s="65"/>
      <c r="I41" s="65"/>
      <c r="J41" s="65"/>
      <c r="K41" s="71"/>
      <c r="L41" s="65"/>
      <c r="M41" s="65"/>
      <c r="N41" s="65"/>
      <c r="O41" s="65"/>
      <c r="P41" s="65"/>
      <c r="Q41" s="65"/>
      <c r="R41" s="71"/>
      <c r="S41" s="65"/>
      <c r="T41" s="65"/>
      <c r="U41" s="65"/>
      <c r="V41" s="65"/>
      <c r="W41" s="65"/>
      <c r="X41" s="65"/>
      <c r="Y41" s="71"/>
      <c r="Z41" s="65"/>
      <c r="AA41" s="65"/>
      <c r="AB41" s="65"/>
      <c r="AC41" s="65"/>
      <c r="AD41" s="65"/>
      <c r="AE41" s="65"/>
      <c r="AF41" s="65"/>
      <c r="AG41" s="65"/>
      <c r="AH41" s="65"/>
      <c r="AI41" s="33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0</v>
      </c>
      <c r="AJ41" s="33">
        <f>0</f>
        <v>0</v>
      </c>
      <c r="AK41" s="33">
        <f>AI41+AJ41</f>
        <v>0</v>
      </c>
    </row>
    <row r="42" spans="1:37" ht="14.25" customHeight="1" x14ac:dyDescent="0.2">
      <c r="A42" s="90"/>
      <c r="B42" s="96"/>
      <c r="C42" s="28" t="s">
        <v>12</v>
      </c>
      <c r="D42" s="71"/>
      <c r="E42" s="65"/>
      <c r="F42" s="65"/>
      <c r="G42" s="65"/>
      <c r="H42" s="65"/>
      <c r="I42" s="65"/>
      <c r="J42" s="65"/>
      <c r="K42" s="71"/>
      <c r="L42" s="65"/>
      <c r="M42" s="65"/>
      <c r="N42" s="65"/>
      <c r="O42" s="65"/>
      <c r="P42" s="65"/>
      <c r="Q42" s="65"/>
      <c r="R42" s="71"/>
      <c r="S42" s="65"/>
      <c r="T42" s="65"/>
      <c r="U42" s="65"/>
      <c r="V42" s="65"/>
      <c r="W42" s="65"/>
      <c r="X42" s="65"/>
      <c r="Y42" s="71"/>
      <c r="Z42" s="65"/>
      <c r="AA42" s="65"/>
      <c r="AB42" s="65"/>
      <c r="AC42" s="65"/>
      <c r="AD42" s="65"/>
      <c r="AE42" s="65"/>
      <c r="AF42" s="65"/>
      <c r="AG42" s="65"/>
      <c r="AH42" s="65"/>
      <c r="AI42" s="33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33">
        <f>0</f>
        <v>0</v>
      </c>
      <c r="AK42" s="33">
        <f>AI42+AJ42</f>
        <v>0</v>
      </c>
    </row>
    <row r="43" spans="1:37" ht="14.25" customHeight="1" x14ac:dyDescent="0.2">
      <c r="A43" s="16"/>
      <c r="B43" s="17"/>
      <c r="C43" s="69"/>
      <c r="D43" s="71"/>
      <c r="E43" s="69"/>
      <c r="F43" s="69"/>
      <c r="G43" s="69"/>
      <c r="H43" s="69"/>
      <c r="I43" s="69"/>
      <c r="J43" s="69"/>
      <c r="K43" s="71"/>
      <c r="L43" s="69"/>
      <c r="M43" s="69"/>
      <c r="N43" s="69"/>
      <c r="O43" s="69"/>
      <c r="P43" s="69"/>
      <c r="Q43" s="69"/>
      <c r="R43" s="71"/>
      <c r="S43" s="69"/>
      <c r="T43" s="69"/>
      <c r="U43" s="69"/>
      <c r="V43" s="69"/>
      <c r="W43" s="69"/>
      <c r="X43" s="69"/>
      <c r="Y43" s="71"/>
      <c r="Z43" s="69"/>
      <c r="AA43" s="69"/>
      <c r="AB43" s="69"/>
      <c r="AC43" s="69"/>
      <c r="AD43" s="69"/>
      <c r="AE43" s="69"/>
      <c r="AF43" s="69"/>
      <c r="AG43" s="69"/>
      <c r="AH43" s="69"/>
      <c r="AI43" s="78" t="str">
        <f>""</f>
        <v/>
      </c>
      <c r="AJ43" s="78" t="str">
        <f>""</f>
        <v/>
      </c>
      <c r="AK43" s="78" t="str">
        <f>""</f>
        <v/>
      </c>
    </row>
    <row r="44" spans="1:37" ht="14.25" customHeight="1" x14ac:dyDescent="0.2">
      <c r="A44" s="94">
        <v>9</v>
      </c>
      <c r="B44" s="97" t="s">
        <v>21</v>
      </c>
      <c r="C44" s="28" t="s">
        <v>8</v>
      </c>
      <c r="D44" s="71"/>
      <c r="E44" s="65"/>
      <c r="F44" s="65"/>
      <c r="G44" s="65"/>
      <c r="H44" s="65"/>
      <c r="I44" s="65"/>
      <c r="J44" s="65"/>
      <c r="K44" s="71"/>
      <c r="L44" s="65"/>
      <c r="M44" s="65"/>
      <c r="N44" s="65"/>
      <c r="O44" s="65"/>
      <c r="P44" s="65"/>
      <c r="Q44" s="65"/>
      <c r="R44" s="71"/>
      <c r="S44" s="65"/>
      <c r="T44" s="65"/>
      <c r="U44" s="65"/>
      <c r="V44" s="65"/>
      <c r="W44" s="65"/>
      <c r="X44" s="65"/>
      <c r="Y44" s="71"/>
      <c r="Z44" s="65"/>
      <c r="AA44" s="65"/>
      <c r="AB44" s="65"/>
      <c r="AC44" s="65"/>
      <c r="AD44" s="65"/>
      <c r="AE44" s="65"/>
      <c r="AF44" s="65"/>
      <c r="AG44" s="65"/>
      <c r="AH44" s="65"/>
      <c r="AI44" s="33">
        <f>0</f>
        <v>0</v>
      </c>
      <c r="AJ44" s="33">
        <f>SUM(D44:AH44)/8</f>
        <v>0</v>
      </c>
      <c r="AK44" s="33">
        <f>AI44+AJ44</f>
        <v>0</v>
      </c>
    </row>
    <row r="45" spans="1:37" ht="14.25" customHeight="1" x14ac:dyDescent="0.2">
      <c r="A45" s="89"/>
      <c r="B45" s="89"/>
      <c r="C45" s="28" t="s">
        <v>9</v>
      </c>
      <c r="D45" s="71"/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71"/>
      <c r="L45" s="65" t="s">
        <v>10</v>
      </c>
      <c r="M45" s="65" t="s">
        <v>10</v>
      </c>
      <c r="N45" s="65" t="s">
        <v>10</v>
      </c>
      <c r="O45" s="65" t="s">
        <v>10</v>
      </c>
      <c r="P45" s="65" t="s">
        <v>10</v>
      </c>
      <c r="Q45" s="65"/>
      <c r="R45" s="71"/>
      <c r="S45" s="65"/>
      <c r="T45" s="65"/>
      <c r="U45" s="65"/>
      <c r="V45" s="65"/>
      <c r="W45" s="65"/>
      <c r="X45" s="65" t="s">
        <v>10</v>
      </c>
      <c r="Y45" s="71"/>
      <c r="Z45" s="65" t="s">
        <v>10</v>
      </c>
      <c r="AA45" s="65" t="s">
        <v>10</v>
      </c>
      <c r="AB45" s="65" t="s">
        <v>10</v>
      </c>
      <c r="AC45" s="65" t="s">
        <v>10</v>
      </c>
      <c r="AD45" s="65" t="s">
        <v>10</v>
      </c>
      <c r="AE45" s="65" t="s">
        <v>10</v>
      </c>
      <c r="AF45" s="65"/>
      <c r="AG45" s="65"/>
      <c r="AH45" s="65"/>
      <c r="AI45" s="33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12</v>
      </c>
      <c r="AJ45" s="33">
        <f>0</f>
        <v>0</v>
      </c>
      <c r="AK45" s="33">
        <f>AI45+AJ45</f>
        <v>12</v>
      </c>
    </row>
    <row r="46" spans="1:37" ht="14.25" customHeight="1" x14ac:dyDescent="0.2">
      <c r="A46" s="89"/>
      <c r="B46" s="89"/>
      <c r="C46" s="28" t="s">
        <v>11</v>
      </c>
      <c r="D46" s="71"/>
      <c r="E46" s="65"/>
      <c r="F46" s="65"/>
      <c r="G46" s="65"/>
      <c r="H46" s="65"/>
      <c r="I46" s="65"/>
      <c r="J46" s="65"/>
      <c r="K46" s="71"/>
      <c r="L46" s="65"/>
      <c r="M46" s="65"/>
      <c r="N46" s="65"/>
      <c r="O46" s="65"/>
      <c r="P46" s="65"/>
      <c r="Q46" s="65"/>
      <c r="R46" s="71"/>
      <c r="S46" s="65"/>
      <c r="T46" s="65"/>
      <c r="U46" s="65"/>
      <c r="V46" s="65"/>
      <c r="W46" s="65"/>
      <c r="X46" s="65"/>
      <c r="Y46" s="71"/>
      <c r="Z46" s="65"/>
      <c r="AA46" s="65"/>
      <c r="AB46" s="65"/>
      <c r="AC46" s="65"/>
      <c r="AD46" s="65"/>
      <c r="AE46" s="65"/>
      <c r="AF46" s="65"/>
      <c r="AG46" s="65"/>
      <c r="AH46" s="65"/>
      <c r="AI46" s="33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0</v>
      </c>
      <c r="AJ46" s="33">
        <f>0</f>
        <v>0</v>
      </c>
      <c r="AK46" s="33">
        <f>AI46+AJ46</f>
        <v>0</v>
      </c>
    </row>
    <row r="47" spans="1:37" ht="14.25" customHeight="1" x14ac:dyDescent="0.2">
      <c r="A47" s="90"/>
      <c r="B47" s="96"/>
      <c r="C47" s="28" t="s">
        <v>12</v>
      </c>
      <c r="D47" s="71"/>
      <c r="E47" s="65"/>
      <c r="F47" s="65"/>
      <c r="G47" s="65"/>
      <c r="H47" s="65"/>
      <c r="I47" s="65"/>
      <c r="J47" s="65"/>
      <c r="K47" s="71"/>
      <c r="L47" s="65"/>
      <c r="M47" s="65"/>
      <c r="N47" s="65"/>
      <c r="O47" s="65"/>
      <c r="P47" s="65"/>
      <c r="Q47" s="65"/>
      <c r="R47" s="71"/>
      <c r="S47" s="65"/>
      <c r="T47" s="65"/>
      <c r="U47" s="65"/>
      <c r="V47" s="65"/>
      <c r="W47" s="65"/>
      <c r="X47" s="65"/>
      <c r="Y47" s="71"/>
      <c r="Z47" s="65"/>
      <c r="AA47" s="65"/>
      <c r="AB47" s="65"/>
      <c r="AC47" s="65"/>
      <c r="AD47" s="65"/>
      <c r="AE47" s="65"/>
      <c r="AF47" s="65"/>
      <c r="AG47" s="65"/>
      <c r="AH47" s="65"/>
      <c r="AI47" s="33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0</v>
      </c>
      <c r="AJ47" s="33">
        <f>0</f>
        <v>0</v>
      </c>
      <c r="AK47" s="33">
        <f>AI47+AJ47</f>
        <v>0</v>
      </c>
    </row>
    <row r="48" spans="1:37" ht="14.25" customHeight="1" x14ac:dyDescent="0.2">
      <c r="A48" s="16"/>
      <c r="B48" s="17"/>
      <c r="C48" s="69"/>
      <c r="D48" s="71"/>
      <c r="E48" s="69"/>
      <c r="F48" s="69"/>
      <c r="G48" s="69"/>
      <c r="H48" s="69"/>
      <c r="I48" s="69"/>
      <c r="J48" s="69"/>
      <c r="K48" s="71"/>
      <c r="L48" s="69"/>
      <c r="M48" s="69"/>
      <c r="N48" s="69"/>
      <c r="O48" s="69"/>
      <c r="P48" s="69"/>
      <c r="Q48" s="69"/>
      <c r="R48" s="71"/>
      <c r="S48" s="69"/>
      <c r="T48" s="69"/>
      <c r="U48" s="69"/>
      <c r="V48" s="69"/>
      <c r="W48" s="69"/>
      <c r="X48" s="69"/>
      <c r="Y48" s="71"/>
      <c r="Z48" s="69"/>
      <c r="AA48" s="69"/>
      <c r="AB48" s="69"/>
      <c r="AC48" s="69"/>
      <c r="AD48" s="69"/>
      <c r="AE48" s="69"/>
      <c r="AF48" s="69"/>
      <c r="AG48" s="69"/>
      <c r="AH48" s="69"/>
      <c r="AI48" s="78" t="str">
        <f>""</f>
        <v/>
      </c>
      <c r="AJ48" s="78" t="str">
        <f>""</f>
        <v/>
      </c>
      <c r="AK48" s="78" t="str">
        <f>""</f>
        <v/>
      </c>
    </row>
    <row r="49" spans="1:37" ht="14.25" customHeight="1" x14ac:dyDescent="0.2">
      <c r="A49" s="94">
        <v>10</v>
      </c>
      <c r="B49" s="97" t="s">
        <v>22</v>
      </c>
      <c r="C49" s="28" t="s">
        <v>8</v>
      </c>
      <c r="D49" s="71"/>
      <c r="E49" s="65"/>
      <c r="F49" s="65"/>
      <c r="G49" s="65"/>
      <c r="H49" s="65"/>
      <c r="I49" s="65"/>
      <c r="J49" s="65"/>
      <c r="K49" s="71"/>
      <c r="L49" s="65"/>
      <c r="M49" s="65"/>
      <c r="N49" s="65"/>
      <c r="O49" s="65"/>
      <c r="P49" s="65"/>
      <c r="Q49" s="65"/>
      <c r="R49" s="71"/>
      <c r="S49" s="65"/>
      <c r="T49" s="65"/>
      <c r="U49" s="65"/>
      <c r="V49" s="65"/>
      <c r="W49" s="65"/>
      <c r="X49" s="65"/>
      <c r="Y49" s="71"/>
      <c r="Z49" s="65"/>
      <c r="AA49" s="65"/>
      <c r="AB49" s="65"/>
      <c r="AC49" s="65"/>
      <c r="AD49" s="65"/>
      <c r="AE49" s="65"/>
      <c r="AF49" s="65"/>
      <c r="AG49" s="65"/>
      <c r="AH49" s="65"/>
      <c r="AI49" s="33">
        <f>0</f>
        <v>0</v>
      </c>
      <c r="AJ49" s="33">
        <f>SUM(D49:AH49)/8</f>
        <v>0</v>
      </c>
      <c r="AK49" s="33">
        <f>AI49+AJ49</f>
        <v>0</v>
      </c>
    </row>
    <row r="50" spans="1:37" ht="14.25" customHeight="1" x14ac:dyDescent="0.2">
      <c r="A50" s="89"/>
      <c r="B50" s="89"/>
      <c r="C50" s="28" t="s">
        <v>9</v>
      </c>
      <c r="D50" s="71"/>
      <c r="E50" s="65" t="s">
        <v>10</v>
      </c>
      <c r="F50" s="65" t="s">
        <v>10</v>
      </c>
      <c r="G50" s="65" t="s">
        <v>10</v>
      </c>
      <c r="H50" s="65" t="s">
        <v>10</v>
      </c>
      <c r="I50" s="65" t="s">
        <v>10</v>
      </c>
      <c r="J50" s="65">
        <v>0</v>
      </c>
      <c r="K50" s="71"/>
      <c r="L50" s="65" t="s">
        <v>10</v>
      </c>
      <c r="M50" s="65" t="s">
        <v>10</v>
      </c>
      <c r="N50" s="65" t="s">
        <v>10</v>
      </c>
      <c r="O50" s="65" t="s">
        <v>10</v>
      </c>
      <c r="P50" s="65" t="s">
        <v>10</v>
      </c>
      <c r="Q50" s="65"/>
      <c r="R50" s="71"/>
      <c r="S50" s="65"/>
      <c r="T50" s="65"/>
      <c r="U50" s="65"/>
      <c r="V50" s="65"/>
      <c r="W50" s="65"/>
      <c r="X50" s="65" t="s">
        <v>10</v>
      </c>
      <c r="Y50" s="71"/>
      <c r="Z50" s="65" t="s">
        <v>10</v>
      </c>
      <c r="AA50" s="65" t="s">
        <v>10</v>
      </c>
      <c r="AB50" s="65" t="s">
        <v>10</v>
      </c>
      <c r="AC50" s="65" t="s">
        <v>10</v>
      </c>
      <c r="AD50" s="65" t="s">
        <v>10</v>
      </c>
      <c r="AE50" s="65" t="s">
        <v>10</v>
      </c>
      <c r="AF50" s="65"/>
      <c r="AG50" s="65"/>
      <c r="AH50" s="65"/>
      <c r="AI50" s="33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17</v>
      </c>
      <c r="AJ50" s="33">
        <f>0</f>
        <v>0</v>
      </c>
      <c r="AK50" s="33">
        <f>AI50+AJ50</f>
        <v>17</v>
      </c>
    </row>
    <row r="51" spans="1:37" ht="14.25" customHeight="1" x14ac:dyDescent="0.2">
      <c r="A51" s="89"/>
      <c r="B51" s="89"/>
      <c r="C51" s="28" t="s">
        <v>11</v>
      </c>
      <c r="D51" s="71"/>
      <c r="E51" s="65"/>
      <c r="F51" s="65"/>
      <c r="G51" s="65"/>
      <c r="H51" s="65"/>
      <c r="I51" s="65"/>
      <c r="J51" s="65"/>
      <c r="K51" s="71"/>
      <c r="L51" s="65"/>
      <c r="M51" s="65"/>
      <c r="N51" s="65"/>
      <c r="O51" s="65"/>
      <c r="P51" s="65"/>
      <c r="Q51" s="65"/>
      <c r="R51" s="71"/>
      <c r="S51" s="65"/>
      <c r="T51" s="65"/>
      <c r="U51" s="65"/>
      <c r="V51" s="65"/>
      <c r="W51" s="65"/>
      <c r="X51" s="65"/>
      <c r="Y51" s="71"/>
      <c r="Z51" s="65"/>
      <c r="AA51" s="65"/>
      <c r="AB51" s="65"/>
      <c r="AC51" s="65"/>
      <c r="AD51" s="65"/>
      <c r="AE51" s="65"/>
      <c r="AF51" s="65"/>
      <c r="AG51" s="65"/>
      <c r="AH51" s="65"/>
      <c r="AI51" s="33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0</v>
      </c>
      <c r="AJ51" s="33">
        <f>0</f>
        <v>0</v>
      </c>
      <c r="AK51" s="33">
        <f>AI51+AJ51</f>
        <v>0</v>
      </c>
    </row>
    <row r="52" spans="1:37" ht="14.25" customHeight="1" x14ac:dyDescent="0.2">
      <c r="A52" s="90"/>
      <c r="B52" s="96"/>
      <c r="C52" s="28" t="s">
        <v>12</v>
      </c>
      <c r="D52" s="71"/>
      <c r="E52" s="65"/>
      <c r="F52" s="65"/>
      <c r="G52" s="65"/>
      <c r="H52" s="65"/>
      <c r="I52" s="65"/>
      <c r="J52" s="65"/>
      <c r="K52" s="71"/>
      <c r="L52" s="65"/>
      <c r="M52" s="65"/>
      <c r="N52" s="65"/>
      <c r="O52" s="65"/>
      <c r="P52" s="65"/>
      <c r="Q52" s="65"/>
      <c r="R52" s="71"/>
      <c r="S52" s="65"/>
      <c r="T52" s="65"/>
      <c r="U52" s="65"/>
      <c r="V52" s="65"/>
      <c r="W52" s="65"/>
      <c r="X52" s="65"/>
      <c r="Y52" s="71"/>
      <c r="Z52" s="65"/>
      <c r="AA52" s="65"/>
      <c r="AB52" s="65"/>
      <c r="AC52" s="65"/>
      <c r="AD52" s="65"/>
      <c r="AE52" s="65"/>
      <c r="AF52" s="65"/>
      <c r="AG52" s="65"/>
      <c r="AH52" s="65"/>
      <c r="AI52" s="33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0</v>
      </c>
      <c r="AJ52" s="33">
        <f>0</f>
        <v>0</v>
      </c>
      <c r="AK52" s="33">
        <f>AI52+AJ52</f>
        <v>0</v>
      </c>
    </row>
    <row r="53" spans="1:37" ht="14.25" customHeight="1" x14ac:dyDescent="0.2">
      <c r="A53" s="16"/>
      <c r="B53" s="17"/>
      <c r="C53" s="69"/>
      <c r="D53" s="71"/>
      <c r="E53" s="69"/>
      <c r="F53" s="69"/>
      <c r="G53" s="69"/>
      <c r="H53" s="69"/>
      <c r="I53" s="69"/>
      <c r="J53" s="69"/>
      <c r="K53" s="71"/>
      <c r="L53" s="69"/>
      <c r="M53" s="69"/>
      <c r="N53" s="69"/>
      <c r="O53" s="69"/>
      <c r="P53" s="69"/>
      <c r="Q53" s="69"/>
      <c r="R53" s="71"/>
      <c r="S53" s="69"/>
      <c r="T53" s="69"/>
      <c r="U53" s="69"/>
      <c r="V53" s="69"/>
      <c r="W53" s="69"/>
      <c r="X53" s="69"/>
      <c r="Y53" s="71"/>
      <c r="Z53" s="69"/>
      <c r="AA53" s="69"/>
      <c r="AB53" s="69"/>
      <c r="AC53" s="69"/>
      <c r="AD53" s="69"/>
      <c r="AE53" s="69"/>
      <c r="AF53" s="69"/>
      <c r="AG53" s="69"/>
      <c r="AH53" s="69"/>
      <c r="AI53" s="78" t="str">
        <f>""</f>
        <v/>
      </c>
      <c r="AJ53" s="78" t="str">
        <f>""</f>
        <v/>
      </c>
      <c r="AK53" s="78" t="str">
        <f>""</f>
        <v/>
      </c>
    </row>
    <row r="54" spans="1:37" ht="14.25" customHeight="1" x14ac:dyDescent="0.2">
      <c r="A54" s="94">
        <v>11</v>
      </c>
      <c r="B54" s="97" t="s">
        <v>23</v>
      </c>
      <c r="C54" s="28" t="s">
        <v>8</v>
      </c>
      <c r="D54" s="71"/>
      <c r="E54" s="65"/>
      <c r="F54" s="65"/>
      <c r="G54" s="65"/>
      <c r="H54" s="65"/>
      <c r="I54" s="65"/>
      <c r="J54" s="65"/>
      <c r="K54" s="71"/>
      <c r="L54" s="65"/>
      <c r="M54" s="65"/>
      <c r="N54" s="65"/>
      <c r="O54" s="65"/>
      <c r="P54" s="65"/>
      <c r="Q54" s="65"/>
      <c r="R54" s="71"/>
      <c r="S54" s="65"/>
      <c r="T54" s="65"/>
      <c r="U54" s="65"/>
      <c r="V54" s="65"/>
      <c r="W54" s="65"/>
      <c r="X54" s="65"/>
      <c r="Y54" s="71"/>
      <c r="Z54" s="65"/>
      <c r="AA54" s="65"/>
      <c r="AB54" s="65"/>
      <c r="AC54" s="65"/>
      <c r="AD54" s="65"/>
      <c r="AE54" s="65"/>
      <c r="AF54" s="65"/>
      <c r="AG54" s="65"/>
      <c r="AH54" s="65"/>
      <c r="AI54" s="33">
        <f>0</f>
        <v>0</v>
      </c>
      <c r="AJ54" s="33">
        <f>SUM(D54:AH54)/8</f>
        <v>0</v>
      </c>
      <c r="AK54" s="33">
        <f>AI54+AJ54</f>
        <v>0</v>
      </c>
    </row>
    <row r="55" spans="1:37" ht="14.25" customHeight="1" x14ac:dyDescent="0.2">
      <c r="A55" s="89"/>
      <c r="B55" s="89"/>
      <c r="C55" s="28" t="s">
        <v>9</v>
      </c>
      <c r="D55" s="71"/>
      <c r="E55" s="65" t="s">
        <v>10</v>
      </c>
      <c r="F55" s="65" t="s">
        <v>10</v>
      </c>
      <c r="G55" s="65" t="s">
        <v>10</v>
      </c>
      <c r="H55" s="65" t="s">
        <v>10</v>
      </c>
      <c r="I55" s="65" t="s">
        <v>10</v>
      </c>
      <c r="J55" s="65" t="s">
        <v>10</v>
      </c>
      <c r="K55" s="71"/>
      <c r="L55" s="65" t="s">
        <v>10</v>
      </c>
      <c r="M55" s="65" t="s">
        <v>10</v>
      </c>
      <c r="N55" s="65" t="s">
        <v>10</v>
      </c>
      <c r="O55" s="65" t="s">
        <v>10</v>
      </c>
      <c r="P55" s="65" t="s">
        <v>10</v>
      </c>
      <c r="Q55" s="65"/>
      <c r="R55" s="71"/>
      <c r="S55" s="65"/>
      <c r="T55" s="65"/>
      <c r="U55" s="65"/>
      <c r="V55" s="65"/>
      <c r="W55" s="65"/>
      <c r="X55" s="65" t="s">
        <v>10</v>
      </c>
      <c r="Y55" s="71" t="s">
        <v>10</v>
      </c>
      <c r="Z55" s="65" t="s">
        <v>10</v>
      </c>
      <c r="AA55" s="65" t="s">
        <v>10</v>
      </c>
      <c r="AB55" s="65" t="s">
        <v>10</v>
      </c>
      <c r="AC55" s="65" t="s">
        <v>10</v>
      </c>
      <c r="AD55" s="65" t="s">
        <v>10</v>
      </c>
      <c r="AE55" s="65" t="s">
        <v>10</v>
      </c>
      <c r="AF55" s="65"/>
      <c r="AG55" s="65"/>
      <c r="AH55" s="65"/>
      <c r="AI55" s="33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19</v>
      </c>
      <c r="AJ55" s="33">
        <f>0</f>
        <v>0</v>
      </c>
      <c r="AK55" s="33">
        <f>AI55+AJ55</f>
        <v>19</v>
      </c>
    </row>
    <row r="56" spans="1:37" ht="14.25" customHeight="1" x14ac:dyDescent="0.2">
      <c r="A56" s="89"/>
      <c r="B56" s="89"/>
      <c r="C56" s="28" t="s">
        <v>11</v>
      </c>
      <c r="D56" s="71"/>
      <c r="E56" s="65"/>
      <c r="F56" s="65"/>
      <c r="G56" s="65"/>
      <c r="H56" s="65"/>
      <c r="I56" s="65"/>
      <c r="J56" s="65"/>
      <c r="K56" s="71"/>
      <c r="L56" s="65"/>
      <c r="M56" s="65"/>
      <c r="N56" s="65"/>
      <c r="O56" s="65"/>
      <c r="P56" s="65"/>
      <c r="Q56" s="65"/>
      <c r="R56" s="71"/>
      <c r="S56" s="65"/>
      <c r="T56" s="65"/>
      <c r="U56" s="65"/>
      <c r="V56" s="65"/>
      <c r="W56" s="65"/>
      <c r="X56" s="65"/>
      <c r="Y56" s="71"/>
      <c r="Z56" s="65"/>
      <c r="AA56" s="65"/>
      <c r="AB56" s="65"/>
      <c r="AC56" s="65"/>
      <c r="AD56" s="65"/>
      <c r="AE56" s="65"/>
      <c r="AF56" s="65"/>
      <c r="AG56" s="65"/>
      <c r="AH56" s="65"/>
      <c r="AI56" s="33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0</v>
      </c>
      <c r="AJ56" s="33">
        <f>0</f>
        <v>0</v>
      </c>
      <c r="AK56" s="33">
        <f>AI56+AJ56</f>
        <v>0</v>
      </c>
    </row>
    <row r="57" spans="1:37" ht="14.25" customHeight="1" x14ac:dyDescent="0.2">
      <c r="A57" s="90"/>
      <c r="B57" s="96"/>
      <c r="C57" s="28" t="s">
        <v>12</v>
      </c>
      <c r="D57" s="71"/>
      <c r="E57" s="65"/>
      <c r="F57" s="65"/>
      <c r="G57" s="65"/>
      <c r="H57" s="65"/>
      <c r="I57" s="65"/>
      <c r="J57" s="65"/>
      <c r="K57" s="71"/>
      <c r="L57" s="65"/>
      <c r="M57" s="65"/>
      <c r="N57" s="65"/>
      <c r="O57" s="65"/>
      <c r="P57" s="65"/>
      <c r="Q57" s="65"/>
      <c r="R57" s="71"/>
      <c r="S57" s="65"/>
      <c r="T57" s="65"/>
      <c r="U57" s="65"/>
      <c r="V57" s="65"/>
      <c r="W57" s="65"/>
      <c r="X57" s="65"/>
      <c r="Y57" s="71"/>
      <c r="Z57" s="65"/>
      <c r="AA57" s="65"/>
      <c r="AB57" s="65"/>
      <c r="AC57" s="65"/>
      <c r="AD57" s="65"/>
      <c r="AE57" s="65"/>
      <c r="AF57" s="65"/>
      <c r="AG57" s="65"/>
      <c r="AH57" s="65"/>
      <c r="AI57" s="33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0</v>
      </c>
      <c r="AJ57" s="33">
        <f>0</f>
        <v>0</v>
      </c>
      <c r="AK57" s="33">
        <f>AI57+AJ57</f>
        <v>0</v>
      </c>
    </row>
    <row r="58" spans="1:37" ht="14.25" customHeight="1" x14ac:dyDescent="0.2">
      <c r="A58" s="16"/>
      <c r="B58" s="17"/>
      <c r="C58" s="69"/>
      <c r="D58" s="71"/>
      <c r="E58" s="69"/>
      <c r="F58" s="69"/>
      <c r="G58" s="69"/>
      <c r="H58" s="69"/>
      <c r="I58" s="69"/>
      <c r="J58" s="69"/>
      <c r="K58" s="71"/>
      <c r="L58" s="69"/>
      <c r="M58" s="69"/>
      <c r="N58" s="69"/>
      <c r="O58" s="69"/>
      <c r="P58" s="69"/>
      <c r="Q58" s="69"/>
      <c r="R58" s="71"/>
      <c r="S58" s="69"/>
      <c r="T58" s="69"/>
      <c r="U58" s="69"/>
      <c r="V58" s="69"/>
      <c r="W58" s="69"/>
      <c r="X58" s="69"/>
      <c r="Y58" s="71"/>
      <c r="Z58" s="69"/>
      <c r="AA58" s="69"/>
      <c r="AB58" s="69"/>
      <c r="AC58" s="69"/>
      <c r="AD58" s="69"/>
      <c r="AE58" s="69"/>
      <c r="AF58" s="69"/>
      <c r="AG58" s="69"/>
      <c r="AH58" s="69"/>
      <c r="AI58" s="78" t="str">
        <f>""</f>
        <v/>
      </c>
      <c r="AJ58" s="78" t="str">
        <f>""</f>
        <v/>
      </c>
      <c r="AK58" s="78" t="str">
        <f>""</f>
        <v/>
      </c>
    </row>
    <row r="59" spans="1:37" ht="14.25" customHeight="1" x14ac:dyDescent="0.2">
      <c r="A59" s="94">
        <v>12</v>
      </c>
      <c r="B59" s="88" t="s">
        <v>24</v>
      </c>
      <c r="C59" s="28" t="s">
        <v>8</v>
      </c>
      <c r="D59" s="71"/>
      <c r="E59" s="65"/>
      <c r="F59" s="65"/>
      <c r="G59" s="65"/>
      <c r="H59" s="65"/>
      <c r="I59" s="65"/>
      <c r="J59" s="65"/>
      <c r="K59" s="71"/>
      <c r="L59" s="65"/>
      <c r="M59" s="65"/>
      <c r="N59" s="65"/>
      <c r="O59" s="65"/>
      <c r="P59" s="65"/>
      <c r="Q59" s="65"/>
      <c r="R59" s="71"/>
      <c r="S59" s="65"/>
      <c r="T59" s="65"/>
      <c r="U59" s="65"/>
      <c r="V59" s="65"/>
      <c r="W59" s="65"/>
      <c r="X59" s="65"/>
      <c r="Y59" s="71">
        <v>5.25</v>
      </c>
      <c r="Z59" s="65"/>
      <c r="AA59" s="65"/>
      <c r="AB59" s="65"/>
      <c r="AC59" s="65"/>
      <c r="AD59" s="65"/>
      <c r="AE59" s="65"/>
      <c r="AF59" s="65"/>
      <c r="AG59" s="65"/>
      <c r="AH59" s="65"/>
      <c r="AI59" s="33">
        <f>0</f>
        <v>0</v>
      </c>
      <c r="AJ59" s="33">
        <f>SUM(D59:AH59)/8</f>
        <v>0.65625</v>
      </c>
      <c r="AK59" s="33">
        <f>AI59+AJ59</f>
        <v>0.65625</v>
      </c>
    </row>
    <row r="60" spans="1:37" ht="14.25" customHeight="1" x14ac:dyDescent="0.2">
      <c r="A60" s="89"/>
      <c r="B60" s="89"/>
      <c r="C60" s="28" t="s">
        <v>9</v>
      </c>
      <c r="D60" s="71"/>
      <c r="E60" s="65" t="s">
        <v>10</v>
      </c>
      <c r="F60" s="65" t="s">
        <v>10</v>
      </c>
      <c r="G60" s="65" t="s">
        <v>10</v>
      </c>
      <c r="H60" s="65" t="s">
        <v>10</v>
      </c>
      <c r="I60" s="65" t="s">
        <v>10</v>
      </c>
      <c r="J60" s="65" t="s">
        <v>10</v>
      </c>
      <c r="K60" s="71"/>
      <c r="L60" s="65" t="s">
        <v>10</v>
      </c>
      <c r="M60" s="65" t="s">
        <v>10</v>
      </c>
      <c r="N60" s="65" t="s">
        <v>10</v>
      </c>
      <c r="O60" s="65" t="s">
        <v>10</v>
      </c>
      <c r="P60" s="65" t="s">
        <v>10</v>
      </c>
      <c r="Q60" s="65"/>
      <c r="R60" s="71"/>
      <c r="S60" s="65"/>
      <c r="T60" s="65"/>
      <c r="U60" s="65"/>
      <c r="V60" s="65"/>
      <c r="W60" s="65"/>
      <c r="X60" s="65" t="s">
        <v>10</v>
      </c>
      <c r="Y60" s="71"/>
      <c r="Z60" s="65" t="s">
        <v>10</v>
      </c>
      <c r="AA60" s="65" t="s">
        <v>10</v>
      </c>
      <c r="AB60" s="65" t="s">
        <v>10</v>
      </c>
      <c r="AC60" s="65" t="s">
        <v>10</v>
      </c>
      <c r="AD60" s="65" t="s">
        <v>10</v>
      </c>
      <c r="AE60" s="65" t="s">
        <v>10</v>
      </c>
      <c r="AF60" s="65"/>
      <c r="AG60" s="65"/>
      <c r="AH60" s="65"/>
      <c r="AI60" s="33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18</v>
      </c>
      <c r="AJ60" s="33">
        <f>0</f>
        <v>0</v>
      </c>
      <c r="AK60" s="33">
        <f>AI60+AJ60</f>
        <v>18</v>
      </c>
    </row>
    <row r="61" spans="1:37" ht="14.25" customHeight="1" x14ac:dyDescent="0.2">
      <c r="A61" s="89"/>
      <c r="B61" s="89"/>
      <c r="C61" s="28" t="s">
        <v>11</v>
      </c>
      <c r="D61" s="71"/>
      <c r="E61" s="65"/>
      <c r="F61" s="65"/>
      <c r="G61" s="66"/>
      <c r="H61" s="65"/>
      <c r="I61" s="65"/>
      <c r="J61" s="65"/>
      <c r="K61" s="71"/>
      <c r="L61" s="65"/>
      <c r="M61" s="65"/>
      <c r="N61" s="65"/>
      <c r="O61" s="65"/>
      <c r="P61" s="65"/>
      <c r="Q61" s="65"/>
      <c r="R61" s="71"/>
      <c r="S61" s="65"/>
      <c r="T61" s="65"/>
      <c r="U61" s="65"/>
      <c r="V61" s="65"/>
      <c r="W61" s="65"/>
      <c r="X61" s="65"/>
      <c r="Y61" s="71"/>
      <c r="Z61" s="65"/>
      <c r="AA61" s="65"/>
      <c r="AB61" s="65"/>
      <c r="AC61" s="65"/>
      <c r="AD61" s="65"/>
      <c r="AE61" s="65"/>
      <c r="AF61" s="65"/>
      <c r="AG61" s="65"/>
      <c r="AH61" s="65"/>
      <c r="AI61" s="33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0</v>
      </c>
      <c r="AJ61" s="33">
        <f>0</f>
        <v>0</v>
      </c>
      <c r="AK61" s="33">
        <f>AI61+AJ61</f>
        <v>0</v>
      </c>
    </row>
    <row r="62" spans="1:37" ht="14.25" customHeight="1" x14ac:dyDescent="0.2">
      <c r="A62" s="90"/>
      <c r="B62" s="90"/>
      <c r="C62" s="28" t="s">
        <v>12</v>
      </c>
      <c r="D62" s="71"/>
      <c r="E62" s="65"/>
      <c r="F62" s="65"/>
      <c r="G62" s="65"/>
      <c r="H62" s="65"/>
      <c r="I62" s="65"/>
      <c r="J62" s="65"/>
      <c r="K62" s="71"/>
      <c r="L62" s="65"/>
      <c r="M62" s="65"/>
      <c r="N62" s="65"/>
      <c r="O62" s="65"/>
      <c r="P62" s="65"/>
      <c r="Q62" s="65"/>
      <c r="R62" s="71"/>
      <c r="S62" s="65"/>
      <c r="T62" s="65"/>
      <c r="U62" s="65"/>
      <c r="V62" s="65"/>
      <c r="W62" s="65"/>
      <c r="X62" s="65"/>
      <c r="Y62" s="71"/>
      <c r="Z62" s="65"/>
      <c r="AA62" s="65"/>
      <c r="AB62" s="65"/>
      <c r="AC62" s="65"/>
      <c r="AD62" s="65"/>
      <c r="AE62" s="65"/>
      <c r="AF62" s="65"/>
      <c r="AG62" s="65"/>
      <c r="AH62" s="65"/>
      <c r="AI62" s="33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0</v>
      </c>
      <c r="AJ62" s="33">
        <f>0</f>
        <v>0</v>
      </c>
      <c r="AK62" s="33">
        <f>AI62+AJ62</f>
        <v>0</v>
      </c>
    </row>
    <row r="63" spans="1:37" ht="14.25" customHeight="1" x14ac:dyDescent="0.2">
      <c r="A63" s="16"/>
      <c r="B63" s="23"/>
      <c r="C63" s="69"/>
      <c r="D63" s="71"/>
      <c r="E63" s="69"/>
      <c r="F63" s="69"/>
      <c r="G63" s="69"/>
      <c r="H63" s="69"/>
      <c r="I63" s="69"/>
      <c r="J63" s="69"/>
      <c r="K63" s="71"/>
      <c r="L63" s="69"/>
      <c r="M63" s="69"/>
      <c r="N63" s="69"/>
      <c r="O63" s="69"/>
      <c r="P63" s="69"/>
      <c r="Q63" s="69"/>
      <c r="R63" s="71"/>
      <c r="S63" s="69"/>
      <c r="T63" s="69"/>
      <c r="U63" s="69"/>
      <c r="V63" s="69"/>
      <c r="W63" s="69"/>
      <c r="X63" s="69"/>
      <c r="Y63" s="71"/>
      <c r="Z63" s="69"/>
      <c r="AA63" s="69"/>
      <c r="AB63" s="69"/>
      <c r="AC63" s="69"/>
      <c r="AD63" s="69"/>
      <c r="AE63" s="69"/>
      <c r="AF63" s="69"/>
      <c r="AG63" s="69"/>
      <c r="AH63" s="69"/>
      <c r="AI63" s="78" t="str">
        <f>""</f>
        <v/>
      </c>
      <c r="AJ63" s="78" t="str">
        <f>""</f>
        <v/>
      </c>
      <c r="AK63" s="78" t="str">
        <f>""</f>
        <v/>
      </c>
    </row>
    <row r="64" spans="1:37" ht="14.25" customHeight="1" x14ac:dyDescent="0.2">
      <c r="A64" s="94">
        <v>13</v>
      </c>
      <c r="B64" s="94" t="s">
        <v>26</v>
      </c>
      <c r="C64" s="28" t="s">
        <v>8</v>
      </c>
      <c r="D64" s="71"/>
      <c r="E64" s="65"/>
      <c r="F64" s="65">
        <v>-1</v>
      </c>
      <c r="G64" s="65"/>
      <c r="H64" s="65"/>
      <c r="I64" s="65"/>
      <c r="J64" s="65"/>
      <c r="K64" s="71"/>
      <c r="L64" s="65"/>
      <c r="M64" s="65"/>
      <c r="N64" s="65"/>
      <c r="O64" s="65"/>
      <c r="P64" s="65"/>
      <c r="Q64" s="65"/>
      <c r="R64" s="71"/>
      <c r="S64" s="65"/>
      <c r="T64" s="65"/>
      <c r="U64" s="65"/>
      <c r="V64" s="65"/>
      <c r="W64" s="65"/>
      <c r="X64" s="65"/>
      <c r="Y64" s="71"/>
      <c r="Z64" s="65"/>
      <c r="AA64" s="65"/>
      <c r="AB64" s="65"/>
      <c r="AC64" s="65"/>
      <c r="AD64" s="65"/>
      <c r="AE64" s="65"/>
      <c r="AF64" s="65"/>
      <c r="AG64" s="65"/>
      <c r="AH64" s="65"/>
      <c r="AI64" s="33">
        <f>0</f>
        <v>0</v>
      </c>
      <c r="AJ64" s="33">
        <f>SUM(D64:AH64)/8</f>
        <v>-0.125</v>
      </c>
      <c r="AK64" s="33">
        <f>AI64+AJ64</f>
        <v>-0.125</v>
      </c>
    </row>
    <row r="65" spans="1:37" ht="14.25" customHeight="1" x14ac:dyDescent="0.2">
      <c r="A65" s="89"/>
      <c r="B65" s="89"/>
      <c r="C65" s="28" t="s">
        <v>9</v>
      </c>
      <c r="D65" s="71"/>
      <c r="E65" s="65" t="s">
        <v>10</v>
      </c>
      <c r="F65" s="65" t="s">
        <v>10</v>
      </c>
      <c r="G65" s="65">
        <v>0</v>
      </c>
      <c r="H65" s="65" t="s">
        <v>10</v>
      </c>
      <c r="I65" s="65" t="s">
        <v>10</v>
      </c>
      <c r="J65" s="65">
        <v>0</v>
      </c>
      <c r="K65" s="71"/>
      <c r="L65" s="65" t="s">
        <v>10</v>
      </c>
      <c r="M65" s="65" t="s">
        <v>10</v>
      </c>
      <c r="N65" s="65" t="s">
        <v>10</v>
      </c>
      <c r="O65" s="65">
        <v>0</v>
      </c>
      <c r="P65" s="65" t="s">
        <v>10</v>
      </c>
      <c r="Q65" s="65"/>
      <c r="R65" s="71"/>
      <c r="S65" s="65"/>
      <c r="T65" s="65"/>
      <c r="U65" s="65"/>
      <c r="V65" s="65"/>
      <c r="W65" s="65"/>
      <c r="X65" s="65" t="s">
        <v>10</v>
      </c>
      <c r="Y65" s="71" t="s">
        <v>10</v>
      </c>
      <c r="Z65" s="65" t="s">
        <v>10</v>
      </c>
      <c r="AA65" s="65">
        <v>0</v>
      </c>
      <c r="AB65" s="65" t="s">
        <v>10</v>
      </c>
      <c r="AC65" s="65" t="s">
        <v>10</v>
      </c>
      <c r="AD65" s="65" t="s">
        <v>10</v>
      </c>
      <c r="AE65" s="65" t="s">
        <v>10</v>
      </c>
      <c r="AF65" s="65"/>
      <c r="AG65" s="65"/>
      <c r="AH65" s="65"/>
      <c r="AI65" s="33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15</v>
      </c>
      <c r="AJ65" s="33">
        <f>0</f>
        <v>0</v>
      </c>
      <c r="AK65" s="33">
        <f>AI65+AJ65</f>
        <v>15</v>
      </c>
    </row>
    <row r="66" spans="1:37" ht="14.25" customHeight="1" x14ac:dyDescent="0.2">
      <c r="A66" s="89"/>
      <c r="B66" s="89"/>
      <c r="C66" s="28" t="s">
        <v>11</v>
      </c>
      <c r="D66" s="71"/>
      <c r="E66" s="65"/>
      <c r="F66" s="65"/>
      <c r="G66" s="65"/>
      <c r="H66" s="65"/>
      <c r="I66" s="65"/>
      <c r="J66" s="65"/>
      <c r="K66" s="71"/>
      <c r="L66" s="65"/>
      <c r="M66" s="65"/>
      <c r="N66" s="65"/>
      <c r="O66" s="65"/>
      <c r="P66" s="65"/>
      <c r="Q66" s="65"/>
      <c r="R66" s="71"/>
      <c r="S66" s="65"/>
      <c r="T66" s="65"/>
      <c r="U66" s="65"/>
      <c r="V66" s="65"/>
      <c r="W66" s="65"/>
      <c r="X66" s="65"/>
      <c r="Y66" s="71"/>
      <c r="Z66" s="65"/>
      <c r="AA66" s="65"/>
      <c r="AB66" s="65"/>
      <c r="AC66" s="65"/>
      <c r="AD66" s="65"/>
      <c r="AE66" s="65"/>
      <c r="AF66" s="65"/>
      <c r="AG66" s="65"/>
      <c r="AH66" s="65"/>
      <c r="AI66" s="33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0</v>
      </c>
      <c r="AJ66" s="33">
        <f>0</f>
        <v>0</v>
      </c>
      <c r="AK66" s="33">
        <f>0</f>
        <v>0</v>
      </c>
    </row>
    <row r="67" spans="1:37" ht="14.25" customHeight="1" x14ac:dyDescent="0.2">
      <c r="A67" s="90"/>
      <c r="B67" s="90"/>
      <c r="C67" s="28" t="s">
        <v>12</v>
      </c>
      <c r="D67" s="71"/>
      <c r="E67" s="65"/>
      <c r="F67" s="65"/>
      <c r="G67" s="65"/>
      <c r="H67" s="65"/>
      <c r="I67" s="65"/>
      <c r="J67" s="65"/>
      <c r="K67" s="71"/>
      <c r="L67" s="65"/>
      <c r="M67" s="65"/>
      <c r="N67" s="65"/>
      <c r="O67" s="65"/>
      <c r="P67" s="65"/>
      <c r="Q67" s="65"/>
      <c r="R67" s="71"/>
      <c r="S67" s="65"/>
      <c r="T67" s="65"/>
      <c r="U67" s="65"/>
      <c r="V67" s="65"/>
      <c r="W67" s="65"/>
      <c r="X67" s="65"/>
      <c r="Y67" s="71"/>
      <c r="Z67" s="65"/>
      <c r="AA67" s="65"/>
      <c r="AB67" s="65"/>
      <c r="AC67" s="65"/>
      <c r="AD67" s="65"/>
      <c r="AE67" s="65"/>
      <c r="AF67" s="65"/>
      <c r="AG67" s="65"/>
      <c r="AH67" s="65"/>
      <c r="AI67" s="33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0</v>
      </c>
      <c r="AJ67" s="33">
        <f>0</f>
        <v>0</v>
      </c>
      <c r="AK67" s="33">
        <f>AI67+AJ67</f>
        <v>0</v>
      </c>
    </row>
    <row r="68" spans="1:37" ht="14.25" customHeight="1" x14ac:dyDescent="0.2">
      <c r="A68" s="30" t="s">
        <v>27</v>
      </c>
      <c r="B68" s="36" t="s">
        <v>30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33" t="str">
        <f>""</f>
        <v/>
      </c>
      <c r="AJ68" s="33" t="str">
        <f>""</f>
        <v/>
      </c>
      <c r="AK68" s="33" t="str">
        <f>""</f>
        <v/>
      </c>
    </row>
    <row r="69" spans="1:37" s="84" customFormat="1" ht="14.25" customHeight="1" x14ac:dyDescent="0.2">
      <c r="A69" s="80"/>
      <c r="B69" s="81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3"/>
      <c r="AJ69" s="83"/>
      <c r="AK69" s="83"/>
    </row>
    <row r="70" spans="1:37" s="84" customFormat="1" ht="14.25" customHeight="1" x14ac:dyDescent="0.2">
      <c r="A70" s="80"/>
      <c r="B70" s="81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3"/>
      <c r="AJ70" s="83"/>
      <c r="AK70" s="83"/>
    </row>
    <row r="71" spans="1:37" ht="14.25" customHeight="1" x14ac:dyDescent="0.2">
      <c r="A71" s="103"/>
      <c r="B71" s="104"/>
      <c r="C71" s="104"/>
      <c r="D71" s="10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3"/>
      <c r="AI71" s="106"/>
      <c r="AJ71" s="108"/>
      <c r="AK71" s="107"/>
    </row>
    <row r="72" spans="1:37" ht="14.25" customHeight="1" x14ac:dyDescent="0.2">
      <c r="A72" s="100"/>
      <c r="B72" s="105"/>
      <c r="C72" s="105"/>
      <c r="D72" s="91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89"/>
      <c r="AJ72" s="99"/>
      <c r="AK72" s="89"/>
    </row>
    <row r="73" spans="1:37" ht="14.25" customHeight="1" x14ac:dyDescent="0.25">
      <c r="A73" s="2"/>
      <c r="B73" s="2"/>
      <c r="C73" s="3"/>
      <c r="D73" s="14">
        <f t="shared" ref="D73:AH73" si="3">+C73+1</f>
        <v>1</v>
      </c>
      <c r="E73" s="14">
        <f t="shared" si="3"/>
        <v>2</v>
      </c>
      <c r="F73" s="14">
        <f t="shared" si="3"/>
        <v>3</v>
      </c>
      <c r="G73" s="14">
        <f t="shared" si="3"/>
        <v>4</v>
      </c>
      <c r="H73" s="14">
        <f t="shared" si="3"/>
        <v>5</v>
      </c>
      <c r="I73" s="14">
        <f t="shared" si="3"/>
        <v>6</v>
      </c>
      <c r="J73" s="14">
        <f t="shared" si="3"/>
        <v>7</v>
      </c>
      <c r="K73" s="14">
        <f t="shared" si="3"/>
        <v>8</v>
      </c>
      <c r="L73" s="14">
        <f t="shared" si="3"/>
        <v>9</v>
      </c>
      <c r="M73" s="14">
        <f t="shared" si="3"/>
        <v>10</v>
      </c>
      <c r="N73" s="14">
        <f t="shared" si="3"/>
        <v>11</v>
      </c>
      <c r="O73" s="14">
        <f t="shared" si="3"/>
        <v>12</v>
      </c>
      <c r="P73" s="14">
        <f t="shared" si="3"/>
        <v>13</v>
      </c>
      <c r="Q73" s="14">
        <f t="shared" si="3"/>
        <v>14</v>
      </c>
      <c r="R73" s="14">
        <f t="shared" si="3"/>
        <v>15</v>
      </c>
      <c r="S73" s="14">
        <f t="shared" si="3"/>
        <v>16</v>
      </c>
      <c r="T73" s="14">
        <f t="shared" si="3"/>
        <v>17</v>
      </c>
      <c r="U73" s="14">
        <f t="shared" si="3"/>
        <v>18</v>
      </c>
      <c r="V73" s="14">
        <f t="shared" si="3"/>
        <v>19</v>
      </c>
      <c r="W73" s="14">
        <f t="shared" si="3"/>
        <v>20</v>
      </c>
      <c r="X73" s="14">
        <f t="shared" si="3"/>
        <v>21</v>
      </c>
      <c r="Y73" s="14">
        <f t="shared" si="3"/>
        <v>22</v>
      </c>
      <c r="Z73" s="14">
        <f t="shared" si="3"/>
        <v>23</v>
      </c>
      <c r="AA73" s="14">
        <f t="shared" si="3"/>
        <v>24</v>
      </c>
      <c r="AB73" s="14">
        <f t="shared" si="3"/>
        <v>25</v>
      </c>
      <c r="AC73" s="14">
        <f t="shared" si="3"/>
        <v>26</v>
      </c>
      <c r="AD73" s="14">
        <f t="shared" si="3"/>
        <v>27</v>
      </c>
      <c r="AE73" s="14">
        <f t="shared" si="3"/>
        <v>28</v>
      </c>
      <c r="AF73" s="14">
        <f t="shared" si="3"/>
        <v>29</v>
      </c>
      <c r="AG73" s="14">
        <f t="shared" si="3"/>
        <v>30</v>
      </c>
      <c r="AH73" s="14">
        <f t="shared" si="3"/>
        <v>31</v>
      </c>
      <c r="AI73" s="90"/>
      <c r="AJ73" s="100"/>
      <c r="AK73" s="90"/>
    </row>
    <row r="74" spans="1:37" ht="14.25" customHeight="1" x14ac:dyDescent="0.2">
      <c r="A74" s="94"/>
      <c r="B74" s="95"/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8"/>
      <c r="Z74" s="8"/>
      <c r="AA74" s="8"/>
      <c r="AB74" s="8"/>
      <c r="AC74" s="8"/>
      <c r="AD74" s="8"/>
      <c r="AE74" s="8"/>
      <c r="AF74" s="8"/>
      <c r="AG74" s="8"/>
      <c r="AH74" s="4"/>
      <c r="AI74" s="50">
        <f>0</f>
        <v>0</v>
      </c>
      <c r="AJ74" s="51">
        <f t="shared" ref="AJ74:AJ81" si="4">SUM(D74:AH74)/8</f>
        <v>0</v>
      </c>
      <c r="AK74" s="52">
        <f t="shared" ref="AK74:AK105" si="5">AI74+AJ74</f>
        <v>0</v>
      </c>
    </row>
    <row r="75" spans="1:37" ht="14.25" customHeight="1" x14ac:dyDescent="0.2">
      <c r="A75" s="89"/>
      <c r="B75" s="89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si="4"/>
        <v>0</v>
      </c>
      <c r="AK75" s="52">
        <f t="shared" si="5"/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4"/>
        <v>0</v>
      </c>
      <c r="AK76" s="52">
        <f t="shared" si="5"/>
        <v>0</v>
      </c>
    </row>
    <row r="77" spans="1:37" ht="14.25" customHeight="1" x14ac:dyDescent="0.2">
      <c r="A77" s="90"/>
      <c r="B77" s="96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9"/>
      <c r="AF77" s="8"/>
      <c r="AG77" s="8"/>
      <c r="AH77" s="6"/>
      <c r="AI77" s="50">
        <f>0</f>
        <v>0</v>
      </c>
      <c r="AJ77" s="51">
        <f t="shared" si="4"/>
        <v>0</v>
      </c>
      <c r="AK77" s="52">
        <f t="shared" si="5"/>
        <v>0</v>
      </c>
    </row>
    <row r="78" spans="1:37" ht="14.25" customHeight="1" x14ac:dyDescent="0.2">
      <c r="A78" s="94"/>
      <c r="B78" s="97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4"/>
        <v>0</v>
      </c>
      <c r="AK78" s="52">
        <f t="shared" si="5"/>
        <v>0</v>
      </c>
    </row>
    <row r="79" spans="1:37" ht="14.25" customHeight="1" x14ac:dyDescent="0.2">
      <c r="A79" s="89"/>
      <c r="B79" s="89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4"/>
        <v>0</v>
      </c>
      <c r="AK79" s="52">
        <f t="shared" si="5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4"/>
        <v>0</v>
      </c>
      <c r="AK80" s="52">
        <f t="shared" si="5"/>
        <v>0</v>
      </c>
    </row>
    <row r="81" spans="1:37" ht="14.25" customHeight="1" x14ac:dyDescent="0.2">
      <c r="A81" s="90"/>
      <c r="B81" s="96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4"/>
        <v>0</v>
      </c>
      <c r="AK81" s="52">
        <f t="shared" si="5"/>
        <v>0</v>
      </c>
    </row>
    <row r="82" spans="1:37" ht="14.25" customHeight="1" x14ac:dyDescent="0.2">
      <c r="A82" s="94"/>
      <c r="B82" s="97"/>
      <c r="C82" s="2"/>
      <c r="D82" s="8"/>
      <c r="E82" s="8"/>
      <c r="F82" s="8"/>
      <c r="G82" s="8"/>
      <c r="H82" s="8"/>
      <c r="I82" s="8"/>
      <c r="J82" s="8"/>
      <c r="K82" s="8"/>
      <c r="L82" s="15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/>
      <c r="AK82" s="52">
        <f t="shared" si="5"/>
        <v>0</v>
      </c>
    </row>
    <row r="83" spans="1:37" ht="14.25" customHeight="1" x14ac:dyDescent="0.2">
      <c r="A83" s="89"/>
      <c r="B83" s="89"/>
      <c r="C83" s="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>
        <f>0</f>
        <v>0</v>
      </c>
      <c r="AK83" s="52">
        <f t="shared" si="5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5"/>
        <v>0</v>
      </c>
    </row>
    <row r="85" spans="1:37" ht="14.25" customHeight="1" x14ac:dyDescent="0.2">
      <c r="A85" s="90"/>
      <c r="B85" s="96"/>
      <c r="C85" s="2"/>
      <c r="D85" s="8"/>
      <c r="E85" s="8"/>
      <c r="F85" s="8"/>
      <c r="G85" s="8"/>
      <c r="H85" s="8"/>
      <c r="I85" s="8"/>
      <c r="J85" s="8"/>
      <c r="K85" s="8"/>
      <c r="L85" s="15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5"/>
        <v>0</v>
      </c>
    </row>
    <row r="86" spans="1:37" ht="14.25" customHeight="1" x14ac:dyDescent="0.2">
      <c r="A86" s="94"/>
      <c r="B86" s="97"/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5"/>
        <v>0</v>
      </c>
    </row>
    <row r="87" spans="1:37" ht="14.25" customHeight="1" x14ac:dyDescent="0.2">
      <c r="A87" s="89"/>
      <c r="B87" s="89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5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5"/>
        <v>0</v>
      </c>
    </row>
    <row r="89" spans="1:37" ht="14.25" customHeight="1" x14ac:dyDescent="0.2">
      <c r="A89" s="90"/>
      <c r="B89" s="96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5"/>
        <v>0</v>
      </c>
    </row>
    <row r="90" spans="1:37" ht="14.25" customHeight="1" x14ac:dyDescent="0.2">
      <c r="A90" s="94"/>
      <c r="B90" s="97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5"/>
        <v>0</v>
      </c>
    </row>
    <row r="91" spans="1:37" ht="14.25" customHeight="1" x14ac:dyDescent="0.2">
      <c r="A91" s="89"/>
      <c r="B91" s="89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5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5"/>
        <v>0</v>
      </c>
    </row>
    <row r="93" spans="1:37" ht="14.25" customHeight="1" x14ac:dyDescent="0.2">
      <c r="A93" s="90"/>
      <c r="B93" s="96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5"/>
        <v>0</v>
      </c>
    </row>
    <row r="94" spans="1:37" ht="14.25" customHeight="1" x14ac:dyDescent="0.2">
      <c r="A94" s="94"/>
      <c r="B94" s="97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5"/>
        <v>0</v>
      </c>
    </row>
    <row r="95" spans="1:37" ht="14.25" customHeight="1" x14ac:dyDescent="0.2">
      <c r="A95" s="89"/>
      <c r="B95" s="89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5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5"/>
        <v>0</v>
      </c>
    </row>
    <row r="97" spans="1:37" ht="14.25" customHeight="1" x14ac:dyDescent="0.2">
      <c r="A97" s="90"/>
      <c r="B97" s="96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5"/>
        <v>0</v>
      </c>
    </row>
    <row r="98" spans="1:37" ht="14.25" customHeight="1" x14ac:dyDescent="0.2">
      <c r="A98" s="94"/>
      <c r="B98" s="97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5"/>
        <v>0</v>
      </c>
    </row>
    <row r="99" spans="1:37" ht="14.25" customHeight="1" x14ac:dyDescent="0.2">
      <c r="A99" s="89"/>
      <c r="B99" s="89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5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5"/>
        <v>0</v>
      </c>
    </row>
    <row r="101" spans="1:37" ht="14.25" customHeight="1" x14ac:dyDescent="0.2">
      <c r="A101" s="90"/>
      <c r="B101" s="96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5"/>
        <v>0</v>
      </c>
    </row>
    <row r="102" spans="1:37" ht="14.25" customHeight="1" x14ac:dyDescent="0.2">
      <c r="A102" s="94"/>
      <c r="B102" s="97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6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5"/>
        <v>0</v>
      </c>
    </row>
    <row r="103" spans="1:37" ht="14.25" customHeight="1" x14ac:dyDescent="0.2">
      <c r="A103" s="89"/>
      <c r="B103" s="89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5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5"/>
        <v>0</v>
      </c>
    </row>
    <row r="105" spans="1:37" ht="14.25" customHeight="1" x14ac:dyDescent="0.2">
      <c r="A105" s="90"/>
      <c r="B105" s="96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5"/>
        <v>0</v>
      </c>
    </row>
    <row r="106" spans="1:37" ht="14.25" customHeight="1" x14ac:dyDescent="0.2">
      <c r="A106" s="94"/>
      <c r="B106" s="97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ref="AK106:AK125" si="6">AI106+AJ106</f>
        <v>0</v>
      </c>
    </row>
    <row r="107" spans="1:37" ht="14.25" customHeight="1" x14ac:dyDescent="0.2">
      <c r="A107" s="89"/>
      <c r="B107" s="89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si="6"/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6"/>
        <v>0</v>
      </c>
    </row>
    <row r="109" spans="1:37" ht="14.25" customHeight="1" x14ac:dyDescent="0.2">
      <c r="A109" s="90"/>
      <c r="B109" s="96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6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6"/>
        <v>0</v>
      </c>
    </row>
    <row r="110" spans="1:37" ht="14.25" customHeight="1" x14ac:dyDescent="0.2">
      <c r="A110" s="94"/>
      <c r="B110" s="97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6"/>
        <v>0</v>
      </c>
    </row>
    <row r="111" spans="1:37" ht="14.25" customHeight="1" x14ac:dyDescent="0.2">
      <c r="A111" s="89"/>
      <c r="B111" s="89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6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6"/>
        <v>0</v>
      </c>
    </row>
    <row r="113" spans="1:37" ht="14.25" customHeight="1" x14ac:dyDescent="0.2">
      <c r="A113" s="90"/>
      <c r="B113" s="96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6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6"/>
        <v>0</v>
      </c>
    </row>
    <row r="114" spans="1:37" ht="14.25" customHeight="1" x14ac:dyDescent="0.2">
      <c r="A114" s="94"/>
      <c r="B114" s="97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6"/>
      <c r="X114" s="9"/>
      <c r="Y114" s="8"/>
      <c r="Z114" s="8"/>
      <c r="AA114" s="8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6"/>
        <v>0</v>
      </c>
    </row>
    <row r="115" spans="1:37" ht="14.25" customHeight="1" x14ac:dyDescent="0.2">
      <c r="A115" s="89"/>
      <c r="B115" s="89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6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6"/>
        <v>0</v>
      </c>
    </row>
    <row r="117" spans="1:37" ht="14.25" customHeight="1" x14ac:dyDescent="0.2">
      <c r="A117" s="90"/>
      <c r="B117" s="96"/>
      <c r="C117" s="2"/>
      <c r="D117" s="8"/>
      <c r="E117" s="8"/>
      <c r="F117" s="8"/>
      <c r="G117" s="8"/>
      <c r="H117" s="8"/>
      <c r="I117" s="8"/>
      <c r="J117" s="13"/>
      <c r="K117" s="13"/>
      <c r="L117" s="13"/>
      <c r="M117" s="8"/>
      <c r="N117" s="13"/>
      <c r="O117" s="13"/>
      <c r="P117" s="13"/>
      <c r="Q117" s="13"/>
      <c r="R117" s="8"/>
      <c r="S117" s="8"/>
      <c r="T117" s="8"/>
      <c r="U117" s="8"/>
      <c r="V117" s="6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6"/>
        <v>0</v>
      </c>
    </row>
    <row r="118" spans="1:37" ht="14.25" customHeight="1" x14ac:dyDescent="0.2">
      <c r="A118" s="94"/>
      <c r="B118" s="88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4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4"/>
      <c r="AI118" s="50">
        <f>0</f>
        <v>0</v>
      </c>
      <c r="AJ118" s="51">
        <f>0</f>
        <v>0</v>
      </c>
      <c r="AK118" s="52">
        <f t="shared" si="6"/>
        <v>0</v>
      </c>
    </row>
    <row r="119" spans="1:37" ht="14.25" customHeight="1" x14ac:dyDescent="0.2">
      <c r="A119" s="89"/>
      <c r="B119" s="89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6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6"/>
        <v>0</v>
      </c>
    </row>
    <row r="121" spans="1:37" ht="14.25" customHeight="1" x14ac:dyDescent="0.2">
      <c r="A121" s="90"/>
      <c r="B121" s="90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6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6"/>
      <c r="AI121" s="50">
        <f>0</f>
        <v>0</v>
      </c>
      <c r="AJ121" s="51">
        <f>0</f>
        <v>0</v>
      </c>
      <c r="AK121" s="52">
        <f t="shared" si="6"/>
        <v>0</v>
      </c>
    </row>
    <row r="122" spans="1:37" ht="14.25" customHeight="1" x14ac:dyDescent="0.2">
      <c r="A122" s="94"/>
      <c r="B122" s="94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4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4"/>
      <c r="AI122" s="50">
        <f>0</f>
        <v>0</v>
      </c>
      <c r="AJ122" s="51">
        <f>0</f>
        <v>0</v>
      </c>
      <c r="AK122" s="52">
        <f t="shared" si="6"/>
        <v>0</v>
      </c>
    </row>
    <row r="123" spans="1:37" ht="14.25" customHeight="1" x14ac:dyDescent="0.2">
      <c r="A123" s="89"/>
      <c r="B123" s="89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6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6"/>
        <v>0</v>
      </c>
    </row>
    <row r="125" spans="1:37" ht="14.25" customHeight="1" x14ac:dyDescent="0.2">
      <c r="A125" s="90"/>
      <c r="B125" s="90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6"/>
      <c r="W125" s="6"/>
      <c r="X125" s="9"/>
      <c r="Y125" s="8"/>
      <c r="Z125" s="8"/>
      <c r="AA125" s="6"/>
      <c r="AB125" s="8"/>
      <c r="AC125" s="8"/>
      <c r="AD125" s="8"/>
      <c r="AE125" s="9"/>
      <c r="AF125" s="8"/>
      <c r="AG125" s="8"/>
      <c r="AH125" s="6"/>
      <c r="AI125" s="50">
        <f>0</f>
        <v>0</v>
      </c>
      <c r="AJ125" s="51">
        <f>0</f>
        <v>0</v>
      </c>
      <c r="AK125" s="52">
        <f t="shared" si="6"/>
        <v>0</v>
      </c>
    </row>
    <row r="126" spans="1:37" x14ac:dyDescent="0.2">
      <c r="A126" s="11"/>
      <c r="B126" s="11"/>
      <c r="AH126" s="12"/>
      <c r="AI126" s="52"/>
      <c r="AJ126" s="52">
        <f>SUM(AJ74:AJ125)</f>
        <v>0</v>
      </c>
      <c r="AK126" s="52">
        <f>SUM(AK74:AK125)</f>
        <v>0</v>
      </c>
    </row>
    <row r="127" spans="1:37" x14ac:dyDescent="0.2">
      <c r="A127" s="11"/>
      <c r="B127" s="11"/>
      <c r="AI127" s="45"/>
      <c r="AJ127" s="45"/>
      <c r="AK127" s="45"/>
    </row>
    <row r="128" spans="1:37" ht="14.25" customHeight="1" x14ac:dyDescent="0.2"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5.75" customHeight="1" x14ac:dyDescent="0.2"/>
    <row r="135" spans="35:37" ht="15.75" customHeight="1" x14ac:dyDescent="0.2"/>
    <row r="136" spans="35:37" ht="15.75" customHeight="1" x14ac:dyDescent="0.2"/>
    <row r="137" spans="35:37" ht="15.75" customHeight="1" x14ac:dyDescent="0.2"/>
    <row r="138" spans="35:37" ht="15.75" customHeight="1" x14ac:dyDescent="0.2"/>
    <row r="139" spans="35:37" ht="15.75" customHeight="1" x14ac:dyDescent="0.2"/>
    <row r="140" spans="35:37" ht="15.75" customHeight="1" x14ac:dyDescent="0.2"/>
    <row r="141" spans="35:37" ht="15.75" customHeight="1" x14ac:dyDescent="0.2"/>
    <row r="142" spans="35:37" ht="15.75" customHeight="1" x14ac:dyDescent="0.2"/>
    <row r="143" spans="35:37" ht="15.75" customHeight="1" x14ac:dyDescent="0.2"/>
    <row r="144" spans="35:37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</sheetData>
  <mergeCells count="64">
    <mergeCell ref="A114:A117"/>
    <mergeCell ref="A94:A97"/>
    <mergeCell ref="B122:B125"/>
    <mergeCell ref="B94:B97"/>
    <mergeCell ref="A110:A113"/>
    <mergeCell ref="A122:A125"/>
    <mergeCell ref="B110:B113"/>
    <mergeCell ref="A102:A105"/>
    <mergeCell ref="B90:B93"/>
    <mergeCell ref="B59:B62"/>
    <mergeCell ref="B106:B109"/>
    <mergeCell ref="B102:B105"/>
    <mergeCell ref="A90:A93"/>
    <mergeCell ref="B98:B101"/>
    <mergeCell ref="A82:A85"/>
    <mergeCell ref="A64:A67"/>
    <mergeCell ref="A78:A81"/>
    <mergeCell ref="B86:B89"/>
    <mergeCell ref="B78:B81"/>
    <mergeCell ref="AJ1:AJ2"/>
    <mergeCell ref="A4:A7"/>
    <mergeCell ref="AI71:AI73"/>
    <mergeCell ref="B14:B17"/>
    <mergeCell ref="A118:A121"/>
    <mergeCell ref="B39:B42"/>
    <mergeCell ref="A1:C2"/>
    <mergeCell ref="A74:A77"/>
    <mergeCell ref="B82:B85"/>
    <mergeCell ref="A86:A89"/>
    <mergeCell ref="B29:B32"/>
    <mergeCell ref="B19:B22"/>
    <mergeCell ref="A98:A101"/>
    <mergeCell ref="B118:B121"/>
    <mergeCell ref="A106:A109"/>
    <mergeCell ref="B114:B117"/>
    <mergeCell ref="B9:B12"/>
    <mergeCell ref="D1:AH1"/>
    <mergeCell ref="B34:B37"/>
    <mergeCell ref="A71:C72"/>
    <mergeCell ref="B74:B77"/>
    <mergeCell ref="A14:A17"/>
    <mergeCell ref="A29:A32"/>
    <mergeCell ref="B24:B27"/>
    <mergeCell ref="A19:A22"/>
    <mergeCell ref="B49:B52"/>
    <mergeCell ref="A54:A57"/>
    <mergeCell ref="D72:AH72"/>
    <mergeCell ref="D71:AH71"/>
    <mergeCell ref="AK71:AK73"/>
    <mergeCell ref="A9:A12"/>
    <mergeCell ref="D2:AH2"/>
    <mergeCell ref="A44:A47"/>
    <mergeCell ref="B4:B7"/>
    <mergeCell ref="B64:B67"/>
    <mergeCell ref="A34:A37"/>
    <mergeCell ref="A39:A42"/>
    <mergeCell ref="A59:A62"/>
    <mergeCell ref="A24:A27"/>
    <mergeCell ref="B54:B57"/>
    <mergeCell ref="A49:A52"/>
    <mergeCell ref="AI1:AI2"/>
    <mergeCell ref="AK1:AK2"/>
    <mergeCell ref="B44:B47"/>
    <mergeCell ref="AJ71:AJ73"/>
  </mergeCells>
  <conditionalFormatting sqref="A68:XFD70 A1 A134:XFD1048576 C3:XFD34 AI1:XFD2 AL35:XFD67">
    <cfRule type="colorScale" priority="18">
      <colorScale>
        <cfvo type="min"/>
        <cfvo type="max"/>
        <color rgb="FFEDFC2C"/>
        <color rgb="FFFFEF9C"/>
      </colorScale>
    </cfRule>
    <cfRule type="colorScale" priority="20">
      <colorScale>
        <cfvo type="min"/>
        <cfvo type="max"/>
        <color rgb="FFFFC000"/>
        <color rgb="FFFFEF9C"/>
      </colorScale>
    </cfRule>
    <cfRule type="colorScale" priority="21">
      <colorScale>
        <cfvo type="min"/>
        <cfvo type="max"/>
        <color rgb="FFFF7128"/>
        <color rgb="FFFFEF9C"/>
      </colorScale>
    </cfRule>
    <cfRule type="colorScale" priority="22">
      <colorScale>
        <cfvo type="min"/>
        <cfvo type="max"/>
        <color rgb="FFFF7128"/>
        <color rgb="FFFFFF00"/>
      </colorScale>
    </cfRule>
  </conditionalFormatting>
  <conditionalFormatting sqref="C4:AK67 A68:AK70">
    <cfRule type="expression" dxfId="131" priority="23">
      <formula>AND($A4="",$B4="",$C4="")</formula>
    </cfRule>
  </conditionalFormatting>
  <conditionalFormatting sqref="C37:AK67 D35:AK35 AI36:AK36">
    <cfRule type="colorScale" priority="8">
      <colorScale>
        <cfvo type="min"/>
        <cfvo type="max"/>
        <color rgb="FFEDFC2C"/>
        <color rgb="FFFFEF9C"/>
      </colorScale>
    </cfRule>
    <cfRule type="colorScale" priority="9">
      <colorScale>
        <cfvo type="min"/>
        <cfvo type="max"/>
        <color rgb="FFFFC000"/>
        <color rgb="FFFFEF9C"/>
      </colorScale>
    </cfRule>
    <cfRule type="colorScale" priority="10">
      <colorScale>
        <cfvo type="min"/>
        <cfvo type="max"/>
        <color rgb="FFFF7128"/>
        <color rgb="FFFFEF9C"/>
      </colorScale>
    </cfRule>
    <cfRule type="colorScale" priority="11">
      <colorScale>
        <cfvo type="min"/>
        <cfvo type="max"/>
        <color rgb="FFFF7128"/>
        <color rgb="FFFFFF00"/>
      </colorScale>
    </cfRule>
  </conditionalFormatting>
  <conditionalFormatting sqref="D1:AH1">
    <cfRule type="colorScale" priority="12">
      <colorScale>
        <cfvo type="min"/>
        <cfvo type="max"/>
        <color rgb="FFEDFC2C"/>
        <color rgb="FFFFEF9C"/>
      </colorScale>
    </cfRule>
    <cfRule type="colorScale" priority="13">
      <colorScale>
        <cfvo type="min"/>
        <cfvo type="max"/>
        <color rgb="FFFFC000"/>
        <color rgb="FFFFEF9C"/>
      </colorScale>
    </cfRule>
    <cfRule type="colorScale" priority="14">
      <colorScale>
        <cfvo type="min"/>
        <cfvo type="max"/>
        <color rgb="FFFF7128"/>
        <color rgb="FFFFEF9C"/>
      </colorScale>
    </cfRule>
    <cfRule type="colorScale" priority="15">
      <colorScale>
        <cfvo type="min"/>
        <cfvo type="max"/>
        <color rgb="FFFF7128"/>
        <color rgb="FFFFFF00"/>
      </colorScale>
    </cfRule>
  </conditionalFormatting>
  <conditionalFormatting sqref="D3:AH31">
    <cfRule type="expression" dxfId="130" priority="16">
      <formula>WEEKDAY(D$3)=1</formula>
    </cfRule>
  </conditionalFormatting>
  <conditionalFormatting sqref="D3:AH70">
    <cfRule type="expression" dxfId="129" priority="27">
      <formula>AND(D$3&lt;&gt;"",WEEKDAY(D$3,2)=7)</formula>
    </cfRule>
  </conditionalFormatting>
  <conditionalFormatting sqref="D4:AH67">
    <cfRule type="expression" dxfId="128" priority="33">
      <formula>AND($C4="TC",D4&lt;&gt;"")</formula>
    </cfRule>
    <cfRule type="expression" dxfId="127" priority="34">
      <formula>AND($C4="C1",D4&lt;&gt;"")</formula>
    </cfRule>
    <cfRule type="expression" dxfId="126" priority="35">
      <formula>AND($C4="C3",D4&lt;&gt;"")</formula>
    </cfRule>
  </conditionalFormatting>
  <conditionalFormatting sqref="D4:AH70">
    <cfRule type="expression" dxfId="125" priority="24">
      <formula>AND($C4="TC",D4&lt;&gt;"")</formula>
    </cfRule>
    <cfRule type="expression" dxfId="124" priority="25">
      <formula>AND($C4="C1",D4&lt;&gt;"")</formula>
    </cfRule>
    <cfRule type="expression" dxfId="123" priority="26">
      <formula>AND(OR($C4="C2",$C4="C3"),D4&lt;&gt;"")</formula>
    </cfRule>
  </conditionalFormatting>
  <conditionalFormatting sqref="D37:AH65">
    <cfRule type="expression" dxfId="122" priority="5">
      <formula>WEEKDAY(D$3)=1</formula>
    </cfRule>
  </conditionalFormatting>
  <conditionalFormatting sqref="D73:AH125">
    <cfRule type="expression" dxfId="121" priority="4">
      <formula>WEEKDAY(D$3)=1</formula>
    </cfRule>
  </conditionalFormatting>
  <conditionalFormatting sqref="D74:AH125">
    <cfRule type="expression" dxfId="120" priority="1">
      <formula>AND($C74="C3",D74&lt;&gt;"")</formula>
    </cfRule>
    <cfRule type="expression" dxfId="119" priority="2">
      <formula>AND($C74="C1",D74&lt;&gt;"")</formula>
    </cfRule>
    <cfRule type="expression" dxfId="118" priority="3">
      <formula>AND($C74="TC",D74&lt;&gt;"")</formula>
    </cfRule>
  </conditionalFormatting>
  <conditionalFormatting sqref="V23">
    <cfRule type="colorScale" priority="17">
      <colorScale>
        <cfvo type="min"/>
        <cfvo type="max"/>
        <color rgb="FFFFC000"/>
        <color rgb="FFFFEF9C"/>
      </colorScale>
    </cfRule>
  </conditionalFormatting>
  <conditionalFormatting sqref="V57">
    <cfRule type="colorScale" priority="6">
      <colorScale>
        <cfvo type="min"/>
        <cfvo type="max"/>
        <color rgb="FFFFC000"/>
        <color rgb="FFFFEF9C"/>
      </colorScale>
    </cfRule>
  </conditionalFormatting>
  <conditionalFormatting sqref="V14:W14">
    <cfRule type="colorScale" priority="19">
      <colorScale>
        <cfvo type="min"/>
        <cfvo type="max"/>
        <color rgb="FFE8FC2C"/>
        <color rgb="FFFFEF9C"/>
      </colorScale>
    </cfRule>
  </conditionalFormatting>
  <conditionalFormatting sqref="V48:W48">
    <cfRule type="colorScale" priority="7">
      <colorScale>
        <cfvo type="min"/>
        <cfvo type="max"/>
        <color rgb="FFE8FC2C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913"/>
  <sheetViews>
    <sheetView workbookViewId="0">
      <selection sqref="A1:C2"/>
    </sheetView>
  </sheetViews>
  <sheetFormatPr defaultColWidth="12.625" defaultRowHeight="14.25" x14ac:dyDescent="0.2"/>
  <cols>
    <col min="1" max="1" width="5" customWidth="1"/>
    <col min="2" max="2" width="22" customWidth="1"/>
    <col min="3" max="3" width="7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10" customWidth="1"/>
  </cols>
  <sheetData>
    <row r="1" spans="1:37" ht="27.95" customHeight="1" x14ac:dyDescent="0.2">
      <c r="A1" s="114" t="s">
        <v>0</v>
      </c>
      <c r="B1" s="118"/>
      <c r="C1" s="119"/>
      <c r="D1" s="114" t="s">
        <v>32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1"/>
      <c r="AI1" s="112" t="s">
        <v>2</v>
      </c>
      <c r="AJ1" s="112" t="s">
        <v>3</v>
      </c>
      <c r="AK1" s="112" t="s">
        <v>4</v>
      </c>
    </row>
    <row r="2" spans="1:37" ht="20.100000000000001" customHeight="1" x14ac:dyDescent="0.2">
      <c r="A2" s="120"/>
      <c r="B2" s="121"/>
      <c r="C2" s="122"/>
      <c r="D2" s="109">
        <v>46082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1"/>
      <c r="AI2" s="113"/>
      <c r="AJ2" s="113"/>
      <c r="AK2" s="113"/>
    </row>
    <row r="3" spans="1:37" ht="21.95" customHeight="1" x14ac:dyDescent="0.2">
      <c r="A3" s="2" t="s">
        <v>5</v>
      </c>
      <c r="B3" s="2" t="s">
        <v>6</v>
      </c>
      <c r="C3" s="32"/>
      <c r="D3" s="86">
        <v>46082</v>
      </c>
      <c r="E3" s="85">
        <v>46083</v>
      </c>
      <c r="F3" s="85">
        <f t="shared" ref="F3:AE3" si="0">+E3+1</f>
        <v>46084</v>
      </c>
      <c r="G3" s="85">
        <f t="shared" si="0"/>
        <v>46085</v>
      </c>
      <c r="H3" s="85">
        <f t="shared" si="0"/>
        <v>46086</v>
      </c>
      <c r="I3" s="85">
        <f t="shared" si="0"/>
        <v>46087</v>
      </c>
      <c r="J3" s="85">
        <f t="shared" si="0"/>
        <v>46088</v>
      </c>
      <c r="K3" s="86">
        <f t="shared" si="0"/>
        <v>46089</v>
      </c>
      <c r="L3" s="85">
        <f t="shared" si="0"/>
        <v>46090</v>
      </c>
      <c r="M3" s="85">
        <f t="shared" si="0"/>
        <v>46091</v>
      </c>
      <c r="N3" s="85">
        <f t="shared" si="0"/>
        <v>46092</v>
      </c>
      <c r="O3" s="85">
        <f t="shared" si="0"/>
        <v>46093</v>
      </c>
      <c r="P3" s="85">
        <f t="shared" si="0"/>
        <v>46094</v>
      </c>
      <c r="Q3" s="85">
        <f t="shared" si="0"/>
        <v>46095</v>
      </c>
      <c r="R3" s="86">
        <f t="shared" si="0"/>
        <v>46096</v>
      </c>
      <c r="S3" s="85">
        <f t="shared" si="0"/>
        <v>46097</v>
      </c>
      <c r="T3" s="85">
        <f t="shared" si="0"/>
        <v>46098</v>
      </c>
      <c r="U3" s="85">
        <f t="shared" si="0"/>
        <v>46099</v>
      </c>
      <c r="V3" s="85">
        <f t="shared" si="0"/>
        <v>46100</v>
      </c>
      <c r="W3" s="85">
        <f t="shared" si="0"/>
        <v>46101</v>
      </c>
      <c r="X3" s="85">
        <f t="shared" si="0"/>
        <v>46102</v>
      </c>
      <c r="Y3" s="86">
        <f t="shared" si="0"/>
        <v>46103</v>
      </c>
      <c r="Z3" s="85">
        <f t="shared" si="0"/>
        <v>46104</v>
      </c>
      <c r="AA3" s="85">
        <f t="shared" si="0"/>
        <v>46105</v>
      </c>
      <c r="AB3" s="85">
        <f t="shared" si="0"/>
        <v>46106</v>
      </c>
      <c r="AC3" s="85">
        <f t="shared" si="0"/>
        <v>46107</v>
      </c>
      <c r="AD3" s="85">
        <f t="shared" si="0"/>
        <v>46108</v>
      </c>
      <c r="AE3" s="85">
        <f t="shared" si="0"/>
        <v>46109</v>
      </c>
      <c r="AF3" s="86">
        <v>46110</v>
      </c>
      <c r="AG3" s="85">
        <f>+AF3+1</f>
        <v>46111</v>
      </c>
      <c r="AH3" s="85">
        <f>+AG3+1</f>
        <v>46112</v>
      </c>
      <c r="AI3" s="31"/>
      <c r="AJ3" s="32"/>
      <c r="AK3" s="32"/>
    </row>
    <row r="4" spans="1:37" ht="13.5" customHeight="1" x14ac:dyDescent="0.2">
      <c r="A4" s="94">
        <v>1</v>
      </c>
      <c r="B4" s="95" t="s">
        <v>7</v>
      </c>
      <c r="C4" s="28" t="s">
        <v>8</v>
      </c>
      <c r="D4" s="71"/>
      <c r="E4" s="65"/>
      <c r="F4" s="65"/>
      <c r="G4" s="65"/>
      <c r="H4" s="65"/>
      <c r="I4" s="65"/>
      <c r="J4" s="65"/>
      <c r="K4" s="71"/>
      <c r="L4" s="65"/>
      <c r="M4" s="65"/>
      <c r="N4" s="65"/>
      <c r="O4" s="65"/>
      <c r="P4" s="65"/>
      <c r="Q4" s="65"/>
      <c r="R4" s="71"/>
      <c r="S4" s="65"/>
      <c r="T4" s="65"/>
      <c r="U4" s="65"/>
      <c r="V4" s="65"/>
      <c r="W4" s="65"/>
      <c r="X4" s="65"/>
      <c r="Y4" s="71"/>
      <c r="Z4" s="65"/>
      <c r="AA4" s="65"/>
      <c r="AB4" s="65"/>
      <c r="AC4" s="65"/>
      <c r="AD4" s="65"/>
      <c r="AE4" s="65"/>
      <c r="AF4" s="71"/>
      <c r="AG4" s="65"/>
      <c r="AH4" s="65">
        <v>7.5</v>
      </c>
      <c r="AI4" s="33">
        <f>0</f>
        <v>0</v>
      </c>
      <c r="AJ4" s="33">
        <f>SUM(D4:AH4)/8</f>
        <v>0.9375</v>
      </c>
      <c r="AK4" s="33">
        <f>AI4+AJ4</f>
        <v>0.9375</v>
      </c>
    </row>
    <row r="5" spans="1:37" s="7" customFormat="1" ht="13.5" customHeight="1" x14ac:dyDescent="0.2">
      <c r="A5" s="89"/>
      <c r="B5" s="89"/>
      <c r="C5" s="28" t="s">
        <v>9</v>
      </c>
      <c r="D5" s="71" t="s">
        <v>10</v>
      </c>
      <c r="E5" s="65" t="s">
        <v>10</v>
      </c>
      <c r="F5" s="65"/>
      <c r="G5" s="65" t="s">
        <v>10</v>
      </c>
      <c r="H5" s="65" t="s">
        <v>10</v>
      </c>
      <c r="I5" s="65" t="s">
        <v>10</v>
      </c>
      <c r="J5" s="65" t="s">
        <v>10</v>
      </c>
      <c r="K5" s="71" t="s">
        <v>10</v>
      </c>
      <c r="L5" s="65" t="s">
        <v>10</v>
      </c>
      <c r="M5" s="65" t="s">
        <v>10</v>
      </c>
      <c r="N5" s="65" t="s">
        <v>10</v>
      </c>
      <c r="O5" s="65" t="s">
        <v>10</v>
      </c>
      <c r="P5" s="65" t="s">
        <v>10</v>
      </c>
      <c r="Q5" s="65" t="s">
        <v>10</v>
      </c>
      <c r="R5" s="71" t="s">
        <v>33</v>
      </c>
      <c r="S5" s="65" t="s">
        <v>10</v>
      </c>
      <c r="T5" s="65" t="s">
        <v>10</v>
      </c>
      <c r="U5" s="65" t="s">
        <v>10</v>
      </c>
      <c r="V5" s="65" t="s">
        <v>15</v>
      </c>
      <c r="W5" s="65" t="s">
        <v>10</v>
      </c>
      <c r="X5" s="65" t="s">
        <v>10</v>
      </c>
      <c r="Y5" s="71" t="s">
        <v>10</v>
      </c>
      <c r="Z5" s="65" t="s">
        <v>10</v>
      </c>
      <c r="AA5" s="65"/>
      <c r="AB5" s="65" t="s">
        <v>10</v>
      </c>
      <c r="AC5" s="65" t="s">
        <v>10</v>
      </c>
      <c r="AD5" s="65" t="s">
        <v>10</v>
      </c>
      <c r="AE5" s="65" t="s">
        <v>10</v>
      </c>
      <c r="AF5" s="71" t="s">
        <v>10</v>
      </c>
      <c r="AG5" s="65" t="s">
        <v>10</v>
      </c>
      <c r="AH5" s="65"/>
      <c r="AI5" s="33">
        <f>COUNTIF(D5:AH5,"x")+COUNTIF(D5:AH5,"x-0,25")+COUNTIF(D5:AH5,"x-0,50")+COUNTIF(D5:AH5,"x-0.75")+COUNTIF(D5:AH5,"x-1")+COUNTIF(D5:AH5,"x-1,25")+COUNTIF(D5:AH5,"x-1,5")+COUNTIF(D5:AH5,"x-1,55")+COUNTIF(D5:AH5,"x-2")+COUNTIF(D5:AH5,"x/2")/2</f>
        <v>27.5</v>
      </c>
      <c r="AJ5" s="33">
        <f>0</f>
        <v>0</v>
      </c>
      <c r="AK5" s="33">
        <f>AI5+AJ5</f>
        <v>27.5</v>
      </c>
    </row>
    <row r="6" spans="1:37" s="7" customFormat="1" ht="13.5" customHeight="1" x14ac:dyDescent="0.2">
      <c r="A6" s="89"/>
      <c r="B6" s="89"/>
      <c r="C6" s="28" t="s">
        <v>11</v>
      </c>
      <c r="D6" s="71"/>
      <c r="E6" s="65"/>
      <c r="F6" s="65"/>
      <c r="G6" s="65"/>
      <c r="H6" s="65"/>
      <c r="I6" s="65"/>
      <c r="J6" s="65"/>
      <c r="K6" s="71"/>
      <c r="L6" s="65"/>
      <c r="M6" s="65"/>
      <c r="N6" s="65"/>
      <c r="O6" s="65"/>
      <c r="P6" s="65"/>
      <c r="Q6" s="65"/>
      <c r="R6" s="71"/>
      <c r="S6" s="65"/>
      <c r="T6" s="65"/>
      <c r="U6" s="65"/>
      <c r="V6" s="65"/>
      <c r="W6" s="65"/>
      <c r="X6" s="65"/>
      <c r="Y6" s="71"/>
      <c r="Z6" s="65"/>
      <c r="AA6" s="65"/>
      <c r="AB6" s="65"/>
      <c r="AC6" s="65"/>
      <c r="AD6" s="65"/>
      <c r="AE6" s="65"/>
      <c r="AF6" s="71"/>
      <c r="AG6" s="65"/>
      <c r="AH6" s="65"/>
      <c r="AI6" s="33">
        <f>COUNTIF(D6:AH6,"x")+COUNTIF(D6:AH6,"x-0,25")+COUNTIF(D6:AH6,"x-0,50")+COUNTIF(D6:AH6,"x-0.75")+COUNTIF(D6:AH6,"x-1")+COUNTIF(D6:AH6,"x-1,25")+COUNTIF(D6:AH6,"x-1,5")+COUNTIF(D6:AH6,"x-1,55")+COUNTIF(D6:AH6,"x-2")+COUNTIF(D6:AH6,"x/2")/2</f>
        <v>0</v>
      </c>
      <c r="AJ6" s="33">
        <f>0</f>
        <v>0</v>
      </c>
      <c r="AK6" s="33">
        <f>AI6+AJ6</f>
        <v>0</v>
      </c>
    </row>
    <row r="7" spans="1:37" s="7" customFormat="1" ht="13.5" customHeight="1" x14ac:dyDescent="0.2">
      <c r="A7" s="90"/>
      <c r="B7" s="96"/>
      <c r="C7" s="28" t="s">
        <v>12</v>
      </c>
      <c r="D7" s="71"/>
      <c r="E7" s="65"/>
      <c r="F7" s="65"/>
      <c r="G7" s="65"/>
      <c r="H7" s="65"/>
      <c r="I7" s="65"/>
      <c r="J7" s="65"/>
      <c r="K7" s="71"/>
      <c r="L7" s="65"/>
      <c r="M7" s="65"/>
      <c r="N7" s="65"/>
      <c r="O7" s="65"/>
      <c r="P7" s="65"/>
      <c r="Q7" s="65"/>
      <c r="R7" s="71"/>
      <c r="S7" s="65"/>
      <c r="T7" s="65"/>
      <c r="U7" s="65"/>
      <c r="V7" s="65"/>
      <c r="W7" s="65"/>
      <c r="X7" s="65"/>
      <c r="Y7" s="71"/>
      <c r="Z7" s="65"/>
      <c r="AA7" s="65"/>
      <c r="AB7" s="65"/>
      <c r="AC7" s="65"/>
      <c r="AD7" s="65"/>
      <c r="AE7" s="65"/>
      <c r="AF7" s="71"/>
      <c r="AG7" s="65"/>
      <c r="AH7" s="65"/>
      <c r="AI7" s="33">
        <f>COUNTIF(D7:AH7,"x")+COUNTIF(D7:AH7,"x-0,25")+COUNTIF(D7:AH7,"x-0,50")+COUNTIF(D7:AH7,"x-0.75")+COUNTIF(D7:AH7,"x-1")+COUNTIF(D7:AH7,"x-1,25")+COUNTIF(D7:AH7,"x-1,5")+COUNTIF(D7:AH7,"x-1,55")+COUNTIF(D7:AH7,"x-2")+COUNTIF(D7:AH7,"x/2")/2</f>
        <v>0</v>
      </c>
      <c r="AJ7" s="33">
        <f>0</f>
        <v>0</v>
      </c>
      <c r="AK7" s="33">
        <f>AI7+AJ7</f>
        <v>0</v>
      </c>
    </row>
    <row r="8" spans="1:37" s="7" customFormat="1" ht="13.5" customHeight="1" x14ac:dyDescent="0.2">
      <c r="A8" s="16"/>
      <c r="B8" s="17"/>
      <c r="C8" s="69"/>
      <c r="D8" s="71"/>
      <c r="E8" s="69"/>
      <c r="F8" s="69"/>
      <c r="G8" s="69"/>
      <c r="H8" s="69"/>
      <c r="I8" s="69"/>
      <c r="J8" s="69"/>
      <c r="K8" s="71"/>
      <c r="L8" s="69"/>
      <c r="M8" s="69"/>
      <c r="N8" s="69"/>
      <c r="O8" s="69"/>
      <c r="P8" s="69"/>
      <c r="Q8" s="69"/>
      <c r="R8" s="71"/>
      <c r="S8" s="69"/>
      <c r="T8" s="69"/>
      <c r="U8" s="69"/>
      <c r="V8" s="69"/>
      <c r="W8" s="69"/>
      <c r="X8" s="69"/>
      <c r="Y8" s="71"/>
      <c r="Z8" s="69"/>
      <c r="AA8" s="69"/>
      <c r="AB8" s="69"/>
      <c r="AC8" s="69"/>
      <c r="AD8" s="69"/>
      <c r="AE8" s="69"/>
      <c r="AF8" s="71"/>
      <c r="AG8" s="69"/>
      <c r="AH8" s="69"/>
      <c r="AI8" s="78" t="str">
        <f>""</f>
        <v/>
      </c>
      <c r="AJ8" s="78" t="str">
        <f>""</f>
        <v/>
      </c>
      <c r="AK8" s="78" t="str">
        <f>""</f>
        <v/>
      </c>
    </row>
    <row r="9" spans="1:37" s="7" customFormat="1" ht="13.5" customHeight="1" x14ac:dyDescent="0.2">
      <c r="A9" s="94">
        <v>2</v>
      </c>
      <c r="B9" s="97" t="s">
        <v>13</v>
      </c>
      <c r="C9" s="28" t="s">
        <v>8</v>
      </c>
      <c r="D9" s="71"/>
      <c r="E9" s="65"/>
      <c r="F9" s="65"/>
      <c r="G9" s="65"/>
      <c r="H9" s="65"/>
      <c r="I9" s="65"/>
      <c r="J9" s="65"/>
      <c r="K9" s="71"/>
      <c r="L9" s="65"/>
      <c r="M9" s="65"/>
      <c r="N9" s="65"/>
      <c r="O9" s="65"/>
      <c r="P9" s="65"/>
      <c r="Q9" s="65"/>
      <c r="R9" s="71"/>
      <c r="S9" s="65"/>
      <c r="T9" s="65"/>
      <c r="U9" s="65"/>
      <c r="V9" s="65"/>
      <c r="W9" s="65"/>
      <c r="X9" s="65"/>
      <c r="Y9" s="71"/>
      <c r="Z9" s="65"/>
      <c r="AA9" s="65"/>
      <c r="AB9" s="65"/>
      <c r="AC9" s="65"/>
      <c r="AD9" s="65"/>
      <c r="AE9" s="65"/>
      <c r="AF9" s="71"/>
      <c r="AG9" s="65"/>
      <c r="AH9" s="65">
        <v>8.5</v>
      </c>
      <c r="AI9" s="33">
        <f>0</f>
        <v>0</v>
      </c>
      <c r="AJ9" s="33">
        <f>SUM(D9:AH9)/8</f>
        <v>1.0625</v>
      </c>
      <c r="AK9" s="33">
        <f>AI9+AJ9</f>
        <v>1.0625</v>
      </c>
    </row>
    <row r="10" spans="1:37" s="7" customFormat="1" ht="13.5" customHeight="1" x14ac:dyDescent="0.2">
      <c r="A10" s="89"/>
      <c r="B10" s="89"/>
      <c r="C10" s="28" t="s">
        <v>9</v>
      </c>
      <c r="D10" s="71" t="s">
        <v>10</v>
      </c>
      <c r="E10" s="65" t="s">
        <v>10</v>
      </c>
      <c r="F10" s="65"/>
      <c r="G10" s="65" t="s">
        <v>10</v>
      </c>
      <c r="H10" s="65" t="s">
        <v>10</v>
      </c>
      <c r="I10" s="65" t="s">
        <v>10</v>
      </c>
      <c r="J10" s="65" t="s">
        <v>10</v>
      </c>
      <c r="K10" s="71" t="s">
        <v>10</v>
      </c>
      <c r="L10" s="65" t="s">
        <v>10</v>
      </c>
      <c r="M10" s="65" t="s">
        <v>10</v>
      </c>
      <c r="N10" s="65" t="s">
        <v>10</v>
      </c>
      <c r="O10" s="65" t="s">
        <v>10</v>
      </c>
      <c r="P10" s="65" t="s">
        <v>10</v>
      </c>
      <c r="Q10" s="65" t="s">
        <v>10</v>
      </c>
      <c r="R10" s="71" t="s">
        <v>33</v>
      </c>
      <c r="S10" s="65" t="s">
        <v>10</v>
      </c>
      <c r="T10" s="65" t="s">
        <v>10</v>
      </c>
      <c r="U10" s="65" t="s">
        <v>10</v>
      </c>
      <c r="V10" s="65" t="s">
        <v>34</v>
      </c>
      <c r="W10" s="65" t="s">
        <v>10</v>
      </c>
      <c r="X10" s="65" t="s">
        <v>10</v>
      </c>
      <c r="Y10" s="71" t="s">
        <v>10</v>
      </c>
      <c r="Z10" s="65" t="s">
        <v>10</v>
      </c>
      <c r="AA10" s="65"/>
      <c r="AB10" s="65" t="s">
        <v>10</v>
      </c>
      <c r="AC10" s="65" t="s">
        <v>10</v>
      </c>
      <c r="AD10" s="65" t="s">
        <v>10</v>
      </c>
      <c r="AE10" s="65" t="s">
        <v>10</v>
      </c>
      <c r="AF10" s="71" t="s">
        <v>10</v>
      </c>
      <c r="AG10" s="65" t="s">
        <v>10</v>
      </c>
      <c r="AH10" s="65"/>
      <c r="AI10" s="33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27</v>
      </c>
      <c r="AJ10" s="33">
        <f>0</f>
        <v>0</v>
      </c>
      <c r="AK10" s="33">
        <f>AI10+AJ10</f>
        <v>27</v>
      </c>
    </row>
    <row r="11" spans="1:37" s="7" customFormat="1" ht="13.5" customHeight="1" x14ac:dyDescent="0.2">
      <c r="A11" s="89"/>
      <c r="B11" s="89"/>
      <c r="C11" s="28" t="s">
        <v>11</v>
      </c>
      <c r="D11" s="71"/>
      <c r="E11" s="65"/>
      <c r="F11" s="65"/>
      <c r="G11" s="65"/>
      <c r="H11" s="65"/>
      <c r="I11" s="65"/>
      <c r="J11" s="65"/>
      <c r="K11" s="71"/>
      <c r="L11" s="65"/>
      <c r="M11" s="65"/>
      <c r="N11" s="65"/>
      <c r="O11" s="65"/>
      <c r="P11" s="65"/>
      <c r="Q11" s="65"/>
      <c r="R11" s="71"/>
      <c r="S11" s="65"/>
      <c r="T11" s="65"/>
      <c r="U11" s="65"/>
      <c r="V11" s="65"/>
      <c r="W11" s="65"/>
      <c r="X11" s="65"/>
      <c r="Y11" s="71"/>
      <c r="Z11" s="65"/>
      <c r="AA11" s="65"/>
      <c r="AB11" s="65"/>
      <c r="AC11" s="65"/>
      <c r="AD11" s="65"/>
      <c r="AE11" s="65"/>
      <c r="AF11" s="71"/>
      <c r="AG11" s="65"/>
      <c r="AH11" s="65"/>
      <c r="AI11" s="33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0</v>
      </c>
      <c r="AJ11" s="33">
        <f>0</f>
        <v>0</v>
      </c>
      <c r="AK11" s="33">
        <f>AI11+AJ11</f>
        <v>0</v>
      </c>
    </row>
    <row r="12" spans="1:37" s="7" customFormat="1" ht="13.5" customHeight="1" x14ac:dyDescent="0.2">
      <c r="A12" s="90"/>
      <c r="B12" s="96"/>
      <c r="C12" s="28" t="s">
        <v>12</v>
      </c>
      <c r="D12" s="71"/>
      <c r="E12" s="65"/>
      <c r="F12" s="65"/>
      <c r="G12" s="65"/>
      <c r="H12" s="65"/>
      <c r="I12" s="65"/>
      <c r="J12" s="65"/>
      <c r="K12" s="71"/>
      <c r="L12" s="65"/>
      <c r="M12" s="65"/>
      <c r="N12" s="65"/>
      <c r="O12" s="65"/>
      <c r="P12" s="65"/>
      <c r="Q12" s="65"/>
      <c r="R12" s="71"/>
      <c r="S12" s="65"/>
      <c r="T12" s="65"/>
      <c r="U12" s="65"/>
      <c r="V12" s="65"/>
      <c r="W12" s="65"/>
      <c r="X12" s="65"/>
      <c r="Y12" s="71"/>
      <c r="Z12" s="65"/>
      <c r="AA12" s="65"/>
      <c r="AB12" s="65"/>
      <c r="AC12" s="65"/>
      <c r="AD12" s="65"/>
      <c r="AE12" s="65"/>
      <c r="AF12" s="71"/>
      <c r="AG12" s="65"/>
      <c r="AH12" s="65"/>
      <c r="AI12" s="33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0</v>
      </c>
      <c r="AJ12" s="33">
        <f>0</f>
        <v>0</v>
      </c>
      <c r="AK12" s="33">
        <f>AI12+AJ12</f>
        <v>0</v>
      </c>
    </row>
    <row r="13" spans="1:37" s="7" customFormat="1" ht="13.5" customHeight="1" x14ac:dyDescent="0.2">
      <c r="A13" s="16"/>
      <c r="B13" s="17"/>
      <c r="C13" s="69"/>
      <c r="D13" s="71"/>
      <c r="E13" s="69"/>
      <c r="F13" s="69"/>
      <c r="G13" s="69"/>
      <c r="H13" s="69"/>
      <c r="I13" s="69"/>
      <c r="J13" s="69"/>
      <c r="K13" s="71"/>
      <c r="L13" s="69"/>
      <c r="M13" s="69"/>
      <c r="N13" s="69"/>
      <c r="O13" s="69"/>
      <c r="P13" s="69"/>
      <c r="Q13" s="69"/>
      <c r="R13" s="71"/>
      <c r="S13" s="69"/>
      <c r="T13" s="69"/>
      <c r="U13" s="69"/>
      <c r="V13" s="69"/>
      <c r="W13" s="69"/>
      <c r="X13" s="69"/>
      <c r="Y13" s="71"/>
      <c r="Z13" s="69"/>
      <c r="AA13" s="69"/>
      <c r="AB13" s="69"/>
      <c r="AC13" s="69"/>
      <c r="AD13" s="69"/>
      <c r="AE13" s="69"/>
      <c r="AF13" s="71"/>
      <c r="AG13" s="69"/>
      <c r="AH13" s="69"/>
      <c r="AI13" s="78" t="str">
        <f>""</f>
        <v/>
      </c>
      <c r="AJ13" s="78" t="str">
        <f>""</f>
        <v/>
      </c>
      <c r="AK13" s="78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8" t="s">
        <v>8</v>
      </c>
      <c r="D14" s="71"/>
      <c r="E14" s="65"/>
      <c r="F14" s="65"/>
      <c r="G14" s="65"/>
      <c r="H14" s="65"/>
      <c r="I14" s="65"/>
      <c r="J14" s="65"/>
      <c r="K14" s="71"/>
      <c r="L14" s="65"/>
      <c r="M14" s="65"/>
      <c r="N14" s="65"/>
      <c r="O14" s="65"/>
      <c r="P14" s="65"/>
      <c r="Q14" s="65"/>
      <c r="R14" s="71"/>
      <c r="S14" s="65"/>
      <c r="T14" s="65"/>
      <c r="U14" s="65"/>
      <c r="V14" s="65"/>
      <c r="W14" s="65"/>
      <c r="X14" s="65"/>
      <c r="Y14" s="71"/>
      <c r="Z14" s="65"/>
      <c r="AA14" s="65"/>
      <c r="AB14" s="65"/>
      <c r="AC14" s="65"/>
      <c r="AD14" s="65"/>
      <c r="AE14" s="65"/>
      <c r="AF14" s="71"/>
      <c r="AG14" s="65"/>
      <c r="AH14" s="65">
        <v>9.5</v>
      </c>
      <c r="AI14" s="33">
        <f>0</f>
        <v>0</v>
      </c>
      <c r="AJ14" s="33">
        <f>SUM(D14:AH14)/8</f>
        <v>1.1875</v>
      </c>
      <c r="AK14" s="33">
        <f t="shared" ref="AK14:AK22" si="1">AI14+AJ14</f>
        <v>1.1875</v>
      </c>
    </row>
    <row r="15" spans="1:37" s="7" customFormat="1" ht="13.5" customHeight="1" x14ac:dyDescent="0.2">
      <c r="A15" s="89"/>
      <c r="B15" s="89"/>
      <c r="C15" s="28" t="s">
        <v>9</v>
      </c>
      <c r="D15" s="71" t="s">
        <v>10</v>
      </c>
      <c r="E15" s="65" t="s">
        <v>10</v>
      </c>
      <c r="F15" s="65"/>
      <c r="G15" s="65" t="s">
        <v>10</v>
      </c>
      <c r="H15" s="65" t="s">
        <v>10</v>
      </c>
      <c r="I15" s="65" t="s">
        <v>10</v>
      </c>
      <c r="J15" s="65" t="s">
        <v>10</v>
      </c>
      <c r="K15" s="71" t="s">
        <v>10</v>
      </c>
      <c r="L15" s="65" t="s">
        <v>10</v>
      </c>
      <c r="M15" s="65" t="s">
        <v>10</v>
      </c>
      <c r="N15" s="65" t="s">
        <v>10</v>
      </c>
      <c r="O15" s="65" t="s">
        <v>10</v>
      </c>
      <c r="P15" s="65" t="s">
        <v>10</v>
      </c>
      <c r="Q15" s="65" t="s">
        <v>10</v>
      </c>
      <c r="R15" s="71" t="s">
        <v>33</v>
      </c>
      <c r="S15" s="65" t="s">
        <v>10</v>
      </c>
      <c r="T15" s="65" t="s">
        <v>10</v>
      </c>
      <c r="U15" s="65" t="s">
        <v>10</v>
      </c>
      <c r="V15" s="65" t="s">
        <v>35</v>
      </c>
      <c r="W15" s="65" t="s">
        <v>10</v>
      </c>
      <c r="X15" s="65" t="s">
        <v>10</v>
      </c>
      <c r="Y15" s="71" t="s">
        <v>10</v>
      </c>
      <c r="Z15" s="65" t="s">
        <v>10</v>
      </c>
      <c r="AA15" s="65"/>
      <c r="AB15" s="65" t="s">
        <v>10</v>
      </c>
      <c r="AC15" s="65" t="s">
        <v>10</v>
      </c>
      <c r="AD15" s="65" t="s">
        <v>10</v>
      </c>
      <c r="AE15" s="65" t="s">
        <v>10</v>
      </c>
      <c r="AF15" s="71" t="s">
        <v>10</v>
      </c>
      <c r="AG15" s="65" t="s">
        <v>10</v>
      </c>
      <c r="AH15" s="65"/>
      <c r="AI15" s="33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27</v>
      </c>
      <c r="AJ15" s="33">
        <f>0</f>
        <v>0</v>
      </c>
      <c r="AK15" s="33">
        <f t="shared" si="1"/>
        <v>27</v>
      </c>
    </row>
    <row r="16" spans="1:37" s="7" customFormat="1" ht="13.5" customHeight="1" x14ac:dyDescent="0.2">
      <c r="A16" s="89"/>
      <c r="B16" s="89"/>
      <c r="C16" s="28" t="s">
        <v>11</v>
      </c>
      <c r="D16" s="71"/>
      <c r="E16" s="65"/>
      <c r="F16" s="65"/>
      <c r="G16" s="65"/>
      <c r="H16" s="65"/>
      <c r="I16" s="65"/>
      <c r="J16" s="65"/>
      <c r="K16" s="71"/>
      <c r="L16" s="65"/>
      <c r="M16" s="65"/>
      <c r="N16" s="65"/>
      <c r="O16" s="65"/>
      <c r="P16" s="65"/>
      <c r="Q16" s="65"/>
      <c r="R16" s="71"/>
      <c r="S16" s="65"/>
      <c r="T16" s="65"/>
      <c r="U16" s="65"/>
      <c r="V16" s="65"/>
      <c r="W16" s="65"/>
      <c r="X16" s="65"/>
      <c r="Y16" s="71"/>
      <c r="Z16" s="65"/>
      <c r="AA16" s="65"/>
      <c r="AB16" s="65"/>
      <c r="AC16" s="65"/>
      <c r="AD16" s="65"/>
      <c r="AE16" s="65"/>
      <c r="AF16" s="71"/>
      <c r="AG16" s="65"/>
      <c r="AH16" s="65"/>
      <c r="AI16" s="33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33">
        <f>0</f>
        <v>0</v>
      </c>
      <c r="AK16" s="33">
        <f t="shared" si="1"/>
        <v>0</v>
      </c>
    </row>
    <row r="17" spans="1:44" s="7" customFormat="1" ht="13.5" customHeight="1" x14ac:dyDescent="0.2">
      <c r="A17" s="90"/>
      <c r="B17" s="96"/>
      <c r="C17" s="28" t="s">
        <v>12</v>
      </c>
      <c r="D17" s="71"/>
      <c r="E17" s="65"/>
      <c r="F17" s="65"/>
      <c r="G17" s="65"/>
      <c r="H17" s="65"/>
      <c r="I17" s="65"/>
      <c r="J17" s="65"/>
      <c r="K17" s="71"/>
      <c r="L17" s="65"/>
      <c r="M17" s="65"/>
      <c r="N17" s="65"/>
      <c r="O17" s="65"/>
      <c r="P17" s="65"/>
      <c r="Q17" s="65"/>
      <c r="R17" s="71"/>
      <c r="S17" s="65"/>
      <c r="T17" s="65"/>
      <c r="U17" s="65"/>
      <c r="V17" s="65"/>
      <c r="W17" s="65"/>
      <c r="X17" s="65"/>
      <c r="Y17" s="71"/>
      <c r="Z17" s="65"/>
      <c r="AA17" s="65"/>
      <c r="AB17" s="65"/>
      <c r="AC17" s="65"/>
      <c r="AD17" s="65"/>
      <c r="AE17" s="65"/>
      <c r="AF17" s="71"/>
      <c r="AG17" s="65"/>
      <c r="AH17" s="65"/>
      <c r="AI17" s="33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33">
        <f>0</f>
        <v>0</v>
      </c>
      <c r="AK17" s="33">
        <f t="shared" si="1"/>
        <v>0</v>
      </c>
    </row>
    <row r="18" spans="1:44" s="7" customFormat="1" ht="13.5" customHeight="1" x14ac:dyDescent="0.2">
      <c r="A18" s="16"/>
      <c r="B18" s="17"/>
      <c r="C18" s="69"/>
      <c r="D18" s="71"/>
      <c r="E18" s="69"/>
      <c r="F18" s="69"/>
      <c r="G18" s="69"/>
      <c r="H18" s="69"/>
      <c r="I18" s="69"/>
      <c r="J18" s="69"/>
      <c r="K18" s="71"/>
      <c r="L18" s="69"/>
      <c r="M18" s="69"/>
      <c r="N18" s="69"/>
      <c r="O18" s="69"/>
      <c r="P18" s="69"/>
      <c r="Q18" s="69"/>
      <c r="R18" s="71"/>
      <c r="S18" s="69"/>
      <c r="T18" s="69"/>
      <c r="U18" s="69"/>
      <c r="V18" s="69"/>
      <c r="W18" s="69"/>
      <c r="X18" s="69"/>
      <c r="Y18" s="71"/>
      <c r="Z18" s="69"/>
      <c r="AA18" s="69"/>
      <c r="AB18" s="69"/>
      <c r="AC18" s="69"/>
      <c r="AD18" s="69"/>
      <c r="AE18" s="69"/>
      <c r="AF18" s="71"/>
      <c r="AG18" s="69"/>
      <c r="AH18" s="69"/>
      <c r="AI18" s="78" t="str">
        <f>""</f>
        <v/>
      </c>
      <c r="AJ18" s="78" t="str">
        <f>""</f>
        <v/>
      </c>
      <c r="AK18" s="78" t="e">
        <f t="shared" si="1"/>
        <v>#VALUE!</v>
      </c>
    </row>
    <row r="19" spans="1:44" s="7" customFormat="1" ht="13.5" customHeight="1" x14ac:dyDescent="0.2">
      <c r="A19" s="94">
        <v>4</v>
      </c>
      <c r="B19" s="97" t="s">
        <v>16</v>
      </c>
      <c r="C19" s="28" t="s">
        <v>8</v>
      </c>
      <c r="D19" s="71"/>
      <c r="E19" s="65"/>
      <c r="F19" s="65"/>
      <c r="G19" s="65"/>
      <c r="H19" s="65"/>
      <c r="I19" s="65"/>
      <c r="J19" s="65"/>
      <c r="K19" s="71"/>
      <c r="L19" s="65"/>
      <c r="M19" s="65"/>
      <c r="N19" s="65"/>
      <c r="O19" s="65"/>
      <c r="P19" s="65"/>
      <c r="Q19" s="65"/>
      <c r="R19" s="71"/>
      <c r="S19" s="65"/>
      <c r="T19" s="65"/>
      <c r="U19" s="65"/>
      <c r="V19" s="65"/>
      <c r="W19" s="65"/>
      <c r="X19" s="65"/>
      <c r="Y19" s="71"/>
      <c r="Z19" s="65"/>
      <c r="AA19" s="65"/>
      <c r="AB19" s="65"/>
      <c r="AC19" s="65"/>
      <c r="AD19" s="65"/>
      <c r="AE19" s="65"/>
      <c r="AF19" s="71"/>
      <c r="AG19" s="65"/>
      <c r="AH19" s="65">
        <v>10.5</v>
      </c>
      <c r="AI19" s="33">
        <f>0</f>
        <v>0</v>
      </c>
      <c r="AJ19" s="33">
        <f>SUM(D19:AH19)/8</f>
        <v>1.3125</v>
      </c>
      <c r="AK19" s="33">
        <f t="shared" si="1"/>
        <v>1.3125</v>
      </c>
    </row>
    <row r="20" spans="1:44" s="7" customFormat="1" ht="13.5" customHeight="1" x14ac:dyDescent="0.2">
      <c r="A20" s="89"/>
      <c r="B20" s="89"/>
      <c r="C20" s="28" t="s">
        <v>9</v>
      </c>
      <c r="D20" s="71" t="s">
        <v>10</v>
      </c>
      <c r="E20" s="65" t="s">
        <v>10</v>
      </c>
      <c r="F20" s="65"/>
      <c r="G20" s="65" t="s">
        <v>10</v>
      </c>
      <c r="H20" s="65" t="s">
        <v>10</v>
      </c>
      <c r="I20" s="65" t="s">
        <v>10</v>
      </c>
      <c r="J20" s="65" t="s">
        <v>10</v>
      </c>
      <c r="K20" s="71" t="s">
        <v>10</v>
      </c>
      <c r="L20" s="65" t="s">
        <v>10</v>
      </c>
      <c r="M20" s="65" t="s">
        <v>10</v>
      </c>
      <c r="N20" s="65" t="s">
        <v>10</v>
      </c>
      <c r="O20" s="65" t="s">
        <v>10</v>
      </c>
      <c r="P20" s="65" t="s">
        <v>10</v>
      </c>
      <c r="Q20" s="65" t="s">
        <v>10</v>
      </c>
      <c r="R20" s="71" t="s">
        <v>33</v>
      </c>
      <c r="S20" s="65" t="s">
        <v>10</v>
      </c>
      <c r="T20" s="65" t="s">
        <v>10</v>
      </c>
      <c r="U20" s="65" t="s">
        <v>10</v>
      </c>
      <c r="V20" s="65" t="s">
        <v>36</v>
      </c>
      <c r="W20" s="65" t="s">
        <v>10</v>
      </c>
      <c r="X20" s="65" t="s">
        <v>10</v>
      </c>
      <c r="Y20" s="71" t="s">
        <v>10</v>
      </c>
      <c r="Z20" s="65" t="s">
        <v>10</v>
      </c>
      <c r="AA20" s="65"/>
      <c r="AB20" s="65" t="s">
        <v>10</v>
      </c>
      <c r="AC20" s="65" t="s">
        <v>10</v>
      </c>
      <c r="AD20" s="65" t="s">
        <v>10</v>
      </c>
      <c r="AE20" s="65" t="s">
        <v>10</v>
      </c>
      <c r="AF20" s="71" t="s">
        <v>10</v>
      </c>
      <c r="AG20" s="65" t="s">
        <v>10</v>
      </c>
      <c r="AH20" s="65"/>
      <c r="AI20" s="33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27</v>
      </c>
      <c r="AJ20" s="33">
        <f>0</f>
        <v>0</v>
      </c>
      <c r="AK20" s="33">
        <f t="shared" si="1"/>
        <v>27</v>
      </c>
    </row>
    <row r="21" spans="1:44" s="7" customFormat="1" ht="13.5" customHeight="1" x14ac:dyDescent="0.2">
      <c r="A21" s="89"/>
      <c r="B21" s="89"/>
      <c r="C21" s="28" t="s">
        <v>11</v>
      </c>
      <c r="D21" s="71"/>
      <c r="E21" s="65"/>
      <c r="F21" s="65"/>
      <c r="G21" s="65"/>
      <c r="H21" s="65"/>
      <c r="I21" s="65"/>
      <c r="J21" s="65"/>
      <c r="K21" s="71"/>
      <c r="L21" s="65"/>
      <c r="M21" s="65"/>
      <c r="N21" s="65"/>
      <c r="O21" s="65"/>
      <c r="P21" s="65"/>
      <c r="Q21" s="65"/>
      <c r="R21" s="71"/>
      <c r="S21" s="65"/>
      <c r="T21" s="65"/>
      <c r="U21" s="65"/>
      <c r="V21" s="65"/>
      <c r="W21" s="65"/>
      <c r="X21" s="65"/>
      <c r="Y21" s="71"/>
      <c r="Z21" s="65"/>
      <c r="AA21" s="65"/>
      <c r="AB21" s="65"/>
      <c r="AC21" s="65"/>
      <c r="AD21" s="65"/>
      <c r="AE21" s="65"/>
      <c r="AF21" s="71"/>
      <c r="AG21" s="65"/>
      <c r="AH21" s="65"/>
      <c r="AI21" s="33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0</v>
      </c>
      <c r="AJ21" s="33">
        <f>0</f>
        <v>0</v>
      </c>
      <c r="AK21" s="33">
        <f t="shared" si="1"/>
        <v>0</v>
      </c>
    </row>
    <row r="22" spans="1:44" s="7" customFormat="1" ht="13.5" customHeight="1" x14ac:dyDescent="0.2">
      <c r="A22" s="90"/>
      <c r="B22" s="96"/>
      <c r="C22" s="28" t="s">
        <v>12</v>
      </c>
      <c r="D22" s="71"/>
      <c r="E22" s="65"/>
      <c r="F22" s="65"/>
      <c r="G22" s="65"/>
      <c r="H22" s="65"/>
      <c r="I22" s="65"/>
      <c r="J22" s="65"/>
      <c r="K22" s="71"/>
      <c r="L22" s="65"/>
      <c r="M22" s="65"/>
      <c r="N22" s="65"/>
      <c r="O22" s="65"/>
      <c r="P22" s="65"/>
      <c r="Q22" s="65"/>
      <c r="R22" s="71"/>
      <c r="S22" s="65"/>
      <c r="T22" s="65"/>
      <c r="U22" s="65"/>
      <c r="V22" s="65"/>
      <c r="W22" s="65"/>
      <c r="X22" s="65"/>
      <c r="Y22" s="71"/>
      <c r="Z22" s="65"/>
      <c r="AA22" s="65"/>
      <c r="AB22" s="65"/>
      <c r="AC22" s="65"/>
      <c r="AD22" s="65"/>
      <c r="AE22" s="65"/>
      <c r="AF22" s="71"/>
      <c r="AG22" s="65"/>
      <c r="AH22" s="65"/>
      <c r="AI22" s="33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33">
        <f>0</f>
        <v>0</v>
      </c>
      <c r="AK22" s="33">
        <f t="shared" si="1"/>
        <v>0</v>
      </c>
    </row>
    <row r="23" spans="1:44" s="7" customFormat="1" ht="13.5" customHeight="1" x14ac:dyDescent="0.2">
      <c r="A23" s="16"/>
      <c r="B23" s="17"/>
      <c r="C23" s="69"/>
      <c r="D23" s="71"/>
      <c r="E23" s="69"/>
      <c r="F23" s="69"/>
      <c r="G23" s="69"/>
      <c r="H23" s="69"/>
      <c r="I23" s="69"/>
      <c r="J23" s="69"/>
      <c r="K23" s="71"/>
      <c r="L23" s="69"/>
      <c r="M23" s="69"/>
      <c r="N23" s="69"/>
      <c r="O23" s="69"/>
      <c r="P23" s="69"/>
      <c r="Q23" s="69"/>
      <c r="R23" s="71"/>
      <c r="S23" s="69"/>
      <c r="T23" s="69"/>
      <c r="U23" s="69"/>
      <c r="V23" s="69"/>
      <c r="W23" s="69"/>
      <c r="X23" s="69"/>
      <c r="Y23" s="71"/>
      <c r="Z23" s="69"/>
      <c r="AA23" s="69"/>
      <c r="AB23" s="69"/>
      <c r="AC23" s="69"/>
      <c r="AD23" s="69"/>
      <c r="AE23" s="69"/>
      <c r="AF23" s="71"/>
      <c r="AG23" s="69"/>
      <c r="AH23" s="69"/>
      <c r="AI23" s="78" t="str">
        <f>""</f>
        <v/>
      </c>
      <c r="AJ23" s="78" t="str">
        <f>""</f>
        <v/>
      </c>
      <c r="AK23" s="78" t="str">
        <f>""</f>
        <v/>
      </c>
    </row>
    <row r="24" spans="1:44" s="7" customFormat="1" ht="13.5" customHeight="1" x14ac:dyDescent="0.2">
      <c r="A24" s="94">
        <v>5</v>
      </c>
      <c r="B24" s="97" t="s">
        <v>17</v>
      </c>
      <c r="C24" s="28" t="s">
        <v>8</v>
      </c>
      <c r="D24" s="71"/>
      <c r="E24" s="65"/>
      <c r="F24" s="65"/>
      <c r="G24" s="65"/>
      <c r="H24" s="65"/>
      <c r="I24" s="65"/>
      <c r="J24" s="65"/>
      <c r="K24" s="71"/>
      <c r="L24" s="65"/>
      <c r="M24" s="65"/>
      <c r="N24" s="65"/>
      <c r="O24" s="65"/>
      <c r="P24" s="65"/>
      <c r="Q24" s="65"/>
      <c r="R24" s="71"/>
      <c r="S24" s="65"/>
      <c r="T24" s="65"/>
      <c r="U24" s="65"/>
      <c r="V24" s="65"/>
      <c r="W24" s="65"/>
      <c r="X24" s="65"/>
      <c r="Y24" s="71"/>
      <c r="Z24" s="65"/>
      <c r="AA24" s="65"/>
      <c r="AB24" s="65"/>
      <c r="AC24" s="65"/>
      <c r="AD24" s="65"/>
      <c r="AE24" s="65"/>
      <c r="AF24" s="71"/>
      <c r="AG24" s="65"/>
      <c r="AH24" s="65">
        <v>11.5</v>
      </c>
      <c r="AI24" s="33">
        <f>0</f>
        <v>0</v>
      </c>
      <c r="AJ24" s="33">
        <f>SUM(D24:AH24)/8</f>
        <v>1.4375</v>
      </c>
      <c r="AK24" s="33">
        <f>AI24+AJ24</f>
        <v>1.4375</v>
      </c>
      <c r="AR24" s="10"/>
    </row>
    <row r="25" spans="1:44" s="7" customFormat="1" ht="13.5" customHeight="1" x14ac:dyDescent="0.2">
      <c r="A25" s="89"/>
      <c r="B25" s="89"/>
      <c r="C25" s="28" t="s">
        <v>9</v>
      </c>
      <c r="D25" s="71" t="s">
        <v>10</v>
      </c>
      <c r="E25" s="65" t="s">
        <v>10</v>
      </c>
      <c r="F25" s="65"/>
      <c r="G25" s="65" t="s">
        <v>10</v>
      </c>
      <c r="H25" s="65" t="s">
        <v>10</v>
      </c>
      <c r="I25" s="65" t="s">
        <v>10</v>
      </c>
      <c r="J25" s="65" t="s">
        <v>10</v>
      </c>
      <c r="K25" s="71" t="s">
        <v>10</v>
      </c>
      <c r="L25" s="65" t="s">
        <v>10</v>
      </c>
      <c r="M25" s="65" t="s">
        <v>10</v>
      </c>
      <c r="N25" s="65" t="s">
        <v>10</v>
      </c>
      <c r="O25" s="65" t="s">
        <v>10</v>
      </c>
      <c r="P25" s="65" t="s">
        <v>10</v>
      </c>
      <c r="Q25" s="65" t="s">
        <v>10</v>
      </c>
      <c r="R25" s="71" t="s">
        <v>33</v>
      </c>
      <c r="S25" s="65" t="s">
        <v>10</v>
      </c>
      <c r="T25" s="65" t="s">
        <v>10</v>
      </c>
      <c r="U25" s="65" t="s">
        <v>10</v>
      </c>
      <c r="V25" s="65" t="s">
        <v>37</v>
      </c>
      <c r="W25" s="65" t="s">
        <v>10</v>
      </c>
      <c r="X25" s="65" t="s">
        <v>10</v>
      </c>
      <c r="Y25" s="71" t="s">
        <v>10</v>
      </c>
      <c r="Z25" s="65" t="s">
        <v>10</v>
      </c>
      <c r="AA25" s="65"/>
      <c r="AB25" s="65" t="s">
        <v>10</v>
      </c>
      <c r="AC25" s="65" t="s">
        <v>10</v>
      </c>
      <c r="AD25" s="65" t="s">
        <v>10</v>
      </c>
      <c r="AE25" s="65" t="s">
        <v>10</v>
      </c>
      <c r="AF25" s="71" t="s">
        <v>10</v>
      </c>
      <c r="AG25" s="65" t="s">
        <v>10</v>
      </c>
      <c r="AH25" s="65"/>
      <c r="AI25" s="33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27</v>
      </c>
      <c r="AJ25" s="33">
        <f>0</f>
        <v>0</v>
      </c>
      <c r="AK25" s="33">
        <f>AI25+AJ25</f>
        <v>27</v>
      </c>
    </row>
    <row r="26" spans="1:44" ht="12.75" customHeight="1" x14ac:dyDescent="0.2">
      <c r="A26" s="89"/>
      <c r="B26" s="89"/>
      <c r="C26" s="28" t="s">
        <v>11</v>
      </c>
      <c r="D26" s="71"/>
      <c r="E26" s="65"/>
      <c r="F26" s="65"/>
      <c r="G26" s="65"/>
      <c r="H26" s="65"/>
      <c r="I26" s="65"/>
      <c r="J26" s="65"/>
      <c r="K26" s="71"/>
      <c r="L26" s="65"/>
      <c r="M26" s="65"/>
      <c r="N26" s="65"/>
      <c r="O26" s="65"/>
      <c r="P26" s="65"/>
      <c r="Q26" s="65"/>
      <c r="R26" s="71"/>
      <c r="S26" s="65"/>
      <c r="T26" s="65"/>
      <c r="U26" s="65"/>
      <c r="V26" s="65"/>
      <c r="W26" s="65"/>
      <c r="X26" s="65"/>
      <c r="Y26" s="71"/>
      <c r="Z26" s="65"/>
      <c r="AA26" s="65"/>
      <c r="AB26" s="65"/>
      <c r="AC26" s="65"/>
      <c r="AD26" s="65"/>
      <c r="AE26" s="65"/>
      <c r="AF26" s="71"/>
      <c r="AG26" s="65"/>
      <c r="AH26" s="65"/>
      <c r="AI26" s="33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0</v>
      </c>
      <c r="AJ26" s="33">
        <f>0</f>
        <v>0</v>
      </c>
      <c r="AK26" s="33">
        <f>AI26+AJ26</f>
        <v>0</v>
      </c>
    </row>
    <row r="27" spans="1:44" s="7" customFormat="1" ht="13.5" customHeight="1" x14ac:dyDescent="0.2">
      <c r="A27" s="90"/>
      <c r="B27" s="96"/>
      <c r="C27" s="28" t="s">
        <v>12</v>
      </c>
      <c r="D27" s="71"/>
      <c r="E27" s="65"/>
      <c r="F27" s="65"/>
      <c r="G27" s="65"/>
      <c r="H27" s="65"/>
      <c r="I27" s="65"/>
      <c r="J27" s="65"/>
      <c r="K27" s="71"/>
      <c r="L27" s="65"/>
      <c r="M27" s="65"/>
      <c r="N27" s="65"/>
      <c r="O27" s="65"/>
      <c r="P27" s="65"/>
      <c r="Q27" s="65"/>
      <c r="R27" s="71"/>
      <c r="S27" s="65"/>
      <c r="T27" s="65"/>
      <c r="U27" s="65"/>
      <c r="V27" s="65"/>
      <c r="W27" s="65"/>
      <c r="X27" s="65"/>
      <c r="Y27" s="71"/>
      <c r="Z27" s="65"/>
      <c r="AA27" s="65"/>
      <c r="AB27" s="65"/>
      <c r="AC27" s="65"/>
      <c r="AD27" s="65"/>
      <c r="AE27" s="65"/>
      <c r="AF27" s="71"/>
      <c r="AG27" s="65"/>
      <c r="AH27" s="65"/>
      <c r="AI27" s="33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33">
        <f>0</f>
        <v>0</v>
      </c>
      <c r="AK27" s="33">
        <f>AI27+AJ27</f>
        <v>0</v>
      </c>
    </row>
    <row r="28" spans="1:44" ht="13.5" customHeight="1" x14ac:dyDescent="0.2">
      <c r="A28" s="16"/>
      <c r="B28" s="17"/>
      <c r="C28" s="69"/>
      <c r="D28" s="71"/>
      <c r="E28" s="69"/>
      <c r="F28" s="69"/>
      <c r="G28" s="69"/>
      <c r="H28" s="69"/>
      <c r="I28" s="69"/>
      <c r="J28" s="69"/>
      <c r="K28" s="71"/>
      <c r="L28" s="69"/>
      <c r="M28" s="69"/>
      <c r="N28" s="69"/>
      <c r="O28" s="69"/>
      <c r="P28" s="69"/>
      <c r="Q28" s="69"/>
      <c r="R28" s="71"/>
      <c r="S28" s="69"/>
      <c r="T28" s="69"/>
      <c r="U28" s="69"/>
      <c r="V28" s="69"/>
      <c r="W28" s="69"/>
      <c r="X28" s="69"/>
      <c r="Y28" s="71"/>
      <c r="Z28" s="69"/>
      <c r="AA28" s="69"/>
      <c r="AB28" s="69"/>
      <c r="AC28" s="69"/>
      <c r="AD28" s="69"/>
      <c r="AE28" s="69"/>
      <c r="AF28" s="71"/>
      <c r="AG28" s="69"/>
      <c r="AH28" s="69"/>
      <c r="AI28" s="78" t="str">
        <f>""</f>
        <v/>
      </c>
      <c r="AJ28" s="78" t="str">
        <f>""</f>
        <v/>
      </c>
      <c r="AK28" s="78" t="str">
        <f>""</f>
        <v/>
      </c>
    </row>
    <row r="29" spans="1:44" s="7" customFormat="1" ht="13.5" customHeight="1" x14ac:dyDescent="0.2">
      <c r="A29" s="94">
        <v>6</v>
      </c>
      <c r="B29" s="97" t="s">
        <v>18</v>
      </c>
      <c r="C29" s="28" t="s">
        <v>8</v>
      </c>
      <c r="D29" s="71"/>
      <c r="E29" s="65"/>
      <c r="F29" s="65"/>
      <c r="G29" s="65"/>
      <c r="H29" s="65"/>
      <c r="I29" s="65"/>
      <c r="J29" s="65"/>
      <c r="K29" s="71"/>
      <c r="L29" s="65"/>
      <c r="M29" s="65"/>
      <c r="N29" s="65"/>
      <c r="O29" s="65"/>
      <c r="P29" s="65"/>
      <c r="Q29" s="65"/>
      <c r="R29" s="71"/>
      <c r="S29" s="65"/>
      <c r="T29" s="65"/>
      <c r="U29" s="65"/>
      <c r="V29" s="65"/>
      <c r="W29" s="65"/>
      <c r="X29" s="65"/>
      <c r="Y29" s="71"/>
      <c r="Z29" s="65"/>
      <c r="AA29" s="65"/>
      <c r="AB29" s="65"/>
      <c r="AC29" s="65"/>
      <c r="AD29" s="65"/>
      <c r="AE29" s="65"/>
      <c r="AF29" s="71"/>
      <c r="AG29" s="65"/>
      <c r="AH29" s="65">
        <v>12.5</v>
      </c>
      <c r="AI29" s="33">
        <f>0</f>
        <v>0</v>
      </c>
      <c r="AJ29" s="33">
        <f>SUM(D29:AH29)/8</f>
        <v>1.5625</v>
      </c>
      <c r="AK29" s="33">
        <f>AI29+AJ29</f>
        <v>1.5625</v>
      </c>
    </row>
    <row r="30" spans="1:44" ht="20.25" customHeight="1" x14ac:dyDescent="0.2">
      <c r="A30" s="89"/>
      <c r="B30" s="89"/>
      <c r="C30" s="28" t="s">
        <v>9</v>
      </c>
      <c r="D30" s="71" t="s">
        <v>10</v>
      </c>
      <c r="E30" s="65" t="s">
        <v>10</v>
      </c>
      <c r="F30" s="65"/>
      <c r="G30" s="65" t="s">
        <v>10</v>
      </c>
      <c r="H30" s="65" t="s">
        <v>10</v>
      </c>
      <c r="I30" s="65" t="s">
        <v>10</v>
      </c>
      <c r="J30" s="65" t="s">
        <v>10</v>
      </c>
      <c r="K30" s="71" t="s">
        <v>10</v>
      </c>
      <c r="L30" s="65" t="s">
        <v>10</v>
      </c>
      <c r="M30" s="65" t="s">
        <v>10</v>
      </c>
      <c r="N30" s="65" t="s">
        <v>10</v>
      </c>
      <c r="O30" s="65" t="s">
        <v>10</v>
      </c>
      <c r="P30" s="65" t="s">
        <v>10</v>
      </c>
      <c r="Q30" s="65" t="s">
        <v>10</v>
      </c>
      <c r="R30" s="71" t="s">
        <v>33</v>
      </c>
      <c r="S30" s="65" t="s">
        <v>10</v>
      </c>
      <c r="T30" s="65" t="s">
        <v>10</v>
      </c>
      <c r="U30" s="65" t="s">
        <v>10</v>
      </c>
      <c r="V30" s="65" t="s">
        <v>38</v>
      </c>
      <c r="W30" s="65" t="s">
        <v>10</v>
      </c>
      <c r="X30" s="65" t="s">
        <v>10</v>
      </c>
      <c r="Y30" s="71" t="s">
        <v>10</v>
      </c>
      <c r="Z30" s="65" t="s">
        <v>10</v>
      </c>
      <c r="AA30" s="65"/>
      <c r="AB30" s="65" t="s">
        <v>10</v>
      </c>
      <c r="AC30" s="65" t="s">
        <v>10</v>
      </c>
      <c r="AD30" s="65" t="s">
        <v>10</v>
      </c>
      <c r="AE30" s="65" t="s">
        <v>10</v>
      </c>
      <c r="AF30" s="71" t="s">
        <v>10</v>
      </c>
      <c r="AG30" s="65" t="s">
        <v>10</v>
      </c>
      <c r="AH30" s="65"/>
      <c r="AI30" s="33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27</v>
      </c>
      <c r="AJ30" s="33">
        <f>0</f>
        <v>0</v>
      </c>
      <c r="AK30" s="33">
        <f>0</f>
        <v>0</v>
      </c>
    </row>
    <row r="31" spans="1:44" x14ac:dyDescent="0.2">
      <c r="A31" s="89"/>
      <c r="B31" s="89"/>
      <c r="C31" s="28" t="s">
        <v>11</v>
      </c>
      <c r="D31" s="71"/>
      <c r="E31" s="65"/>
      <c r="F31" s="65"/>
      <c r="G31" s="65"/>
      <c r="H31" s="65"/>
      <c r="I31" s="65"/>
      <c r="J31" s="65"/>
      <c r="K31" s="71"/>
      <c r="L31" s="65"/>
      <c r="M31" s="65"/>
      <c r="N31" s="65"/>
      <c r="O31" s="65"/>
      <c r="P31" s="65"/>
      <c r="Q31" s="65"/>
      <c r="R31" s="71"/>
      <c r="S31" s="65"/>
      <c r="T31" s="65"/>
      <c r="U31" s="65"/>
      <c r="V31" s="65"/>
      <c r="W31" s="65"/>
      <c r="X31" s="65"/>
      <c r="Y31" s="71"/>
      <c r="Z31" s="65"/>
      <c r="AA31" s="65"/>
      <c r="AB31" s="65"/>
      <c r="AC31" s="65"/>
      <c r="AD31" s="65"/>
      <c r="AE31" s="65"/>
      <c r="AF31" s="71"/>
      <c r="AG31" s="65"/>
      <c r="AH31" s="65"/>
      <c r="AI31" s="33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0</v>
      </c>
      <c r="AJ31" s="33">
        <f>0</f>
        <v>0</v>
      </c>
      <c r="AK31" s="33">
        <f>AI31+AJ31</f>
        <v>0</v>
      </c>
    </row>
    <row r="32" spans="1:44" ht="14.25" customHeight="1" x14ac:dyDescent="0.2">
      <c r="A32" s="90"/>
      <c r="B32" s="96"/>
      <c r="C32" s="27" t="s">
        <v>12</v>
      </c>
      <c r="D32" s="71"/>
      <c r="E32" s="65"/>
      <c r="F32" s="65"/>
      <c r="G32" s="65"/>
      <c r="H32" s="65"/>
      <c r="I32" s="65"/>
      <c r="J32" s="65"/>
      <c r="K32" s="71"/>
      <c r="L32" s="65"/>
      <c r="M32" s="65"/>
      <c r="N32" s="65"/>
      <c r="O32" s="65"/>
      <c r="P32" s="65"/>
      <c r="Q32" s="65"/>
      <c r="R32" s="71"/>
      <c r="S32" s="65"/>
      <c r="T32" s="65"/>
      <c r="U32" s="65"/>
      <c r="V32" s="65"/>
      <c r="W32" s="65"/>
      <c r="X32" s="65"/>
      <c r="Y32" s="71"/>
      <c r="Z32" s="65"/>
      <c r="AA32" s="65"/>
      <c r="AB32" s="65"/>
      <c r="AC32" s="65"/>
      <c r="AD32" s="65"/>
      <c r="AE32" s="65"/>
      <c r="AF32" s="71"/>
      <c r="AG32" s="65"/>
      <c r="AH32" s="65"/>
      <c r="AI32" s="35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0</v>
      </c>
      <c r="AJ32" s="35">
        <f>0</f>
        <v>0</v>
      </c>
      <c r="AK32" s="33">
        <f>AI32+AJ32</f>
        <v>0</v>
      </c>
    </row>
    <row r="33" spans="1:37" ht="14.25" customHeight="1" x14ac:dyDescent="0.2">
      <c r="A33" s="16"/>
      <c r="B33" s="17"/>
      <c r="C33" s="76"/>
      <c r="D33" s="71"/>
      <c r="E33" s="69"/>
      <c r="F33" s="69"/>
      <c r="G33" s="69"/>
      <c r="H33" s="69"/>
      <c r="I33" s="69"/>
      <c r="J33" s="69"/>
      <c r="K33" s="71"/>
      <c r="L33" s="69"/>
      <c r="M33" s="69"/>
      <c r="N33" s="69"/>
      <c r="O33" s="69"/>
      <c r="P33" s="69"/>
      <c r="Q33" s="69"/>
      <c r="R33" s="71"/>
      <c r="S33" s="69"/>
      <c r="T33" s="69"/>
      <c r="U33" s="69"/>
      <c r="V33" s="69"/>
      <c r="W33" s="69"/>
      <c r="X33" s="69"/>
      <c r="Y33" s="71"/>
      <c r="Z33" s="69"/>
      <c r="AA33" s="69"/>
      <c r="AB33" s="69"/>
      <c r="AC33" s="69"/>
      <c r="AD33" s="69"/>
      <c r="AE33" s="69"/>
      <c r="AF33" s="71"/>
      <c r="AG33" s="69"/>
      <c r="AH33" s="69"/>
      <c r="AI33" s="79" t="str">
        <f>""</f>
        <v/>
      </c>
      <c r="AJ33" s="79" t="str">
        <f>""</f>
        <v/>
      </c>
      <c r="AK33" s="78" t="str">
        <f>""</f>
        <v/>
      </c>
    </row>
    <row r="34" spans="1:37" ht="14.25" customHeight="1" x14ac:dyDescent="0.2">
      <c r="A34" s="94">
        <v>7</v>
      </c>
      <c r="B34" s="97" t="s">
        <v>19</v>
      </c>
      <c r="C34" s="28" t="s">
        <v>8</v>
      </c>
      <c r="D34" s="71"/>
      <c r="E34" s="65"/>
      <c r="F34" s="65"/>
      <c r="G34" s="65"/>
      <c r="H34" s="65"/>
      <c r="I34" s="65"/>
      <c r="J34" s="65"/>
      <c r="K34" s="71"/>
      <c r="L34" s="65"/>
      <c r="M34" s="65"/>
      <c r="N34" s="65"/>
      <c r="O34" s="65"/>
      <c r="P34" s="65"/>
      <c r="Q34" s="65"/>
      <c r="R34" s="71"/>
      <c r="S34" s="65"/>
      <c r="T34" s="65"/>
      <c r="U34" s="65"/>
      <c r="V34" s="65"/>
      <c r="W34" s="65"/>
      <c r="X34" s="65"/>
      <c r="Y34" s="71"/>
      <c r="Z34" s="65"/>
      <c r="AA34" s="65"/>
      <c r="AB34" s="65"/>
      <c r="AC34" s="65"/>
      <c r="AD34" s="65"/>
      <c r="AE34" s="65"/>
      <c r="AF34" s="71"/>
      <c r="AG34" s="65"/>
      <c r="AH34" s="65">
        <v>13.5</v>
      </c>
      <c r="AI34" s="35">
        <f>0</f>
        <v>0</v>
      </c>
      <c r="AJ34" s="33">
        <f>SUM(D34:AH34)/8</f>
        <v>1.6875</v>
      </c>
      <c r="AK34" s="33">
        <f>AI34+AJ34</f>
        <v>1.6875</v>
      </c>
    </row>
    <row r="35" spans="1:37" ht="14.25" customHeight="1" x14ac:dyDescent="0.2">
      <c r="A35" s="89"/>
      <c r="B35" s="89"/>
      <c r="C35" s="28" t="s">
        <v>9</v>
      </c>
      <c r="D35" s="71" t="s">
        <v>10</v>
      </c>
      <c r="E35" s="65" t="s">
        <v>10</v>
      </c>
      <c r="F35" s="65"/>
      <c r="G35" s="65" t="s">
        <v>10</v>
      </c>
      <c r="H35" s="65" t="s">
        <v>10</v>
      </c>
      <c r="I35" s="65" t="s">
        <v>10</v>
      </c>
      <c r="J35" s="65" t="s">
        <v>10</v>
      </c>
      <c r="K35" s="71" t="s">
        <v>10</v>
      </c>
      <c r="L35" s="65" t="s">
        <v>10</v>
      </c>
      <c r="M35" s="65" t="s">
        <v>10</v>
      </c>
      <c r="N35" s="65" t="s">
        <v>10</v>
      </c>
      <c r="O35" s="65" t="s">
        <v>10</v>
      </c>
      <c r="P35" s="65" t="s">
        <v>10</v>
      </c>
      <c r="Q35" s="65" t="s">
        <v>10</v>
      </c>
      <c r="R35" s="71" t="s">
        <v>33</v>
      </c>
      <c r="S35" s="65" t="s">
        <v>10</v>
      </c>
      <c r="T35" s="65" t="s">
        <v>10</v>
      </c>
      <c r="U35" s="65" t="s">
        <v>10</v>
      </c>
      <c r="V35" s="65" t="s">
        <v>39</v>
      </c>
      <c r="W35" s="65" t="s">
        <v>10</v>
      </c>
      <c r="X35" s="65" t="s">
        <v>10</v>
      </c>
      <c r="Y35" s="71" t="s">
        <v>10</v>
      </c>
      <c r="Z35" s="65" t="s">
        <v>10</v>
      </c>
      <c r="AA35" s="65"/>
      <c r="AB35" s="65" t="s">
        <v>10</v>
      </c>
      <c r="AC35" s="65" t="s">
        <v>10</v>
      </c>
      <c r="AD35" s="65" t="s">
        <v>10</v>
      </c>
      <c r="AE35" s="65" t="s">
        <v>10</v>
      </c>
      <c r="AF35" s="71" t="s">
        <v>10</v>
      </c>
      <c r="AG35" s="65" t="s">
        <v>10</v>
      </c>
      <c r="AH35" s="65"/>
      <c r="AI35" s="33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27</v>
      </c>
      <c r="AJ35" s="33">
        <f>0</f>
        <v>0</v>
      </c>
      <c r="AK35" s="33">
        <f>AI35+AJ35</f>
        <v>27</v>
      </c>
    </row>
    <row r="36" spans="1:37" ht="14.25" customHeight="1" x14ac:dyDescent="0.2">
      <c r="A36" s="89"/>
      <c r="B36" s="89"/>
      <c r="C36" s="28" t="s">
        <v>11</v>
      </c>
      <c r="D36" s="71"/>
      <c r="E36" s="65"/>
      <c r="F36" s="65"/>
      <c r="G36" s="65"/>
      <c r="H36" s="65"/>
      <c r="I36" s="65"/>
      <c r="J36" s="65"/>
      <c r="K36" s="71"/>
      <c r="L36" s="65"/>
      <c r="M36" s="65"/>
      <c r="N36" s="65"/>
      <c r="O36" s="65"/>
      <c r="P36" s="65"/>
      <c r="Q36" s="65"/>
      <c r="R36" s="71"/>
      <c r="S36" s="65"/>
      <c r="T36" s="65"/>
      <c r="U36" s="65"/>
      <c r="V36" s="65"/>
      <c r="W36" s="65"/>
      <c r="X36" s="65"/>
      <c r="Y36" s="71"/>
      <c r="Z36" s="65"/>
      <c r="AA36" s="65"/>
      <c r="AB36" s="65"/>
      <c r="AC36" s="65"/>
      <c r="AD36" s="65"/>
      <c r="AE36" s="65"/>
      <c r="AF36" s="71"/>
      <c r="AG36" s="65"/>
      <c r="AH36" s="65"/>
      <c r="AI36" s="33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0</v>
      </c>
      <c r="AJ36" s="33">
        <f>0</f>
        <v>0</v>
      </c>
      <c r="AK36" s="33">
        <f>AI36+AJ36</f>
        <v>0</v>
      </c>
    </row>
    <row r="37" spans="1:37" ht="14.25" customHeight="1" x14ac:dyDescent="0.2">
      <c r="A37" s="90"/>
      <c r="B37" s="96"/>
      <c r="C37" s="28" t="s">
        <v>12</v>
      </c>
      <c r="D37" s="71"/>
      <c r="E37" s="65"/>
      <c r="F37" s="65"/>
      <c r="G37" s="65"/>
      <c r="H37" s="65"/>
      <c r="I37" s="65"/>
      <c r="J37" s="65"/>
      <c r="K37" s="71"/>
      <c r="L37" s="65"/>
      <c r="M37" s="65"/>
      <c r="N37" s="65"/>
      <c r="O37" s="65"/>
      <c r="P37" s="65"/>
      <c r="Q37" s="65"/>
      <c r="R37" s="71"/>
      <c r="S37" s="65"/>
      <c r="T37" s="65"/>
      <c r="U37" s="65"/>
      <c r="V37" s="65"/>
      <c r="W37" s="65"/>
      <c r="X37" s="65"/>
      <c r="Y37" s="71"/>
      <c r="Z37" s="65"/>
      <c r="AA37" s="65"/>
      <c r="AB37" s="65"/>
      <c r="AC37" s="65"/>
      <c r="AD37" s="65"/>
      <c r="AE37" s="65"/>
      <c r="AF37" s="71"/>
      <c r="AG37" s="65"/>
      <c r="AH37" s="65"/>
      <c r="AI37" s="33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0</v>
      </c>
      <c r="AJ37" s="33">
        <f>0</f>
        <v>0</v>
      </c>
      <c r="AK37" s="33">
        <f>AI37+AJ37</f>
        <v>0</v>
      </c>
    </row>
    <row r="38" spans="1:37" ht="14.25" customHeight="1" x14ac:dyDescent="0.2">
      <c r="A38" s="16"/>
      <c r="B38" s="17"/>
      <c r="C38" s="69"/>
      <c r="D38" s="71"/>
      <c r="E38" s="69"/>
      <c r="F38" s="69"/>
      <c r="G38" s="69"/>
      <c r="H38" s="69"/>
      <c r="I38" s="69"/>
      <c r="J38" s="69"/>
      <c r="K38" s="71"/>
      <c r="L38" s="69"/>
      <c r="M38" s="69"/>
      <c r="N38" s="69"/>
      <c r="O38" s="69"/>
      <c r="P38" s="69"/>
      <c r="Q38" s="69"/>
      <c r="R38" s="71"/>
      <c r="S38" s="69"/>
      <c r="T38" s="69"/>
      <c r="U38" s="69"/>
      <c r="V38" s="69"/>
      <c r="W38" s="69"/>
      <c r="X38" s="69"/>
      <c r="Y38" s="71"/>
      <c r="Z38" s="69"/>
      <c r="AA38" s="69"/>
      <c r="AB38" s="69"/>
      <c r="AC38" s="69"/>
      <c r="AD38" s="69"/>
      <c r="AE38" s="69"/>
      <c r="AF38" s="71"/>
      <c r="AG38" s="69"/>
      <c r="AH38" s="69"/>
      <c r="AI38" s="78" t="str">
        <f>""</f>
        <v/>
      </c>
      <c r="AJ38" s="78" t="str">
        <f>""</f>
        <v/>
      </c>
      <c r="AK38" s="78" t="str">
        <f>""</f>
        <v/>
      </c>
    </row>
    <row r="39" spans="1:37" ht="14.25" customHeight="1" x14ac:dyDescent="0.2">
      <c r="A39" s="94">
        <v>8</v>
      </c>
      <c r="B39" s="97" t="s">
        <v>20</v>
      </c>
      <c r="C39" s="28" t="s">
        <v>8</v>
      </c>
      <c r="D39" s="71"/>
      <c r="E39" s="65"/>
      <c r="F39" s="65"/>
      <c r="G39" s="65"/>
      <c r="H39" s="65"/>
      <c r="I39" s="65"/>
      <c r="J39" s="65"/>
      <c r="K39" s="71"/>
      <c r="L39" s="65"/>
      <c r="M39" s="65"/>
      <c r="N39" s="65"/>
      <c r="O39" s="65"/>
      <c r="P39" s="65"/>
      <c r="Q39" s="65"/>
      <c r="R39" s="71"/>
      <c r="S39" s="65"/>
      <c r="T39" s="65"/>
      <c r="U39" s="65"/>
      <c r="V39" s="65"/>
      <c r="W39" s="65"/>
      <c r="X39" s="65"/>
      <c r="Y39" s="71"/>
      <c r="Z39" s="65"/>
      <c r="AA39" s="65"/>
      <c r="AB39" s="65"/>
      <c r="AC39" s="65"/>
      <c r="AD39" s="65"/>
      <c r="AE39" s="65"/>
      <c r="AF39" s="71"/>
      <c r="AG39" s="65"/>
      <c r="AH39" s="65">
        <v>14.5</v>
      </c>
      <c r="AI39" s="33">
        <f>0</f>
        <v>0</v>
      </c>
      <c r="AJ39" s="33">
        <f>SUM(D39:AH39)/8</f>
        <v>1.8125</v>
      </c>
      <c r="AK39" s="33">
        <f>AI39+AJ39</f>
        <v>1.8125</v>
      </c>
    </row>
    <row r="40" spans="1:37" ht="14.25" customHeight="1" x14ac:dyDescent="0.2">
      <c r="A40" s="89"/>
      <c r="B40" s="89"/>
      <c r="C40" s="28" t="s">
        <v>9</v>
      </c>
      <c r="D40" s="71" t="s">
        <v>10</v>
      </c>
      <c r="E40" s="65" t="s">
        <v>10</v>
      </c>
      <c r="F40" s="65"/>
      <c r="G40" s="65" t="s">
        <v>10</v>
      </c>
      <c r="H40" s="65" t="s">
        <v>10</v>
      </c>
      <c r="I40" s="65" t="s">
        <v>10</v>
      </c>
      <c r="J40" s="65" t="s">
        <v>10</v>
      </c>
      <c r="K40" s="71" t="s">
        <v>10</v>
      </c>
      <c r="L40" s="65" t="s">
        <v>10</v>
      </c>
      <c r="M40" s="65" t="s">
        <v>10</v>
      </c>
      <c r="N40" s="65" t="s">
        <v>10</v>
      </c>
      <c r="O40" s="65" t="s">
        <v>10</v>
      </c>
      <c r="P40" s="65" t="s">
        <v>10</v>
      </c>
      <c r="Q40" s="65" t="s">
        <v>10</v>
      </c>
      <c r="R40" s="71" t="s">
        <v>33</v>
      </c>
      <c r="S40" s="65" t="s">
        <v>10</v>
      </c>
      <c r="T40" s="65" t="s">
        <v>10</v>
      </c>
      <c r="U40" s="65" t="s">
        <v>10</v>
      </c>
      <c r="V40" s="65" t="s">
        <v>40</v>
      </c>
      <c r="W40" s="65" t="s">
        <v>10</v>
      </c>
      <c r="X40" s="65" t="s">
        <v>10</v>
      </c>
      <c r="Y40" s="71" t="s">
        <v>10</v>
      </c>
      <c r="Z40" s="65" t="s">
        <v>10</v>
      </c>
      <c r="AA40" s="65"/>
      <c r="AB40" s="65" t="s">
        <v>10</v>
      </c>
      <c r="AC40" s="65" t="s">
        <v>10</v>
      </c>
      <c r="AD40" s="65" t="s">
        <v>10</v>
      </c>
      <c r="AE40" s="65" t="s">
        <v>10</v>
      </c>
      <c r="AF40" s="71" t="s">
        <v>10</v>
      </c>
      <c r="AG40" s="65" t="s">
        <v>10</v>
      </c>
      <c r="AH40" s="65"/>
      <c r="AI40" s="33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27</v>
      </c>
      <c r="AJ40" s="33">
        <f>0</f>
        <v>0</v>
      </c>
      <c r="AK40" s="33">
        <f>AI40+AJ40</f>
        <v>27</v>
      </c>
    </row>
    <row r="41" spans="1:37" ht="14.25" customHeight="1" x14ac:dyDescent="0.2">
      <c r="A41" s="89"/>
      <c r="B41" s="89"/>
      <c r="C41" s="28" t="s">
        <v>11</v>
      </c>
      <c r="D41" s="71"/>
      <c r="E41" s="65"/>
      <c r="F41" s="65"/>
      <c r="G41" s="65"/>
      <c r="H41" s="65"/>
      <c r="I41" s="65"/>
      <c r="J41" s="65"/>
      <c r="K41" s="71"/>
      <c r="L41" s="65"/>
      <c r="M41" s="65"/>
      <c r="N41" s="65"/>
      <c r="O41" s="65"/>
      <c r="P41" s="65"/>
      <c r="Q41" s="65"/>
      <c r="R41" s="71"/>
      <c r="S41" s="65"/>
      <c r="T41" s="65"/>
      <c r="U41" s="65"/>
      <c r="V41" s="65"/>
      <c r="W41" s="65"/>
      <c r="X41" s="65"/>
      <c r="Y41" s="71"/>
      <c r="Z41" s="65"/>
      <c r="AA41" s="65"/>
      <c r="AB41" s="65"/>
      <c r="AC41" s="65"/>
      <c r="AD41" s="65"/>
      <c r="AE41" s="65"/>
      <c r="AF41" s="71"/>
      <c r="AG41" s="65"/>
      <c r="AH41" s="65"/>
      <c r="AI41" s="33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0</v>
      </c>
      <c r="AJ41" s="33">
        <f>0</f>
        <v>0</v>
      </c>
      <c r="AK41" s="33">
        <f>AI41+AJ41</f>
        <v>0</v>
      </c>
    </row>
    <row r="42" spans="1:37" ht="14.25" customHeight="1" x14ac:dyDescent="0.2">
      <c r="A42" s="90"/>
      <c r="B42" s="96"/>
      <c r="C42" s="28" t="s">
        <v>12</v>
      </c>
      <c r="D42" s="71"/>
      <c r="E42" s="65"/>
      <c r="F42" s="65"/>
      <c r="G42" s="65"/>
      <c r="H42" s="65"/>
      <c r="I42" s="65"/>
      <c r="J42" s="65"/>
      <c r="K42" s="71"/>
      <c r="L42" s="65"/>
      <c r="M42" s="65"/>
      <c r="N42" s="65"/>
      <c r="O42" s="65"/>
      <c r="P42" s="65"/>
      <c r="Q42" s="65"/>
      <c r="R42" s="71"/>
      <c r="S42" s="65"/>
      <c r="T42" s="65"/>
      <c r="U42" s="65"/>
      <c r="V42" s="65"/>
      <c r="W42" s="65"/>
      <c r="X42" s="65"/>
      <c r="Y42" s="71"/>
      <c r="Z42" s="65"/>
      <c r="AA42" s="65"/>
      <c r="AB42" s="65"/>
      <c r="AC42" s="65"/>
      <c r="AD42" s="65"/>
      <c r="AE42" s="65"/>
      <c r="AF42" s="71"/>
      <c r="AG42" s="65"/>
      <c r="AH42" s="65"/>
      <c r="AI42" s="33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33">
        <f>0</f>
        <v>0</v>
      </c>
      <c r="AK42" s="33">
        <f>AI42+AJ42</f>
        <v>0</v>
      </c>
    </row>
    <row r="43" spans="1:37" ht="14.25" customHeight="1" x14ac:dyDescent="0.2">
      <c r="A43" s="16"/>
      <c r="B43" s="17"/>
      <c r="C43" s="69"/>
      <c r="D43" s="71"/>
      <c r="E43" s="69"/>
      <c r="F43" s="69"/>
      <c r="G43" s="69"/>
      <c r="H43" s="69"/>
      <c r="I43" s="69"/>
      <c r="J43" s="69"/>
      <c r="K43" s="71"/>
      <c r="L43" s="69"/>
      <c r="M43" s="69"/>
      <c r="N43" s="69"/>
      <c r="O43" s="69"/>
      <c r="P43" s="69"/>
      <c r="Q43" s="69"/>
      <c r="R43" s="71"/>
      <c r="S43" s="69"/>
      <c r="T43" s="69"/>
      <c r="U43" s="69"/>
      <c r="V43" s="69"/>
      <c r="W43" s="69"/>
      <c r="X43" s="69"/>
      <c r="Y43" s="71"/>
      <c r="Z43" s="69"/>
      <c r="AA43" s="69"/>
      <c r="AB43" s="69"/>
      <c r="AC43" s="69"/>
      <c r="AD43" s="69"/>
      <c r="AE43" s="69"/>
      <c r="AF43" s="71"/>
      <c r="AG43" s="69"/>
      <c r="AH43" s="69"/>
      <c r="AI43" s="78" t="str">
        <f>""</f>
        <v/>
      </c>
      <c r="AJ43" s="78" t="str">
        <f>""</f>
        <v/>
      </c>
      <c r="AK43" s="78" t="str">
        <f>""</f>
        <v/>
      </c>
    </row>
    <row r="44" spans="1:37" ht="14.25" customHeight="1" x14ac:dyDescent="0.2">
      <c r="A44" s="94">
        <v>9</v>
      </c>
      <c r="B44" s="97" t="s">
        <v>21</v>
      </c>
      <c r="C44" s="28" t="s">
        <v>8</v>
      </c>
      <c r="D44" s="71"/>
      <c r="E44" s="65"/>
      <c r="F44" s="65"/>
      <c r="G44" s="65"/>
      <c r="H44" s="65"/>
      <c r="I44" s="65"/>
      <c r="J44" s="65"/>
      <c r="K44" s="71"/>
      <c r="L44" s="65"/>
      <c r="M44" s="65"/>
      <c r="N44" s="65"/>
      <c r="O44" s="65"/>
      <c r="P44" s="65"/>
      <c r="Q44" s="65"/>
      <c r="R44" s="71"/>
      <c r="S44" s="65"/>
      <c r="T44" s="65"/>
      <c r="U44" s="65"/>
      <c r="V44" s="65"/>
      <c r="W44" s="65"/>
      <c r="X44" s="65"/>
      <c r="Y44" s="71"/>
      <c r="Z44" s="65"/>
      <c r="AA44" s="65"/>
      <c r="AB44" s="65"/>
      <c r="AC44" s="65"/>
      <c r="AD44" s="65"/>
      <c r="AE44" s="65"/>
      <c r="AF44" s="71"/>
      <c r="AG44" s="65"/>
      <c r="AH44" s="65">
        <v>15.5</v>
      </c>
      <c r="AI44" s="33">
        <f>0</f>
        <v>0</v>
      </c>
      <c r="AJ44" s="33">
        <f>SUM(D44:AH44)/8</f>
        <v>1.9375</v>
      </c>
      <c r="AK44" s="33">
        <f>AI44+AJ44</f>
        <v>1.9375</v>
      </c>
    </row>
    <row r="45" spans="1:37" ht="14.25" customHeight="1" x14ac:dyDescent="0.2">
      <c r="A45" s="89"/>
      <c r="B45" s="89"/>
      <c r="C45" s="28" t="s">
        <v>9</v>
      </c>
      <c r="D45" s="71" t="s">
        <v>10</v>
      </c>
      <c r="E45" s="65" t="s">
        <v>10</v>
      </c>
      <c r="F45" s="65"/>
      <c r="G45" s="65" t="s">
        <v>10</v>
      </c>
      <c r="H45" s="65" t="s">
        <v>10</v>
      </c>
      <c r="I45" s="65" t="s">
        <v>10</v>
      </c>
      <c r="J45" s="65" t="s">
        <v>10</v>
      </c>
      <c r="K45" s="71" t="s">
        <v>10</v>
      </c>
      <c r="L45" s="65" t="s">
        <v>10</v>
      </c>
      <c r="M45" s="65" t="s">
        <v>10</v>
      </c>
      <c r="N45" s="65" t="s">
        <v>10</v>
      </c>
      <c r="O45" s="65" t="s">
        <v>10</v>
      </c>
      <c r="P45" s="65" t="s">
        <v>10</v>
      </c>
      <c r="Q45" s="65" t="s">
        <v>10</v>
      </c>
      <c r="R45" s="71" t="s">
        <v>33</v>
      </c>
      <c r="S45" s="65" t="s">
        <v>10</v>
      </c>
      <c r="T45" s="65" t="s">
        <v>10</v>
      </c>
      <c r="U45" s="65" t="s">
        <v>10</v>
      </c>
      <c r="V45" s="65" t="s">
        <v>41</v>
      </c>
      <c r="W45" s="65" t="s">
        <v>10</v>
      </c>
      <c r="X45" s="65" t="s">
        <v>10</v>
      </c>
      <c r="Y45" s="71" t="s">
        <v>10</v>
      </c>
      <c r="Z45" s="65" t="s">
        <v>10</v>
      </c>
      <c r="AA45" s="65"/>
      <c r="AB45" s="65" t="s">
        <v>10</v>
      </c>
      <c r="AC45" s="65" t="s">
        <v>10</v>
      </c>
      <c r="AD45" s="65" t="s">
        <v>10</v>
      </c>
      <c r="AE45" s="65" t="s">
        <v>10</v>
      </c>
      <c r="AF45" s="71" t="s">
        <v>10</v>
      </c>
      <c r="AG45" s="65" t="s">
        <v>10</v>
      </c>
      <c r="AH45" s="65"/>
      <c r="AI45" s="33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27</v>
      </c>
      <c r="AJ45" s="33">
        <f>0</f>
        <v>0</v>
      </c>
      <c r="AK45" s="33">
        <f>AI45+AJ45</f>
        <v>27</v>
      </c>
    </row>
    <row r="46" spans="1:37" ht="14.25" customHeight="1" x14ac:dyDescent="0.2">
      <c r="A46" s="89"/>
      <c r="B46" s="89"/>
      <c r="C46" s="28" t="s">
        <v>11</v>
      </c>
      <c r="D46" s="71"/>
      <c r="E46" s="65"/>
      <c r="F46" s="65"/>
      <c r="G46" s="65"/>
      <c r="H46" s="65"/>
      <c r="I46" s="65"/>
      <c r="J46" s="65"/>
      <c r="K46" s="71"/>
      <c r="L46" s="65"/>
      <c r="M46" s="65"/>
      <c r="N46" s="65"/>
      <c r="O46" s="65"/>
      <c r="P46" s="65"/>
      <c r="Q46" s="65"/>
      <c r="R46" s="71"/>
      <c r="S46" s="65"/>
      <c r="T46" s="65"/>
      <c r="U46" s="65"/>
      <c r="V46" s="65"/>
      <c r="W46" s="65"/>
      <c r="X46" s="65"/>
      <c r="Y46" s="71"/>
      <c r="Z46" s="65"/>
      <c r="AA46" s="65"/>
      <c r="AB46" s="65"/>
      <c r="AC46" s="65"/>
      <c r="AD46" s="65"/>
      <c r="AE46" s="65"/>
      <c r="AF46" s="71"/>
      <c r="AG46" s="65"/>
      <c r="AH46" s="65"/>
      <c r="AI46" s="33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0</v>
      </c>
      <c r="AJ46" s="33">
        <f>0</f>
        <v>0</v>
      </c>
      <c r="AK46" s="33">
        <f>AI46+AJ46</f>
        <v>0</v>
      </c>
    </row>
    <row r="47" spans="1:37" ht="13.5" customHeight="1" x14ac:dyDescent="0.2">
      <c r="A47" s="90"/>
      <c r="B47" s="96"/>
      <c r="C47" s="28" t="s">
        <v>12</v>
      </c>
      <c r="D47" s="71"/>
      <c r="E47" s="65"/>
      <c r="F47" s="65"/>
      <c r="G47" s="65"/>
      <c r="H47" s="65"/>
      <c r="I47" s="65"/>
      <c r="J47" s="65"/>
      <c r="K47" s="71"/>
      <c r="L47" s="65"/>
      <c r="M47" s="65"/>
      <c r="N47" s="65"/>
      <c r="O47" s="65"/>
      <c r="P47" s="65"/>
      <c r="Q47" s="65"/>
      <c r="R47" s="71"/>
      <c r="S47" s="65"/>
      <c r="T47" s="65"/>
      <c r="U47" s="65"/>
      <c r="V47" s="65"/>
      <c r="W47" s="65"/>
      <c r="X47" s="65"/>
      <c r="Y47" s="71"/>
      <c r="Z47" s="65"/>
      <c r="AA47" s="65"/>
      <c r="AB47" s="65"/>
      <c r="AC47" s="65"/>
      <c r="AD47" s="65"/>
      <c r="AE47" s="65"/>
      <c r="AF47" s="71"/>
      <c r="AG47" s="65"/>
      <c r="AH47" s="65"/>
      <c r="AI47" s="33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0</v>
      </c>
      <c r="AJ47" s="33">
        <f>0</f>
        <v>0</v>
      </c>
      <c r="AK47" s="33">
        <f>AI47+AJ47</f>
        <v>0</v>
      </c>
    </row>
    <row r="48" spans="1:37" ht="13.5" customHeight="1" x14ac:dyDescent="0.2">
      <c r="A48" s="16"/>
      <c r="B48" s="17"/>
      <c r="C48" s="69"/>
      <c r="D48" s="71"/>
      <c r="E48" s="69"/>
      <c r="F48" s="69"/>
      <c r="G48" s="69"/>
      <c r="H48" s="69"/>
      <c r="I48" s="69"/>
      <c r="J48" s="69"/>
      <c r="K48" s="71"/>
      <c r="L48" s="69"/>
      <c r="M48" s="69"/>
      <c r="N48" s="69"/>
      <c r="O48" s="69"/>
      <c r="P48" s="69"/>
      <c r="Q48" s="69"/>
      <c r="R48" s="71"/>
      <c r="S48" s="69"/>
      <c r="T48" s="69"/>
      <c r="U48" s="69"/>
      <c r="V48" s="69"/>
      <c r="W48" s="69"/>
      <c r="X48" s="69"/>
      <c r="Y48" s="71"/>
      <c r="Z48" s="69"/>
      <c r="AA48" s="69"/>
      <c r="AB48" s="69"/>
      <c r="AC48" s="69"/>
      <c r="AD48" s="69"/>
      <c r="AE48" s="69"/>
      <c r="AF48" s="71"/>
      <c r="AG48" s="69"/>
      <c r="AH48" s="69"/>
      <c r="AI48" s="78" t="str">
        <f>""</f>
        <v/>
      </c>
      <c r="AJ48" s="78" t="str">
        <f>""</f>
        <v/>
      </c>
      <c r="AK48" s="78" t="str">
        <f>""</f>
        <v/>
      </c>
    </row>
    <row r="49" spans="1:37" ht="13.5" customHeight="1" x14ac:dyDescent="0.2">
      <c r="A49" s="94">
        <v>10</v>
      </c>
      <c r="B49" s="97" t="s">
        <v>22</v>
      </c>
      <c r="C49" s="28" t="s">
        <v>8</v>
      </c>
      <c r="D49" s="71"/>
      <c r="E49" s="65"/>
      <c r="F49" s="65"/>
      <c r="G49" s="65"/>
      <c r="H49" s="65"/>
      <c r="I49" s="65"/>
      <c r="J49" s="65"/>
      <c r="K49" s="71"/>
      <c r="L49" s="65"/>
      <c r="M49" s="65"/>
      <c r="N49" s="65"/>
      <c r="O49" s="65"/>
      <c r="P49" s="65"/>
      <c r="Q49" s="65"/>
      <c r="R49" s="71"/>
      <c r="S49" s="65"/>
      <c r="T49" s="65"/>
      <c r="U49" s="65"/>
      <c r="V49" s="65"/>
      <c r="W49" s="65"/>
      <c r="X49" s="65"/>
      <c r="Y49" s="71"/>
      <c r="Z49" s="65"/>
      <c r="AA49" s="65"/>
      <c r="AB49" s="65"/>
      <c r="AC49" s="65"/>
      <c r="AD49" s="65"/>
      <c r="AE49" s="65"/>
      <c r="AF49" s="71"/>
      <c r="AG49" s="65"/>
      <c r="AH49" s="65">
        <v>16.5</v>
      </c>
      <c r="AI49" s="33">
        <f>0</f>
        <v>0</v>
      </c>
      <c r="AJ49" s="33">
        <f>SUM(D49:AH49)/8</f>
        <v>2.0625</v>
      </c>
      <c r="AK49" s="33">
        <f>AI49+AJ49</f>
        <v>2.0625</v>
      </c>
    </row>
    <row r="50" spans="1:37" ht="14.25" customHeight="1" x14ac:dyDescent="0.2">
      <c r="A50" s="89"/>
      <c r="B50" s="89"/>
      <c r="C50" s="28" t="s">
        <v>9</v>
      </c>
      <c r="D50" s="71" t="s">
        <v>10</v>
      </c>
      <c r="E50" s="65" t="s">
        <v>10</v>
      </c>
      <c r="F50" s="65"/>
      <c r="G50" s="65" t="s">
        <v>10</v>
      </c>
      <c r="H50" s="65" t="s">
        <v>10</v>
      </c>
      <c r="I50" s="65" t="s">
        <v>10</v>
      </c>
      <c r="J50" s="65" t="s">
        <v>10</v>
      </c>
      <c r="K50" s="71" t="s">
        <v>10</v>
      </c>
      <c r="L50" s="65" t="s">
        <v>10</v>
      </c>
      <c r="M50" s="65" t="s">
        <v>10</v>
      </c>
      <c r="N50" s="65" t="s">
        <v>10</v>
      </c>
      <c r="O50" s="65" t="s">
        <v>10</v>
      </c>
      <c r="P50" s="65" t="s">
        <v>10</v>
      </c>
      <c r="Q50" s="65" t="s">
        <v>10</v>
      </c>
      <c r="R50" s="71" t="s">
        <v>33</v>
      </c>
      <c r="S50" s="65" t="s">
        <v>10</v>
      </c>
      <c r="T50" s="65" t="s">
        <v>10</v>
      </c>
      <c r="U50" s="65" t="s">
        <v>10</v>
      </c>
      <c r="V50" s="65" t="s">
        <v>42</v>
      </c>
      <c r="W50" s="65" t="s">
        <v>10</v>
      </c>
      <c r="X50" s="65" t="s">
        <v>10</v>
      </c>
      <c r="Y50" s="71" t="s">
        <v>10</v>
      </c>
      <c r="Z50" s="65" t="s">
        <v>10</v>
      </c>
      <c r="AA50" s="65"/>
      <c r="AB50" s="65" t="s">
        <v>10</v>
      </c>
      <c r="AC50" s="65" t="s">
        <v>10</v>
      </c>
      <c r="AD50" s="65" t="s">
        <v>10</v>
      </c>
      <c r="AE50" s="65" t="s">
        <v>10</v>
      </c>
      <c r="AF50" s="71" t="s">
        <v>10</v>
      </c>
      <c r="AG50" s="65" t="s">
        <v>10</v>
      </c>
      <c r="AH50" s="65"/>
      <c r="AI50" s="33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27</v>
      </c>
      <c r="AJ50" s="33">
        <f>0</f>
        <v>0</v>
      </c>
      <c r="AK50" s="33">
        <f>AI50+AJ50</f>
        <v>27</v>
      </c>
    </row>
    <row r="51" spans="1:37" ht="14.25" customHeight="1" x14ac:dyDescent="0.2">
      <c r="A51" s="89"/>
      <c r="B51" s="89"/>
      <c r="C51" s="28" t="s">
        <v>11</v>
      </c>
      <c r="D51" s="71"/>
      <c r="E51" s="65"/>
      <c r="F51" s="65"/>
      <c r="G51" s="65"/>
      <c r="H51" s="65"/>
      <c r="I51" s="65"/>
      <c r="J51" s="65"/>
      <c r="K51" s="71"/>
      <c r="L51" s="65"/>
      <c r="M51" s="65"/>
      <c r="N51" s="65"/>
      <c r="O51" s="65"/>
      <c r="P51" s="65"/>
      <c r="Q51" s="65"/>
      <c r="R51" s="71"/>
      <c r="S51" s="65"/>
      <c r="T51" s="65"/>
      <c r="U51" s="65"/>
      <c r="V51" s="65"/>
      <c r="W51" s="65"/>
      <c r="X51" s="65"/>
      <c r="Y51" s="71"/>
      <c r="Z51" s="65"/>
      <c r="AA51" s="65"/>
      <c r="AB51" s="65"/>
      <c r="AC51" s="65"/>
      <c r="AD51" s="65"/>
      <c r="AE51" s="65"/>
      <c r="AF51" s="71"/>
      <c r="AG51" s="65"/>
      <c r="AH51" s="65"/>
      <c r="AI51" s="33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0</v>
      </c>
      <c r="AJ51" s="33">
        <f>0</f>
        <v>0</v>
      </c>
      <c r="AK51" s="33">
        <f>AI51+AJ51</f>
        <v>0</v>
      </c>
    </row>
    <row r="52" spans="1:37" ht="14.25" customHeight="1" x14ac:dyDescent="0.2">
      <c r="A52" s="90"/>
      <c r="B52" s="96"/>
      <c r="C52" s="28" t="s">
        <v>12</v>
      </c>
      <c r="D52" s="71"/>
      <c r="E52" s="65"/>
      <c r="F52" s="65"/>
      <c r="G52" s="65"/>
      <c r="H52" s="65"/>
      <c r="I52" s="65"/>
      <c r="J52" s="65"/>
      <c r="K52" s="71"/>
      <c r="L52" s="65"/>
      <c r="M52" s="65"/>
      <c r="N52" s="65"/>
      <c r="O52" s="65"/>
      <c r="P52" s="65"/>
      <c r="Q52" s="65"/>
      <c r="R52" s="71"/>
      <c r="S52" s="65"/>
      <c r="T52" s="65"/>
      <c r="U52" s="65"/>
      <c r="V52" s="65"/>
      <c r="W52" s="65"/>
      <c r="X52" s="65"/>
      <c r="Y52" s="71"/>
      <c r="Z52" s="65"/>
      <c r="AA52" s="65"/>
      <c r="AB52" s="65"/>
      <c r="AC52" s="65"/>
      <c r="AD52" s="65"/>
      <c r="AE52" s="65"/>
      <c r="AF52" s="71"/>
      <c r="AG52" s="65"/>
      <c r="AH52" s="65"/>
      <c r="AI52" s="33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0</v>
      </c>
      <c r="AJ52" s="33">
        <f>0</f>
        <v>0</v>
      </c>
      <c r="AK52" s="33">
        <f>AI52+AJ52</f>
        <v>0</v>
      </c>
    </row>
    <row r="53" spans="1:37" ht="14.25" customHeight="1" x14ac:dyDescent="0.2">
      <c r="A53" s="16"/>
      <c r="B53" s="17"/>
      <c r="C53" s="69"/>
      <c r="D53" s="71"/>
      <c r="E53" s="69"/>
      <c r="F53" s="69"/>
      <c r="G53" s="69"/>
      <c r="H53" s="69"/>
      <c r="I53" s="69"/>
      <c r="J53" s="69"/>
      <c r="K53" s="71"/>
      <c r="L53" s="69"/>
      <c r="M53" s="69"/>
      <c r="N53" s="69"/>
      <c r="O53" s="69"/>
      <c r="P53" s="69"/>
      <c r="Q53" s="69"/>
      <c r="R53" s="71"/>
      <c r="S53" s="69"/>
      <c r="T53" s="69"/>
      <c r="U53" s="69"/>
      <c r="V53" s="69"/>
      <c r="W53" s="69"/>
      <c r="X53" s="69"/>
      <c r="Y53" s="71"/>
      <c r="Z53" s="69"/>
      <c r="AA53" s="69"/>
      <c r="AB53" s="69"/>
      <c r="AC53" s="69"/>
      <c r="AD53" s="69"/>
      <c r="AE53" s="69"/>
      <c r="AF53" s="71"/>
      <c r="AG53" s="69"/>
      <c r="AH53" s="69"/>
      <c r="AI53" s="78" t="str">
        <f>""</f>
        <v/>
      </c>
      <c r="AJ53" s="78" t="str">
        <f>""</f>
        <v/>
      </c>
      <c r="AK53" s="78" t="str">
        <f>""</f>
        <v/>
      </c>
    </row>
    <row r="54" spans="1:37" ht="14.25" customHeight="1" x14ac:dyDescent="0.2">
      <c r="A54" s="94">
        <v>11</v>
      </c>
      <c r="B54" s="97" t="s">
        <v>23</v>
      </c>
      <c r="C54" s="28" t="s">
        <v>8</v>
      </c>
      <c r="D54" s="71"/>
      <c r="E54" s="65"/>
      <c r="F54" s="65"/>
      <c r="G54" s="65"/>
      <c r="H54" s="65"/>
      <c r="I54" s="65"/>
      <c r="J54" s="65"/>
      <c r="K54" s="71"/>
      <c r="L54" s="65"/>
      <c r="M54" s="65"/>
      <c r="N54" s="65"/>
      <c r="O54" s="65"/>
      <c r="P54" s="65"/>
      <c r="Q54" s="65"/>
      <c r="R54" s="71"/>
      <c r="S54" s="65"/>
      <c r="T54" s="65"/>
      <c r="U54" s="65"/>
      <c r="V54" s="65"/>
      <c r="W54" s="65"/>
      <c r="X54" s="65"/>
      <c r="Y54" s="71"/>
      <c r="Z54" s="65"/>
      <c r="AA54" s="65"/>
      <c r="AB54" s="65"/>
      <c r="AC54" s="65"/>
      <c r="AD54" s="65"/>
      <c r="AE54" s="65"/>
      <c r="AF54" s="71"/>
      <c r="AG54" s="65"/>
      <c r="AH54" s="65">
        <v>17.5</v>
      </c>
      <c r="AI54" s="33">
        <f>0</f>
        <v>0</v>
      </c>
      <c r="AJ54" s="33">
        <f>SUM(D54:AH54)/8</f>
        <v>2.1875</v>
      </c>
      <c r="AK54" s="33">
        <f>AI54+AJ54</f>
        <v>2.1875</v>
      </c>
    </row>
    <row r="55" spans="1:37" ht="14.25" customHeight="1" x14ac:dyDescent="0.2">
      <c r="A55" s="89"/>
      <c r="B55" s="89"/>
      <c r="C55" s="28" t="s">
        <v>9</v>
      </c>
      <c r="D55" s="71" t="s">
        <v>10</v>
      </c>
      <c r="E55" s="65" t="s">
        <v>10</v>
      </c>
      <c r="F55" s="65"/>
      <c r="G55" s="65" t="s">
        <v>10</v>
      </c>
      <c r="H55" s="65" t="s">
        <v>10</v>
      </c>
      <c r="I55" s="65" t="s">
        <v>10</v>
      </c>
      <c r="J55" s="65" t="s">
        <v>10</v>
      </c>
      <c r="K55" s="71" t="s">
        <v>10</v>
      </c>
      <c r="L55" s="65" t="s">
        <v>10</v>
      </c>
      <c r="M55" s="65" t="s">
        <v>10</v>
      </c>
      <c r="N55" s="65" t="s">
        <v>10</v>
      </c>
      <c r="O55" s="65" t="s">
        <v>10</v>
      </c>
      <c r="P55" s="65" t="s">
        <v>10</v>
      </c>
      <c r="Q55" s="65" t="s">
        <v>10</v>
      </c>
      <c r="R55" s="71" t="s">
        <v>33</v>
      </c>
      <c r="S55" s="65" t="s">
        <v>10</v>
      </c>
      <c r="T55" s="65" t="s">
        <v>10</v>
      </c>
      <c r="U55" s="65" t="s">
        <v>10</v>
      </c>
      <c r="V55" s="65" t="s">
        <v>43</v>
      </c>
      <c r="W55" s="65" t="s">
        <v>10</v>
      </c>
      <c r="X55" s="65" t="s">
        <v>10</v>
      </c>
      <c r="Y55" s="71" t="s">
        <v>10</v>
      </c>
      <c r="Z55" s="65" t="s">
        <v>10</v>
      </c>
      <c r="AA55" s="65"/>
      <c r="AB55" s="65" t="s">
        <v>10</v>
      </c>
      <c r="AC55" s="65" t="s">
        <v>10</v>
      </c>
      <c r="AD55" s="65" t="s">
        <v>10</v>
      </c>
      <c r="AE55" s="65" t="s">
        <v>10</v>
      </c>
      <c r="AF55" s="71" t="s">
        <v>10</v>
      </c>
      <c r="AG55" s="65" t="s">
        <v>10</v>
      </c>
      <c r="AH55" s="65"/>
      <c r="AI55" s="33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27</v>
      </c>
      <c r="AJ55" s="33">
        <f>0</f>
        <v>0</v>
      </c>
      <c r="AK55" s="33">
        <f>AI55+AJ55</f>
        <v>27</v>
      </c>
    </row>
    <row r="56" spans="1:37" ht="14.25" customHeight="1" x14ac:dyDescent="0.2">
      <c r="A56" s="89"/>
      <c r="B56" s="89"/>
      <c r="C56" s="28" t="s">
        <v>11</v>
      </c>
      <c r="D56" s="71"/>
      <c r="E56" s="65"/>
      <c r="F56" s="65"/>
      <c r="G56" s="65"/>
      <c r="H56" s="65"/>
      <c r="I56" s="65"/>
      <c r="J56" s="65"/>
      <c r="K56" s="71"/>
      <c r="L56" s="65"/>
      <c r="M56" s="65"/>
      <c r="N56" s="65"/>
      <c r="O56" s="65"/>
      <c r="P56" s="65"/>
      <c r="Q56" s="65"/>
      <c r="R56" s="71"/>
      <c r="S56" s="65"/>
      <c r="T56" s="65"/>
      <c r="U56" s="65"/>
      <c r="V56" s="65"/>
      <c r="W56" s="65"/>
      <c r="X56" s="65"/>
      <c r="Y56" s="71"/>
      <c r="Z56" s="65"/>
      <c r="AA56" s="65"/>
      <c r="AB56" s="65"/>
      <c r="AC56" s="65"/>
      <c r="AD56" s="65"/>
      <c r="AE56" s="65"/>
      <c r="AF56" s="71"/>
      <c r="AG56" s="65"/>
      <c r="AH56" s="65"/>
      <c r="AI56" s="33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0</v>
      </c>
      <c r="AJ56" s="33">
        <f>0</f>
        <v>0</v>
      </c>
      <c r="AK56" s="33">
        <f>AI56+AJ56</f>
        <v>0</v>
      </c>
    </row>
    <row r="57" spans="1:37" ht="14.25" customHeight="1" x14ac:dyDescent="0.2">
      <c r="A57" s="90"/>
      <c r="B57" s="96"/>
      <c r="C57" s="28" t="s">
        <v>12</v>
      </c>
      <c r="D57" s="71"/>
      <c r="E57" s="65"/>
      <c r="F57" s="65"/>
      <c r="G57" s="65"/>
      <c r="H57" s="65"/>
      <c r="I57" s="65"/>
      <c r="J57" s="65"/>
      <c r="K57" s="71"/>
      <c r="L57" s="65"/>
      <c r="M57" s="65"/>
      <c r="N57" s="65"/>
      <c r="O57" s="65"/>
      <c r="P57" s="65"/>
      <c r="Q57" s="65"/>
      <c r="R57" s="71"/>
      <c r="S57" s="65"/>
      <c r="T57" s="65"/>
      <c r="U57" s="65"/>
      <c r="V57" s="65"/>
      <c r="W57" s="65"/>
      <c r="X57" s="65"/>
      <c r="Y57" s="71"/>
      <c r="Z57" s="65"/>
      <c r="AA57" s="65"/>
      <c r="AB57" s="65"/>
      <c r="AC57" s="65"/>
      <c r="AD57" s="65"/>
      <c r="AE57" s="65"/>
      <c r="AF57" s="71"/>
      <c r="AG57" s="65"/>
      <c r="AH57" s="65"/>
      <c r="AI57" s="33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0</v>
      </c>
      <c r="AJ57" s="33">
        <f>0</f>
        <v>0</v>
      </c>
      <c r="AK57" s="33">
        <f>AI57+AJ57</f>
        <v>0</v>
      </c>
    </row>
    <row r="58" spans="1:37" ht="14.25" customHeight="1" x14ac:dyDescent="0.2">
      <c r="A58" s="16"/>
      <c r="B58" s="17"/>
      <c r="C58" s="69"/>
      <c r="D58" s="71"/>
      <c r="E58" s="69"/>
      <c r="F58" s="69"/>
      <c r="G58" s="69"/>
      <c r="H58" s="69"/>
      <c r="I58" s="69"/>
      <c r="J58" s="69"/>
      <c r="K58" s="71"/>
      <c r="L58" s="69"/>
      <c r="M58" s="69"/>
      <c r="N58" s="69"/>
      <c r="O58" s="69"/>
      <c r="P58" s="69"/>
      <c r="Q58" s="69"/>
      <c r="R58" s="71"/>
      <c r="S58" s="69"/>
      <c r="T58" s="69"/>
      <c r="U58" s="69"/>
      <c r="V58" s="69"/>
      <c r="W58" s="69"/>
      <c r="X58" s="69"/>
      <c r="Y58" s="71"/>
      <c r="Z58" s="69"/>
      <c r="AA58" s="69"/>
      <c r="AB58" s="69"/>
      <c r="AC58" s="69"/>
      <c r="AD58" s="69"/>
      <c r="AE58" s="69"/>
      <c r="AF58" s="71"/>
      <c r="AG58" s="69"/>
      <c r="AH58" s="69"/>
      <c r="AI58" s="78" t="str">
        <f>""</f>
        <v/>
      </c>
      <c r="AJ58" s="78" t="str">
        <f>""</f>
        <v/>
      </c>
      <c r="AK58" s="78" t="str">
        <f>""</f>
        <v/>
      </c>
    </row>
    <row r="59" spans="1:37" ht="14.25" customHeight="1" x14ac:dyDescent="0.2">
      <c r="A59" s="94">
        <v>12</v>
      </c>
      <c r="B59" s="88" t="s">
        <v>24</v>
      </c>
      <c r="C59" s="28" t="s">
        <v>8</v>
      </c>
      <c r="D59" s="71"/>
      <c r="E59" s="65"/>
      <c r="F59" s="65"/>
      <c r="G59" s="65"/>
      <c r="H59" s="65"/>
      <c r="I59" s="65"/>
      <c r="J59" s="65"/>
      <c r="K59" s="71"/>
      <c r="L59" s="65"/>
      <c r="M59" s="65"/>
      <c r="N59" s="65"/>
      <c r="O59" s="65"/>
      <c r="P59" s="65"/>
      <c r="Q59" s="65"/>
      <c r="R59" s="71"/>
      <c r="S59" s="65"/>
      <c r="T59" s="65"/>
      <c r="U59" s="65"/>
      <c r="V59" s="65"/>
      <c r="W59" s="65"/>
      <c r="X59" s="65"/>
      <c r="Y59" s="71"/>
      <c r="Z59" s="65"/>
      <c r="AA59" s="65"/>
      <c r="AB59" s="65"/>
      <c r="AC59" s="65"/>
      <c r="AD59" s="65"/>
      <c r="AE59" s="65"/>
      <c r="AF59" s="71"/>
      <c r="AG59" s="65"/>
      <c r="AH59" s="65">
        <v>18.5</v>
      </c>
      <c r="AI59" s="33">
        <f>0</f>
        <v>0</v>
      </c>
      <c r="AJ59" s="33">
        <f>SUM(D59:AH59)/8</f>
        <v>2.3125</v>
      </c>
      <c r="AK59" s="33">
        <f>AI59+AJ59</f>
        <v>2.3125</v>
      </c>
    </row>
    <row r="60" spans="1:37" ht="14.25" customHeight="1" x14ac:dyDescent="0.2">
      <c r="A60" s="89"/>
      <c r="B60" s="89"/>
      <c r="C60" s="28" t="s">
        <v>9</v>
      </c>
      <c r="D60" s="71" t="s">
        <v>10</v>
      </c>
      <c r="E60" s="65" t="s">
        <v>10</v>
      </c>
      <c r="F60" s="65"/>
      <c r="G60" s="65" t="s">
        <v>10</v>
      </c>
      <c r="H60" s="65" t="s">
        <v>10</v>
      </c>
      <c r="I60" s="65" t="s">
        <v>10</v>
      </c>
      <c r="J60" s="65" t="s">
        <v>10</v>
      </c>
      <c r="K60" s="71" t="s">
        <v>10</v>
      </c>
      <c r="L60" s="65" t="s">
        <v>10</v>
      </c>
      <c r="M60" s="65" t="s">
        <v>10</v>
      </c>
      <c r="N60" s="65" t="s">
        <v>10</v>
      </c>
      <c r="O60" s="65" t="s">
        <v>10</v>
      </c>
      <c r="P60" s="65" t="s">
        <v>10</v>
      </c>
      <c r="Q60" s="65" t="s">
        <v>10</v>
      </c>
      <c r="R60" s="71" t="s">
        <v>33</v>
      </c>
      <c r="S60" s="65" t="s">
        <v>10</v>
      </c>
      <c r="T60" s="65" t="s">
        <v>10</v>
      </c>
      <c r="U60" s="65" t="s">
        <v>10</v>
      </c>
      <c r="V60" s="65" t="s">
        <v>44</v>
      </c>
      <c r="W60" s="65" t="s">
        <v>10</v>
      </c>
      <c r="X60" s="65" t="s">
        <v>10</v>
      </c>
      <c r="Y60" s="71" t="s">
        <v>10</v>
      </c>
      <c r="Z60" s="65" t="s">
        <v>10</v>
      </c>
      <c r="AA60" s="65"/>
      <c r="AB60" s="65"/>
      <c r="AC60" s="65"/>
      <c r="AD60" s="65" t="s">
        <v>10</v>
      </c>
      <c r="AE60" s="65" t="s">
        <v>10</v>
      </c>
      <c r="AF60" s="71" t="s">
        <v>10</v>
      </c>
      <c r="AG60" s="65" t="s">
        <v>10</v>
      </c>
      <c r="AH60" s="65"/>
      <c r="AI60" s="33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25</v>
      </c>
      <c r="AJ60" s="33">
        <f>0</f>
        <v>0</v>
      </c>
      <c r="AK60" s="33">
        <f>AI60+AJ60</f>
        <v>25</v>
      </c>
    </row>
    <row r="61" spans="1:37" ht="14.25" customHeight="1" x14ac:dyDescent="0.2">
      <c r="A61" s="89"/>
      <c r="B61" s="89"/>
      <c r="C61" s="28" t="s">
        <v>11</v>
      </c>
      <c r="D61" s="71"/>
      <c r="E61" s="65"/>
      <c r="F61" s="65"/>
      <c r="G61" s="65"/>
      <c r="H61" s="65"/>
      <c r="I61" s="65"/>
      <c r="J61" s="65"/>
      <c r="K61" s="71"/>
      <c r="L61" s="65"/>
      <c r="M61" s="65"/>
      <c r="N61" s="65"/>
      <c r="O61" s="65"/>
      <c r="P61" s="65"/>
      <c r="Q61" s="65"/>
      <c r="R61" s="71"/>
      <c r="S61" s="65"/>
      <c r="T61" s="65"/>
      <c r="U61" s="65"/>
      <c r="V61" s="65"/>
      <c r="W61" s="65"/>
      <c r="X61" s="65"/>
      <c r="Y61" s="71"/>
      <c r="Z61" s="65"/>
      <c r="AA61" s="65"/>
      <c r="AB61" s="65"/>
      <c r="AC61" s="65"/>
      <c r="AD61" s="65"/>
      <c r="AE61" s="65"/>
      <c r="AF61" s="71"/>
      <c r="AG61" s="65"/>
      <c r="AH61" s="65"/>
      <c r="AI61" s="33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0</v>
      </c>
      <c r="AJ61" s="33">
        <f>0</f>
        <v>0</v>
      </c>
      <c r="AK61" s="33">
        <f>AI61+AJ61</f>
        <v>0</v>
      </c>
    </row>
    <row r="62" spans="1:37" ht="14.25" customHeight="1" x14ac:dyDescent="0.2">
      <c r="A62" s="90"/>
      <c r="B62" s="90"/>
      <c r="C62" s="28" t="s">
        <v>12</v>
      </c>
      <c r="D62" s="71"/>
      <c r="E62" s="65"/>
      <c r="F62" s="65"/>
      <c r="G62" s="65"/>
      <c r="H62" s="65"/>
      <c r="I62" s="65"/>
      <c r="J62" s="65"/>
      <c r="K62" s="71"/>
      <c r="L62" s="65"/>
      <c r="M62" s="65"/>
      <c r="N62" s="65"/>
      <c r="O62" s="65"/>
      <c r="P62" s="65"/>
      <c r="Q62" s="65"/>
      <c r="R62" s="71"/>
      <c r="S62" s="65"/>
      <c r="T62" s="65"/>
      <c r="U62" s="65"/>
      <c r="V62" s="65"/>
      <c r="W62" s="65"/>
      <c r="X62" s="65"/>
      <c r="Y62" s="71"/>
      <c r="Z62" s="65"/>
      <c r="AA62" s="65"/>
      <c r="AB62" s="65"/>
      <c r="AC62" s="65"/>
      <c r="AD62" s="65"/>
      <c r="AE62" s="65"/>
      <c r="AF62" s="71"/>
      <c r="AG62" s="65"/>
      <c r="AH62" s="65"/>
      <c r="AI62" s="33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0</v>
      </c>
      <c r="AJ62" s="33">
        <f>0</f>
        <v>0</v>
      </c>
      <c r="AK62" s="33">
        <f>AI62+AJ62</f>
        <v>0</v>
      </c>
    </row>
    <row r="63" spans="1:37" ht="14.25" customHeight="1" x14ac:dyDescent="0.2">
      <c r="A63" s="16"/>
      <c r="B63" s="23"/>
      <c r="C63" s="69"/>
      <c r="D63" s="71"/>
      <c r="E63" s="69"/>
      <c r="F63" s="69"/>
      <c r="G63" s="69"/>
      <c r="H63" s="69"/>
      <c r="I63" s="69"/>
      <c r="J63" s="69"/>
      <c r="K63" s="71"/>
      <c r="L63" s="69"/>
      <c r="M63" s="69"/>
      <c r="N63" s="69"/>
      <c r="O63" s="69"/>
      <c r="P63" s="69"/>
      <c r="Q63" s="69"/>
      <c r="R63" s="71"/>
      <c r="S63" s="69"/>
      <c r="T63" s="69"/>
      <c r="U63" s="69"/>
      <c r="V63" s="69"/>
      <c r="W63" s="69"/>
      <c r="X63" s="69"/>
      <c r="Y63" s="71"/>
      <c r="Z63" s="69"/>
      <c r="AA63" s="69"/>
      <c r="AB63" s="69"/>
      <c r="AC63" s="69"/>
      <c r="AD63" s="69"/>
      <c r="AE63" s="69"/>
      <c r="AF63" s="71"/>
      <c r="AG63" s="69"/>
      <c r="AH63" s="69"/>
      <c r="AI63" s="78" t="str">
        <f>""</f>
        <v/>
      </c>
      <c r="AJ63" s="78" t="str">
        <f>""</f>
        <v/>
      </c>
      <c r="AK63" s="78" t="str">
        <f>""</f>
        <v/>
      </c>
    </row>
    <row r="64" spans="1:37" ht="14.25" customHeight="1" x14ac:dyDescent="0.2">
      <c r="A64" s="94">
        <v>13</v>
      </c>
      <c r="B64" s="94" t="s">
        <v>26</v>
      </c>
      <c r="C64" s="28" t="s">
        <v>8</v>
      </c>
      <c r="D64" s="71"/>
      <c r="E64" s="65"/>
      <c r="F64" s="65"/>
      <c r="G64" s="65"/>
      <c r="H64" s="65"/>
      <c r="I64" s="65"/>
      <c r="J64" s="65"/>
      <c r="K64" s="71"/>
      <c r="L64" s="65"/>
      <c r="M64" s="65"/>
      <c r="N64" s="65"/>
      <c r="O64" s="65"/>
      <c r="P64" s="65"/>
      <c r="Q64" s="65"/>
      <c r="R64" s="71"/>
      <c r="S64" s="65"/>
      <c r="T64" s="65"/>
      <c r="U64" s="65"/>
      <c r="V64" s="65"/>
      <c r="W64" s="65"/>
      <c r="X64" s="65"/>
      <c r="Y64" s="71"/>
      <c r="Z64" s="65"/>
      <c r="AA64" s="65"/>
      <c r="AB64" s="65"/>
      <c r="AC64" s="65"/>
      <c r="AD64" s="65"/>
      <c r="AE64" s="65"/>
      <c r="AF64" s="71"/>
      <c r="AG64" s="65"/>
      <c r="AH64" s="65">
        <v>18.5</v>
      </c>
      <c r="AI64" s="33">
        <f>0</f>
        <v>0</v>
      </c>
      <c r="AJ64" s="33">
        <f>SUM(D64:AH64)/8</f>
        <v>2.3125</v>
      </c>
      <c r="AK64" s="33">
        <f>AI64+AJ64</f>
        <v>2.3125</v>
      </c>
    </row>
    <row r="65" spans="1:37" ht="14.25" customHeight="1" x14ac:dyDescent="0.2">
      <c r="A65" s="89"/>
      <c r="B65" s="89"/>
      <c r="C65" s="28" t="s">
        <v>9</v>
      </c>
      <c r="D65" s="71" t="s">
        <v>10</v>
      </c>
      <c r="E65" s="65" t="s">
        <v>10</v>
      </c>
      <c r="F65" s="65"/>
      <c r="G65" s="65" t="s">
        <v>10</v>
      </c>
      <c r="H65" s="65" t="s">
        <v>10</v>
      </c>
      <c r="I65" s="65" t="s">
        <v>10</v>
      </c>
      <c r="J65" s="65" t="s">
        <v>10</v>
      </c>
      <c r="K65" s="71" t="s">
        <v>10</v>
      </c>
      <c r="L65" s="65" t="s">
        <v>10</v>
      </c>
      <c r="M65" s="65" t="s">
        <v>10</v>
      </c>
      <c r="N65" s="65" t="s">
        <v>10</v>
      </c>
      <c r="O65" s="65" t="s">
        <v>10</v>
      </c>
      <c r="P65" s="65" t="s">
        <v>10</v>
      </c>
      <c r="Q65" s="65" t="s">
        <v>10</v>
      </c>
      <c r="R65" s="71" t="s">
        <v>33</v>
      </c>
      <c r="S65" s="65" t="s">
        <v>10</v>
      </c>
      <c r="T65" s="65" t="s">
        <v>10</v>
      </c>
      <c r="U65" s="65" t="s">
        <v>10</v>
      </c>
      <c r="V65" s="65" t="s">
        <v>44</v>
      </c>
      <c r="W65" s="65" t="s">
        <v>10</v>
      </c>
      <c r="X65" s="65" t="s">
        <v>10</v>
      </c>
      <c r="Y65" s="71" t="s">
        <v>10</v>
      </c>
      <c r="Z65" s="65" t="s">
        <v>10</v>
      </c>
      <c r="AA65" s="65"/>
      <c r="AB65" s="65"/>
      <c r="AC65" s="65"/>
      <c r="AD65" s="65" t="s">
        <v>10</v>
      </c>
      <c r="AE65" s="65" t="s">
        <v>10</v>
      </c>
      <c r="AF65" s="71" t="s">
        <v>10</v>
      </c>
      <c r="AG65" s="65" t="s">
        <v>10</v>
      </c>
      <c r="AH65" s="65"/>
      <c r="AI65" s="33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25</v>
      </c>
      <c r="AJ65" s="33">
        <f>0</f>
        <v>0</v>
      </c>
      <c r="AK65" s="33">
        <f>AI65+AJ65</f>
        <v>25</v>
      </c>
    </row>
    <row r="66" spans="1:37" ht="14.25" customHeight="1" x14ac:dyDescent="0.2">
      <c r="A66" s="89"/>
      <c r="B66" s="89"/>
      <c r="C66" s="28" t="s">
        <v>11</v>
      </c>
      <c r="D66" s="71"/>
      <c r="E66" s="65"/>
      <c r="F66" s="65"/>
      <c r="G66" s="65"/>
      <c r="H66" s="65"/>
      <c r="I66" s="65"/>
      <c r="J66" s="65"/>
      <c r="K66" s="71"/>
      <c r="L66" s="65"/>
      <c r="M66" s="65"/>
      <c r="N66" s="65"/>
      <c r="O66" s="65"/>
      <c r="P66" s="65"/>
      <c r="Q66" s="65"/>
      <c r="R66" s="71"/>
      <c r="S66" s="65"/>
      <c r="T66" s="65"/>
      <c r="U66" s="65"/>
      <c r="V66" s="65"/>
      <c r="W66" s="65"/>
      <c r="X66" s="65"/>
      <c r="Y66" s="71"/>
      <c r="Z66" s="65"/>
      <c r="AA66" s="65"/>
      <c r="AB66" s="65"/>
      <c r="AC66" s="65"/>
      <c r="AD66" s="65"/>
      <c r="AE66" s="65"/>
      <c r="AF66" s="71"/>
      <c r="AG66" s="65"/>
      <c r="AH66" s="65"/>
      <c r="AI66" s="33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0</v>
      </c>
      <c r="AJ66" s="33">
        <f>0</f>
        <v>0</v>
      </c>
      <c r="AK66" s="33">
        <f>AI66+AJ66</f>
        <v>0</v>
      </c>
    </row>
    <row r="67" spans="1:37" ht="14.25" customHeight="1" x14ac:dyDescent="0.2">
      <c r="A67" s="90"/>
      <c r="B67" s="90"/>
      <c r="C67" s="28" t="s">
        <v>12</v>
      </c>
      <c r="D67" s="71"/>
      <c r="E67" s="65"/>
      <c r="F67" s="65"/>
      <c r="G67" s="65"/>
      <c r="H67" s="65"/>
      <c r="I67" s="65"/>
      <c r="J67" s="65"/>
      <c r="K67" s="71"/>
      <c r="L67" s="65"/>
      <c r="M67" s="65"/>
      <c r="N67" s="65"/>
      <c r="O67" s="65"/>
      <c r="P67" s="65"/>
      <c r="Q67" s="65"/>
      <c r="R67" s="71"/>
      <c r="S67" s="65"/>
      <c r="T67" s="65"/>
      <c r="U67" s="65"/>
      <c r="V67" s="65"/>
      <c r="W67" s="65"/>
      <c r="X67" s="65"/>
      <c r="Y67" s="71"/>
      <c r="Z67" s="65"/>
      <c r="AA67" s="65"/>
      <c r="AB67" s="65"/>
      <c r="AC67" s="65"/>
      <c r="AD67" s="65"/>
      <c r="AE67" s="65"/>
      <c r="AF67" s="71"/>
      <c r="AG67" s="65"/>
      <c r="AH67" s="65"/>
      <c r="AI67" s="33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0</v>
      </c>
      <c r="AJ67" s="33">
        <f>0</f>
        <v>0</v>
      </c>
      <c r="AK67" s="33">
        <f>AI67+AJ67</f>
        <v>0</v>
      </c>
    </row>
    <row r="68" spans="1:37" ht="14.25" customHeight="1" x14ac:dyDescent="0.2">
      <c r="A68" s="41" t="s">
        <v>27</v>
      </c>
      <c r="B68" s="40" t="s">
        <v>30</v>
      </c>
      <c r="C68" s="41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8" t="str">
        <f>""</f>
        <v/>
      </c>
      <c r="AJ68" s="38" t="str">
        <f>""</f>
        <v/>
      </c>
      <c r="AK68" s="38" t="str">
        <f>""</f>
        <v/>
      </c>
    </row>
    <row r="69" spans="1:37" ht="14.25" customHeight="1" x14ac:dyDescent="0.2">
      <c r="A69" s="44"/>
      <c r="B69" s="43"/>
      <c r="C69" s="44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8"/>
      <c r="Q69" s="29"/>
      <c r="R69" s="29"/>
      <c r="S69" s="29"/>
      <c r="T69" s="29"/>
      <c r="U69" s="29"/>
      <c r="V69" s="29"/>
      <c r="W69" s="28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33"/>
      <c r="AJ69" s="33"/>
      <c r="AK69" s="33"/>
    </row>
    <row r="70" spans="1:37" ht="14.25" customHeight="1" x14ac:dyDescent="0.2">
      <c r="A70" s="25"/>
      <c r="B70" s="26"/>
      <c r="C70" s="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6"/>
      <c r="Q70" s="9"/>
      <c r="R70" s="8"/>
      <c r="S70" s="8"/>
      <c r="T70" s="8"/>
      <c r="U70" s="8"/>
      <c r="V70" s="8"/>
      <c r="W70" s="6"/>
      <c r="X70" s="9"/>
      <c r="Y70" s="8"/>
      <c r="Z70" s="8"/>
      <c r="AA70" s="6"/>
      <c r="AB70" s="8"/>
      <c r="AC70" s="8"/>
      <c r="AD70" s="8"/>
      <c r="AE70" s="8"/>
      <c r="AF70" s="8"/>
      <c r="AG70" s="8"/>
      <c r="AH70" s="8"/>
      <c r="AI70" s="47"/>
      <c r="AJ70" s="48"/>
      <c r="AK70" s="49"/>
    </row>
    <row r="71" spans="1:37" ht="14.25" customHeight="1" x14ac:dyDescent="0.2">
      <c r="A71" s="103"/>
      <c r="B71" s="104"/>
      <c r="C71" s="104"/>
      <c r="D71" s="10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3"/>
      <c r="AI71" s="106"/>
      <c r="AJ71" s="108"/>
      <c r="AK71" s="107"/>
    </row>
    <row r="72" spans="1:37" ht="14.25" customHeight="1" x14ac:dyDescent="0.2">
      <c r="A72" s="100"/>
      <c r="B72" s="105"/>
      <c r="C72" s="105"/>
      <c r="D72" s="91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89"/>
      <c r="AJ72" s="99"/>
      <c r="AK72" s="89"/>
    </row>
    <row r="73" spans="1:37" ht="14.25" customHeight="1" x14ac:dyDescent="0.25">
      <c r="A73" s="2"/>
      <c r="B73" s="2"/>
      <c r="C73" s="3"/>
      <c r="D73" s="14">
        <f t="shared" ref="D73:AH73" si="2">+C73+1</f>
        <v>1</v>
      </c>
      <c r="E73" s="14">
        <f t="shared" si="2"/>
        <v>2</v>
      </c>
      <c r="F73" s="14">
        <f t="shared" si="2"/>
        <v>3</v>
      </c>
      <c r="G73" s="14">
        <f t="shared" si="2"/>
        <v>4</v>
      </c>
      <c r="H73" s="14">
        <f t="shared" si="2"/>
        <v>5</v>
      </c>
      <c r="I73" s="14">
        <f t="shared" si="2"/>
        <v>6</v>
      </c>
      <c r="J73" s="14">
        <f t="shared" si="2"/>
        <v>7</v>
      </c>
      <c r="K73" s="14">
        <f t="shared" si="2"/>
        <v>8</v>
      </c>
      <c r="L73" s="14">
        <f t="shared" si="2"/>
        <v>9</v>
      </c>
      <c r="M73" s="14">
        <f t="shared" si="2"/>
        <v>10</v>
      </c>
      <c r="N73" s="14">
        <f t="shared" si="2"/>
        <v>11</v>
      </c>
      <c r="O73" s="14">
        <f t="shared" si="2"/>
        <v>12</v>
      </c>
      <c r="P73" s="14">
        <f t="shared" si="2"/>
        <v>13</v>
      </c>
      <c r="Q73" s="14">
        <f t="shared" si="2"/>
        <v>14</v>
      </c>
      <c r="R73" s="14">
        <f t="shared" si="2"/>
        <v>15</v>
      </c>
      <c r="S73" s="14">
        <f t="shared" si="2"/>
        <v>16</v>
      </c>
      <c r="T73" s="14">
        <f t="shared" si="2"/>
        <v>17</v>
      </c>
      <c r="U73" s="14">
        <f t="shared" si="2"/>
        <v>18</v>
      </c>
      <c r="V73" s="14">
        <f t="shared" si="2"/>
        <v>19</v>
      </c>
      <c r="W73" s="14">
        <f t="shared" si="2"/>
        <v>20</v>
      </c>
      <c r="X73" s="14">
        <f t="shared" si="2"/>
        <v>21</v>
      </c>
      <c r="Y73" s="14">
        <f t="shared" si="2"/>
        <v>22</v>
      </c>
      <c r="Z73" s="14">
        <f t="shared" si="2"/>
        <v>23</v>
      </c>
      <c r="AA73" s="14">
        <f t="shared" si="2"/>
        <v>24</v>
      </c>
      <c r="AB73" s="14">
        <f t="shared" si="2"/>
        <v>25</v>
      </c>
      <c r="AC73" s="14">
        <f t="shared" si="2"/>
        <v>26</v>
      </c>
      <c r="AD73" s="14">
        <f t="shared" si="2"/>
        <v>27</v>
      </c>
      <c r="AE73" s="14">
        <f t="shared" si="2"/>
        <v>28</v>
      </c>
      <c r="AF73" s="14">
        <f t="shared" si="2"/>
        <v>29</v>
      </c>
      <c r="AG73" s="14">
        <f t="shared" si="2"/>
        <v>30</v>
      </c>
      <c r="AH73" s="14">
        <f t="shared" si="2"/>
        <v>31</v>
      </c>
      <c r="AI73" s="90"/>
      <c r="AJ73" s="100"/>
      <c r="AK73" s="90"/>
    </row>
    <row r="74" spans="1:37" ht="14.25" customHeight="1" x14ac:dyDescent="0.2">
      <c r="A74" s="94"/>
      <c r="B74" s="95"/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8"/>
      <c r="Z74" s="8"/>
      <c r="AA74" s="8"/>
      <c r="AB74" s="8"/>
      <c r="AC74" s="8"/>
      <c r="AD74" s="8"/>
      <c r="AE74" s="8"/>
      <c r="AF74" s="8"/>
      <c r="AG74" s="8"/>
      <c r="AH74" s="4"/>
      <c r="AI74" s="50">
        <f>0</f>
        <v>0</v>
      </c>
      <c r="AJ74" s="51">
        <f t="shared" ref="AJ74:AJ81" si="3">SUM(D74:AH74)/8</f>
        <v>0</v>
      </c>
      <c r="AK74" s="52">
        <f t="shared" ref="AK74:AK105" si="4">AI74+AJ74</f>
        <v>0</v>
      </c>
    </row>
    <row r="75" spans="1:37" ht="14.25" customHeight="1" x14ac:dyDescent="0.2">
      <c r="A75" s="89"/>
      <c r="B75" s="89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si="3"/>
        <v>0</v>
      </c>
      <c r="AK75" s="52">
        <f t="shared" si="4"/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3"/>
        <v>0</v>
      </c>
      <c r="AK76" s="52">
        <f t="shared" si="4"/>
        <v>0</v>
      </c>
    </row>
    <row r="77" spans="1:37" ht="14.25" customHeight="1" x14ac:dyDescent="0.2">
      <c r="A77" s="90"/>
      <c r="B77" s="96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9"/>
      <c r="AF77" s="8"/>
      <c r="AG77" s="8"/>
      <c r="AH77" s="6"/>
      <c r="AI77" s="50">
        <f>0</f>
        <v>0</v>
      </c>
      <c r="AJ77" s="51">
        <f t="shared" si="3"/>
        <v>0</v>
      </c>
      <c r="AK77" s="52">
        <f t="shared" si="4"/>
        <v>0</v>
      </c>
    </row>
    <row r="78" spans="1:37" ht="14.25" customHeight="1" x14ac:dyDescent="0.2">
      <c r="A78" s="94"/>
      <c r="B78" s="97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3"/>
        <v>0</v>
      </c>
      <c r="AK78" s="52">
        <f t="shared" si="4"/>
        <v>0</v>
      </c>
    </row>
    <row r="79" spans="1:37" ht="14.25" customHeight="1" x14ac:dyDescent="0.2">
      <c r="A79" s="89"/>
      <c r="B79" s="89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3"/>
        <v>0</v>
      </c>
      <c r="AK79" s="52">
        <f t="shared" si="4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3"/>
        <v>0</v>
      </c>
      <c r="AK80" s="52">
        <f t="shared" si="4"/>
        <v>0</v>
      </c>
    </row>
    <row r="81" spans="1:37" ht="14.25" customHeight="1" x14ac:dyDescent="0.2">
      <c r="A81" s="90"/>
      <c r="B81" s="96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3"/>
        <v>0</v>
      </c>
      <c r="AK81" s="52">
        <f t="shared" si="4"/>
        <v>0</v>
      </c>
    </row>
    <row r="82" spans="1:37" ht="14.25" customHeight="1" x14ac:dyDescent="0.2">
      <c r="A82" s="94"/>
      <c r="B82" s="97"/>
      <c r="C82" s="2"/>
      <c r="D82" s="8"/>
      <c r="E82" s="8"/>
      <c r="F82" s="8"/>
      <c r="G82" s="8"/>
      <c r="H82" s="8"/>
      <c r="I82" s="8"/>
      <c r="J82" s="8"/>
      <c r="K82" s="8"/>
      <c r="L82" s="15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/>
      <c r="AK82" s="52">
        <f t="shared" si="4"/>
        <v>0</v>
      </c>
    </row>
    <row r="83" spans="1:37" ht="14.25" customHeight="1" x14ac:dyDescent="0.2">
      <c r="A83" s="89"/>
      <c r="B83" s="89"/>
      <c r="C83" s="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>
        <f>0</f>
        <v>0</v>
      </c>
      <c r="AK83" s="52">
        <f t="shared" si="4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4"/>
        <v>0</v>
      </c>
    </row>
    <row r="85" spans="1:37" ht="14.25" customHeight="1" x14ac:dyDescent="0.2">
      <c r="A85" s="90"/>
      <c r="B85" s="96"/>
      <c r="C85" s="2"/>
      <c r="D85" s="8"/>
      <c r="E85" s="8"/>
      <c r="F85" s="8"/>
      <c r="G85" s="8"/>
      <c r="H85" s="8"/>
      <c r="I85" s="8"/>
      <c r="J85" s="8"/>
      <c r="K85" s="8"/>
      <c r="L85" s="15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4"/>
        <v>0</v>
      </c>
    </row>
    <row r="86" spans="1:37" ht="14.25" customHeight="1" x14ac:dyDescent="0.2">
      <c r="A86" s="94"/>
      <c r="B86" s="97"/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4"/>
        <v>0</v>
      </c>
    </row>
    <row r="87" spans="1:37" ht="14.25" customHeight="1" x14ac:dyDescent="0.2">
      <c r="A87" s="89"/>
      <c r="B87" s="89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4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4"/>
        <v>0</v>
      </c>
    </row>
    <row r="89" spans="1:37" ht="14.25" customHeight="1" x14ac:dyDescent="0.2">
      <c r="A89" s="90"/>
      <c r="B89" s="96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4"/>
        <v>0</v>
      </c>
    </row>
    <row r="90" spans="1:37" ht="14.25" customHeight="1" x14ac:dyDescent="0.2">
      <c r="A90" s="94"/>
      <c r="B90" s="97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4"/>
        <v>0</v>
      </c>
    </row>
    <row r="91" spans="1:37" ht="14.25" customHeight="1" x14ac:dyDescent="0.2">
      <c r="A91" s="89"/>
      <c r="B91" s="89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4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4"/>
        <v>0</v>
      </c>
    </row>
    <row r="93" spans="1:37" ht="14.25" customHeight="1" x14ac:dyDescent="0.2">
      <c r="A93" s="90"/>
      <c r="B93" s="96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4"/>
        <v>0</v>
      </c>
    </row>
    <row r="94" spans="1:37" ht="14.25" customHeight="1" x14ac:dyDescent="0.2">
      <c r="A94" s="94"/>
      <c r="B94" s="97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4"/>
        <v>0</v>
      </c>
    </row>
    <row r="95" spans="1:37" ht="14.25" customHeight="1" x14ac:dyDescent="0.2">
      <c r="A95" s="89"/>
      <c r="B95" s="89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4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4"/>
        <v>0</v>
      </c>
    </row>
    <row r="97" spans="1:37" ht="14.25" customHeight="1" x14ac:dyDescent="0.2">
      <c r="A97" s="90"/>
      <c r="B97" s="96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4"/>
        <v>0</v>
      </c>
    </row>
    <row r="98" spans="1:37" ht="14.25" customHeight="1" x14ac:dyDescent="0.2">
      <c r="A98" s="94"/>
      <c r="B98" s="97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4"/>
        <v>0</v>
      </c>
    </row>
    <row r="99" spans="1:37" ht="14.25" customHeight="1" x14ac:dyDescent="0.2">
      <c r="A99" s="89"/>
      <c r="B99" s="89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4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4"/>
        <v>0</v>
      </c>
    </row>
    <row r="101" spans="1:37" ht="14.25" customHeight="1" x14ac:dyDescent="0.2">
      <c r="A101" s="90"/>
      <c r="B101" s="96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4"/>
        <v>0</v>
      </c>
    </row>
    <row r="102" spans="1:37" ht="14.25" customHeight="1" x14ac:dyDescent="0.2">
      <c r="A102" s="94"/>
      <c r="B102" s="97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6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4"/>
        <v>0</v>
      </c>
    </row>
    <row r="103" spans="1:37" ht="14.25" customHeight="1" x14ac:dyDescent="0.2">
      <c r="A103" s="89"/>
      <c r="B103" s="89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4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4"/>
        <v>0</v>
      </c>
    </row>
    <row r="105" spans="1:37" ht="14.25" customHeight="1" x14ac:dyDescent="0.2">
      <c r="A105" s="90"/>
      <c r="B105" s="96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4"/>
        <v>0</v>
      </c>
    </row>
    <row r="106" spans="1:37" ht="14.25" customHeight="1" x14ac:dyDescent="0.2">
      <c r="A106" s="94"/>
      <c r="B106" s="97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ref="AK106:AK125" si="5">AI106+AJ106</f>
        <v>0</v>
      </c>
    </row>
    <row r="107" spans="1:37" ht="14.25" customHeight="1" x14ac:dyDescent="0.2">
      <c r="A107" s="89"/>
      <c r="B107" s="89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si="5"/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5"/>
        <v>0</v>
      </c>
    </row>
    <row r="109" spans="1:37" ht="14.25" customHeight="1" x14ac:dyDescent="0.2">
      <c r="A109" s="90"/>
      <c r="B109" s="96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6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5"/>
        <v>0</v>
      </c>
    </row>
    <row r="110" spans="1:37" ht="14.25" customHeight="1" x14ac:dyDescent="0.2">
      <c r="A110" s="94"/>
      <c r="B110" s="97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5"/>
        <v>0</v>
      </c>
    </row>
    <row r="111" spans="1:37" ht="14.25" customHeight="1" x14ac:dyDescent="0.2">
      <c r="A111" s="89"/>
      <c r="B111" s="89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5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5"/>
        <v>0</v>
      </c>
    </row>
    <row r="113" spans="1:37" ht="14.25" customHeight="1" x14ac:dyDescent="0.2">
      <c r="A113" s="90"/>
      <c r="B113" s="96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6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5"/>
        <v>0</v>
      </c>
    </row>
    <row r="114" spans="1:37" ht="14.25" customHeight="1" x14ac:dyDescent="0.2">
      <c r="A114" s="94"/>
      <c r="B114" s="97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6"/>
      <c r="X114" s="9"/>
      <c r="Y114" s="8"/>
      <c r="Z114" s="8"/>
      <c r="AA114" s="8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5"/>
        <v>0</v>
      </c>
    </row>
    <row r="115" spans="1:37" ht="14.25" customHeight="1" x14ac:dyDescent="0.2">
      <c r="A115" s="89"/>
      <c r="B115" s="89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5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5"/>
        <v>0</v>
      </c>
    </row>
    <row r="117" spans="1:37" ht="14.25" customHeight="1" x14ac:dyDescent="0.2">
      <c r="A117" s="90"/>
      <c r="B117" s="96"/>
      <c r="C117" s="2"/>
      <c r="D117" s="8"/>
      <c r="E117" s="8"/>
      <c r="F117" s="8"/>
      <c r="G117" s="8"/>
      <c r="H117" s="8"/>
      <c r="I117" s="8"/>
      <c r="J117" s="13"/>
      <c r="K117" s="13"/>
      <c r="L117" s="13"/>
      <c r="M117" s="8"/>
      <c r="N117" s="13"/>
      <c r="O117" s="13"/>
      <c r="P117" s="13"/>
      <c r="Q117" s="13"/>
      <c r="R117" s="8"/>
      <c r="S117" s="8"/>
      <c r="T117" s="8"/>
      <c r="U117" s="8"/>
      <c r="V117" s="6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5"/>
        <v>0</v>
      </c>
    </row>
    <row r="118" spans="1:37" ht="14.25" customHeight="1" x14ac:dyDescent="0.2">
      <c r="A118" s="94"/>
      <c r="B118" s="88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4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4"/>
      <c r="AI118" s="50">
        <f>0</f>
        <v>0</v>
      </c>
      <c r="AJ118" s="51">
        <f>0</f>
        <v>0</v>
      </c>
      <c r="AK118" s="52">
        <f t="shared" si="5"/>
        <v>0</v>
      </c>
    </row>
    <row r="119" spans="1:37" ht="14.25" customHeight="1" x14ac:dyDescent="0.2">
      <c r="A119" s="89"/>
      <c r="B119" s="89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5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5"/>
        <v>0</v>
      </c>
    </row>
    <row r="121" spans="1:37" ht="14.25" customHeight="1" x14ac:dyDescent="0.2">
      <c r="A121" s="90"/>
      <c r="B121" s="90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6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6"/>
      <c r="AI121" s="50">
        <f>0</f>
        <v>0</v>
      </c>
      <c r="AJ121" s="51">
        <f>0</f>
        <v>0</v>
      </c>
      <c r="AK121" s="52">
        <f t="shared" si="5"/>
        <v>0</v>
      </c>
    </row>
    <row r="122" spans="1:37" ht="14.25" customHeight="1" x14ac:dyDescent="0.2">
      <c r="A122" s="94"/>
      <c r="B122" s="94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4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4"/>
      <c r="AI122" s="50">
        <f>0</f>
        <v>0</v>
      </c>
      <c r="AJ122" s="51">
        <f>0</f>
        <v>0</v>
      </c>
      <c r="AK122" s="52">
        <f t="shared" si="5"/>
        <v>0</v>
      </c>
    </row>
    <row r="123" spans="1:37" ht="14.25" customHeight="1" x14ac:dyDescent="0.2">
      <c r="A123" s="89"/>
      <c r="B123" s="89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5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5"/>
        <v>0</v>
      </c>
    </row>
    <row r="125" spans="1:37" ht="14.25" customHeight="1" x14ac:dyDescent="0.2">
      <c r="A125" s="90"/>
      <c r="B125" s="90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6"/>
      <c r="W125" s="6"/>
      <c r="X125" s="9"/>
      <c r="Y125" s="8"/>
      <c r="Z125" s="8"/>
      <c r="AA125" s="6"/>
      <c r="AB125" s="8"/>
      <c r="AC125" s="8"/>
      <c r="AD125" s="8"/>
      <c r="AE125" s="9"/>
      <c r="AF125" s="8"/>
      <c r="AG125" s="8"/>
      <c r="AH125" s="6"/>
      <c r="AI125" s="50">
        <f>0</f>
        <v>0</v>
      </c>
      <c r="AJ125" s="51">
        <f>0</f>
        <v>0</v>
      </c>
      <c r="AK125" s="52">
        <f t="shared" si="5"/>
        <v>0</v>
      </c>
    </row>
    <row r="126" spans="1:37" x14ac:dyDescent="0.2">
      <c r="A126" s="11"/>
      <c r="B126" s="11"/>
      <c r="AH126" s="12"/>
      <c r="AI126" s="52"/>
      <c r="AJ126" s="52">
        <f>SUM(AJ74:AJ125)</f>
        <v>0</v>
      </c>
      <c r="AK126" s="52">
        <f>SUM(AK74:AK125)</f>
        <v>0</v>
      </c>
    </row>
    <row r="127" spans="1:37" x14ac:dyDescent="0.2">
      <c r="A127" s="11"/>
      <c r="B127" s="11"/>
      <c r="AI127" s="45"/>
      <c r="AJ127" s="45"/>
      <c r="AK127" s="45"/>
    </row>
    <row r="128" spans="1:37" ht="14.25" customHeight="1" x14ac:dyDescent="0.2"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5.75" customHeight="1" x14ac:dyDescent="0.2"/>
    <row r="135" spans="35:37" ht="15.75" customHeight="1" x14ac:dyDescent="0.2"/>
    <row r="136" spans="35:37" ht="15.75" customHeight="1" x14ac:dyDescent="0.2"/>
    <row r="137" spans="35:37" ht="15.75" customHeight="1" x14ac:dyDescent="0.2"/>
    <row r="138" spans="35:37" ht="15.75" customHeight="1" x14ac:dyDescent="0.2"/>
    <row r="139" spans="35:37" ht="15.75" customHeight="1" x14ac:dyDescent="0.2"/>
    <row r="140" spans="35:37" ht="15.75" customHeight="1" x14ac:dyDescent="0.2"/>
    <row r="141" spans="35:37" ht="15.75" customHeight="1" x14ac:dyDescent="0.2"/>
    <row r="142" spans="35:37" ht="15.75" customHeight="1" x14ac:dyDescent="0.2"/>
    <row r="143" spans="35:37" ht="15.75" customHeight="1" x14ac:dyDescent="0.2"/>
    <row r="144" spans="35:37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</sheetData>
  <mergeCells count="64">
    <mergeCell ref="A114:A117"/>
    <mergeCell ref="A94:A97"/>
    <mergeCell ref="B122:B125"/>
    <mergeCell ref="B94:B97"/>
    <mergeCell ref="A110:A113"/>
    <mergeCell ref="A122:A125"/>
    <mergeCell ref="B110:B113"/>
    <mergeCell ref="A102:A105"/>
    <mergeCell ref="B90:B93"/>
    <mergeCell ref="B59:B62"/>
    <mergeCell ref="B106:B109"/>
    <mergeCell ref="B102:B105"/>
    <mergeCell ref="A90:A93"/>
    <mergeCell ref="B98:B101"/>
    <mergeCell ref="A82:A85"/>
    <mergeCell ref="A64:A67"/>
    <mergeCell ref="A78:A81"/>
    <mergeCell ref="B86:B89"/>
    <mergeCell ref="B78:B81"/>
    <mergeCell ref="AJ1:AJ2"/>
    <mergeCell ref="A4:A7"/>
    <mergeCell ref="AI71:AI73"/>
    <mergeCell ref="B14:B17"/>
    <mergeCell ref="A118:A121"/>
    <mergeCell ref="B39:B42"/>
    <mergeCell ref="A1:C2"/>
    <mergeCell ref="A74:A77"/>
    <mergeCell ref="B82:B85"/>
    <mergeCell ref="A86:A89"/>
    <mergeCell ref="B29:B32"/>
    <mergeCell ref="B19:B22"/>
    <mergeCell ref="A98:A101"/>
    <mergeCell ref="B118:B121"/>
    <mergeCell ref="A106:A109"/>
    <mergeCell ref="B114:B117"/>
    <mergeCell ref="B9:B12"/>
    <mergeCell ref="D1:AH1"/>
    <mergeCell ref="B34:B37"/>
    <mergeCell ref="A71:C72"/>
    <mergeCell ref="B74:B77"/>
    <mergeCell ref="A14:A17"/>
    <mergeCell ref="A29:A32"/>
    <mergeCell ref="B24:B27"/>
    <mergeCell ref="A19:A22"/>
    <mergeCell ref="B49:B52"/>
    <mergeCell ref="A54:A57"/>
    <mergeCell ref="D72:AH72"/>
    <mergeCell ref="D71:AH71"/>
    <mergeCell ref="AK71:AK73"/>
    <mergeCell ref="A9:A12"/>
    <mergeCell ref="D2:AH2"/>
    <mergeCell ref="A44:A47"/>
    <mergeCell ref="B4:B7"/>
    <mergeCell ref="B64:B67"/>
    <mergeCell ref="A34:A37"/>
    <mergeCell ref="A39:A42"/>
    <mergeCell ref="A59:A62"/>
    <mergeCell ref="A24:A27"/>
    <mergeCell ref="B54:B57"/>
    <mergeCell ref="A49:A52"/>
    <mergeCell ref="AI1:AI2"/>
    <mergeCell ref="AK1:AK2"/>
    <mergeCell ref="B44:B47"/>
    <mergeCell ref="AJ71:AJ73"/>
  </mergeCells>
  <conditionalFormatting sqref="A68:AK70 C34:AK67 D32:AK32 AI33:AK33">
    <cfRule type="colorScale" priority="183">
      <colorScale>
        <cfvo type="min"/>
        <cfvo type="max"/>
        <color rgb="FFEDFC2C"/>
        <color rgb="FFFFEF9C"/>
      </colorScale>
    </cfRule>
    <cfRule type="colorScale" priority="184">
      <colorScale>
        <cfvo type="min"/>
        <cfvo type="max"/>
        <color rgb="FFFFC000"/>
        <color rgb="FFFFEF9C"/>
      </colorScale>
    </cfRule>
    <cfRule type="colorScale" priority="185">
      <colorScale>
        <cfvo type="min"/>
        <cfvo type="max"/>
        <color rgb="FFFF7128"/>
        <color rgb="FFFFEF9C"/>
      </colorScale>
    </cfRule>
    <cfRule type="colorScale" priority="186">
      <colorScale>
        <cfvo type="min"/>
        <cfvo type="max"/>
        <color rgb="FFFF7128"/>
        <color rgb="FFFFFF00"/>
      </colorScale>
    </cfRule>
  </conditionalFormatting>
  <conditionalFormatting sqref="A134:XFD1048576 A1 C3:XFD31 D9:AH63 AI1:XFD2">
    <cfRule type="colorScale" priority="123">
      <colorScale>
        <cfvo type="min"/>
        <cfvo type="max"/>
        <color rgb="FFEDFC2C"/>
        <color rgb="FFFFEF9C"/>
      </colorScale>
    </cfRule>
    <cfRule type="colorScale" priority="124">
      <colorScale>
        <cfvo type="min"/>
        <cfvo type="max"/>
        <color rgb="FFFFC000"/>
        <color rgb="FFFFEF9C"/>
      </colorScale>
    </cfRule>
    <cfRule type="colorScale" priority="125">
      <colorScale>
        <cfvo type="min"/>
        <cfvo type="max"/>
        <color rgb="FFFF7128"/>
        <color rgb="FFFFEF9C"/>
      </colorScale>
    </cfRule>
    <cfRule type="colorScale" priority="126">
      <colorScale>
        <cfvo type="min"/>
        <cfvo type="max"/>
        <color rgb="FFFF7128"/>
        <color rgb="FFFFFF00"/>
      </colorScale>
    </cfRule>
  </conditionalFormatting>
  <conditionalFormatting sqref="C4:AK67">
    <cfRule type="expression" dxfId="117" priority="71">
      <formula>AND($A4="",$B4="",$C4="")</formula>
    </cfRule>
  </conditionalFormatting>
  <conditionalFormatting sqref="D1:AH1">
    <cfRule type="colorScale" priority="22">
      <colorScale>
        <cfvo type="min"/>
        <cfvo type="max"/>
        <color rgb="FFEDFC2C"/>
        <color rgb="FFFFEF9C"/>
      </colorScale>
    </cfRule>
    <cfRule type="colorScale" priority="23">
      <colorScale>
        <cfvo type="min"/>
        <cfvo type="max"/>
        <color rgb="FFFFC000"/>
        <color rgb="FFFFEF9C"/>
      </colorScale>
    </cfRule>
    <cfRule type="colorScale" priority="24">
      <colorScale>
        <cfvo type="min"/>
        <cfvo type="max"/>
        <color rgb="FFFF7128"/>
        <color rgb="FFFFEF9C"/>
      </colorScale>
    </cfRule>
    <cfRule type="colorScale" priority="25">
      <colorScale>
        <cfvo type="min"/>
        <cfvo type="max"/>
        <color rgb="FFFF7128"/>
        <color rgb="FFFFFF00"/>
      </colorScale>
    </cfRule>
  </conditionalFormatting>
  <conditionalFormatting sqref="D3:AH67">
    <cfRule type="expression" dxfId="116" priority="75">
      <formula>AND(D$3&lt;&gt;"",WEEKDAY(D$3,2)=7)</formula>
    </cfRule>
  </conditionalFormatting>
  <conditionalFormatting sqref="D3:AH70">
    <cfRule type="expression" dxfId="115" priority="26">
      <formula>WEEKDAY(D$3)=1</formula>
    </cfRule>
  </conditionalFormatting>
  <conditionalFormatting sqref="D4:AH67">
    <cfRule type="expression" dxfId="114" priority="81">
      <formula>AND($C4="TC",D4&lt;&gt;"")</formula>
    </cfRule>
    <cfRule type="expression" dxfId="113" priority="82">
      <formula>AND($C4="C1",D4&lt;&gt;"")</formula>
    </cfRule>
    <cfRule type="expression" dxfId="112" priority="83">
      <formula>AND($C4="C3",D4&lt;&gt;"")</formula>
    </cfRule>
  </conditionalFormatting>
  <conditionalFormatting sqref="D64:AH67">
    <cfRule type="colorScale" priority="5">
      <colorScale>
        <cfvo type="min"/>
        <cfvo type="max"/>
        <color rgb="FFEDFC2C"/>
        <color rgb="FFFFEF9C"/>
      </colorScale>
    </cfRule>
    <cfRule type="colorScale" priority="6">
      <colorScale>
        <cfvo type="min"/>
        <cfvo type="max"/>
        <color rgb="FFFFC000"/>
        <color rgb="FFFFEF9C"/>
      </colorScale>
    </cfRule>
    <cfRule type="colorScale" priority="7">
      <colorScale>
        <cfvo type="min"/>
        <cfvo type="max"/>
        <color rgb="FFFF7128"/>
        <color rgb="FFFFEF9C"/>
      </colorScale>
    </cfRule>
    <cfRule type="colorScale" priority="8">
      <colorScale>
        <cfvo type="min"/>
        <cfvo type="max"/>
        <color rgb="FFFF7128"/>
        <color rgb="FFFFFF00"/>
      </colorScale>
    </cfRule>
  </conditionalFormatting>
  <conditionalFormatting sqref="D73:AH125">
    <cfRule type="expression" dxfId="111" priority="4">
      <formula>WEEKDAY(D$3)=1</formula>
    </cfRule>
  </conditionalFormatting>
  <conditionalFormatting sqref="D74:AH125">
    <cfRule type="expression" dxfId="110" priority="1">
      <formula>AND($C74="C3",D74&lt;&gt;"")</formula>
    </cfRule>
    <cfRule type="expression" dxfId="109" priority="2">
      <formula>AND($C74="C1",D74&lt;&gt;"")</formula>
    </cfRule>
    <cfRule type="expression" dxfId="108" priority="3">
      <formula>AND($C74="TC",D74&lt;&gt;"")</formula>
    </cfRule>
  </conditionalFormatting>
  <conditionalFormatting sqref="V21">
    <cfRule type="colorScale" priority="27">
      <colorScale>
        <cfvo type="min"/>
        <cfvo type="max"/>
        <color rgb="FFFFC000"/>
        <color rgb="FFFFEF9C"/>
      </colorScale>
    </cfRule>
  </conditionalFormatting>
  <conditionalFormatting sqref="V70">
    <cfRule type="colorScale" priority="12">
      <colorScale>
        <cfvo type="min"/>
        <cfvo type="max"/>
        <color rgb="FFFFC000"/>
        <color rgb="FFFFEF9C"/>
      </colorScale>
    </cfRule>
  </conditionalFormatting>
  <conditionalFormatting sqref="V55:W57">
    <cfRule type="colorScale" priority="13">
      <colorScale>
        <cfvo type="min"/>
        <cfvo type="max"/>
        <color rgb="FFE8FC2C"/>
        <color rgb="FFFFEF9C"/>
      </colorScale>
    </cfRule>
  </conditionalFormatting>
  <conditionalFormatting sqref="V14:X14">
    <cfRule type="colorScale" priority="29">
      <colorScale>
        <cfvo type="min"/>
        <cfvo type="max"/>
        <color rgb="FFE8FC2C"/>
        <color rgb="FFFFEF9C"/>
      </colorScale>
    </cfRule>
  </conditionalFormatting>
  <conditionalFormatting sqref="Z14:AE14">
    <cfRule type="colorScale" priority="10">
      <colorScale>
        <cfvo type="min"/>
        <cfvo type="max"/>
        <color rgb="FFE8FC2C"/>
        <color rgb="FFFFEF9C"/>
      </colorScale>
    </cfRule>
  </conditionalFormatting>
  <conditionalFormatting sqref="AG14:AH14">
    <cfRule type="colorScale" priority="9">
      <colorScale>
        <cfvo type="min"/>
        <cfvo type="max"/>
        <color rgb="FFE8FC2C"/>
        <color rgb="FFFFEF9C"/>
      </colorScale>
    </cfRule>
  </conditionalFormatting>
  <conditionalFormatting sqref="AL32:XFD70">
    <cfRule type="colorScale" priority="199">
      <colorScale>
        <cfvo type="min"/>
        <cfvo type="max"/>
        <color rgb="FFEDFC2C"/>
        <color rgb="FFFFEF9C"/>
      </colorScale>
    </cfRule>
    <cfRule type="colorScale" priority="200">
      <colorScale>
        <cfvo type="min"/>
        <cfvo type="max"/>
        <color rgb="FFFFC000"/>
        <color rgb="FFFFEF9C"/>
      </colorScale>
    </cfRule>
    <cfRule type="colorScale" priority="201">
      <colorScale>
        <cfvo type="min"/>
        <cfvo type="max"/>
        <color rgb="FFFF7128"/>
        <color rgb="FFFFEF9C"/>
      </colorScale>
    </cfRule>
    <cfRule type="colorScale" priority="202">
      <colorScale>
        <cfvo type="min"/>
        <cfvo type="max"/>
        <color rgb="FFFF7128"/>
        <color rgb="FFFFFF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99"/>
  <sheetViews>
    <sheetView workbookViewId="0">
      <selection sqref="A1:C2"/>
    </sheetView>
  </sheetViews>
  <sheetFormatPr defaultColWidth="12.625" defaultRowHeight="14.25" x14ac:dyDescent="0.2"/>
  <cols>
    <col min="1" max="1" width="5" customWidth="1"/>
    <col min="2" max="2" width="22" customWidth="1"/>
    <col min="3" max="3" width="7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10" customWidth="1"/>
  </cols>
  <sheetData>
    <row r="1" spans="1:37" ht="27.95" customHeight="1" x14ac:dyDescent="0.2">
      <c r="A1" s="114" t="s">
        <v>0</v>
      </c>
      <c r="B1" s="118"/>
      <c r="C1" s="119"/>
      <c r="D1" s="114" t="s">
        <v>45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1"/>
      <c r="AI1" s="112" t="s">
        <v>2</v>
      </c>
      <c r="AJ1" s="112" t="s">
        <v>3</v>
      </c>
      <c r="AK1" s="112" t="s">
        <v>4</v>
      </c>
    </row>
    <row r="2" spans="1:37" ht="20.100000000000001" customHeight="1" x14ac:dyDescent="0.2">
      <c r="A2" s="120"/>
      <c r="B2" s="121"/>
      <c r="C2" s="122"/>
      <c r="D2" s="109">
        <v>46113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1"/>
      <c r="AI2" s="113"/>
      <c r="AJ2" s="113"/>
      <c r="AK2" s="113"/>
    </row>
    <row r="3" spans="1:37" ht="21.95" customHeight="1" x14ac:dyDescent="0.2">
      <c r="A3" s="2" t="s">
        <v>5</v>
      </c>
      <c r="B3" s="2" t="s">
        <v>6</v>
      </c>
      <c r="C3" s="32"/>
      <c r="D3" s="85">
        <v>46113</v>
      </c>
      <c r="E3" s="85">
        <v>46114</v>
      </c>
      <c r="F3" s="85">
        <f t="shared" ref="F3:AH3" si="0">+E3+1</f>
        <v>46115</v>
      </c>
      <c r="G3" s="85">
        <f t="shared" si="0"/>
        <v>46116</v>
      </c>
      <c r="H3" s="86">
        <f t="shared" si="0"/>
        <v>46117</v>
      </c>
      <c r="I3" s="85">
        <f t="shared" si="0"/>
        <v>46118</v>
      </c>
      <c r="J3" s="85">
        <f t="shared" si="0"/>
        <v>46119</v>
      </c>
      <c r="K3" s="85">
        <f t="shared" si="0"/>
        <v>46120</v>
      </c>
      <c r="L3" s="85">
        <f t="shared" si="0"/>
        <v>46121</v>
      </c>
      <c r="M3" s="85">
        <f t="shared" si="0"/>
        <v>46122</v>
      </c>
      <c r="N3" s="85">
        <f t="shared" si="0"/>
        <v>46123</v>
      </c>
      <c r="O3" s="86">
        <f t="shared" si="0"/>
        <v>46124</v>
      </c>
      <c r="P3" s="85">
        <f t="shared" si="0"/>
        <v>46125</v>
      </c>
      <c r="Q3" s="85">
        <f t="shared" si="0"/>
        <v>46126</v>
      </c>
      <c r="R3" s="85">
        <f t="shared" si="0"/>
        <v>46127</v>
      </c>
      <c r="S3" s="85">
        <f t="shared" si="0"/>
        <v>46128</v>
      </c>
      <c r="T3" s="85">
        <f t="shared" si="0"/>
        <v>46129</v>
      </c>
      <c r="U3" s="85">
        <f t="shared" si="0"/>
        <v>46130</v>
      </c>
      <c r="V3" s="86">
        <f t="shared" si="0"/>
        <v>46131</v>
      </c>
      <c r="W3" s="85">
        <f t="shared" si="0"/>
        <v>46132</v>
      </c>
      <c r="X3" s="85">
        <f t="shared" si="0"/>
        <v>46133</v>
      </c>
      <c r="Y3" s="85">
        <f t="shared" si="0"/>
        <v>46134</v>
      </c>
      <c r="Z3" s="85">
        <f t="shared" si="0"/>
        <v>46135</v>
      </c>
      <c r="AA3" s="85">
        <f t="shared" si="0"/>
        <v>46136</v>
      </c>
      <c r="AB3" s="85">
        <f t="shared" si="0"/>
        <v>46137</v>
      </c>
      <c r="AC3" s="86">
        <f t="shared" si="0"/>
        <v>46138</v>
      </c>
      <c r="AD3" s="85">
        <f t="shared" si="0"/>
        <v>46139</v>
      </c>
      <c r="AE3" s="85">
        <f t="shared" si="0"/>
        <v>46140</v>
      </c>
      <c r="AF3" s="85">
        <f t="shared" si="0"/>
        <v>46141</v>
      </c>
      <c r="AG3" s="85">
        <f t="shared" si="0"/>
        <v>46142</v>
      </c>
      <c r="AH3" s="85">
        <f t="shared" si="0"/>
        <v>46143</v>
      </c>
      <c r="AI3" s="31"/>
      <c r="AJ3" s="32"/>
      <c r="AK3" s="32"/>
    </row>
    <row r="4" spans="1:37" ht="13.5" customHeight="1" x14ac:dyDescent="0.2">
      <c r="A4" s="94">
        <v>1</v>
      </c>
      <c r="B4" s="95" t="s">
        <v>7</v>
      </c>
      <c r="C4" s="28" t="s">
        <v>8</v>
      </c>
      <c r="D4" s="65"/>
      <c r="E4" s="65"/>
      <c r="F4" s="65"/>
      <c r="G4" s="65"/>
      <c r="H4" s="71"/>
      <c r="I4" s="65"/>
      <c r="J4" s="65"/>
      <c r="K4" s="65"/>
      <c r="L4" s="65"/>
      <c r="M4" s="65"/>
      <c r="N4" s="65"/>
      <c r="O4" s="71"/>
      <c r="P4" s="65"/>
      <c r="Q4" s="65"/>
      <c r="R4" s="65"/>
      <c r="S4" s="65"/>
      <c r="T4" s="65"/>
      <c r="U4" s="65">
        <v>5.25</v>
      </c>
      <c r="V4" s="71"/>
      <c r="W4" s="65"/>
      <c r="X4" s="65"/>
      <c r="Y4" s="65"/>
      <c r="Z4" s="65">
        <v>4</v>
      </c>
      <c r="AA4" s="65">
        <v>4</v>
      </c>
      <c r="AB4" s="65">
        <v>3</v>
      </c>
      <c r="AC4" s="71"/>
      <c r="AD4" s="65">
        <v>2</v>
      </c>
      <c r="AE4" s="65">
        <v>4</v>
      </c>
      <c r="AF4" s="65">
        <v>4</v>
      </c>
      <c r="AG4" s="65"/>
      <c r="AH4" s="65"/>
      <c r="AI4" s="33">
        <f>0</f>
        <v>0</v>
      </c>
      <c r="AJ4" s="33">
        <f>SUM(D4:AH4)/8</f>
        <v>3.28125</v>
      </c>
      <c r="AK4" s="33">
        <f>AI4+AJ4</f>
        <v>3.28125</v>
      </c>
    </row>
    <row r="5" spans="1:37" s="7" customFormat="1" ht="13.5" customHeight="1" x14ac:dyDescent="0.2">
      <c r="A5" s="89"/>
      <c r="B5" s="89"/>
      <c r="C5" s="28" t="s">
        <v>9</v>
      </c>
      <c r="D5" s="65" t="s">
        <v>10</v>
      </c>
      <c r="E5" s="65" t="s">
        <v>10</v>
      </c>
      <c r="F5" s="65" t="s">
        <v>10</v>
      </c>
      <c r="G5" s="65" t="s">
        <v>10</v>
      </c>
      <c r="H5" s="71" t="s">
        <v>10</v>
      </c>
      <c r="I5" s="65" t="s">
        <v>10</v>
      </c>
      <c r="J5" s="65" t="s">
        <v>10</v>
      </c>
      <c r="K5" s="65" t="s">
        <v>10</v>
      </c>
      <c r="L5" s="65" t="s">
        <v>10</v>
      </c>
      <c r="M5" s="65" t="s">
        <v>10</v>
      </c>
      <c r="N5" s="65">
        <v>0</v>
      </c>
      <c r="O5" s="71" t="s">
        <v>10</v>
      </c>
      <c r="P5" s="65" t="s">
        <v>10</v>
      </c>
      <c r="Q5" s="65" t="s">
        <v>10</v>
      </c>
      <c r="R5" s="65" t="s">
        <v>10</v>
      </c>
      <c r="S5" s="65" t="s">
        <v>10</v>
      </c>
      <c r="T5" s="65" t="s">
        <v>10</v>
      </c>
      <c r="U5" s="66"/>
      <c r="V5" s="71"/>
      <c r="W5" s="65" t="s">
        <v>10</v>
      </c>
      <c r="X5" s="65" t="s">
        <v>10</v>
      </c>
      <c r="Y5" s="65" t="s">
        <v>10</v>
      </c>
      <c r="Z5" s="65" t="s">
        <v>10</v>
      </c>
      <c r="AA5" s="65" t="s">
        <v>10</v>
      </c>
      <c r="AB5" s="65" t="s">
        <v>10</v>
      </c>
      <c r="AC5" s="71"/>
      <c r="AD5" s="65" t="s">
        <v>10</v>
      </c>
      <c r="AE5" s="65" t="s">
        <v>10</v>
      </c>
      <c r="AF5" s="65" t="s">
        <v>10</v>
      </c>
      <c r="AG5" s="65"/>
      <c r="AH5" s="65"/>
      <c r="AI5" s="33">
        <f>COUNTIF(D5:AH5,"x")+COUNTIF(D5:AH5,"x-0,25")+COUNTIF(D5:AH5,"x-0,50")+COUNTIF(D5:AH5,"x-0.75")+COUNTIF(D5:AH5,"x-1")+COUNTIF(D5:AH5,"x-1,25")+COUNTIF(D5:AH5,"x-1,5")+COUNTIF(D5:AH5,"x-1,55")+COUNTIF(D5:AH5,"x-2")+COUNTIF(D5:AH5,"x/2")/2</f>
        <v>25</v>
      </c>
      <c r="AJ5" s="33">
        <f>0</f>
        <v>0</v>
      </c>
      <c r="AK5" s="33">
        <f>AI5+AJ5</f>
        <v>25</v>
      </c>
    </row>
    <row r="6" spans="1:37" s="7" customFormat="1" ht="13.5" customHeight="1" x14ac:dyDescent="0.2">
      <c r="A6" s="89"/>
      <c r="B6" s="89"/>
      <c r="C6" s="28" t="s">
        <v>11</v>
      </c>
      <c r="D6" s="65"/>
      <c r="E6" s="65"/>
      <c r="F6" s="65"/>
      <c r="G6" s="65"/>
      <c r="H6" s="71"/>
      <c r="I6" s="65"/>
      <c r="J6" s="65"/>
      <c r="K6" s="65"/>
      <c r="L6" s="65"/>
      <c r="M6" s="65"/>
      <c r="N6" s="65"/>
      <c r="O6" s="71"/>
      <c r="P6" s="65"/>
      <c r="Q6" s="65"/>
      <c r="R6" s="65"/>
      <c r="S6" s="65"/>
      <c r="T6" s="65"/>
      <c r="U6" s="65"/>
      <c r="V6" s="71"/>
      <c r="W6" s="65"/>
      <c r="X6" s="65"/>
      <c r="Y6" s="65"/>
      <c r="Z6" s="65"/>
      <c r="AA6" s="65"/>
      <c r="AB6" s="65"/>
      <c r="AC6" s="71"/>
      <c r="AD6" s="65"/>
      <c r="AE6" s="65"/>
      <c r="AF6" s="65"/>
      <c r="AG6" s="65"/>
      <c r="AH6" s="65"/>
      <c r="AI6" s="33">
        <f>COUNTIF(D6:AH6,"x")+COUNTIF(D6:AH6,"x-0,25")+COUNTIF(D6:AH6,"x-0,50")+COUNTIF(D6:AH6,"x-0.75")+COUNTIF(D6:AH6,"x-1")+COUNTIF(D6:AH6,"x-1,25")+COUNTIF(D6:AH6,"x-1,5")+COUNTIF(D6:AH6,"x-1,55")+COUNTIF(D6:AH6,"x-2")+COUNTIF(D6:AH6,"x/2")/2</f>
        <v>0</v>
      </c>
      <c r="AJ6" s="33">
        <f>0</f>
        <v>0</v>
      </c>
      <c r="AK6" s="33">
        <f>AI6+AJ6</f>
        <v>0</v>
      </c>
    </row>
    <row r="7" spans="1:37" s="7" customFormat="1" ht="13.5" customHeight="1" x14ac:dyDescent="0.2">
      <c r="A7" s="90"/>
      <c r="B7" s="96"/>
      <c r="C7" s="28" t="s">
        <v>12</v>
      </c>
      <c r="D7" s="65"/>
      <c r="E7" s="65"/>
      <c r="F7" s="65"/>
      <c r="G7" s="65"/>
      <c r="H7" s="71"/>
      <c r="I7" s="65"/>
      <c r="J7" s="65"/>
      <c r="K7" s="65"/>
      <c r="L7" s="65"/>
      <c r="M7" s="65"/>
      <c r="N7" s="65"/>
      <c r="O7" s="71"/>
      <c r="P7" s="65"/>
      <c r="Q7" s="65"/>
      <c r="R7" s="65"/>
      <c r="S7" s="65"/>
      <c r="T7" s="65"/>
      <c r="U7" s="65"/>
      <c r="V7" s="71"/>
      <c r="W7" s="65"/>
      <c r="X7" s="65"/>
      <c r="Y7" s="65"/>
      <c r="Z7" s="65"/>
      <c r="AA7" s="65"/>
      <c r="AB7" s="65"/>
      <c r="AC7" s="71"/>
      <c r="AD7" s="65"/>
      <c r="AE7" s="65"/>
      <c r="AF7" s="65"/>
      <c r="AG7" s="65"/>
      <c r="AH7" s="65"/>
      <c r="AI7" s="33">
        <f>COUNTIF(D7:AH7,"x")+COUNTIF(D7:AH7,"x-0,25")+COUNTIF(D7:AH7,"x-0,50")+COUNTIF(D7:AH7,"x-0.75")+COUNTIF(D7:AH7,"x-1")+COUNTIF(D7:AH7,"x-1,25")+COUNTIF(D7:AH7,"x-1,5")+COUNTIF(D7:AH7,"x-1,55")+COUNTIF(D7:AH7,"x-2")+COUNTIF(D7:AH7,"x/2")/2</f>
        <v>0</v>
      </c>
      <c r="AJ7" s="33">
        <f>0</f>
        <v>0</v>
      </c>
      <c r="AK7" s="33">
        <f>AI7+AJ7</f>
        <v>0</v>
      </c>
    </row>
    <row r="8" spans="1:37" s="7" customFormat="1" ht="13.5" customHeight="1" x14ac:dyDescent="0.2">
      <c r="A8" s="16"/>
      <c r="B8" s="17"/>
      <c r="C8" s="69"/>
      <c r="D8" s="69"/>
      <c r="E8" s="69"/>
      <c r="F8" s="69"/>
      <c r="G8" s="69"/>
      <c r="H8" s="71"/>
      <c r="I8" s="69"/>
      <c r="J8" s="69"/>
      <c r="K8" s="69"/>
      <c r="L8" s="69"/>
      <c r="M8" s="69"/>
      <c r="N8" s="69"/>
      <c r="O8" s="71"/>
      <c r="P8" s="69"/>
      <c r="Q8" s="69"/>
      <c r="R8" s="69"/>
      <c r="S8" s="69"/>
      <c r="T8" s="69"/>
      <c r="U8" s="69"/>
      <c r="V8" s="71"/>
      <c r="W8" s="69"/>
      <c r="X8" s="69"/>
      <c r="Y8" s="69"/>
      <c r="Z8" s="69"/>
      <c r="AA8" s="69"/>
      <c r="AB8" s="69"/>
      <c r="AC8" s="71"/>
      <c r="AD8" s="69"/>
      <c r="AE8" s="69"/>
      <c r="AF8" s="69"/>
      <c r="AG8" s="69"/>
      <c r="AH8" s="69"/>
      <c r="AI8" s="78" t="str">
        <f>""</f>
        <v/>
      </c>
      <c r="AJ8" s="78" t="str">
        <f>""</f>
        <v/>
      </c>
      <c r="AK8" s="78" t="str">
        <f>""</f>
        <v/>
      </c>
    </row>
    <row r="9" spans="1:37" s="7" customFormat="1" ht="13.5" customHeight="1" x14ac:dyDescent="0.2">
      <c r="A9" s="94">
        <v>2</v>
      </c>
      <c r="B9" s="97" t="s">
        <v>13</v>
      </c>
      <c r="C9" s="28" t="s">
        <v>8</v>
      </c>
      <c r="D9" s="65"/>
      <c r="E9" s="65"/>
      <c r="F9" s="65"/>
      <c r="G9" s="65"/>
      <c r="H9" s="71"/>
      <c r="I9" s="65"/>
      <c r="J9" s="75"/>
      <c r="K9" s="65"/>
      <c r="L9" s="65"/>
      <c r="M9" s="65"/>
      <c r="N9" s="65"/>
      <c r="O9" s="71"/>
      <c r="P9" s="65"/>
      <c r="Q9" s="65"/>
      <c r="R9" s="65"/>
      <c r="S9" s="66"/>
      <c r="T9" s="65"/>
      <c r="U9" s="65"/>
      <c r="V9" s="71"/>
      <c r="W9" s="65"/>
      <c r="X9" s="65"/>
      <c r="Y9" s="65"/>
      <c r="Z9" s="66">
        <v>4</v>
      </c>
      <c r="AA9" s="65">
        <v>4</v>
      </c>
      <c r="AB9" s="65">
        <v>4</v>
      </c>
      <c r="AC9" s="71"/>
      <c r="AD9" s="65">
        <v>4</v>
      </c>
      <c r="AE9" s="65">
        <v>4</v>
      </c>
      <c r="AF9" s="65">
        <v>4</v>
      </c>
      <c r="AG9" s="65"/>
      <c r="AH9" s="65"/>
      <c r="AI9" s="33">
        <f>0</f>
        <v>0</v>
      </c>
      <c r="AJ9" s="33">
        <f>SUM(D9:AH9)/8</f>
        <v>3</v>
      </c>
      <c r="AK9" s="33">
        <f>AI9+AJ9</f>
        <v>3</v>
      </c>
    </row>
    <row r="10" spans="1:37" s="7" customFormat="1" ht="13.5" customHeight="1" x14ac:dyDescent="0.2">
      <c r="A10" s="89"/>
      <c r="B10" s="89"/>
      <c r="C10" s="28" t="s">
        <v>9</v>
      </c>
      <c r="D10" s="65" t="s">
        <v>10</v>
      </c>
      <c r="E10" s="65" t="s">
        <v>10</v>
      </c>
      <c r="F10" s="65" t="s">
        <v>10</v>
      </c>
      <c r="G10" s="65" t="s">
        <v>10</v>
      </c>
      <c r="H10" s="71" t="s">
        <v>10</v>
      </c>
      <c r="I10" s="65" t="s">
        <v>10</v>
      </c>
      <c r="J10" s="65" t="s">
        <v>10</v>
      </c>
      <c r="K10" s="65" t="s">
        <v>10</v>
      </c>
      <c r="L10" s="65" t="s">
        <v>10</v>
      </c>
      <c r="M10" s="65" t="s">
        <v>10</v>
      </c>
      <c r="N10" s="65" t="s">
        <v>10</v>
      </c>
      <c r="O10" s="71" t="s">
        <v>10</v>
      </c>
      <c r="P10" s="65" t="s">
        <v>10</v>
      </c>
      <c r="Q10" s="65" t="s">
        <v>10</v>
      </c>
      <c r="R10" s="65" t="s">
        <v>10</v>
      </c>
      <c r="S10" s="65" t="s">
        <v>10</v>
      </c>
      <c r="T10" s="65" t="s">
        <v>10</v>
      </c>
      <c r="U10" s="65" t="s">
        <v>10</v>
      </c>
      <c r="V10" s="71" t="s">
        <v>10</v>
      </c>
      <c r="W10" s="65" t="s">
        <v>10</v>
      </c>
      <c r="X10" s="65" t="s">
        <v>10</v>
      </c>
      <c r="Y10" s="65" t="s">
        <v>10</v>
      </c>
      <c r="Z10" s="65" t="s">
        <v>10</v>
      </c>
      <c r="AA10" s="65" t="s">
        <v>10</v>
      </c>
      <c r="AB10" s="65" t="s">
        <v>10</v>
      </c>
      <c r="AC10" s="71"/>
      <c r="AD10" s="65" t="s">
        <v>10</v>
      </c>
      <c r="AE10" s="65" t="s">
        <v>10</v>
      </c>
      <c r="AF10" s="65" t="s">
        <v>10</v>
      </c>
      <c r="AG10" s="65"/>
      <c r="AH10" s="65"/>
      <c r="AI10" s="33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28</v>
      </c>
      <c r="AJ10" s="33">
        <f>0</f>
        <v>0</v>
      </c>
      <c r="AK10" s="33">
        <f>AI10+AJ10</f>
        <v>28</v>
      </c>
    </row>
    <row r="11" spans="1:37" s="7" customFormat="1" ht="13.5" customHeight="1" x14ac:dyDescent="0.2">
      <c r="A11" s="89"/>
      <c r="B11" s="89"/>
      <c r="C11" s="28" t="s">
        <v>11</v>
      </c>
      <c r="D11" s="65"/>
      <c r="E11" s="65"/>
      <c r="F11" s="65"/>
      <c r="G11" s="65"/>
      <c r="H11" s="71"/>
      <c r="I11" s="65"/>
      <c r="J11" s="65"/>
      <c r="K11" s="65"/>
      <c r="L11" s="65"/>
      <c r="M11" s="65"/>
      <c r="N11" s="65"/>
      <c r="O11" s="71"/>
      <c r="P11" s="65"/>
      <c r="Q11" s="65"/>
      <c r="R11" s="65"/>
      <c r="S11" s="65"/>
      <c r="T11" s="65"/>
      <c r="U11" s="65"/>
      <c r="V11" s="71"/>
      <c r="W11" s="65"/>
      <c r="X11" s="65"/>
      <c r="Y11" s="65"/>
      <c r="Z11" s="65"/>
      <c r="AA11" s="65"/>
      <c r="AB11" s="65"/>
      <c r="AC11" s="71"/>
      <c r="AD11" s="65"/>
      <c r="AE11" s="65"/>
      <c r="AF11" s="65"/>
      <c r="AG11" s="65"/>
      <c r="AH11" s="65"/>
      <c r="AI11" s="33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0</v>
      </c>
      <c r="AJ11" s="33">
        <f>0</f>
        <v>0</v>
      </c>
      <c r="AK11" s="33">
        <f>AI11+AJ11</f>
        <v>0</v>
      </c>
    </row>
    <row r="12" spans="1:37" s="7" customFormat="1" ht="13.5" customHeight="1" x14ac:dyDescent="0.2">
      <c r="A12" s="90"/>
      <c r="B12" s="96"/>
      <c r="C12" s="28" t="s">
        <v>12</v>
      </c>
      <c r="D12" s="65"/>
      <c r="E12" s="65"/>
      <c r="F12" s="65"/>
      <c r="G12" s="65"/>
      <c r="H12" s="71"/>
      <c r="I12" s="65"/>
      <c r="J12" s="65"/>
      <c r="K12" s="65"/>
      <c r="L12" s="65"/>
      <c r="M12" s="65"/>
      <c r="N12" s="65"/>
      <c r="O12" s="71"/>
      <c r="P12" s="65"/>
      <c r="Q12" s="65"/>
      <c r="R12" s="65"/>
      <c r="S12" s="65"/>
      <c r="T12" s="65"/>
      <c r="U12" s="65"/>
      <c r="V12" s="71"/>
      <c r="W12" s="65"/>
      <c r="X12" s="65"/>
      <c r="Y12" s="65"/>
      <c r="Z12" s="65"/>
      <c r="AA12" s="65"/>
      <c r="AB12" s="65"/>
      <c r="AC12" s="71"/>
      <c r="AD12" s="65"/>
      <c r="AE12" s="65"/>
      <c r="AF12" s="65"/>
      <c r="AG12" s="65"/>
      <c r="AH12" s="65"/>
      <c r="AI12" s="33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0</v>
      </c>
      <c r="AJ12" s="33">
        <f>0</f>
        <v>0</v>
      </c>
      <c r="AK12" s="33">
        <f>AI12+AJ12</f>
        <v>0</v>
      </c>
    </row>
    <row r="13" spans="1:37" s="7" customFormat="1" ht="13.5" customHeight="1" x14ac:dyDescent="0.2">
      <c r="A13" s="16"/>
      <c r="B13" s="17"/>
      <c r="C13" s="69"/>
      <c r="D13" s="69"/>
      <c r="E13" s="69"/>
      <c r="F13" s="69"/>
      <c r="G13" s="69"/>
      <c r="H13" s="71"/>
      <c r="I13" s="69"/>
      <c r="J13" s="69"/>
      <c r="K13" s="69"/>
      <c r="L13" s="69"/>
      <c r="M13" s="69"/>
      <c r="N13" s="69"/>
      <c r="O13" s="71"/>
      <c r="P13" s="69"/>
      <c r="Q13" s="69"/>
      <c r="R13" s="69"/>
      <c r="S13" s="69"/>
      <c r="T13" s="69"/>
      <c r="U13" s="69"/>
      <c r="V13" s="71"/>
      <c r="W13" s="69"/>
      <c r="X13" s="69"/>
      <c r="Y13" s="69"/>
      <c r="Z13" s="69"/>
      <c r="AA13" s="69"/>
      <c r="AB13" s="69"/>
      <c r="AC13" s="71"/>
      <c r="AD13" s="69"/>
      <c r="AE13" s="69"/>
      <c r="AF13" s="69"/>
      <c r="AG13" s="69"/>
      <c r="AH13" s="69"/>
      <c r="AI13" s="78" t="str">
        <f>""</f>
        <v/>
      </c>
      <c r="AJ13" s="78" t="str">
        <f>""</f>
        <v/>
      </c>
      <c r="AK13" s="78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8" t="s">
        <v>8</v>
      </c>
      <c r="D14" s="65"/>
      <c r="E14" s="65"/>
      <c r="F14" s="65"/>
      <c r="G14" s="65"/>
      <c r="H14" s="71"/>
      <c r="I14" s="65"/>
      <c r="J14" s="65">
        <v>-0.08</v>
      </c>
      <c r="K14" s="65"/>
      <c r="L14" s="65"/>
      <c r="M14" s="65"/>
      <c r="N14" s="65"/>
      <c r="O14" s="71"/>
      <c r="P14" s="65"/>
      <c r="Q14" s="65">
        <v>2</v>
      </c>
      <c r="R14" s="65"/>
      <c r="S14" s="65">
        <v>3.7</v>
      </c>
      <c r="T14" s="65"/>
      <c r="U14" s="65"/>
      <c r="V14" s="71"/>
      <c r="W14" s="65"/>
      <c r="X14" s="65"/>
      <c r="Y14" s="65"/>
      <c r="Z14" s="65">
        <v>-0.75</v>
      </c>
      <c r="AA14" s="65"/>
      <c r="AB14" s="65"/>
      <c r="AC14" s="71"/>
      <c r="AD14" s="65"/>
      <c r="AE14" s="65"/>
      <c r="AF14" s="65">
        <v>-1</v>
      </c>
      <c r="AG14" s="65"/>
      <c r="AH14" s="65"/>
      <c r="AI14" s="33">
        <f>0</f>
        <v>0</v>
      </c>
      <c r="AJ14" s="33">
        <f>SUM(D14:AH14)/8</f>
        <v>0.48375000000000001</v>
      </c>
      <c r="AK14" s="33">
        <f t="shared" ref="AK14:AK22" si="1">AI14+AJ14</f>
        <v>0.48375000000000001</v>
      </c>
    </row>
    <row r="15" spans="1:37" s="7" customFormat="1" ht="13.5" customHeight="1" x14ac:dyDescent="0.2">
      <c r="A15" s="89"/>
      <c r="B15" s="89"/>
      <c r="C15" s="28" t="s">
        <v>9</v>
      </c>
      <c r="D15" s="65" t="s">
        <v>10</v>
      </c>
      <c r="E15" s="65" t="s">
        <v>10</v>
      </c>
      <c r="F15" s="65" t="s">
        <v>10</v>
      </c>
      <c r="G15" s="65" t="s">
        <v>10</v>
      </c>
      <c r="H15" s="71"/>
      <c r="I15" s="65" t="s">
        <v>10</v>
      </c>
      <c r="J15" s="65" t="s">
        <v>10</v>
      </c>
      <c r="K15" s="65" t="s">
        <v>10</v>
      </c>
      <c r="L15" s="65" t="s">
        <v>10</v>
      </c>
      <c r="M15" s="65" t="s">
        <v>10</v>
      </c>
      <c r="N15" s="65" t="s">
        <v>10</v>
      </c>
      <c r="O15" s="71" t="s">
        <v>10</v>
      </c>
      <c r="P15" s="65" t="s">
        <v>10</v>
      </c>
      <c r="Q15" s="65" t="s">
        <v>10</v>
      </c>
      <c r="R15" s="65" t="s">
        <v>10</v>
      </c>
      <c r="S15" s="65"/>
      <c r="T15" s="65" t="s">
        <v>10</v>
      </c>
      <c r="U15" s="65" t="s">
        <v>10</v>
      </c>
      <c r="V15" s="71" t="s">
        <v>10</v>
      </c>
      <c r="W15" s="65" t="s">
        <v>10</v>
      </c>
      <c r="X15" s="65" t="s">
        <v>10</v>
      </c>
      <c r="Y15" s="65" t="s">
        <v>10</v>
      </c>
      <c r="Z15" s="65" t="s">
        <v>10</v>
      </c>
      <c r="AA15" s="65" t="s">
        <v>10</v>
      </c>
      <c r="AB15" s="65" t="s">
        <v>10</v>
      </c>
      <c r="AC15" s="71"/>
      <c r="AD15" s="65" t="s">
        <v>10</v>
      </c>
      <c r="AE15" s="65" t="s">
        <v>10</v>
      </c>
      <c r="AF15" s="65" t="s">
        <v>10</v>
      </c>
      <c r="AG15" s="65"/>
      <c r="AH15" s="65"/>
      <c r="AI15" s="33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26</v>
      </c>
      <c r="AJ15" s="33">
        <f>0</f>
        <v>0</v>
      </c>
      <c r="AK15" s="33">
        <f t="shared" si="1"/>
        <v>26</v>
      </c>
    </row>
    <row r="16" spans="1:37" s="7" customFormat="1" ht="13.5" customHeight="1" x14ac:dyDescent="0.2">
      <c r="A16" s="89"/>
      <c r="B16" s="89"/>
      <c r="C16" s="28" t="s">
        <v>11</v>
      </c>
      <c r="D16" s="65"/>
      <c r="E16" s="65"/>
      <c r="F16" s="65"/>
      <c r="G16" s="65"/>
      <c r="H16" s="71"/>
      <c r="I16" s="65"/>
      <c r="J16" s="65"/>
      <c r="K16" s="65"/>
      <c r="L16" s="65"/>
      <c r="M16" s="65"/>
      <c r="N16" s="65"/>
      <c r="O16" s="71"/>
      <c r="P16" s="65"/>
      <c r="Q16" s="65"/>
      <c r="R16" s="65"/>
      <c r="S16" s="65"/>
      <c r="T16" s="65"/>
      <c r="U16" s="65"/>
      <c r="V16" s="71"/>
      <c r="W16" s="65"/>
      <c r="X16" s="65"/>
      <c r="Y16" s="65"/>
      <c r="Z16" s="65"/>
      <c r="AA16" s="65"/>
      <c r="AB16" s="65"/>
      <c r="AC16" s="71"/>
      <c r="AD16" s="65"/>
      <c r="AE16" s="65"/>
      <c r="AF16" s="65"/>
      <c r="AG16" s="65"/>
      <c r="AH16" s="65"/>
      <c r="AI16" s="33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33">
        <f>0</f>
        <v>0</v>
      </c>
      <c r="AK16" s="33">
        <f t="shared" si="1"/>
        <v>0</v>
      </c>
    </row>
    <row r="17" spans="1:44" s="7" customFormat="1" ht="13.5" customHeight="1" x14ac:dyDescent="0.2">
      <c r="A17" s="90"/>
      <c r="B17" s="96"/>
      <c r="C17" s="28" t="s">
        <v>12</v>
      </c>
      <c r="D17" s="65"/>
      <c r="E17" s="65"/>
      <c r="F17" s="65"/>
      <c r="G17" s="65"/>
      <c r="H17" s="71"/>
      <c r="I17" s="65"/>
      <c r="J17" s="65"/>
      <c r="K17" s="65"/>
      <c r="L17" s="65"/>
      <c r="M17" s="65"/>
      <c r="N17" s="65"/>
      <c r="O17" s="71"/>
      <c r="P17" s="65"/>
      <c r="Q17" s="65"/>
      <c r="R17" s="65"/>
      <c r="S17" s="65"/>
      <c r="T17" s="65"/>
      <c r="U17" s="65"/>
      <c r="V17" s="71"/>
      <c r="W17" s="65"/>
      <c r="X17" s="65"/>
      <c r="Y17" s="65"/>
      <c r="Z17" s="65"/>
      <c r="AA17" s="65"/>
      <c r="AB17" s="65"/>
      <c r="AC17" s="71"/>
      <c r="AD17" s="65"/>
      <c r="AE17" s="65"/>
      <c r="AF17" s="65"/>
      <c r="AG17" s="65"/>
      <c r="AH17" s="65"/>
      <c r="AI17" s="33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33">
        <f>0</f>
        <v>0</v>
      </c>
      <c r="AK17" s="33">
        <f t="shared" si="1"/>
        <v>0</v>
      </c>
    </row>
    <row r="18" spans="1:44" s="7" customFormat="1" ht="13.5" customHeight="1" x14ac:dyDescent="0.2">
      <c r="A18" s="16"/>
      <c r="B18" s="17"/>
      <c r="C18" s="69"/>
      <c r="D18" s="69"/>
      <c r="E18" s="69"/>
      <c r="F18" s="69"/>
      <c r="G18" s="69"/>
      <c r="H18" s="71"/>
      <c r="I18" s="69"/>
      <c r="J18" s="69"/>
      <c r="K18" s="69"/>
      <c r="L18" s="69"/>
      <c r="M18" s="69"/>
      <c r="N18" s="69"/>
      <c r="O18" s="71"/>
      <c r="P18" s="69"/>
      <c r="Q18" s="69"/>
      <c r="R18" s="69"/>
      <c r="S18" s="69"/>
      <c r="T18" s="69"/>
      <c r="U18" s="69"/>
      <c r="V18" s="71"/>
      <c r="W18" s="69"/>
      <c r="X18" s="69"/>
      <c r="Y18" s="69"/>
      <c r="Z18" s="69"/>
      <c r="AA18" s="69"/>
      <c r="AB18" s="69"/>
      <c r="AC18" s="71"/>
      <c r="AD18" s="69"/>
      <c r="AE18" s="69"/>
      <c r="AF18" s="69"/>
      <c r="AG18" s="69"/>
      <c r="AH18" s="69"/>
      <c r="AI18" s="78" t="str">
        <f>""</f>
        <v/>
      </c>
      <c r="AJ18" s="78" t="str">
        <f>""</f>
        <v/>
      </c>
      <c r="AK18" s="78" t="e">
        <f t="shared" si="1"/>
        <v>#VALUE!</v>
      </c>
    </row>
    <row r="19" spans="1:44" s="7" customFormat="1" ht="13.5" customHeight="1" x14ac:dyDescent="0.2">
      <c r="A19" s="94">
        <v>4</v>
      </c>
      <c r="B19" s="97" t="s">
        <v>16</v>
      </c>
      <c r="C19" s="28" t="s">
        <v>8</v>
      </c>
      <c r="D19" s="65"/>
      <c r="E19" s="65"/>
      <c r="F19" s="65"/>
      <c r="G19" s="65"/>
      <c r="H19" s="71"/>
      <c r="I19" s="65"/>
      <c r="J19" s="65"/>
      <c r="K19" s="65"/>
      <c r="L19" s="65"/>
      <c r="M19" s="65"/>
      <c r="N19" s="65"/>
      <c r="O19" s="71"/>
      <c r="P19" s="65"/>
      <c r="Q19" s="65"/>
      <c r="R19" s="65"/>
      <c r="S19" s="65"/>
      <c r="T19" s="65"/>
      <c r="U19" s="65"/>
      <c r="V19" s="71"/>
      <c r="W19" s="65"/>
      <c r="X19" s="65"/>
      <c r="Y19" s="65"/>
      <c r="Z19" s="65"/>
      <c r="AA19" s="65"/>
      <c r="AB19" s="65"/>
      <c r="AC19" s="71"/>
      <c r="AD19" s="65">
        <v>4</v>
      </c>
      <c r="AE19" s="65">
        <v>4</v>
      </c>
      <c r="AF19" s="65">
        <v>4</v>
      </c>
      <c r="AG19" s="65"/>
      <c r="AH19" s="65"/>
      <c r="AI19" s="33">
        <f>0</f>
        <v>0</v>
      </c>
      <c r="AJ19" s="33">
        <f>SUM(D19:AH19)/8</f>
        <v>1.5</v>
      </c>
      <c r="AK19" s="33">
        <f t="shared" si="1"/>
        <v>1.5</v>
      </c>
    </row>
    <row r="20" spans="1:44" s="7" customFormat="1" ht="13.5" customHeight="1" x14ac:dyDescent="0.2">
      <c r="A20" s="89"/>
      <c r="B20" s="89"/>
      <c r="C20" s="28" t="s">
        <v>9</v>
      </c>
      <c r="D20" s="65" t="s">
        <v>10</v>
      </c>
      <c r="E20" s="65" t="s">
        <v>10</v>
      </c>
      <c r="F20" s="65" t="s">
        <v>10</v>
      </c>
      <c r="G20" s="65" t="s">
        <v>10</v>
      </c>
      <c r="H20" s="71"/>
      <c r="I20" s="65" t="s">
        <v>10</v>
      </c>
      <c r="J20" s="65" t="s">
        <v>10</v>
      </c>
      <c r="K20" s="65" t="s">
        <v>10</v>
      </c>
      <c r="L20" s="65" t="s">
        <v>10</v>
      </c>
      <c r="M20" s="65" t="s">
        <v>10</v>
      </c>
      <c r="N20" s="65" t="s">
        <v>10</v>
      </c>
      <c r="O20" s="71"/>
      <c r="P20" s="65" t="s">
        <v>10</v>
      </c>
      <c r="Q20" s="65" t="s">
        <v>10</v>
      </c>
      <c r="R20" s="65" t="s">
        <v>10</v>
      </c>
      <c r="S20" s="65" t="s">
        <v>10</v>
      </c>
      <c r="T20" s="65" t="s">
        <v>10</v>
      </c>
      <c r="U20" s="65" t="s">
        <v>10</v>
      </c>
      <c r="V20" s="71"/>
      <c r="W20" s="65" t="s">
        <v>10</v>
      </c>
      <c r="X20" s="65" t="s">
        <v>10</v>
      </c>
      <c r="Y20" s="65" t="s">
        <v>10</v>
      </c>
      <c r="Z20" s="65" t="s">
        <v>10</v>
      </c>
      <c r="AA20" s="65" t="s">
        <v>10</v>
      </c>
      <c r="AB20" s="65">
        <v>0</v>
      </c>
      <c r="AC20" s="71"/>
      <c r="AD20" s="65" t="s">
        <v>10</v>
      </c>
      <c r="AE20" s="65" t="s">
        <v>10</v>
      </c>
      <c r="AF20" s="65" t="s">
        <v>10</v>
      </c>
      <c r="AG20" s="65"/>
      <c r="AH20" s="65"/>
      <c r="AI20" s="33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24</v>
      </c>
      <c r="AJ20" s="33">
        <f>0</f>
        <v>0</v>
      </c>
      <c r="AK20" s="33">
        <f t="shared" si="1"/>
        <v>24</v>
      </c>
    </row>
    <row r="21" spans="1:44" s="7" customFormat="1" ht="13.5" customHeight="1" x14ac:dyDescent="0.2">
      <c r="A21" s="89"/>
      <c r="B21" s="89"/>
      <c r="C21" s="28" t="s">
        <v>11</v>
      </c>
      <c r="D21" s="65"/>
      <c r="E21" s="65"/>
      <c r="F21" s="65"/>
      <c r="G21" s="65"/>
      <c r="H21" s="71"/>
      <c r="I21" s="65"/>
      <c r="J21" s="65"/>
      <c r="K21" s="65"/>
      <c r="L21" s="65"/>
      <c r="M21" s="65"/>
      <c r="N21" s="65"/>
      <c r="O21" s="71"/>
      <c r="P21" s="65"/>
      <c r="Q21" s="65"/>
      <c r="R21" s="65"/>
      <c r="S21" s="65"/>
      <c r="T21" s="65"/>
      <c r="U21" s="65"/>
      <c r="V21" s="71"/>
      <c r="W21" s="65"/>
      <c r="X21" s="65"/>
      <c r="Y21" s="65"/>
      <c r="Z21" s="65"/>
      <c r="AA21" s="65"/>
      <c r="AB21" s="65"/>
      <c r="AC21" s="71"/>
      <c r="AD21" s="65"/>
      <c r="AE21" s="65"/>
      <c r="AF21" s="65"/>
      <c r="AG21" s="65"/>
      <c r="AH21" s="65"/>
      <c r="AI21" s="33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0</v>
      </c>
      <c r="AJ21" s="33">
        <f>0</f>
        <v>0</v>
      </c>
      <c r="AK21" s="33">
        <f t="shared" si="1"/>
        <v>0</v>
      </c>
    </row>
    <row r="22" spans="1:44" s="7" customFormat="1" ht="13.5" customHeight="1" x14ac:dyDescent="0.2">
      <c r="A22" s="90"/>
      <c r="B22" s="96"/>
      <c r="C22" s="28" t="s">
        <v>12</v>
      </c>
      <c r="D22" s="65"/>
      <c r="E22" s="65"/>
      <c r="F22" s="65"/>
      <c r="G22" s="65"/>
      <c r="H22" s="71"/>
      <c r="I22" s="65"/>
      <c r="J22" s="65"/>
      <c r="K22" s="65"/>
      <c r="L22" s="65"/>
      <c r="M22" s="65"/>
      <c r="N22" s="65"/>
      <c r="O22" s="71"/>
      <c r="P22" s="65"/>
      <c r="Q22" s="65"/>
      <c r="R22" s="65"/>
      <c r="S22" s="65"/>
      <c r="T22" s="65"/>
      <c r="U22" s="65"/>
      <c r="V22" s="71"/>
      <c r="W22" s="65"/>
      <c r="X22" s="65"/>
      <c r="Y22" s="65"/>
      <c r="Z22" s="65"/>
      <c r="AA22" s="65"/>
      <c r="AB22" s="65"/>
      <c r="AC22" s="71"/>
      <c r="AD22" s="65"/>
      <c r="AE22" s="65"/>
      <c r="AF22" s="65"/>
      <c r="AG22" s="65"/>
      <c r="AH22" s="65"/>
      <c r="AI22" s="33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33">
        <f>0</f>
        <v>0</v>
      </c>
      <c r="AK22" s="33">
        <f t="shared" si="1"/>
        <v>0</v>
      </c>
    </row>
    <row r="23" spans="1:44" s="7" customFormat="1" ht="13.5" customHeight="1" x14ac:dyDescent="0.2">
      <c r="A23" s="16"/>
      <c r="B23" s="17"/>
      <c r="C23" s="69"/>
      <c r="D23" s="69"/>
      <c r="E23" s="69"/>
      <c r="F23" s="69"/>
      <c r="G23" s="69"/>
      <c r="H23" s="71"/>
      <c r="I23" s="69"/>
      <c r="J23" s="69"/>
      <c r="K23" s="69"/>
      <c r="L23" s="69"/>
      <c r="M23" s="69"/>
      <c r="N23" s="69"/>
      <c r="O23" s="71"/>
      <c r="P23" s="69"/>
      <c r="Q23" s="69"/>
      <c r="R23" s="69"/>
      <c r="S23" s="69"/>
      <c r="T23" s="69"/>
      <c r="U23" s="69"/>
      <c r="V23" s="71"/>
      <c r="W23" s="69"/>
      <c r="X23" s="69"/>
      <c r="Y23" s="69"/>
      <c r="Z23" s="69"/>
      <c r="AA23" s="69"/>
      <c r="AB23" s="69"/>
      <c r="AC23" s="71"/>
      <c r="AD23" s="69"/>
      <c r="AE23" s="69"/>
      <c r="AF23" s="69"/>
      <c r="AG23" s="69"/>
      <c r="AH23" s="69"/>
      <c r="AI23" s="78" t="str">
        <f>""</f>
        <v/>
      </c>
      <c r="AJ23" s="78" t="str">
        <f>""</f>
        <v/>
      </c>
      <c r="AK23" s="78" t="str">
        <f>""</f>
        <v/>
      </c>
    </row>
    <row r="24" spans="1:44" s="7" customFormat="1" ht="13.5" customHeight="1" x14ac:dyDescent="0.2">
      <c r="A24" s="94">
        <v>5</v>
      </c>
      <c r="B24" s="97" t="s">
        <v>17</v>
      </c>
      <c r="C24" s="28" t="s">
        <v>8</v>
      </c>
      <c r="D24" s="65"/>
      <c r="E24" s="65"/>
      <c r="F24" s="65"/>
      <c r="G24" s="65"/>
      <c r="H24" s="71"/>
      <c r="I24" s="65"/>
      <c r="J24" s="65"/>
      <c r="K24" s="65"/>
      <c r="L24" s="65"/>
      <c r="M24" s="65"/>
      <c r="N24" s="65"/>
      <c r="O24" s="71"/>
      <c r="P24" s="65"/>
      <c r="Q24" s="65"/>
      <c r="R24" s="65"/>
      <c r="S24" s="65"/>
      <c r="T24" s="65"/>
      <c r="U24" s="65"/>
      <c r="V24" s="71"/>
      <c r="W24" s="65"/>
      <c r="X24" s="65"/>
      <c r="Y24" s="65"/>
      <c r="Z24" s="65">
        <v>4</v>
      </c>
      <c r="AA24" s="65">
        <v>4</v>
      </c>
      <c r="AB24" s="65">
        <v>4</v>
      </c>
      <c r="AC24" s="71"/>
      <c r="AD24" s="65">
        <v>4</v>
      </c>
      <c r="AE24" s="65">
        <v>4</v>
      </c>
      <c r="AF24" s="65">
        <v>4</v>
      </c>
      <c r="AG24" s="65"/>
      <c r="AH24" s="65"/>
      <c r="AI24" s="33">
        <f>0</f>
        <v>0</v>
      </c>
      <c r="AJ24" s="33">
        <f>SUM(D24:AH24)/8</f>
        <v>3</v>
      </c>
      <c r="AK24" s="33">
        <f>AI24+AJ24</f>
        <v>3</v>
      </c>
      <c r="AR24" s="10"/>
    </row>
    <row r="25" spans="1:44" s="7" customFormat="1" ht="13.5" customHeight="1" x14ac:dyDescent="0.2">
      <c r="A25" s="89"/>
      <c r="B25" s="89"/>
      <c r="C25" s="28" t="s">
        <v>9</v>
      </c>
      <c r="D25" s="65" t="s">
        <v>10</v>
      </c>
      <c r="E25" s="65" t="s">
        <v>10</v>
      </c>
      <c r="F25" s="65" t="s">
        <v>10</v>
      </c>
      <c r="G25" s="65" t="s">
        <v>10</v>
      </c>
      <c r="H25" s="71"/>
      <c r="I25" s="65" t="s">
        <v>10</v>
      </c>
      <c r="J25" s="65" t="s">
        <v>10</v>
      </c>
      <c r="K25" s="65" t="s">
        <v>10</v>
      </c>
      <c r="L25" s="65" t="s">
        <v>10</v>
      </c>
      <c r="M25" s="65" t="s">
        <v>10</v>
      </c>
      <c r="N25" s="65" t="s">
        <v>10</v>
      </c>
      <c r="O25" s="71" t="s">
        <v>10</v>
      </c>
      <c r="P25" s="65" t="s">
        <v>10</v>
      </c>
      <c r="Q25" s="65" t="s">
        <v>10</v>
      </c>
      <c r="R25" s="65" t="s">
        <v>10</v>
      </c>
      <c r="S25" s="65" t="s">
        <v>10</v>
      </c>
      <c r="T25" s="65" t="s">
        <v>10</v>
      </c>
      <c r="U25" s="65" t="s">
        <v>10</v>
      </c>
      <c r="V25" s="71" t="s">
        <v>10</v>
      </c>
      <c r="W25" s="65" t="s">
        <v>10</v>
      </c>
      <c r="X25" s="65" t="s">
        <v>10</v>
      </c>
      <c r="Y25" s="65">
        <v>0</v>
      </c>
      <c r="Z25" s="65" t="s">
        <v>10</v>
      </c>
      <c r="AA25" s="65" t="s">
        <v>10</v>
      </c>
      <c r="AB25" s="65" t="s">
        <v>10</v>
      </c>
      <c r="AC25" s="71"/>
      <c r="AD25" s="65" t="s">
        <v>10</v>
      </c>
      <c r="AE25" s="65" t="s">
        <v>10</v>
      </c>
      <c r="AF25" s="65" t="s">
        <v>10</v>
      </c>
      <c r="AG25" s="65"/>
      <c r="AH25" s="65"/>
      <c r="AI25" s="33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26</v>
      </c>
      <c r="AJ25" s="33">
        <f>0</f>
        <v>0</v>
      </c>
      <c r="AK25" s="33">
        <f>AI25+AJ25</f>
        <v>26</v>
      </c>
    </row>
    <row r="26" spans="1:44" ht="12.75" customHeight="1" x14ac:dyDescent="0.2">
      <c r="A26" s="89"/>
      <c r="B26" s="89"/>
      <c r="C26" s="28" t="s">
        <v>11</v>
      </c>
      <c r="D26" s="65"/>
      <c r="E26" s="65"/>
      <c r="F26" s="65"/>
      <c r="G26" s="65"/>
      <c r="H26" s="71"/>
      <c r="I26" s="65"/>
      <c r="J26" s="65"/>
      <c r="K26" s="65"/>
      <c r="L26" s="65"/>
      <c r="M26" s="65"/>
      <c r="N26" s="65"/>
      <c r="O26" s="71"/>
      <c r="P26" s="65"/>
      <c r="Q26" s="65"/>
      <c r="R26" s="65"/>
      <c r="S26" s="65"/>
      <c r="T26" s="65"/>
      <c r="U26" s="65"/>
      <c r="V26" s="71"/>
      <c r="W26" s="65"/>
      <c r="X26" s="65"/>
      <c r="Y26" s="65"/>
      <c r="Z26" s="65"/>
      <c r="AA26" s="65"/>
      <c r="AB26" s="65"/>
      <c r="AC26" s="71"/>
      <c r="AD26" s="65"/>
      <c r="AE26" s="65"/>
      <c r="AF26" s="65"/>
      <c r="AG26" s="65"/>
      <c r="AH26" s="65"/>
      <c r="AI26" s="33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0</v>
      </c>
      <c r="AJ26" s="33">
        <f>0</f>
        <v>0</v>
      </c>
      <c r="AK26" s="33">
        <f>AI26+AJ26</f>
        <v>0</v>
      </c>
    </row>
    <row r="27" spans="1:44" s="7" customFormat="1" ht="13.5" customHeight="1" x14ac:dyDescent="0.2">
      <c r="A27" s="90"/>
      <c r="B27" s="96"/>
      <c r="C27" s="28" t="s">
        <v>12</v>
      </c>
      <c r="D27" s="65"/>
      <c r="E27" s="65"/>
      <c r="F27" s="65"/>
      <c r="G27" s="65"/>
      <c r="H27" s="71"/>
      <c r="I27" s="65"/>
      <c r="J27" s="65"/>
      <c r="K27" s="65"/>
      <c r="L27" s="65"/>
      <c r="M27" s="65"/>
      <c r="N27" s="65"/>
      <c r="O27" s="71"/>
      <c r="P27" s="65"/>
      <c r="Q27" s="65"/>
      <c r="R27" s="65"/>
      <c r="S27" s="65"/>
      <c r="T27" s="65"/>
      <c r="U27" s="65"/>
      <c r="V27" s="71"/>
      <c r="W27" s="65"/>
      <c r="X27" s="65"/>
      <c r="Y27" s="65"/>
      <c r="Z27" s="65"/>
      <c r="AA27" s="65"/>
      <c r="AB27" s="65"/>
      <c r="AC27" s="71"/>
      <c r="AD27" s="65"/>
      <c r="AE27" s="65"/>
      <c r="AF27" s="65"/>
      <c r="AG27" s="65"/>
      <c r="AH27" s="65"/>
      <c r="AI27" s="33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33">
        <f>0</f>
        <v>0</v>
      </c>
      <c r="AK27" s="33">
        <f>AI27+AJ27</f>
        <v>0</v>
      </c>
    </row>
    <row r="28" spans="1:44" ht="13.5" customHeight="1" x14ac:dyDescent="0.2">
      <c r="A28" s="16"/>
      <c r="B28" s="17"/>
      <c r="C28" s="69"/>
      <c r="D28" s="69"/>
      <c r="E28" s="69"/>
      <c r="F28" s="69"/>
      <c r="G28" s="69"/>
      <c r="H28" s="71"/>
      <c r="I28" s="69"/>
      <c r="J28" s="69"/>
      <c r="K28" s="69"/>
      <c r="L28" s="69"/>
      <c r="M28" s="69"/>
      <c r="N28" s="69"/>
      <c r="O28" s="71"/>
      <c r="P28" s="69"/>
      <c r="Q28" s="69"/>
      <c r="R28" s="69"/>
      <c r="S28" s="69"/>
      <c r="T28" s="69"/>
      <c r="U28" s="69"/>
      <c r="V28" s="71"/>
      <c r="W28" s="69"/>
      <c r="X28" s="69"/>
      <c r="Y28" s="69"/>
      <c r="Z28" s="69"/>
      <c r="AA28" s="69"/>
      <c r="AB28" s="69"/>
      <c r="AC28" s="71"/>
      <c r="AD28" s="69"/>
      <c r="AE28" s="69"/>
      <c r="AF28" s="69"/>
      <c r="AG28" s="69"/>
      <c r="AH28" s="69"/>
      <c r="AI28" s="78" t="str">
        <f>""</f>
        <v/>
      </c>
      <c r="AJ28" s="78" t="str">
        <f>""</f>
        <v/>
      </c>
      <c r="AK28" s="78" t="str">
        <f>""</f>
        <v/>
      </c>
    </row>
    <row r="29" spans="1:44" s="7" customFormat="1" ht="13.5" customHeight="1" x14ac:dyDescent="0.2">
      <c r="A29" s="94">
        <v>6</v>
      </c>
      <c r="B29" s="97" t="s">
        <v>18</v>
      </c>
      <c r="C29" s="28" t="s">
        <v>8</v>
      </c>
      <c r="D29" s="65"/>
      <c r="E29" s="65"/>
      <c r="F29" s="65"/>
      <c r="G29" s="65"/>
      <c r="H29" s="71"/>
      <c r="I29" s="65"/>
      <c r="J29" s="65"/>
      <c r="K29" s="65"/>
      <c r="L29" s="65"/>
      <c r="M29" s="65"/>
      <c r="N29" s="65"/>
      <c r="O29" s="71"/>
      <c r="P29" s="65"/>
      <c r="Q29" s="65"/>
      <c r="R29" s="65"/>
      <c r="S29" s="65"/>
      <c r="T29" s="65"/>
      <c r="U29" s="65"/>
      <c r="V29" s="71"/>
      <c r="W29" s="65"/>
      <c r="X29" s="65"/>
      <c r="Y29" s="65"/>
      <c r="Z29" s="65">
        <v>4</v>
      </c>
      <c r="AA29" s="65">
        <v>4</v>
      </c>
      <c r="AB29" s="65">
        <v>4</v>
      </c>
      <c r="AC29" s="71"/>
      <c r="AD29" s="65">
        <v>4</v>
      </c>
      <c r="AE29" s="65">
        <v>4</v>
      </c>
      <c r="AF29" s="65">
        <v>4</v>
      </c>
      <c r="AG29" s="65"/>
      <c r="AH29" s="65"/>
      <c r="AI29" s="33">
        <f>0</f>
        <v>0</v>
      </c>
      <c r="AJ29" s="33">
        <f>SUM(D29:AH29)/8</f>
        <v>3</v>
      </c>
      <c r="AK29" s="33">
        <f>AI29+AJ29</f>
        <v>3</v>
      </c>
    </row>
    <row r="30" spans="1:44" ht="20.25" customHeight="1" x14ac:dyDescent="0.2">
      <c r="A30" s="89"/>
      <c r="B30" s="89"/>
      <c r="C30" s="28" t="s">
        <v>9</v>
      </c>
      <c r="D30" s="65" t="s">
        <v>10</v>
      </c>
      <c r="E30" s="65" t="s">
        <v>10</v>
      </c>
      <c r="F30" s="65" t="s">
        <v>10</v>
      </c>
      <c r="G30" s="65" t="s">
        <v>10</v>
      </c>
      <c r="H30" s="71" t="s">
        <v>10</v>
      </c>
      <c r="I30" s="65" t="s">
        <v>10</v>
      </c>
      <c r="J30" s="65" t="s">
        <v>10</v>
      </c>
      <c r="K30" s="65" t="s">
        <v>10</v>
      </c>
      <c r="L30" s="65" t="s">
        <v>10</v>
      </c>
      <c r="M30" s="65" t="s">
        <v>10</v>
      </c>
      <c r="N30" s="65" t="s">
        <v>10</v>
      </c>
      <c r="O30" s="71" t="s">
        <v>10</v>
      </c>
      <c r="P30" s="65" t="s">
        <v>10</v>
      </c>
      <c r="Q30" s="65" t="s">
        <v>10</v>
      </c>
      <c r="R30" s="65" t="s">
        <v>10</v>
      </c>
      <c r="S30" s="65" t="s">
        <v>10</v>
      </c>
      <c r="T30" s="65" t="s">
        <v>10</v>
      </c>
      <c r="U30" s="65" t="s">
        <v>10</v>
      </c>
      <c r="V30" s="71" t="s">
        <v>10</v>
      </c>
      <c r="W30" s="65" t="s">
        <v>10</v>
      </c>
      <c r="X30" s="65" t="s">
        <v>10</v>
      </c>
      <c r="Y30" s="65" t="s">
        <v>10</v>
      </c>
      <c r="Z30" s="65" t="s">
        <v>10</v>
      </c>
      <c r="AA30" s="65" t="s">
        <v>10</v>
      </c>
      <c r="AB30" s="65" t="s">
        <v>10</v>
      </c>
      <c r="AC30" s="71"/>
      <c r="AD30" s="65" t="s">
        <v>10</v>
      </c>
      <c r="AE30" s="65" t="s">
        <v>10</v>
      </c>
      <c r="AF30" s="65" t="s">
        <v>10</v>
      </c>
      <c r="AG30" s="65"/>
      <c r="AH30" s="65"/>
      <c r="AI30" s="33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28</v>
      </c>
      <c r="AJ30" s="33">
        <f>0</f>
        <v>0</v>
      </c>
      <c r="AK30" s="33">
        <f>0</f>
        <v>0</v>
      </c>
    </row>
    <row r="31" spans="1:44" x14ac:dyDescent="0.2">
      <c r="A31" s="89"/>
      <c r="B31" s="89"/>
      <c r="C31" s="28" t="s">
        <v>11</v>
      </c>
      <c r="D31" s="65"/>
      <c r="E31" s="65"/>
      <c r="F31" s="65"/>
      <c r="G31" s="65"/>
      <c r="H31" s="71"/>
      <c r="I31" s="65"/>
      <c r="J31" s="65"/>
      <c r="K31" s="65"/>
      <c r="L31" s="65"/>
      <c r="M31" s="65"/>
      <c r="N31" s="65"/>
      <c r="O31" s="71"/>
      <c r="P31" s="65"/>
      <c r="Q31" s="65"/>
      <c r="R31" s="65"/>
      <c r="S31" s="65"/>
      <c r="T31" s="65"/>
      <c r="U31" s="65"/>
      <c r="V31" s="71"/>
      <c r="W31" s="65"/>
      <c r="X31" s="65"/>
      <c r="Y31" s="65"/>
      <c r="Z31" s="65"/>
      <c r="AA31" s="65"/>
      <c r="AB31" s="65"/>
      <c r="AC31" s="71"/>
      <c r="AD31" s="65"/>
      <c r="AE31" s="65"/>
      <c r="AF31" s="65"/>
      <c r="AG31" s="65"/>
      <c r="AH31" s="65"/>
      <c r="AI31" s="33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0</v>
      </c>
      <c r="AJ31" s="33">
        <f>0</f>
        <v>0</v>
      </c>
      <c r="AK31" s="33">
        <f>AI31+AJ31</f>
        <v>0</v>
      </c>
    </row>
    <row r="32" spans="1:44" x14ac:dyDescent="0.2">
      <c r="A32" s="90"/>
      <c r="B32" s="96"/>
      <c r="C32" s="28" t="s">
        <v>12</v>
      </c>
      <c r="D32" s="65"/>
      <c r="E32" s="65"/>
      <c r="F32" s="65"/>
      <c r="G32" s="65"/>
      <c r="H32" s="71"/>
      <c r="I32" s="65"/>
      <c r="J32" s="65"/>
      <c r="K32" s="65"/>
      <c r="L32" s="65"/>
      <c r="M32" s="65"/>
      <c r="N32" s="65"/>
      <c r="O32" s="71"/>
      <c r="P32" s="65"/>
      <c r="Q32" s="65"/>
      <c r="R32" s="65"/>
      <c r="S32" s="65"/>
      <c r="T32" s="65"/>
      <c r="U32" s="65"/>
      <c r="V32" s="71"/>
      <c r="W32" s="65"/>
      <c r="X32" s="65"/>
      <c r="Y32" s="65"/>
      <c r="Z32" s="65"/>
      <c r="AA32" s="65"/>
      <c r="AB32" s="65"/>
      <c r="AC32" s="71"/>
      <c r="AD32" s="65"/>
      <c r="AE32" s="65"/>
      <c r="AF32" s="65"/>
      <c r="AG32" s="65"/>
      <c r="AH32" s="65"/>
      <c r="AI32" s="33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0</v>
      </c>
      <c r="AJ32" s="33">
        <f>0</f>
        <v>0</v>
      </c>
      <c r="AK32" s="33">
        <f>AI32+AJ32</f>
        <v>0</v>
      </c>
    </row>
    <row r="33" spans="1:37" ht="14.25" customHeight="1" x14ac:dyDescent="0.2">
      <c r="A33" s="16"/>
      <c r="B33" s="17"/>
      <c r="C33" s="69"/>
      <c r="D33" s="69"/>
      <c r="E33" s="69"/>
      <c r="F33" s="69"/>
      <c r="G33" s="69"/>
      <c r="H33" s="71"/>
      <c r="I33" s="69"/>
      <c r="J33" s="69"/>
      <c r="K33" s="69"/>
      <c r="L33" s="69"/>
      <c r="M33" s="69"/>
      <c r="N33" s="69"/>
      <c r="O33" s="71"/>
      <c r="P33" s="69"/>
      <c r="Q33" s="69"/>
      <c r="R33" s="69"/>
      <c r="S33" s="69"/>
      <c r="T33" s="69"/>
      <c r="U33" s="69"/>
      <c r="V33" s="71"/>
      <c r="W33" s="69"/>
      <c r="X33" s="69"/>
      <c r="Y33" s="69"/>
      <c r="Z33" s="69"/>
      <c r="AA33" s="69"/>
      <c r="AB33" s="69"/>
      <c r="AC33" s="71"/>
      <c r="AD33" s="69"/>
      <c r="AE33" s="69"/>
      <c r="AF33" s="69"/>
      <c r="AG33" s="69"/>
      <c r="AH33" s="69"/>
      <c r="AI33" s="78" t="str">
        <f>""</f>
        <v/>
      </c>
      <c r="AJ33" s="78" t="str">
        <f>""</f>
        <v/>
      </c>
      <c r="AK33" s="78" t="str">
        <f>""</f>
        <v/>
      </c>
    </row>
    <row r="34" spans="1:37" ht="14.25" customHeight="1" x14ac:dyDescent="0.2">
      <c r="A34" s="94">
        <v>7</v>
      </c>
      <c r="B34" s="97" t="s">
        <v>19</v>
      </c>
      <c r="C34" s="28" t="s">
        <v>8</v>
      </c>
      <c r="D34" s="65"/>
      <c r="E34" s="65"/>
      <c r="F34" s="65"/>
      <c r="G34" s="65"/>
      <c r="H34" s="71"/>
      <c r="I34" s="65"/>
      <c r="J34" s="65"/>
      <c r="K34" s="65"/>
      <c r="L34" s="65"/>
      <c r="M34" s="65"/>
      <c r="N34" s="65"/>
      <c r="O34" s="71"/>
      <c r="P34" s="65"/>
      <c r="Q34" s="65"/>
      <c r="R34" s="65"/>
      <c r="S34" s="65"/>
      <c r="T34" s="65"/>
      <c r="U34" s="65"/>
      <c r="V34" s="71"/>
      <c r="W34" s="65"/>
      <c r="X34" s="65"/>
      <c r="Y34" s="65"/>
      <c r="Z34" s="65">
        <v>4</v>
      </c>
      <c r="AA34" s="65">
        <v>4</v>
      </c>
      <c r="AB34" s="65">
        <v>4</v>
      </c>
      <c r="AC34" s="71"/>
      <c r="AD34" s="65">
        <v>4</v>
      </c>
      <c r="AE34" s="65">
        <v>4</v>
      </c>
      <c r="AF34" s="65">
        <v>2</v>
      </c>
      <c r="AG34" s="65"/>
      <c r="AH34" s="65"/>
      <c r="AI34" s="33">
        <f>0</f>
        <v>0</v>
      </c>
      <c r="AJ34" s="33">
        <f>SUM(D34:AH34)/8</f>
        <v>2.75</v>
      </c>
      <c r="AK34" s="33">
        <f>AI34+AJ34</f>
        <v>2.75</v>
      </c>
    </row>
    <row r="35" spans="1:37" ht="14.25" customHeight="1" x14ac:dyDescent="0.2">
      <c r="A35" s="89"/>
      <c r="B35" s="89"/>
      <c r="C35" s="28" t="s">
        <v>9</v>
      </c>
      <c r="D35" s="65" t="s">
        <v>10</v>
      </c>
      <c r="E35" s="65" t="s">
        <v>10</v>
      </c>
      <c r="F35" s="65" t="s">
        <v>10</v>
      </c>
      <c r="G35" s="65" t="s">
        <v>10</v>
      </c>
      <c r="H35" s="71"/>
      <c r="I35" s="65" t="s">
        <v>10</v>
      </c>
      <c r="J35" s="65" t="s">
        <v>10</v>
      </c>
      <c r="K35" s="65" t="s">
        <v>10</v>
      </c>
      <c r="L35" s="65" t="s">
        <v>15</v>
      </c>
      <c r="M35" s="65" t="s">
        <v>10</v>
      </c>
      <c r="N35" s="65" t="s">
        <v>10</v>
      </c>
      <c r="O35" s="71" t="s">
        <v>10</v>
      </c>
      <c r="P35" s="65" t="s">
        <v>10</v>
      </c>
      <c r="Q35" s="65" t="s">
        <v>10</v>
      </c>
      <c r="R35" s="65" t="s">
        <v>10</v>
      </c>
      <c r="S35" s="65" t="s">
        <v>10</v>
      </c>
      <c r="T35" s="65" t="s">
        <v>10</v>
      </c>
      <c r="U35" s="65" t="s">
        <v>10</v>
      </c>
      <c r="V35" s="71" t="s">
        <v>10</v>
      </c>
      <c r="W35" s="65" t="s">
        <v>10</v>
      </c>
      <c r="X35" s="65" t="s">
        <v>10</v>
      </c>
      <c r="Y35" s="65" t="s">
        <v>10</v>
      </c>
      <c r="Z35" s="65" t="s">
        <v>10</v>
      </c>
      <c r="AA35" s="65" t="s">
        <v>10</v>
      </c>
      <c r="AB35" s="65" t="s">
        <v>10</v>
      </c>
      <c r="AC35" s="71" t="s">
        <v>10</v>
      </c>
      <c r="AD35" s="65" t="s">
        <v>10</v>
      </c>
      <c r="AE35" s="65" t="s">
        <v>10</v>
      </c>
      <c r="AF35" s="65" t="s">
        <v>10</v>
      </c>
      <c r="AG35" s="65"/>
      <c r="AH35" s="65"/>
      <c r="AI35" s="33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27.5</v>
      </c>
      <c r="AJ35" s="33">
        <f>0</f>
        <v>0</v>
      </c>
      <c r="AK35" s="33">
        <f>AI35+AJ35</f>
        <v>27.5</v>
      </c>
    </row>
    <row r="36" spans="1:37" ht="14.25" customHeight="1" x14ac:dyDescent="0.2">
      <c r="A36" s="89"/>
      <c r="B36" s="89"/>
      <c r="C36" s="28" t="s">
        <v>11</v>
      </c>
      <c r="D36" s="65"/>
      <c r="E36" s="65"/>
      <c r="F36" s="65"/>
      <c r="G36" s="65"/>
      <c r="H36" s="71"/>
      <c r="I36" s="65"/>
      <c r="J36" s="65"/>
      <c r="K36" s="65"/>
      <c r="L36" s="65"/>
      <c r="M36" s="65"/>
      <c r="N36" s="65"/>
      <c r="O36" s="71"/>
      <c r="P36" s="65"/>
      <c r="Q36" s="65"/>
      <c r="R36" s="65"/>
      <c r="S36" s="65"/>
      <c r="T36" s="65"/>
      <c r="U36" s="65"/>
      <c r="V36" s="71"/>
      <c r="W36" s="65"/>
      <c r="X36" s="65"/>
      <c r="Y36" s="65"/>
      <c r="Z36" s="65"/>
      <c r="AA36" s="65"/>
      <c r="AB36" s="65"/>
      <c r="AC36" s="71"/>
      <c r="AD36" s="65"/>
      <c r="AE36" s="65"/>
      <c r="AF36" s="65"/>
      <c r="AG36" s="65"/>
      <c r="AH36" s="65"/>
      <c r="AI36" s="33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0</v>
      </c>
      <c r="AJ36" s="33">
        <f>0</f>
        <v>0</v>
      </c>
      <c r="AK36" s="33">
        <f>AI36+AJ36</f>
        <v>0</v>
      </c>
    </row>
    <row r="37" spans="1:37" ht="14.25" customHeight="1" x14ac:dyDescent="0.2">
      <c r="A37" s="90"/>
      <c r="B37" s="96"/>
      <c r="C37" s="28" t="s">
        <v>12</v>
      </c>
      <c r="D37" s="65"/>
      <c r="E37" s="65"/>
      <c r="F37" s="65"/>
      <c r="G37" s="65"/>
      <c r="H37" s="71"/>
      <c r="I37" s="65"/>
      <c r="J37" s="65"/>
      <c r="K37" s="65"/>
      <c r="L37" s="65"/>
      <c r="M37" s="65"/>
      <c r="N37" s="65"/>
      <c r="O37" s="71"/>
      <c r="P37" s="65"/>
      <c r="Q37" s="65"/>
      <c r="R37" s="65"/>
      <c r="S37" s="65"/>
      <c r="T37" s="65"/>
      <c r="U37" s="65"/>
      <c r="V37" s="71"/>
      <c r="W37" s="65"/>
      <c r="X37" s="65"/>
      <c r="Y37" s="65"/>
      <c r="Z37" s="65"/>
      <c r="AA37" s="65"/>
      <c r="AB37" s="65"/>
      <c r="AC37" s="71"/>
      <c r="AD37" s="65"/>
      <c r="AE37" s="65"/>
      <c r="AF37" s="65"/>
      <c r="AG37" s="65"/>
      <c r="AH37" s="65"/>
      <c r="AI37" s="33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0</v>
      </c>
      <c r="AJ37" s="33">
        <f>0</f>
        <v>0</v>
      </c>
      <c r="AK37" s="33">
        <f>AI37+AJ37</f>
        <v>0</v>
      </c>
    </row>
    <row r="38" spans="1:37" ht="14.25" customHeight="1" x14ac:dyDescent="0.2">
      <c r="A38" s="16"/>
      <c r="B38" s="17"/>
      <c r="C38" s="69"/>
      <c r="D38" s="69"/>
      <c r="E38" s="69"/>
      <c r="F38" s="69"/>
      <c r="G38" s="69"/>
      <c r="H38" s="71"/>
      <c r="I38" s="69"/>
      <c r="J38" s="69"/>
      <c r="K38" s="69"/>
      <c r="L38" s="69"/>
      <c r="M38" s="69"/>
      <c r="N38" s="69"/>
      <c r="O38" s="71"/>
      <c r="P38" s="69"/>
      <c r="Q38" s="69"/>
      <c r="R38" s="69"/>
      <c r="S38" s="69"/>
      <c r="T38" s="69"/>
      <c r="U38" s="69"/>
      <c r="V38" s="71"/>
      <c r="W38" s="69"/>
      <c r="X38" s="69"/>
      <c r="Y38" s="69"/>
      <c r="Z38" s="69"/>
      <c r="AA38" s="69"/>
      <c r="AB38" s="69"/>
      <c r="AC38" s="71"/>
      <c r="AD38" s="69"/>
      <c r="AE38" s="69"/>
      <c r="AF38" s="69"/>
      <c r="AG38" s="69"/>
      <c r="AH38" s="69"/>
      <c r="AI38" s="78" t="str">
        <f>""</f>
        <v/>
      </c>
      <c r="AJ38" s="78" t="str">
        <f>""</f>
        <v/>
      </c>
      <c r="AK38" s="78" t="str">
        <f>""</f>
        <v/>
      </c>
    </row>
    <row r="39" spans="1:37" ht="14.25" customHeight="1" x14ac:dyDescent="0.2">
      <c r="A39" s="94">
        <v>8</v>
      </c>
      <c r="B39" s="97" t="s">
        <v>20</v>
      </c>
      <c r="C39" s="28" t="s">
        <v>8</v>
      </c>
      <c r="D39" s="65"/>
      <c r="E39" s="65"/>
      <c r="F39" s="65"/>
      <c r="G39" s="65"/>
      <c r="H39" s="71"/>
      <c r="I39" s="65"/>
      <c r="J39" s="65"/>
      <c r="K39" s="65"/>
      <c r="L39" s="65"/>
      <c r="M39" s="65"/>
      <c r="N39" s="65"/>
      <c r="O39" s="71"/>
      <c r="P39" s="65"/>
      <c r="Q39" s="65"/>
      <c r="R39" s="65"/>
      <c r="S39" s="65"/>
      <c r="T39" s="65">
        <v>2</v>
      </c>
      <c r="U39" s="65"/>
      <c r="V39" s="71"/>
      <c r="W39" s="65"/>
      <c r="X39" s="65"/>
      <c r="Y39" s="65"/>
      <c r="Z39" s="65">
        <v>4</v>
      </c>
      <c r="AA39" s="65">
        <v>4</v>
      </c>
      <c r="AB39" s="65">
        <v>4</v>
      </c>
      <c r="AC39" s="71"/>
      <c r="AD39" s="65">
        <v>4</v>
      </c>
      <c r="AE39" s="65">
        <v>4</v>
      </c>
      <c r="AF39" s="65">
        <v>4</v>
      </c>
      <c r="AG39" s="65"/>
      <c r="AH39" s="65"/>
      <c r="AI39" s="33">
        <f>0</f>
        <v>0</v>
      </c>
      <c r="AJ39" s="33">
        <f>SUM(D39:AH39)/8</f>
        <v>3.25</v>
      </c>
      <c r="AK39" s="33">
        <f>AI39+AJ39</f>
        <v>3.25</v>
      </c>
    </row>
    <row r="40" spans="1:37" ht="14.25" customHeight="1" x14ac:dyDescent="0.2">
      <c r="A40" s="89"/>
      <c r="B40" s="89"/>
      <c r="C40" s="28" t="s">
        <v>9</v>
      </c>
      <c r="D40" s="65" t="s">
        <v>10</v>
      </c>
      <c r="E40" s="65" t="s">
        <v>10</v>
      </c>
      <c r="F40" s="65" t="s">
        <v>10</v>
      </c>
      <c r="G40" s="65" t="s">
        <v>10</v>
      </c>
      <c r="H40" s="71"/>
      <c r="I40" s="65" t="s">
        <v>10</v>
      </c>
      <c r="J40" s="65" t="s">
        <v>10</v>
      </c>
      <c r="K40" s="65" t="s">
        <v>10</v>
      </c>
      <c r="L40" s="65" t="s">
        <v>10</v>
      </c>
      <c r="M40" s="65" t="s">
        <v>10</v>
      </c>
      <c r="N40" s="65" t="s">
        <v>10</v>
      </c>
      <c r="O40" s="71" t="s">
        <v>10</v>
      </c>
      <c r="P40" s="65" t="s">
        <v>10</v>
      </c>
      <c r="Q40" s="65" t="s">
        <v>10</v>
      </c>
      <c r="R40" s="65" t="s">
        <v>10</v>
      </c>
      <c r="S40" s="65" t="s">
        <v>10</v>
      </c>
      <c r="T40" s="65" t="s">
        <v>10</v>
      </c>
      <c r="U40" s="65" t="s">
        <v>10</v>
      </c>
      <c r="V40" s="71" t="s">
        <v>10</v>
      </c>
      <c r="W40" s="65" t="s">
        <v>10</v>
      </c>
      <c r="X40" s="65" t="s">
        <v>10</v>
      </c>
      <c r="Y40" s="65" t="s">
        <v>10</v>
      </c>
      <c r="Z40" s="65" t="s">
        <v>10</v>
      </c>
      <c r="AA40" s="65" t="s">
        <v>10</v>
      </c>
      <c r="AB40" s="65" t="s">
        <v>10</v>
      </c>
      <c r="AC40" s="71"/>
      <c r="AD40" s="65" t="s">
        <v>10</v>
      </c>
      <c r="AE40" s="65" t="s">
        <v>10</v>
      </c>
      <c r="AF40" s="65" t="s">
        <v>10</v>
      </c>
      <c r="AG40" s="65"/>
      <c r="AH40" s="65"/>
      <c r="AI40" s="33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27</v>
      </c>
      <c r="AJ40" s="33">
        <f>0</f>
        <v>0</v>
      </c>
      <c r="AK40" s="33">
        <f>AI40+AJ40</f>
        <v>27</v>
      </c>
    </row>
    <row r="41" spans="1:37" ht="14.25" customHeight="1" x14ac:dyDescent="0.2">
      <c r="A41" s="89"/>
      <c r="B41" s="89"/>
      <c r="C41" s="28" t="s">
        <v>11</v>
      </c>
      <c r="D41" s="65"/>
      <c r="E41" s="65"/>
      <c r="F41" s="65"/>
      <c r="G41" s="65"/>
      <c r="H41" s="71"/>
      <c r="I41" s="65"/>
      <c r="J41" s="65"/>
      <c r="K41" s="65"/>
      <c r="L41" s="65"/>
      <c r="M41" s="65"/>
      <c r="N41" s="65"/>
      <c r="O41" s="71"/>
      <c r="P41" s="65"/>
      <c r="Q41" s="65"/>
      <c r="R41" s="65"/>
      <c r="S41" s="65"/>
      <c r="T41" s="65"/>
      <c r="U41" s="65"/>
      <c r="V41" s="71"/>
      <c r="W41" s="65"/>
      <c r="X41" s="65"/>
      <c r="Y41" s="65"/>
      <c r="Z41" s="65"/>
      <c r="AA41" s="65"/>
      <c r="AB41" s="65"/>
      <c r="AC41" s="71"/>
      <c r="AD41" s="65"/>
      <c r="AE41" s="65"/>
      <c r="AF41" s="65"/>
      <c r="AG41" s="65"/>
      <c r="AH41" s="65"/>
      <c r="AI41" s="33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0</v>
      </c>
      <c r="AJ41" s="33">
        <f>0</f>
        <v>0</v>
      </c>
      <c r="AK41" s="33">
        <f>AI41+AJ41</f>
        <v>0</v>
      </c>
    </row>
    <row r="42" spans="1:37" ht="14.25" customHeight="1" x14ac:dyDescent="0.2">
      <c r="A42" s="90"/>
      <c r="B42" s="96"/>
      <c r="C42" s="28" t="s">
        <v>12</v>
      </c>
      <c r="D42" s="65"/>
      <c r="E42" s="65"/>
      <c r="F42" s="65"/>
      <c r="G42" s="65"/>
      <c r="H42" s="71"/>
      <c r="I42" s="65"/>
      <c r="J42" s="65"/>
      <c r="K42" s="65"/>
      <c r="L42" s="65"/>
      <c r="M42" s="65"/>
      <c r="N42" s="65"/>
      <c r="O42" s="71"/>
      <c r="P42" s="65"/>
      <c r="Q42" s="65"/>
      <c r="R42" s="65"/>
      <c r="S42" s="65"/>
      <c r="T42" s="65"/>
      <c r="U42" s="65"/>
      <c r="V42" s="71"/>
      <c r="W42" s="65"/>
      <c r="X42" s="65"/>
      <c r="Y42" s="65"/>
      <c r="Z42" s="65"/>
      <c r="AA42" s="65"/>
      <c r="AB42" s="65"/>
      <c r="AC42" s="71"/>
      <c r="AD42" s="65"/>
      <c r="AE42" s="65"/>
      <c r="AF42" s="65"/>
      <c r="AG42" s="65"/>
      <c r="AH42" s="65"/>
      <c r="AI42" s="33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33">
        <f>0</f>
        <v>0</v>
      </c>
      <c r="AK42" s="33">
        <f>AI42+AJ42</f>
        <v>0</v>
      </c>
    </row>
    <row r="43" spans="1:37" ht="14.25" customHeight="1" x14ac:dyDescent="0.2">
      <c r="A43" s="16"/>
      <c r="B43" s="17"/>
      <c r="C43" s="69"/>
      <c r="D43" s="69"/>
      <c r="E43" s="69"/>
      <c r="F43" s="69"/>
      <c r="G43" s="69"/>
      <c r="H43" s="71"/>
      <c r="I43" s="69"/>
      <c r="J43" s="69"/>
      <c r="K43" s="69"/>
      <c r="L43" s="69"/>
      <c r="M43" s="69"/>
      <c r="N43" s="69"/>
      <c r="O43" s="71"/>
      <c r="P43" s="69"/>
      <c r="Q43" s="69"/>
      <c r="R43" s="69"/>
      <c r="S43" s="69"/>
      <c r="T43" s="69"/>
      <c r="U43" s="69"/>
      <c r="V43" s="71"/>
      <c r="W43" s="69"/>
      <c r="X43" s="69"/>
      <c r="Y43" s="69"/>
      <c r="Z43" s="69"/>
      <c r="AA43" s="69"/>
      <c r="AB43" s="69"/>
      <c r="AC43" s="71"/>
      <c r="AD43" s="69"/>
      <c r="AE43" s="69"/>
      <c r="AF43" s="69"/>
      <c r="AG43" s="69"/>
      <c r="AH43" s="69"/>
      <c r="AI43" s="78" t="str">
        <f>""</f>
        <v/>
      </c>
      <c r="AJ43" s="78" t="str">
        <f>""</f>
        <v/>
      </c>
      <c r="AK43" s="78" t="str">
        <f>""</f>
        <v/>
      </c>
    </row>
    <row r="44" spans="1:37" ht="14.25" customHeight="1" x14ac:dyDescent="0.2">
      <c r="A44" s="94">
        <v>9</v>
      </c>
      <c r="B44" s="97" t="s">
        <v>21</v>
      </c>
      <c r="C44" s="28" t="s">
        <v>8</v>
      </c>
      <c r="D44" s="65"/>
      <c r="E44" s="65"/>
      <c r="F44" s="65"/>
      <c r="G44" s="65"/>
      <c r="H44" s="71"/>
      <c r="I44" s="65"/>
      <c r="J44" s="65"/>
      <c r="K44" s="65"/>
      <c r="L44" s="65"/>
      <c r="M44" s="65"/>
      <c r="N44" s="65"/>
      <c r="O44" s="71"/>
      <c r="P44" s="65"/>
      <c r="Q44" s="65"/>
      <c r="R44" s="65"/>
      <c r="S44" s="65"/>
      <c r="T44" s="65"/>
      <c r="U44" s="65"/>
      <c r="V44" s="71"/>
      <c r="W44" s="65"/>
      <c r="X44" s="65"/>
      <c r="Y44" s="65"/>
      <c r="Z44" s="65">
        <v>4</v>
      </c>
      <c r="AA44" s="65">
        <v>4</v>
      </c>
      <c r="AB44" s="65">
        <v>4</v>
      </c>
      <c r="AC44" s="71"/>
      <c r="AD44" s="65">
        <v>4</v>
      </c>
      <c r="AE44" s="65">
        <v>4</v>
      </c>
      <c r="AF44" s="65">
        <v>4</v>
      </c>
      <c r="AG44" s="65"/>
      <c r="AH44" s="65"/>
      <c r="AI44" s="33">
        <f>0</f>
        <v>0</v>
      </c>
      <c r="AJ44" s="33">
        <f>SUM(D44:AH44)/8</f>
        <v>3</v>
      </c>
      <c r="AK44" s="33">
        <f>AI44+AJ44</f>
        <v>3</v>
      </c>
    </row>
    <row r="45" spans="1:37" ht="14.25" customHeight="1" x14ac:dyDescent="0.2">
      <c r="A45" s="89"/>
      <c r="B45" s="89"/>
      <c r="C45" s="28" t="s">
        <v>9</v>
      </c>
      <c r="D45" s="65" t="s">
        <v>10</v>
      </c>
      <c r="E45" s="65" t="s">
        <v>10</v>
      </c>
      <c r="F45" s="65" t="s">
        <v>10</v>
      </c>
      <c r="G45" s="65" t="s">
        <v>10</v>
      </c>
      <c r="H45" s="71" t="s">
        <v>10</v>
      </c>
      <c r="I45" s="65" t="s">
        <v>10</v>
      </c>
      <c r="J45" s="65" t="s">
        <v>10</v>
      </c>
      <c r="K45" s="65" t="s">
        <v>10</v>
      </c>
      <c r="L45" s="65" t="s">
        <v>10</v>
      </c>
      <c r="M45" s="65" t="s">
        <v>10</v>
      </c>
      <c r="N45" s="65" t="s">
        <v>10</v>
      </c>
      <c r="O45" s="71" t="s">
        <v>10</v>
      </c>
      <c r="P45" s="65" t="s">
        <v>10</v>
      </c>
      <c r="Q45" s="65" t="s">
        <v>10</v>
      </c>
      <c r="R45" s="65" t="s">
        <v>10</v>
      </c>
      <c r="S45" s="65" t="s">
        <v>10</v>
      </c>
      <c r="T45" s="65" t="s">
        <v>10</v>
      </c>
      <c r="U45" s="65" t="s">
        <v>10</v>
      </c>
      <c r="V45" s="71" t="s">
        <v>10</v>
      </c>
      <c r="W45" s="65" t="s">
        <v>10</v>
      </c>
      <c r="X45" s="65" t="s">
        <v>10</v>
      </c>
      <c r="Y45" s="65" t="s">
        <v>10</v>
      </c>
      <c r="Z45" s="65" t="s">
        <v>10</v>
      </c>
      <c r="AA45" s="65" t="s">
        <v>10</v>
      </c>
      <c r="AB45" s="65" t="s">
        <v>10</v>
      </c>
      <c r="AC45" s="71" t="s">
        <v>10</v>
      </c>
      <c r="AD45" s="65" t="s">
        <v>10</v>
      </c>
      <c r="AE45" s="65" t="s">
        <v>10</v>
      </c>
      <c r="AF45" s="65" t="s">
        <v>10</v>
      </c>
      <c r="AG45" s="65"/>
      <c r="AH45" s="65"/>
      <c r="AI45" s="33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29</v>
      </c>
      <c r="AJ45" s="33">
        <f>0</f>
        <v>0</v>
      </c>
      <c r="AK45" s="33">
        <f>AI45+AJ45</f>
        <v>29</v>
      </c>
    </row>
    <row r="46" spans="1:37" ht="14.25" customHeight="1" x14ac:dyDescent="0.2">
      <c r="A46" s="89"/>
      <c r="B46" s="89"/>
      <c r="C46" s="28" t="s">
        <v>11</v>
      </c>
      <c r="D46" s="65"/>
      <c r="E46" s="65"/>
      <c r="F46" s="65"/>
      <c r="G46" s="65"/>
      <c r="H46" s="71"/>
      <c r="I46" s="65"/>
      <c r="J46" s="65"/>
      <c r="K46" s="65"/>
      <c r="L46" s="65"/>
      <c r="M46" s="65"/>
      <c r="N46" s="65"/>
      <c r="O46" s="71"/>
      <c r="P46" s="65"/>
      <c r="Q46" s="65"/>
      <c r="R46" s="65"/>
      <c r="S46" s="65"/>
      <c r="T46" s="65"/>
      <c r="U46" s="65"/>
      <c r="V46" s="71"/>
      <c r="W46" s="65"/>
      <c r="X46" s="65"/>
      <c r="Y46" s="65"/>
      <c r="Z46" s="65"/>
      <c r="AA46" s="65"/>
      <c r="AB46" s="65"/>
      <c r="AC46" s="71"/>
      <c r="AD46" s="65"/>
      <c r="AE46" s="65"/>
      <c r="AF46" s="65"/>
      <c r="AG46" s="65"/>
      <c r="AH46" s="65"/>
      <c r="AI46" s="33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0</v>
      </c>
      <c r="AJ46" s="33">
        <f>0</f>
        <v>0</v>
      </c>
      <c r="AK46" s="33">
        <f>AI46+AJ46</f>
        <v>0</v>
      </c>
    </row>
    <row r="47" spans="1:37" ht="14.25" customHeight="1" x14ac:dyDescent="0.2">
      <c r="A47" s="90"/>
      <c r="B47" s="96"/>
      <c r="C47" s="28" t="s">
        <v>12</v>
      </c>
      <c r="D47" s="65"/>
      <c r="E47" s="65"/>
      <c r="F47" s="65"/>
      <c r="G47" s="65"/>
      <c r="H47" s="71"/>
      <c r="I47" s="65"/>
      <c r="J47" s="65"/>
      <c r="K47" s="65"/>
      <c r="L47" s="65"/>
      <c r="M47" s="65"/>
      <c r="N47" s="65"/>
      <c r="O47" s="71"/>
      <c r="P47" s="65"/>
      <c r="Q47" s="65"/>
      <c r="R47" s="65"/>
      <c r="S47" s="65"/>
      <c r="T47" s="65"/>
      <c r="U47" s="65"/>
      <c r="V47" s="71"/>
      <c r="W47" s="65"/>
      <c r="X47" s="65"/>
      <c r="Y47" s="65"/>
      <c r="Z47" s="65"/>
      <c r="AA47" s="65"/>
      <c r="AB47" s="65"/>
      <c r="AC47" s="71"/>
      <c r="AD47" s="65"/>
      <c r="AE47" s="65"/>
      <c r="AF47" s="65"/>
      <c r="AG47" s="65"/>
      <c r="AH47" s="65"/>
      <c r="AI47" s="33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0</v>
      </c>
      <c r="AJ47" s="33">
        <f>0</f>
        <v>0</v>
      </c>
      <c r="AK47" s="33">
        <f>AI47+AJ47</f>
        <v>0</v>
      </c>
    </row>
    <row r="48" spans="1:37" ht="14.25" customHeight="1" x14ac:dyDescent="0.2">
      <c r="A48" s="16"/>
      <c r="B48" s="17"/>
      <c r="C48" s="69"/>
      <c r="D48" s="69"/>
      <c r="E48" s="69"/>
      <c r="F48" s="69"/>
      <c r="G48" s="69"/>
      <c r="H48" s="71"/>
      <c r="I48" s="69"/>
      <c r="J48" s="69"/>
      <c r="K48" s="69"/>
      <c r="L48" s="69"/>
      <c r="M48" s="69"/>
      <c r="N48" s="69"/>
      <c r="O48" s="71"/>
      <c r="P48" s="69"/>
      <c r="Q48" s="69"/>
      <c r="R48" s="69"/>
      <c r="S48" s="69"/>
      <c r="T48" s="69"/>
      <c r="U48" s="69"/>
      <c r="V48" s="71"/>
      <c r="W48" s="69"/>
      <c r="X48" s="69"/>
      <c r="Y48" s="69"/>
      <c r="Z48" s="69"/>
      <c r="AA48" s="69"/>
      <c r="AB48" s="69"/>
      <c r="AC48" s="71"/>
      <c r="AD48" s="69"/>
      <c r="AE48" s="69"/>
      <c r="AF48" s="69"/>
      <c r="AG48" s="69"/>
      <c r="AH48" s="69"/>
      <c r="AI48" s="78" t="str">
        <f>""</f>
        <v/>
      </c>
      <c r="AJ48" s="78" t="str">
        <f>""</f>
        <v/>
      </c>
      <c r="AK48" s="78" t="str">
        <f>""</f>
        <v/>
      </c>
    </row>
    <row r="49" spans="1:37" ht="14.25" customHeight="1" x14ac:dyDescent="0.2">
      <c r="A49" s="94">
        <v>10</v>
      </c>
      <c r="B49" s="97" t="s">
        <v>22</v>
      </c>
      <c r="C49" s="28" t="s">
        <v>8</v>
      </c>
      <c r="D49" s="65"/>
      <c r="E49" s="65"/>
      <c r="F49" s="65"/>
      <c r="G49" s="65"/>
      <c r="H49" s="71"/>
      <c r="I49" s="65"/>
      <c r="J49" s="65"/>
      <c r="K49" s="65"/>
      <c r="L49" s="65"/>
      <c r="M49" s="65"/>
      <c r="N49" s="65"/>
      <c r="O49" s="71"/>
      <c r="P49" s="65"/>
      <c r="Q49" s="65"/>
      <c r="R49" s="65"/>
      <c r="S49" s="65"/>
      <c r="T49" s="65"/>
      <c r="U49" s="65"/>
      <c r="V49" s="71"/>
      <c r="W49" s="65"/>
      <c r="X49" s="65"/>
      <c r="Y49" s="65"/>
      <c r="Z49" s="65">
        <v>4</v>
      </c>
      <c r="AA49" s="65">
        <v>4</v>
      </c>
      <c r="AB49" s="65">
        <v>4</v>
      </c>
      <c r="AC49" s="71"/>
      <c r="AD49" s="65">
        <v>4</v>
      </c>
      <c r="AE49" s="65">
        <v>4</v>
      </c>
      <c r="AF49" s="65">
        <v>4</v>
      </c>
      <c r="AG49" s="65"/>
      <c r="AH49" s="65"/>
      <c r="AI49" s="33">
        <f>0</f>
        <v>0</v>
      </c>
      <c r="AJ49" s="33">
        <f>SUM(D49:AH49)/8</f>
        <v>3</v>
      </c>
      <c r="AK49" s="33">
        <f>AI49+AJ49</f>
        <v>3</v>
      </c>
    </row>
    <row r="50" spans="1:37" ht="14.25" customHeight="1" x14ac:dyDescent="0.2">
      <c r="A50" s="89"/>
      <c r="B50" s="89"/>
      <c r="C50" s="28" t="s">
        <v>9</v>
      </c>
      <c r="D50" s="65" t="s">
        <v>10</v>
      </c>
      <c r="E50" s="65" t="s">
        <v>10</v>
      </c>
      <c r="F50" s="65" t="s">
        <v>10</v>
      </c>
      <c r="G50" s="65" t="s">
        <v>10</v>
      </c>
      <c r="H50" s="71" t="s">
        <v>10</v>
      </c>
      <c r="I50" s="65" t="s">
        <v>10</v>
      </c>
      <c r="J50" s="65" t="s">
        <v>10</v>
      </c>
      <c r="K50" s="65" t="s">
        <v>10</v>
      </c>
      <c r="L50" s="65" t="s">
        <v>10</v>
      </c>
      <c r="M50" s="65" t="s">
        <v>10</v>
      </c>
      <c r="N50" s="65" t="s">
        <v>10</v>
      </c>
      <c r="O50" s="71"/>
      <c r="P50" s="65" t="s">
        <v>10</v>
      </c>
      <c r="Q50" s="65" t="s">
        <v>10</v>
      </c>
      <c r="R50" s="65" t="s">
        <v>10</v>
      </c>
      <c r="S50" s="65" t="s">
        <v>10</v>
      </c>
      <c r="T50" s="65" t="s">
        <v>10</v>
      </c>
      <c r="U50" s="65" t="s">
        <v>10</v>
      </c>
      <c r="V50" s="71" t="s">
        <v>10</v>
      </c>
      <c r="W50" s="65" t="s">
        <v>10</v>
      </c>
      <c r="X50" s="65" t="s">
        <v>10</v>
      </c>
      <c r="Y50" s="65" t="s">
        <v>10</v>
      </c>
      <c r="Z50" s="65" t="s">
        <v>10</v>
      </c>
      <c r="AA50" s="65" t="s">
        <v>10</v>
      </c>
      <c r="AB50" s="65" t="s">
        <v>10</v>
      </c>
      <c r="AC50" s="71"/>
      <c r="AD50" s="65" t="s">
        <v>10</v>
      </c>
      <c r="AE50" s="65" t="s">
        <v>10</v>
      </c>
      <c r="AF50" s="65" t="s">
        <v>10</v>
      </c>
      <c r="AG50" s="65"/>
      <c r="AH50" s="65"/>
      <c r="AI50" s="33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27</v>
      </c>
      <c r="AJ50" s="33">
        <f>0</f>
        <v>0</v>
      </c>
      <c r="AK50" s="33">
        <f>AI50+AJ50</f>
        <v>27</v>
      </c>
    </row>
    <row r="51" spans="1:37" ht="14.25" customHeight="1" x14ac:dyDescent="0.2">
      <c r="A51" s="89"/>
      <c r="B51" s="89"/>
      <c r="C51" s="28" t="s">
        <v>11</v>
      </c>
      <c r="D51" s="65"/>
      <c r="E51" s="65"/>
      <c r="F51" s="65"/>
      <c r="G51" s="65"/>
      <c r="H51" s="71"/>
      <c r="I51" s="65"/>
      <c r="J51" s="65"/>
      <c r="K51" s="65"/>
      <c r="L51" s="65"/>
      <c r="M51" s="65"/>
      <c r="N51" s="65"/>
      <c r="O51" s="71"/>
      <c r="P51" s="65"/>
      <c r="Q51" s="65"/>
      <c r="R51" s="65"/>
      <c r="S51" s="65"/>
      <c r="T51" s="65"/>
      <c r="U51" s="65"/>
      <c r="V51" s="71"/>
      <c r="W51" s="65"/>
      <c r="X51" s="65"/>
      <c r="Y51" s="65"/>
      <c r="Z51" s="65"/>
      <c r="AA51" s="65"/>
      <c r="AB51" s="65"/>
      <c r="AC51" s="71"/>
      <c r="AD51" s="65"/>
      <c r="AE51" s="65"/>
      <c r="AF51" s="65"/>
      <c r="AG51" s="65"/>
      <c r="AH51" s="65"/>
      <c r="AI51" s="33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0</v>
      </c>
      <c r="AJ51" s="33">
        <f>0</f>
        <v>0</v>
      </c>
      <c r="AK51" s="33">
        <f>AI51+AJ51</f>
        <v>0</v>
      </c>
    </row>
    <row r="52" spans="1:37" ht="14.25" customHeight="1" x14ac:dyDescent="0.2">
      <c r="A52" s="90"/>
      <c r="B52" s="96"/>
      <c r="C52" s="28" t="s">
        <v>12</v>
      </c>
      <c r="D52" s="65"/>
      <c r="E52" s="65"/>
      <c r="F52" s="65"/>
      <c r="G52" s="65"/>
      <c r="H52" s="71"/>
      <c r="I52" s="65"/>
      <c r="J52" s="65"/>
      <c r="K52" s="65"/>
      <c r="L52" s="65"/>
      <c r="M52" s="65"/>
      <c r="N52" s="65"/>
      <c r="O52" s="71"/>
      <c r="P52" s="65"/>
      <c r="Q52" s="65"/>
      <c r="R52" s="65"/>
      <c r="S52" s="65"/>
      <c r="T52" s="65"/>
      <c r="U52" s="65"/>
      <c r="V52" s="71"/>
      <c r="W52" s="65"/>
      <c r="X52" s="65"/>
      <c r="Y52" s="65"/>
      <c r="Z52" s="65"/>
      <c r="AA52" s="65"/>
      <c r="AB52" s="65"/>
      <c r="AC52" s="71"/>
      <c r="AD52" s="65"/>
      <c r="AE52" s="65"/>
      <c r="AF52" s="65"/>
      <c r="AG52" s="65"/>
      <c r="AH52" s="65"/>
      <c r="AI52" s="33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0</v>
      </c>
      <c r="AJ52" s="33">
        <f>0</f>
        <v>0</v>
      </c>
      <c r="AK52" s="33">
        <f>AI52+AJ52</f>
        <v>0</v>
      </c>
    </row>
    <row r="53" spans="1:37" ht="14.25" customHeight="1" x14ac:dyDescent="0.2">
      <c r="A53" s="16"/>
      <c r="B53" s="17"/>
      <c r="C53" s="69"/>
      <c r="D53" s="69"/>
      <c r="E53" s="69"/>
      <c r="F53" s="69"/>
      <c r="G53" s="69"/>
      <c r="H53" s="71"/>
      <c r="I53" s="69"/>
      <c r="J53" s="69"/>
      <c r="K53" s="69"/>
      <c r="L53" s="69"/>
      <c r="M53" s="69"/>
      <c r="N53" s="69"/>
      <c r="O53" s="71"/>
      <c r="P53" s="69"/>
      <c r="Q53" s="69"/>
      <c r="R53" s="69"/>
      <c r="S53" s="69"/>
      <c r="T53" s="69"/>
      <c r="U53" s="69"/>
      <c r="V53" s="71"/>
      <c r="W53" s="69"/>
      <c r="X53" s="69"/>
      <c r="Y53" s="69"/>
      <c r="Z53" s="69"/>
      <c r="AA53" s="69"/>
      <c r="AB53" s="69"/>
      <c r="AC53" s="71"/>
      <c r="AD53" s="69"/>
      <c r="AE53" s="69"/>
      <c r="AF53" s="69"/>
      <c r="AG53" s="69"/>
      <c r="AH53" s="69"/>
      <c r="AI53" s="78" t="str">
        <f>""</f>
        <v/>
      </c>
      <c r="AJ53" s="78" t="str">
        <f>""</f>
        <v/>
      </c>
      <c r="AK53" s="78" t="str">
        <f>""</f>
        <v/>
      </c>
    </row>
    <row r="54" spans="1:37" ht="14.25" customHeight="1" x14ac:dyDescent="0.2">
      <c r="A54" s="94">
        <v>11</v>
      </c>
      <c r="B54" s="97" t="s">
        <v>23</v>
      </c>
      <c r="C54" s="28" t="s">
        <v>8</v>
      </c>
      <c r="D54" s="65"/>
      <c r="E54" s="65"/>
      <c r="F54" s="65"/>
      <c r="G54" s="65"/>
      <c r="H54" s="71"/>
      <c r="I54" s="65"/>
      <c r="J54" s="65"/>
      <c r="K54" s="65"/>
      <c r="L54" s="65"/>
      <c r="M54" s="65"/>
      <c r="N54" s="65"/>
      <c r="O54" s="71"/>
      <c r="P54" s="65"/>
      <c r="Q54" s="65"/>
      <c r="R54" s="65"/>
      <c r="S54" s="65"/>
      <c r="T54" s="65"/>
      <c r="U54" s="65"/>
      <c r="V54" s="71"/>
      <c r="W54" s="65"/>
      <c r="X54" s="65"/>
      <c r="Y54" s="65"/>
      <c r="Z54" s="65">
        <v>4</v>
      </c>
      <c r="AA54" s="65">
        <v>4</v>
      </c>
      <c r="AB54" s="65">
        <v>4</v>
      </c>
      <c r="AC54" s="71"/>
      <c r="AD54" s="65">
        <v>4</v>
      </c>
      <c r="AE54" s="65">
        <v>4</v>
      </c>
      <c r="AF54" s="65">
        <v>4</v>
      </c>
      <c r="AG54" s="65"/>
      <c r="AH54" s="65"/>
      <c r="AI54" s="33">
        <f>0</f>
        <v>0</v>
      </c>
      <c r="AJ54" s="33">
        <f>SUM(D54:AH54)/8</f>
        <v>3</v>
      </c>
      <c r="AK54" s="33">
        <f>AI54+AJ54</f>
        <v>3</v>
      </c>
    </row>
    <row r="55" spans="1:37" ht="14.25" customHeight="1" x14ac:dyDescent="0.2">
      <c r="A55" s="89"/>
      <c r="B55" s="89"/>
      <c r="C55" s="28" t="s">
        <v>9</v>
      </c>
      <c r="D55" s="65" t="s">
        <v>10</v>
      </c>
      <c r="E55" s="65" t="s">
        <v>10</v>
      </c>
      <c r="F55" s="65" t="s">
        <v>10</v>
      </c>
      <c r="G55" s="65" t="s">
        <v>10</v>
      </c>
      <c r="H55" s="71" t="s">
        <v>10</v>
      </c>
      <c r="I55" s="65" t="s">
        <v>10</v>
      </c>
      <c r="J55" s="65" t="s">
        <v>10</v>
      </c>
      <c r="K55" s="65" t="s">
        <v>10</v>
      </c>
      <c r="L55" s="65" t="s">
        <v>10</v>
      </c>
      <c r="M55" s="65" t="s">
        <v>10</v>
      </c>
      <c r="N55" s="65" t="s">
        <v>10</v>
      </c>
      <c r="O55" s="71" t="s">
        <v>10</v>
      </c>
      <c r="P55" s="65" t="s">
        <v>10</v>
      </c>
      <c r="Q55" s="65" t="s">
        <v>10</v>
      </c>
      <c r="R55" s="65" t="s">
        <v>10</v>
      </c>
      <c r="S55" s="65" t="s">
        <v>10</v>
      </c>
      <c r="T55" s="65" t="s">
        <v>10</v>
      </c>
      <c r="U55" s="65" t="s">
        <v>10</v>
      </c>
      <c r="V55" s="71"/>
      <c r="W55" s="65" t="s">
        <v>10</v>
      </c>
      <c r="X55" s="65" t="s">
        <v>10</v>
      </c>
      <c r="Y55" s="65" t="s">
        <v>10</v>
      </c>
      <c r="Z55" s="65" t="s">
        <v>10</v>
      </c>
      <c r="AA55" s="65" t="s">
        <v>10</v>
      </c>
      <c r="AB55" s="65" t="s">
        <v>10</v>
      </c>
      <c r="AC55" s="71"/>
      <c r="AD55" s="65" t="s">
        <v>10</v>
      </c>
      <c r="AE55" s="65" t="s">
        <v>10</v>
      </c>
      <c r="AF55" s="65" t="s">
        <v>10</v>
      </c>
      <c r="AG55" s="65"/>
      <c r="AH55" s="65"/>
      <c r="AI55" s="33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27</v>
      </c>
      <c r="AJ55" s="33">
        <f>0</f>
        <v>0</v>
      </c>
      <c r="AK55" s="33">
        <f>AI55+AJ55</f>
        <v>27</v>
      </c>
    </row>
    <row r="56" spans="1:37" ht="14.25" customHeight="1" x14ac:dyDescent="0.2">
      <c r="A56" s="89"/>
      <c r="B56" s="89"/>
      <c r="C56" s="28" t="s">
        <v>11</v>
      </c>
      <c r="D56" s="65"/>
      <c r="E56" s="65"/>
      <c r="F56" s="65"/>
      <c r="G56" s="65"/>
      <c r="H56" s="71"/>
      <c r="I56" s="65"/>
      <c r="J56" s="65"/>
      <c r="K56" s="65"/>
      <c r="L56" s="65"/>
      <c r="M56" s="65"/>
      <c r="N56" s="65"/>
      <c r="O56" s="71"/>
      <c r="P56" s="65"/>
      <c r="Q56" s="65"/>
      <c r="R56" s="65"/>
      <c r="S56" s="65"/>
      <c r="T56" s="65"/>
      <c r="U56" s="65"/>
      <c r="V56" s="71"/>
      <c r="W56" s="65"/>
      <c r="X56" s="65"/>
      <c r="Y56" s="65"/>
      <c r="Z56" s="65"/>
      <c r="AA56" s="65"/>
      <c r="AB56" s="65"/>
      <c r="AC56" s="71"/>
      <c r="AD56" s="65"/>
      <c r="AE56" s="65"/>
      <c r="AF56" s="65"/>
      <c r="AG56" s="65"/>
      <c r="AH56" s="65"/>
      <c r="AI56" s="33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0</v>
      </c>
      <c r="AJ56" s="33">
        <f>0</f>
        <v>0</v>
      </c>
      <c r="AK56" s="33">
        <f>AI56+AJ56</f>
        <v>0</v>
      </c>
    </row>
    <row r="57" spans="1:37" ht="14.25" customHeight="1" x14ac:dyDescent="0.2">
      <c r="A57" s="90"/>
      <c r="B57" s="96"/>
      <c r="C57" s="28" t="s">
        <v>12</v>
      </c>
      <c r="D57" s="65"/>
      <c r="E57" s="65"/>
      <c r="F57" s="65"/>
      <c r="G57" s="65"/>
      <c r="H57" s="71"/>
      <c r="I57" s="65"/>
      <c r="J57" s="65"/>
      <c r="K57" s="65"/>
      <c r="L57" s="65"/>
      <c r="M57" s="65"/>
      <c r="N57" s="65"/>
      <c r="O57" s="71"/>
      <c r="P57" s="65"/>
      <c r="Q57" s="65"/>
      <c r="R57" s="65"/>
      <c r="S57" s="65"/>
      <c r="T57" s="65"/>
      <c r="U57" s="65"/>
      <c r="V57" s="71"/>
      <c r="W57" s="65"/>
      <c r="X57" s="65"/>
      <c r="Y57" s="65"/>
      <c r="Z57" s="65"/>
      <c r="AA57" s="65"/>
      <c r="AB57" s="65"/>
      <c r="AC57" s="71"/>
      <c r="AD57" s="65"/>
      <c r="AE57" s="65"/>
      <c r="AF57" s="65"/>
      <c r="AG57" s="65"/>
      <c r="AH57" s="65"/>
      <c r="AI57" s="33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0</v>
      </c>
      <c r="AJ57" s="33">
        <f>0</f>
        <v>0</v>
      </c>
      <c r="AK57" s="33">
        <f>AI57+AJ57</f>
        <v>0</v>
      </c>
    </row>
    <row r="58" spans="1:37" ht="14.25" customHeight="1" x14ac:dyDescent="0.2">
      <c r="A58" s="16"/>
      <c r="B58" s="17"/>
      <c r="C58" s="69"/>
      <c r="D58" s="69"/>
      <c r="E58" s="69"/>
      <c r="F58" s="69"/>
      <c r="G58" s="69"/>
      <c r="H58" s="71"/>
      <c r="I58" s="69"/>
      <c r="J58" s="69"/>
      <c r="K58" s="69"/>
      <c r="L58" s="69"/>
      <c r="M58" s="69"/>
      <c r="N58" s="69"/>
      <c r="O58" s="71"/>
      <c r="P58" s="69"/>
      <c r="Q58" s="69"/>
      <c r="R58" s="69"/>
      <c r="S58" s="69"/>
      <c r="T58" s="69"/>
      <c r="U58" s="69"/>
      <c r="V58" s="71"/>
      <c r="W58" s="69"/>
      <c r="X58" s="69"/>
      <c r="Y58" s="69"/>
      <c r="Z58" s="69"/>
      <c r="AA58" s="69"/>
      <c r="AB58" s="69"/>
      <c r="AC58" s="71"/>
      <c r="AD58" s="69"/>
      <c r="AE58" s="69"/>
      <c r="AF58" s="69"/>
      <c r="AG58" s="69"/>
      <c r="AH58" s="69"/>
      <c r="AI58" s="78" t="str">
        <f>""</f>
        <v/>
      </c>
      <c r="AJ58" s="78" t="str">
        <f>""</f>
        <v/>
      </c>
      <c r="AK58" s="78" t="str">
        <f>""</f>
        <v/>
      </c>
    </row>
    <row r="59" spans="1:37" ht="14.25" customHeight="1" x14ac:dyDescent="0.2">
      <c r="A59" s="94">
        <v>12</v>
      </c>
      <c r="B59" s="88" t="s">
        <v>24</v>
      </c>
      <c r="C59" s="28" t="s">
        <v>8</v>
      </c>
      <c r="D59" s="65"/>
      <c r="E59" s="65"/>
      <c r="F59" s="65"/>
      <c r="G59" s="65"/>
      <c r="H59" s="71"/>
      <c r="I59" s="65"/>
      <c r="J59" s="65"/>
      <c r="K59" s="65"/>
      <c r="L59" s="65"/>
      <c r="M59" s="65"/>
      <c r="N59" s="65"/>
      <c r="O59" s="71"/>
      <c r="P59" s="65"/>
      <c r="Q59" s="65"/>
      <c r="R59" s="65"/>
      <c r="S59" s="65"/>
      <c r="T59" s="65"/>
      <c r="U59" s="65"/>
      <c r="V59" s="71"/>
      <c r="W59" s="65"/>
      <c r="X59" s="65"/>
      <c r="Y59" s="65"/>
      <c r="Z59" s="65">
        <v>4</v>
      </c>
      <c r="AA59" s="65">
        <v>4</v>
      </c>
      <c r="AB59" s="65"/>
      <c r="AC59" s="71"/>
      <c r="AD59" s="65">
        <v>4</v>
      </c>
      <c r="AE59" s="65">
        <v>4</v>
      </c>
      <c r="AF59" s="65"/>
      <c r="AG59" s="65"/>
      <c r="AH59" s="65"/>
      <c r="AI59" s="33">
        <f>0</f>
        <v>0</v>
      </c>
      <c r="AJ59" s="33">
        <f>SUM(D59:AH59)/8</f>
        <v>2</v>
      </c>
      <c r="AK59" s="33">
        <f>AI59+AJ59</f>
        <v>2</v>
      </c>
    </row>
    <row r="60" spans="1:37" ht="14.25" customHeight="1" x14ac:dyDescent="0.2">
      <c r="A60" s="89"/>
      <c r="B60" s="89"/>
      <c r="C60" s="28" t="s">
        <v>9</v>
      </c>
      <c r="D60" s="65" t="s">
        <v>10</v>
      </c>
      <c r="E60" s="65" t="s">
        <v>10</v>
      </c>
      <c r="F60" s="65" t="s">
        <v>10</v>
      </c>
      <c r="G60" s="65" t="s">
        <v>15</v>
      </c>
      <c r="H60" s="71"/>
      <c r="I60" s="65" t="s">
        <v>10</v>
      </c>
      <c r="J60" s="65" t="s">
        <v>10</v>
      </c>
      <c r="K60" s="65" t="s">
        <v>10</v>
      </c>
      <c r="L60" s="65" t="s">
        <v>10</v>
      </c>
      <c r="M60" s="65" t="s">
        <v>10</v>
      </c>
      <c r="N60" s="65" t="s">
        <v>10</v>
      </c>
      <c r="O60" s="71" t="s">
        <v>10</v>
      </c>
      <c r="P60" s="65" t="s">
        <v>10</v>
      </c>
      <c r="Q60" s="65" t="s">
        <v>10</v>
      </c>
      <c r="R60" s="65" t="s">
        <v>10</v>
      </c>
      <c r="S60" s="65" t="s">
        <v>10</v>
      </c>
      <c r="T60" s="65" t="s">
        <v>10</v>
      </c>
      <c r="U60" s="65" t="s">
        <v>10</v>
      </c>
      <c r="V60" s="71"/>
      <c r="W60" s="65">
        <v>0</v>
      </c>
      <c r="X60" s="65" t="s">
        <v>10</v>
      </c>
      <c r="Y60" s="65" t="s">
        <v>10</v>
      </c>
      <c r="Z60" s="65" t="s">
        <v>10</v>
      </c>
      <c r="AA60" s="65" t="s">
        <v>10</v>
      </c>
      <c r="AB60" s="65" t="s">
        <v>10</v>
      </c>
      <c r="AC60" s="71"/>
      <c r="AD60" s="65" t="s">
        <v>10</v>
      </c>
      <c r="AE60" s="65" t="s">
        <v>10</v>
      </c>
      <c r="AF60" s="65" t="s">
        <v>10</v>
      </c>
      <c r="AG60" s="65"/>
      <c r="AH60" s="65"/>
      <c r="AI60" s="33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24.5</v>
      </c>
      <c r="AJ60" s="33">
        <f>0</f>
        <v>0</v>
      </c>
      <c r="AK60" s="33">
        <f>AI60+AJ60</f>
        <v>24.5</v>
      </c>
    </row>
    <row r="61" spans="1:37" ht="14.25" customHeight="1" x14ac:dyDescent="0.2">
      <c r="A61" s="89"/>
      <c r="B61" s="89"/>
      <c r="C61" s="28" t="s">
        <v>11</v>
      </c>
      <c r="D61" s="65"/>
      <c r="E61" s="65"/>
      <c r="F61" s="65"/>
      <c r="G61" s="65"/>
      <c r="H61" s="71"/>
      <c r="I61" s="65"/>
      <c r="J61" s="65"/>
      <c r="K61" s="65"/>
      <c r="L61" s="65"/>
      <c r="M61" s="65"/>
      <c r="N61" s="65"/>
      <c r="O61" s="71"/>
      <c r="P61" s="65"/>
      <c r="Q61" s="65"/>
      <c r="R61" s="65"/>
      <c r="S61" s="65"/>
      <c r="T61" s="65"/>
      <c r="U61" s="65"/>
      <c r="V61" s="71"/>
      <c r="W61" s="65"/>
      <c r="X61" s="65"/>
      <c r="Y61" s="65"/>
      <c r="Z61" s="65"/>
      <c r="AA61" s="65"/>
      <c r="AB61" s="65"/>
      <c r="AC61" s="71"/>
      <c r="AD61" s="65"/>
      <c r="AE61" s="65"/>
      <c r="AF61" s="65"/>
      <c r="AG61" s="65"/>
      <c r="AH61" s="65"/>
      <c r="AI61" s="33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0</v>
      </c>
      <c r="AJ61" s="33">
        <f>0</f>
        <v>0</v>
      </c>
      <c r="AK61" s="33">
        <f>AI61+AJ61</f>
        <v>0</v>
      </c>
    </row>
    <row r="62" spans="1:37" ht="14.25" customHeight="1" x14ac:dyDescent="0.2">
      <c r="A62" s="90"/>
      <c r="B62" s="90"/>
      <c r="C62" s="28" t="s">
        <v>12</v>
      </c>
      <c r="D62" s="65"/>
      <c r="E62" s="65"/>
      <c r="F62" s="65"/>
      <c r="G62" s="65"/>
      <c r="H62" s="71"/>
      <c r="I62" s="65"/>
      <c r="J62" s="65"/>
      <c r="K62" s="65"/>
      <c r="L62" s="65"/>
      <c r="M62" s="65"/>
      <c r="N62" s="65"/>
      <c r="O62" s="71"/>
      <c r="P62" s="65"/>
      <c r="Q62" s="65"/>
      <c r="R62" s="65"/>
      <c r="S62" s="65"/>
      <c r="T62" s="65"/>
      <c r="U62" s="65"/>
      <c r="V62" s="71"/>
      <c r="W62" s="65"/>
      <c r="X62" s="65"/>
      <c r="Y62" s="65"/>
      <c r="Z62" s="65"/>
      <c r="AA62" s="65"/>
      <c r="AB62" s="65"/>
      <c r="AC62" s="71"/>
      <c r="AD62" s="65"/>
      <c r="AE62" s="65"/>
      <c r="AF62" s="65"/>
      <c r="AG62" s="65"/>
      <c r="AH62" s="65"/>
      <c r="AI62" s="33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0</v>
      </c>
      <c r="AJ62" s="33">
        <f>0</f>
        <v>0</v>
      </c>
      <c r="AK62" s="33">
        <f>AI62+AJ62</f>
        <v>0</v>
      </c>
    </row>
    <row r="63" spans="1:37" ht="14.25" customHeight="1" x14ac:dyDescent="0.2">
      <c r="A63" s="16"/>
      <c r="B63" s="23"/>
      <c r="C63" s="69"/>
      <c r="D63" s="69"/>
      <c r="E63" s="69"/>
      <c r="F63" s="69"/>
      <c r="G63" s="69"/>
      <c r="H63" s="71"/>
      <c r="I63" s="69"/>
      <c r="J63" s="69"/>
      <c r="K63" s="69"/>
      <c r="L63" s="69"/>
      <c r="M63" s="69"/>
      <c r="N63" s="69"/>
      <c r="O63" s="71"/>
      <c r="P63" s="69"/>
      <c r="Q63" s="69"/>
      <c r="R63" s="69"/>
      <c r="S63" s="69"/>
      <c r="T63" s="69"/>
      <c r="U63" s="69"/>
      <c r="V63" s="71"/>
      <c r="W63" s="69"/>
      <c r="X63" s="69"/>
      <c r="Y63" s="69"/>
      <c r="Z63" s="69"/>
      <c r="AA63" s="69"/>
      <c r="AB63" s="69"/>
      <c r="AC63" s="71"/>
      <c r="AD63" s="69"/>
      <c r="AE63" s="69"/>
      <c r="AF63" s="69"/>
      <c r="AG63" s="69"/>
      <c r="AH63" s="69"/>
      <c r="AI63" s="78" t="str">
        <f>""</f>
        <v/>
      </c>
      <c r="AJ63" s="78" t="str">
        <f>""</f>
        <v/>
      </c>
      <c r="AK63" s="78" t="str">
        <f>""</f>
        <v/>
      </c>
    </row>
    <row r="64" spans="1:37" ht="14.25" customHeight="1" x14ac:dyDescent="0.2">
      <c r="A64" s="94">
        <v>13</v>
      </c>
      <c r="B64" s="94" t="s">
        <v>26</v>
      </c>
      <c r="C64" s="28" t="s">
        <v>8</v>
      </c>
      <c r="D64" s="65"/>
      <c r="E64" s="65"/>
      <c r="F64" s="65"/>
      <c r="G64" s="65"/>
      <c r="H64" s="71"/>
      <c r="I64" s="65"/>
      <c r="J64" s="65"/>
      <c r="K64" s="65"/>
      <c r="L64" s="65"/>
      <c r="M64" s="65"/>
      <c r="N64" s="65"/>
      <c r="O64" s="71"/>
      <c r="P64" s="65"/>
      <c r="Q64" s="65"/>
      <c r="R64" s="65"/>
      <c r="S64" s="65"/>
      <c r="T64" s="65"/>
      <c r="U64" s="65"/>
      <c r="V64" s="71"/>
      <c r="W64" s="65"/>
      <c r="X64" s="65"/>
      <c r="Y64" s="65"/>
      <c r="Z64" s="65">
        <v>4</v>
      </c>
      <c r="AA64" s="65">
        <v>4</v>
      </c>
      <c r="AB64" s="65">
        <v>4</v>
      </c>
      <c r="AC64" s="71"/>
      <c r="AD64" s="65">
        <v>4</v>
      </c>
      <c r="AE64" s="65">
        <v>4</v>
      </c>
      <c r="AF64" s="65">
        <v>4</v>
      </c>
      <c r="AG64" s="65"/>
      <c r="AH64" s="65"/>
      <c r="AI64" s="33">
        <f>0</f>
        <v>0</v>
      </c>
      <c r="AJ64" s="33">
        <f>SUM(D64:AH64)/8</f>
        <v>3</v>
      </c>
      <c r="AK64" s="33">
        <f>AI64+AJ64</f>
        <v>3</v>
      </c>
    </row>
    <row r="65" spans="1:37" ht="14.25" customHeight="1" x14ac:dyDescent="0.2">
      <c r="A65" s="89"/>
      <c r="B65" s="89"/>
      <c r="C65" s="28" t="s">
        <v>9</v>
      </c>
      <c r="D65" s="65" t="s">
        <v>10</v>
      </c>
      <c r="E65" s="65" t="s">
        <v>10</v>
      </c>
      <c r="F65" s="65" t="s">
        <v>10</v>
      </c>
      <c r="G65" s="65" t="s">
        <v>10</v>
      </c>
      <c r="H65" s="71" t="s">
        <v>10</v>
      </c>
      <c r="I65" s="65" t="s">
        <v>10</v>
      </c>
      <c r="J65" s="65" t="s">
        <v>10</v>
      </c>
      <c r="K65" s="65" t="s">
        <v>10</v>
      </c>
      <c r="L65" s="65" t="s">
        <v>10</v>
      </c>
      <c r="M65" s="65" t="s">
        <v>10</v>
      </c>
      <c r="N65" s="65" t="s">
        <v>10</v>
      </c>
      <c r="O65" s="71"/>
      <c r="P65" s="65" t="s">
        <v>10</v>
      </c>
      <c r="Q65" s="65" t="s">
        <v>10</v>
      </c>
      <c r="R65" s="65" t="s">
        <v>10</v>
      </c>
      <c r="S65" s="65" t="s">
        <v>10</v>
      </c>
      <c r="T65" s="65" t="s">
        <v>10</v>
      </c>
      <c r="U65" s="65" t="s">
        <v>10</v>
      </c>
      <c r="V65" s="71" t="s">
        <v>10</v>
      </c>
      <c r="W65" s="65" t="s">
        <v>10</v>
      </c>
      <c r="X65" s="65" t="s">
        <v>10</v>
      </c>
      <c r="Y65" s="65" t="s">
        <v>10</v>
      </c>
      <c r="Z65" s="65" t="s">
        <v>10</v>
      </c>
      <c r="AA65" s="65" t="s">
        <v>10</v>
      </c>
      <c r="AB65" s="65" t="s">
        <v>10</v>
      </c>
      <c r="AC65" s="71"/>
      <c r="AD65" s="65" t="s">
        <v>10</v>
      </c>
      <c r="AE65" s="65" t="s">
        <v>10</v>
      </c>
      <c r="AF65" s="65" t="s">
        <v>10</v>
      </c>
      <c r="AG65" s="65"/>
      <c r="AH65" s="65"/>
      <c r="AI65" s="33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27</v>
      </c>
      <c r="AJ65" s="33">
        <f>0</f>
        <v>0</v>
      </c>
      <c r="AK65" s="33">
        <f>AI65+AJ65</f>
        <v>27</v>
      </c>
    </row>
    <row r="66" spans="1:37" ht="14.25" customHeight="1" x14ac:dyDescent="0.2">
      <c r="A66" s="89"/>
      <c r="B66" s="89"/>
      <c r="C66" s="28" t="s">
        <v>11</v>
      </c>
      <c r="D66" s="65"/>
      <c r="E66" s="65"/>
      <c r="F66" s="65"/>
      <c r="G66" s="65"/>
      <c r="H66" s="71"/>
      <c r="I66" s="65"/>
      <c r="J66" s="65"/>
      <c r="K66" s="65"/>
      <c r="L66" s="65"/>
      <c r="M66" s="65"/>
      <c r="N66" s="65"/>
      <c r="O66" s="71"/>
      <c r="P66" s="65"/>
      <c r="Q66" s="65"/>
      <c r="R66" s="65"/>
      <c r="S66" s="65"/>
      <c r="T66" s="65"/>
      <c r="U66" s="65"/>
      <c r="V66" s="71"/>
      <c r="W66" s="65"/>
      <c r="X66" s="65"/>
      <c r="Y66" s="65"/>
      <c r="Z66" s="65"/>
      <c r="AA66" s="65"/>
      <c r="AB66" s="65"/>
      <c r="AC66" s="71"/>
      <c r="AD66" s="65"/>
      <c r="AE66" s="65"/>
      <c r="AF66" s="65"/>
      <c r="AG66" s="65"/>
      <c r="AH66" s="65"/>
      <c r="AI66" s="33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0</v>
      </c>
      <c r="AJ66" s="33">
        <f>0</f>
        <v>0</v>
      </c>
      <c r="AK66" s="33">
        <f>AI66+AJ66</f>
        <v>0</v>
      </c>
    </row>
    <row r="67" spans="1:37" ht="14.25" customHeight="1" x14ac:dyDescent="0.2">
      <c r="A67" s="90"/>
      <c r="B67" s="90"/>
      <c r="C67" s="28" t="s">
        <v>12</v>
      </c>
      <c r="D67" s="65"/>
      <c r="E67" s="65"/>
      <c r="F67" s="65"/>
      <c r="G67" s="65"/>
      <c r="H67" s="71"/>
      <c r="I67" s="65"/>
      <c r="J67" s="65"/>
      <c r="K67" s="65"/>
      <c r="L67" s="65"/>
      <c r="M67" s="65"/>
      <c r="N67" s="65"/>
      <c r="O67" s="71"/>
      <c r="P67" s="65"/>
      <c r="Q67" s="65"/>
      <c r="R67" s="65"/>
      <c r="S67" s="65"/>
      <c r="T67" s="65"/>
      <c r="U67" s="65"/>
      <c r="V67" s="71"/>
      <c r="W67" s="65"/>
      <c r="X67" s="65"/>
      <c r="Y67" s="65"/>
      <c r="Z67" s="65"/>
      <c r="AA67" s="65"/>
      <c r="AB67" s="65"/>
      <c r="AC67" s="71"/>
      <c r="AD67" s="65"/>
      <c r="AE67" s="65"/>
      <c r="AF67" s="65"/>
      <c r="AG67" s="65"/>
      <c r="AH67" s="65"/>
      <c r="AI67" s="33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0</v>
      </c>
      <c r="AJ67" s="33">
        <f>0</f>
        <v>0</v>
      </c>
      <c r="AK67" s="33">
        <f>AI67+AJ67</f>
        <v>0</v>
      </c>
    </row>
    <row r="68" spans="1:37" ht="14.25" customHeight="1" x14ac:dyDescent="0.2">
      <c r="A68" s="39" t="s">
        <v>27</v>
      </c>
      <c r="B68" s="40" t="s">
        <v>30</v>
      </c>
      <c r="C68" s="41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8" t="str">
        <f>""</f>
        <v/>
      </c>
      <c r="AJ68" s="38" t="str">
        <f>""</f>
        <v/>
      </c>
      <c r="AK68" s="38" t="str">
        <f>""</f>
        <v/>
      </c>
    </row>
    <row r="69" spans="1:37" ht="14.25" customHeight="1" x14ac:dyDescent="0.2">
      <c r="A69" s="42"/>
      <c r="B69" s="43"/>
      <c r="C69" s="44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4"/>
      <c r="AJ69" s="34"/>
      <c r="AK69" s="34"/>
    </row>
    <row r="70" spans="1:37" ht="14.25" customHeight="1" x14ac:dyDescent="0.2">
      <c r="AI70" s="45"/>
      <c r="AJ70" s="45"/>
      <c r="AK70" s="45"/>
    </row>
    <row r="71" spans="1:37" ht="14.25" customHeight="1" x14ac:dyDescent="0.2">
      <c r="A71" s="103"/>
      <c r="B71" s="104"/>
      <c r="C71" s="104"/>
      <c r="D71" s="10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3"/>
      <c r="AI71" s="106"/>
      <c r="AJ71" s="108"/>
      <c r="AK71" s="107"/>
    </row>
    <row r="72" spans="1:37" ht="14.25" customHeight="1" x14ac:dyDescent="0.2">
      <c r="A72" s="100"/>
      <c r="B72" s="105"/>
      <c r="C72" s="105"/>
      <c r="D72" s="91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89"/>
      <c r="AJ72" s="99"/>
      <c r="AK72" s="89"/>
    </row>
    <row r="73" spans="1:37" ht="14.25" customHeight="1" x14ac:dyDescent="0.25">
      <c r="A73" s="2"/>
      <c r="B73" s="2"/>
      <c r="C73" s="3"/>
      <c r="D73" s="14">
        <f t="shared" ref="D73:AH73" si="2">+C73+1</f>
        <v>1</v>
      </c>
      <c r="E73" s="14">
        <f t="shared" si="2"/>
        <v>2</v>
      </c>
      <c r="F73" s="14">
        <f t="shared" si="2"/>
        <v>3</v>
      </c>
      <c r="G73" s="14">
        <f t="shared" si="2"/>
        <v>4</v>
      </c>
      <c r="H73" s="14">
        <f t="shared" si="2"/>
        <v>5</v>
      </c>
      <c r="I73" s="14">
        <f t="shared" si="2"/>
        <v>6</v>
      </c>
      <c r="J73" s="14">
        <f t="shared" si="2"/>
        <v>7</v>
      </c>
      <c r="K73" s="14">
        <f t="shared" si="2"/>
        <v>8</v>
      </c>
      <c r="L73" s="14">
        <f t="shared" si="2"/>
        <v>9</v>
      </c>
      <c r="M73" s="14">
        <f t="shared" si="2"/>
        <v>10</v>
      </c>
      <c r="N73" s="14">
        <f t="shared" si="2"/>
        <v>11</v>
      </c>
      <c r="O73" s="14">
        <f t="shared" si="2"/>
        <v>12</v>
      </c>
      <c r="P73" s="14">
        <f t="shared" si="2"/>
        <v>13</v>
      </c>
      <c r="Q73" s="14">
        <f t="shared" si="2"/>
        <v>14</v>
      </c>
      <c r="R73" s="14">
        <f t="shared" si="2"/>
        <v>15</v>
      </c>
      <c r="S73" s="14">
        <f t="shared" si="2"/>
        <v>16</v>
      </c>
      <c r="T73" s="14">
        <f t="shared" si="2"/>
        <v>17</v>
      </c>
      <c r="U73" s="14">
        <f t="shared" si="2"/>
        <v>18</v>
      </c>
      <c r="V73" s="14">
        <f t="shared" si="2"/>
        <v>19</v>
      </c>
      <c r="W73" s="14">
        <f t="shared" si="2"/>
        <v>20</v>
      </c>
      <c r="X73" s="14">
        <f t="shared" si="2"/>
        <v>21</v>
      </c>
      <c r="Y73" s="14">
        <f t="shared" si="2"/>
        <v>22</v>
      </c>
      <c r="Z73" s="14">
        <f t="shared" si="2"/>
        <v>23</v>
      </c>
      <c r="AA73" s="14">
        <f t="shared" si="2"/>
        <v>24</v>
      </c>
      <c r="AB73" s="14">
        <f t="shared" si="2"/>
        <v>25</v>
      </c>
      <c r="AC73" s="14">
        <f t="shared" si="2"/>
        <v>26</v>
      </c>
      <c r="AD73" s="14">
        <f t="shared" si="2"/>
        <v>27</v>
      </c>
      <c r="AE73" s="14">
        <f t="shared" si="2"/>
        <v>28</v>
      </c>
      <c r="AF73" s="14">
        <f t="shared" si="2"/>
        <v>29</v>
      </c>
      <c r="AG73" s="14">
        <f t="shared" si="2"/>
        <v>30</v>
      </c>
      <c r="AH73" s="14">
        <f t="shared" si="2"/>
        <v>31</v>
      </c>
      <c r="AI73" s="90"/>
      <c r="AJ73" s="100"/>
      <c r="AK73" s="90"/>
    </row>
    <row r="74" spans="1:37" ht="14.25" customHeight="1" x14ac:dyDescent="0.2">
      <c r="A74" s="94"/>
      <c r="B74" s="95"/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8"/>
      <c r="Z74" s="8"/>
      <c r="AA74" s="8"/>
      <c r="AB74" s="8"/>
      <c r="AC74" s="8"/>
      <c r="AD74" s="8"/>
      <c r="AE74" s="8"/>
      <c r="AF74" s="8"/>
      <c r="AG74" s="8"/>
      <c r="AH74" s="4"/>
      <c r="AI74" s="50">
        <f>0</f>
        <v>0</v>
      </c>
      <c r="AJ74" s="51">
        <f t="shared" ref="AJ74:AJ81" si="3">SUM(D74:AH74)/8</f>
        <v>0</v>
      </c>
      <c r="AK74" s="52">
        <f t="shared" ref="AK74:AK105" si="4">AI74+AJ74</f>
        <v>0</v>
      </c>
    </row>
    <row r="75" spans="1:37" ht="14.25" customHeight="1" x14ac:dyDescent="0.2">
      <c r="A75" s="89"/>
      <c r="B75" s="89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si="3"/>
        <v>0</v>
      </c>
      <c r="AK75" s="52">
        <f t="shared" si="4"/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3"/>
        <v>0</v>
      </c>
      <c r="AK76" s="52">
        <f t="shared" si="4"/>
        <v>0</v>
      </c>
    </row>
    <row r="77" spans="1:37" ht="14.25" customHeight="1" x14ac:dyDescent="0.2">
      <c r="A77" s="90"/>
      <c r="B77" s="96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9"/>
      <c r="AF77" s="8"/>
      <c r="AG77" s="8"/>
      <c r="AH77" s="6"/>
      <c r="AI77" s="50">
        <f>0</f>
        <v>0</v>
      </c>
      <c r="AJ77" s="51">
        <f t="shared" si="3"/>
        <v>0</v>
      </c>
      <c r="AK77" s="52">
        <f t="shared" si="4"/>
        <v>0</v>
      </c>
    </row>
    <row r="78" spans="1:37" ht="14.25" customHeight="1" x14ac:dyDescent="0.2">
      <c r="A78" s="94"/>
      <c r="B78" s="97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3"/>
        <v>0</v>
      </c>
      <c r="AK78" s="52">
        <f t="shared" si="4"/>
        <v>0</v>
      </c>
    </row>
    <row r="79" spans="1:37" ht="14.25" customHeight="1" x14ac:dyDescent="0.2">
      <c r="A79" s="89"/>
      <c r="B79" s="89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3"/>
        <v>0</v>
      </c>
      <c r="AK79" s="52">
        <f t="shared" si="4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3"/>
        <v>0</v>
      </c>
      <c r="AK80" s="52">
        <f t="shared" si="4"/>
        <v>0</v>
      </c>
    </row>
    <row r="81" spans="1:37" ht="14.25" customHeight="1" x14ac:dyDescent="0.2">
      <c r="A81" s="90"/>
      <c r="B81" s="96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3"/>
        <v>0</v>
      </c>
      <c r="AK81" s="52">
        <f t="shared" si="4"/>
        <v>0</v>
      </c>
    </row>
    <row r="82" spans="1:37" ht="14.25" customHeight="1" x14ac:dyDescent="0.2">
      <c r="A82" s="94"/>
      <c r="B82" s="97"/>
      <c r="C82" s="2"/>
      <c r="D82" s="8"/>
      <c r="E82" s="8"/>
      <c r="F82" s="8"/>
      <c r="G82" s="8"/>
      <c r="H82" s="8"/>
      <c r="I82" s="8"/>
      <c r="J82" s="8"/>
      <c r="K82" s="8"/>
      <c r="L82" s="15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/>
      <c r="AK82" s="52">
        <f t="shared" si="4"/>
        <v>0</v>
      </c>
    </row>
    <row r="83" spans="1:37" ht="14.25" customHeight="1" x14ac:dyDescent="0.2">
      <c r="A83" s="89"/>
      <c r="B83" s="89"/>
      <c r="C83" s="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>
        <f>0</f>
        <v>0</v>
      </c>
      <c r="AK83" s="52">
        <f t="shared" si="4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4"/>
        <v>0</v>
      </c>
    </row>
    <row r="85" spans="1:37" ht="14.25" customHeight="1" x14ac:dyDescent="0.2">
      <c r="A85" s="90"/>
      <c r="B85" s="96"/>
      <c r="C85" s="2"/>
      <c r="D85" s="8"/>
      <c r="E85" s="8"/>
      <c r="F85" s="8"/>
      <c r="G85" s="8"/>
      <c r="H85" s="8"/>
      <c r="I85" s="8"/>
      <c r="J85" s="8"/>
      <c r="K85" s="8"/>
      <c r="L85" s="15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4"/>
        <v>0</v>
      </c>
    </row>
    <row r="86" spans="1:37" ht="14.25" customHeight="1" x14ac:dyDescent="0.2">
      <c r="A86" s="94"/>
      <c r="B86" s="97"/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4"/>
        <v>0</v>
      </c>
    </row>
    <row r="87" spans="1:37" ht="14.25" customHeight="1" x14ac:dyDescent="0.2">
      <c r="A87" s="89"/>
      <c r="B87" s="89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4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4"/>
        <v>0</v>
      </c>
    </row>
    <row r="89" spans="1:37" ht="14.25" customHeight="1" x14ac:dyDescent="0.2">
      <c r="A89" s="90"/>
      <c r="B89" s="96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4"/>
        <v>0</v>
      </c>
    </row>
    <row r="90" spans="1:37" ht="14.25" customHeight="1" x14ac:dyDescent="0.2">
      <c r="A90" s="94"/>
      <c r="B90" s="97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4"/>
        <v>0</v>
      </c>
    </row>
    <row r="91" spans="1:37" ht="14.25" customHeight="1" x14ac:dyDescent="0.2">
      <c r="A91" s="89"/>
      <c r="B91" s="89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4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4"/>
        <v>0</v>
      </c>
    </row>
    <row r="93" spans="1:37" ht="14.25" customHeight="1" x14ac:dyDescent="0.2">
      <c r="A93" s="90"/>
      <c r="B93" s="96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4"/>
        <v>0</v>
      </c>
    </row>
    <row r="94" spans="1:37" ht="14.25" customHeight="1" x14ac:dyDescent="0.2">
      <c r="A94" s="94"/>
      <c r="B94" s="97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4"/>
        <v>0</v>
      </c>
    </row>
    <row r="95" spans="1:37" ht="14.25" customHeight="1" x14ac:dyDescent="0.2">
      <c r="A95" s="89"/>
      <c r="B95" s="89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4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4"/>
        <v>0</v>
      </c>
    </row>
    <row r="97" spans="1:37" ht="14.25" customHeight="1" x14ac:dyDescent="0.2">
      <c r="A97" s="90"/>
      <c r="B97" s="96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4"/>
        <v>0</v>
      </c>
    </row>
    <row r="98" spans="1:37" ht="14.25" customHeight="1" x14ac:dyDescent="0.2">
      <c r="A98" s="94"/>
      <c r="B98" s="97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4"/>
        <v>0</v>
      </c>
    </row>
    <row r="99" spans="1:37" ht="14.25" customHeight="1" x14ac:dyDescent="0.2">
      <c r="A99" s="89"/>
      <c r="B99" s="89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4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4"/>
        <v>0</v>
      </c>
    </row>
    <row r="101" spans="1:37" ht="14.25" customHeight="1" x14ac:dyDescent="0.2">
      <c r="A101" s="90"/>
      <c r="B101" s="96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4"/>
        <v>0</v>
      </c>
    </row>
    <row r="102" spans="1:37" ht="14.25" customHeight="1" x14ac:dyDescent="0.2">
      <c r="A102" s="94"/>
      <c r="B102" s="97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6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4"/>
        <v>0</v>
      </c>
    </row>
    <row r="103" spans="1:37" ht="14.25" customHeight="1" x14ac:dyDescent="0.2">
      <c r="A103" s="89"/>
      <c r="B103" s="89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4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4"/>
        <v>0</v>
      </c>
    </row>
    <row r="105" spans="1:37" ht="14.25" customHeight="1" x14ac:dyDescent="0.2">
      <c r="A105" s="90"/>
      <c r="B105" s="96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4"/>
        <v>0</v>
      </c>
    </row>
    <row r="106" spans="1:37" ht="14.25" customHeight="1" x14ac:dyDescent="0.2">
      <c r="A106" s="94"/>
      <c r="B106" s="97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ref="AK106:AK125" si="5">AI106+AJ106</f>
        <v>0</v>
      </c>
    </row>
    <row r="107" spans="1:37" ht="14.25" customHeight="1" x14ac:dyDescent="0.2">
      <c r="A107" s="89"/>
      <c r="B107" s="89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si="5"/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5"/>
        <v>0</v>
      </c>
    </row>
    <row r="109" spans="1:37" ht="14.25" customHeight="1" x14ac:dyDescent="0.2">
      <c r="A109" s="90"/>
      <c r="B109" s="96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6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5"/>
        <v>0</v>
      </c>
    </row>
    <row r="110" spans="1:37" ht="14.25" customHeight="1" x14ac:dyDescent="0.2">
      <c r="A110" s="94"/>
      <c r="B110" s="97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5"/>
        <v>0</v>
      </c>
    </row>
    <row r="111" spans="1:37" ht="14.25" customHeight="1" x14ac:dyDescent="0.2">
      <c r="A111" s="89"/>
      <c r="B111" s="89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5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5"/>
        <v>0</v>
      </c>
    </row>
    <row r="113" spans="1:37" ht="14.25" customHeight="1" x14ac:dyDescent="0.2">
      <c r="A113" s="90"/>
      <c r="B113" s="96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6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5"/>
        <v>0</v>
      </c>
    </row>
    <row r="114" spans="1:37" ht="14.25" customHeight="1" x14ac:dyDescent="0.2">
      <c r="A114" s="94"/>
      <c r="B114" s="97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6"/>
      <c r="X114" s="9"/>
      <c r="Y114" s="8"/>
      <c r="Z114" s="8"/>
      <c r="AA114" s="8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5"/>
        <v>0</v>
      </c>
    </row>
    <row r="115" spans="1:37" ht="14.25" customHeight="1" x14ac:dyDescent="0.2">
      <c r="A115" s="89"/>
      <c r="B115" s="89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5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5"/>
        <v>0</v>
      </c>
    </row>
    <row r="117" spans="1:37" ht="14.25" customHeight="1" x14ac:dyDescent="0.2">
      <c r="A117" s="90"/>
      <c r="B117" s="96"/>
      <c r="C117" s="2"/>
      <c r="D117" s="8"/>
      <c r="E117" s="8"/>
      <c r="F117" s="8"/>
      <c r="G117" s="8"/>
      <c r="H117" s="8"/>
      <c r="I117" s="8"/>
      <c r="J117" s="13"/>
      <c r="K117" s="13"/>
      <c r="L117" s="13"/>
      <c r="M117" s="8"/>
      <c r="N117" s="13"/>
      <c r="O117" s="13"/>
      <c r="P117" s="13"/>
      <c r="Q117" s="13"/>
      <c r="R117" s="8"/>
      <c r="S117" s="8"/>
      <c r="T117" s="8"/>
      <c r="U117" s="8"/>
      <c r="V117" s="6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5"/>
        <v>0</v>
      </c>
    </row>
    <row r="118" spans="1:37" ht="14.25" customHeight="1" x14ac:dyDescent="0.2">
      <c r="A118" s="94"/>
      <c r="B118" s="88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4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4"/>
      <c r="AI118" s="50">
        <f>0</f>
        <v>0</v>
      </c>
      <c r="AJ118" s="51">
        <f>0</f>
        <v>0</v>
      </c>
      <c r="AK118" s="52">
        <f t="shared" si="5"/>
        <v>0</v>
      </c>
    </row>
    <row r="119" spans="1:37" ht="14.25" customHeight="1" x14ac:dyDescent="0.2">
      <c r="A119" s="89"/>
      <c r="B119" s="89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5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5"/>
        <v>0</v>
      </c>
    </row>
    <row r="121" spans="1:37" ht="14.25" customHeight="1" x14ac:dyDescent="0.2">
      <c r="A121" s="90"/>
      <c r="B121" s="90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6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6"/>
      <c r="AI121" s="50">
        <f>0</f>
        <v>0</v>
      </c>
      <c r="AJ121" s="51">
        <f>0</f>
        <v>0</v>
      </c>
      <c r="AK121" s="52">
        <f t="shared" si="5"/>
        <v>0</v>
      </c>
    </row>
    <row r="122" spans="1:37" ht="14.25" customHeight="1" x14ac:dyDescent="0.2">
      <c r="A122" s="94"/>
      <c r="B122" s="94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4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4"/>
      <c r="AI122" s="50">
        <f>0</f>
        <v>0</v>
      </c>
      <c r="AJ122" s="51">
        <f>0</f>
        <v>0</v>
      </c>
      <c r="AK122" s="52">
        <f t="shared" si="5"/>
        <v>0</v>
      </c>
    </row>
    <row r="123" spans="1:37" ht="14.25" customHeight="1" x14ac:dyDescent="0.2">
      <c r="A123" s="89"/>
      <c r="B123" s="89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5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5"/>
        <v>0</v>
      </c>
    </row>
    <row r="125" spans="1:37" ht="14.25" customHeight="1" x14ac:dyDescent="0.2">
      <c r="A125" s="90"/>
      <c r="B125" s="90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6"/>
      <c r="W125" s="6"/>
      <c r="X125" s="9"/>
      <c r="Y125" s="8"/>
      <c r="Z125" s="8"/>
      <c r="AA125" s="6"/>
      <c r="AB125" s="8"/>
      <c r="AC125" s="8"/>
      <c r="AD125" s="8"/>
      <c r="AE125" s="9"/>
      <c r="AF125" s="8"/>
      <c r="AG125" s="8"/>
      <c r="AH125" s="6"/>
      <c r="AI125" s="50">
        <f>0</f>
        <v>0</v>
      </c>
      <c r="AJ125" s="51">
        <f>0</f>
        <v>0</v>
      </c>
      <c r="AK125" s="52">
        <f t="shared" si="5"/>
        <v>0</v>
      </c>
    </row>
    <row r="126" spans="1:37" x14ac:dyDescent="0.2">
      <c r="A126" s="11"/>
      <c r="B126" s="11"/>
      <c r="AH126" s="12"/>
      <c r="AI126" s="52"/>
      <c r="AJ126" s="52">
        <f>SUM(AJ74:AJ125)</f>
        <v>0</v>
      </c>
      <c r="AK126" s="52">
        <f>SUM(AK74:AK125)</f>
        <v>0</v>
      </c>
    </row>
    <row r="127" spans="1:37" x14ac:dyDescent="0.2">
      <c r="A127" s="11"/>
      <c r="B127" s="11"/>
      <c r="AI127" s="45"/>
      <c r="AJ127" s="45"/>
      <c r="AK127" s="45"/>
    </row>
    <row r="128" spans="1:37" ht="14.25" customHeight="1" x14ac:dyDescent="0.2"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4.25" customHeight="1" x14ac:dyDescent="0.2">
      <c r="AI134" s="45"/>
      <c r="AJ134" s="45"/>
      <c r="AK134" s="45"/>
    </row>
    <row r="135" spans="35:37" ht="14.25" customHeight="1" x14ac:dyDescent="0.2">
      <c r="AI135" s="45"/>
      <c r="AJ135" s="45"/>
      <c r="AK135" s="45"/>
    </row>
    <row r="136" spans="35:37" ht="14.25" customHeight="1" x14ac:dyDescent="0.2">
      <c r="AI136" s="45"/>
      <c r="AJ136" s="45"/>
      <c r="AK136" s="45"/>
    </row>
    <row r="137" spans="35:37" ht="14.25" customHeight="1" x14ac:dyDescent="0.2">
      <c r="AI137" s="45"/>
      <c r="AJ137" s="45"/>
      <c r="AK137" s="45"/>
    </row>
    <row r="138" spans="35:37" ht="14.25" customHeight="1" x14ac:dyDescent="0.2">
      <c r="AI138" s="45"/>
      <c r="AJ138" s="45"/>
      <c r="AK138" s="45"/>
    </row>
    <row r="139" spans="35:37" ht="14.25" customHeight="1" x14ac:dyDescent="0.2">
      <c r="AI139" s="45"/>
      <c r="AJ139" s="45"/>
      <c r="AK139" s="45"/>
    </row>
    <row r="140" spans="35:37" ht="14.25" customHeight="1" x14ac:dyDescent="0.2">
      <c r="AI140" s="45"/>
      <c r="AJ140" s="45"/>
      <c r="AK140" s="45"/>
    </row>
    <row r="141" spans="35:37" ht="14.25" customHeight="1" x14ac:dyDescent="0.2">
      <c r="AI141" s="45"/>
      <c r="AJ141" s="45"/>
      <c r="AK141" s="45"/>
    </row>
    <row r="142" spans="35:37" ht="14.25" customHeight="1" x14ac:dyDescent="0.2">
      <c r="AI142" s="45"/>
      <c r="AJ142" s="45"/>
      <c r="AK142" s="45"/>
    </row>
    <row r="143" spans="35:37" ht="14.25" customHeight="1" x14ac:dyDescent="0.2">
      <c r="AI143" s="45"/>
      <c r="AJ143" s="45"/>
      <c r="AK143" s="45"/>
    </row>
    <row r="144" spans="35:37" ht="14.25" customHeight="1" x14ac:dyDescent="0.2">
      <c r="AI144" s="45"/>
      <c r="AJ144" s="45"/>
      <c r="AK144" s="45"/>
    </row>
    <row r="145" spans="35:37" ht="14.25" customHeight="1" x14ac:dyDescent="0.2">
      <c r="AI145" s="45"/>
      <c r="AJ145" s="45"/>
      <c r="AK145" s="45"/>
    </row>
    <row r="146" spans="35:37" ht="14.25" customHeight="1" x14ac:dyDescent="0.2">
      <c r="AI146" s="45"/>
      <c r="AJ146" s="45"/>
      <c r="AK146" s="45"/>
    </row>
    <row r="147" spans="35:37" ht="14.25" customHeight="1" x14ac:dyDescent="0.2">
      <c r="AI147" s="45"/>
      <c r="AJ147" s="45"/>
      <c r="AK147" s="45"/>
    </row>
    <row r="148" spans="35:37" ht="14.25" customHeight="1" x14ac:dyDescent="0.2">
      <c r="AI148" s="45"/>
      <c r="AJ148" s="45"/>
      <c r="AK148" s="45"/>
    </row>
    <row r="149" spans="35:37" ht="14.25" customHeight="1" x14ac:dyDescent="0.2">
      <c r="AI149" s="45"/>
      <c r="AJ149" s="45"/>
      <c r="AK149" s="45"/>
    </row>
    <row r="150" spans="35:37" ht="14.25" customHeight="1" x14ac:dyDescent="0.2">
      <c r="AI150" s="45"/>
      <c r="AJ150" s="45"/>
      <c r="AK150" s="45"/>
    </row>
    <row r="151" spans="35:37" ht="14.25" customHeight="1" x14ac:dyDescent="0.2">
      <c r="AI151" s="45"/>
      <c r="AJ151" s="45"/>
      <c r="AK151" s="45"/>
    </row>
    <row r="152" spans="35:37" ht="14.25" customHeight="1" x14ac:dyDescent="0.2">
      <c r="AI152" s="45"/>
      <c r="AJ152" s="45"/>
      <c r="AK152" s="45"/>
    </row>
    <row r="153" spans="35:37" ht="14.25" customHeight="1" x14ac:dyDescent="0.2">
      <c r="AI153" s="45"/>
      <c r="AJ153" s="45"/>
      <c r="AK153" s="45"/>
    </row>
    <row r="154" spans="35:37" ht="14.25" customHeight="1" x14ac:dyDescent="0.2">
      <c r="AI154" s="45"/>
      <c r="AJ154" s="45"/>
      <c r="AK154" s="45"/>
    </row>
    <row r="155" spans="35:37" ht="14.25" customHeight="1" x14ac:dyDescent="0.2">
      <c r="AI155" s="45"/>
      <c r="AJ155" s="45"/>
      <c r="AK155" s="45"/>
    </row>
    <row r="156" spans="35:37" ht="14.25" customHeight="1" x14ac:dyDescent="0.2">
      <c r="AI156" s="45"/>
      <c r="AJ156" s="45"/>
      <c r="AK156" s="45"/>
    </row>
    <row r="157" spans="35:37" ht="14.25" customHeight="1" x14ac:dyDescent="0.2">
      <c r="AI157" s="45"/>
      <c r="AJ157" s="45"/>
      <c r="AK157" s="45"/>
    </row>
    <row r="158" spans="35:37" ht="14.25" customHeight="1" x14ac:dyDescent="0.2">
      <c r="AI158" s="45"/>
      <c r="AJ158" s="45"/>
      <c r="AK158" s="45"/>
    </row>
    <row r="159" spans="35:37" ht="14.25" customHeight="1" x14ac:dyDescent="0.2">
      <c r="AI159" s="45"/>
      <c r="AJ159" s="45"/>
      <c r="AK159" s="45"/>
    </row>
    <row r="160" spans="35:37" ht="14.25" customHeight="1" x14ac:dyDescent="0.2">
      <c r="AI160" s="45"/>
      <c r="AJ160" s="45"/>
      <c r="AK160" s="45"/>
    </row>
    <row r="161" spans="35:37" ht="14.25" customHeight="1" x14ac:dyDescent="0.2">
      <c r="AI161" s="45"/>
      <c r="AJ161" s="45"/>
      <c r="AK161" s="45"/>
    </row>
    <row r="162" spans="35:37" ht="14.25" customHeight="1" x14ac:dyDescent="0.2">
      <c r="AI162" s="45"/>
      <c r="AJ162" s="45"/>
      <c r="AK162" s="45"/>
    </row>
    <row r="163" spans="35:37" ht="14.25" customHeight="1" x14ac:dyDescent="0.2">
      <c r="AI163" s="45"/>
      <c r="AJ163" s="45"/>
      <c r="AK163" s="45"/>
    </row>
    <row r="164" spans="35:37" ht="14.25" customHeight="1" x14ac:dyDescent="0.2">
      <c r="AI164" s="45"/>
      <c r="AJ164" s="45"/>
      <c r="AK164" s="45"/>
    </row>
    <row r="165" spans="35:37" ht="14.25" customHeight="1" x14ac:dyDescent="0.2">
      <c r="AI165" s="45"/>
      <c r="AJ165" s="45"/>
      <c r="AK165" s="45"/>
    </row>
    <row r="166" spans="35:37" ht="14.25" customHeight="1" x14ac:dyDescent="0.2">
      <c r="AI166" s="45"/>
      <c r="AJ166" s="45"/>
      <c r="AK166" s="45"/>
    </row>
    <row r="167" spans="35:37" ht="14.25" customHeight="1" x14ac:dyDescent="0.2">
      <c r="AI167" s="45"/>
      <c r="AJ167" s="45"/>
      <c r="AK167" s="45"/>
    </row>
    <row r="168" spans="35:37" ht="14.25" customHeight="1" x14ac:dyDescent="0.2">
      <c r="AI168" s="45"/>
      <c r="AJ168" s="45"/>
      <c r="AK168" s="45"/>
    </row>
    <row r="169" spans="35:37" ht="14.25" customHeight="1" x14ac:dyDescent="0.2">
      <c r="AI169" s="45"/>
      <c r="AJ169" s="45"/>
      <c r="AK169" s="45"/>
    </row>
    <row r="170" spans="35:37" ht="14.25" customHeight="1" x14ac:dyDescent="0.2">
      <c r="AI170" s="45"/>
      <c r="AJ170" s="45"/>
      <c r="AK170" s="45"/>
    </row>
    <row r="171" spans="35:37" ht="14.25" customHeight="1" x14ac:dyDescent="0.2">
      <c r="AI171" s="45"/>
      <c r="AJ171" s="45"/>
      <c r="AK171" s="45"/>
    </row>
    <row r="172" spans="35:37" ht="14.25" customHeight="1" x14ac:dyDescent="0.2">
      <c r="AI172" s="45"/>
      <c r="AJ172" s="45"/>
      <c r="AK172" s="45"/>
    </row>
    <row r="173" spans="35:37" ht="14.25" customHeight="1" x14ac:dyDescent="0.2">
      <c r="AI173" s="45"/>
      <c r="AJ173" s="45"/>
      <c r="AK173" s="45"/>
    </row>
    <row r="174" spans="35:37" ht="14.25" customHeight="1" x14ac:dyDescent="0.2">
      <c r="AI174" s="45"/>
      <c r="AJ174" s="45"/>
      <c r="AK174" s="45"/>
    </row>
    <row r="175" spans="35:37" ht="14.25" customHeight="1" x14ac:dyDescent="0.2">
      <c r="AI175" s="45"/>
      <c r="AJ175" s="45"/>
      <c r="AK175" s="45"/>
    </row>
    <row r="176" spans="35:37" ht="14.25" customHeight="1" x14ac:dyDescent="0.2">
      <c r="AI176" s="45"/>
      <c r="AJ176" s="45"/>
      <c r="AK176" s="45"/>
    </row>
    <row r="177" spans="35:37" ht="14.25" customHeight="1" x14ac:dyDescent="0.2">
      <c r="AI177" s="45"/>
      <c r="AJ177" s="45"/>
      <c r="AK177" s="45"/>
    </row>
    <row r="178" spans="35:37" ht="14.25" customHeight="1" x14ac:dyDescent="0.2">
      <c r="AI178" s="45"/>
      <c r="AJ178" s="45"/>
      <c r="AK178" s="45"/>
    </row>
    <row r="179" spans="35:37" ht="14.25" customHeight="1" x14ac:dyDescent="0.2">
      <c r="AI179" s="45"/>
      <c r="AJ179" s="45"/>
      <c r="AK179" s="45"/>
    </row>
    <row r="180" spans="35:37" ht="14.25" customHeight="1" x14ac:dyDescent="0.2">
      <c r="AI180" s="45"/>
      <c r="AJ180" s="45"/>
      <c r="AK180" s="45"/>
    </row>
    <row r="181" spans="35:37" ht="14.25" customHeight="1" x14ac:dyDescent="0.2">
      <c r="AI181" s="45"/>
      <c r="AJ181" s="45"/>
      <c r="AK181" s="45"/>
    </row>
    <row r="182" spans="35:37" ht="14.25" customHeight="1" x14ac:dyDescent="0.2">
      <c r="AI182" s="45"/>
      <c r="AJ182" s="45"/>
      <c r="AK182" s="45"/>
    </row>
    <row r="183" spans="35:37" ht="14.25" customHeight="1" x14ac:dyDescent="0.2">
      <c r="AI183" s="45"/>
      <c r="AJ183" s="45"/>
      <c r="AK183" s="45"/>
    </row>
    <row r="184" spans="35:37" ht="14.25" customHeight="1" x14ac:dyDescent="0.2">
      <c r="AI184" s="45"/>
      <c r="AJ184" s="45"/>
      <c r="AK184" s="45"/>
    </row>
    <row r="185" spans="35:37" ht="14.25" customHeight="1" x14ac:dyDescent="0.2">
      <c r="AI185" s="45"/>
      <c r="AJ185" s="45"/>
      <c r="AK185" s="45"/>
    </row>
    <row r="186" spans="35:37" ht="14.25" customHeight="1" x14ac:dyDescent="0.2">
      <c r="AI186" s="45"/>
      <c r="AJ186" s="45"/>
      <c r="AK186" s="45"/>
    </row>
    <row r="187" spans="35:37" ht="14.25" customHeight="1" x14ac:dyDescent="0.2">
      <c r="AI187" s="45"/>
      <c r="AJ187" s="45"/>
      <c r="AK187" s="45"/>
    </row>
    <row r="188" spans="35:37" ht="14.25" customHeight="1" x14ac:dyDescent="0.2">
      <c r="AI188" s="45"/>
      <c r="AJ188" s="45"/>
      <c r="AK188" s="45"/>
    </row>
    <row r="189" spans="35:37" ht="14.25" customHeight="1" x14ac:dyDescent="0.2">
      <c r="AI189" s="45"/>
      <c r="AJ189" s="45"/>
      <c r="AK189" s="45"/>
    </row>
    <row r="190" spans="35:37" ht="14.25" customHeight="1" x14ac:dyDescent="0.2">
      <c r="AI190" s="45"/>
      <c r="AJ190" s="45"/>
      <c r="AK190" s="45"/>
    </row>
    <row r="191" spans="35:37" ht="14.25" customHeight="1" x14ac:dyDescent="0.2">
      <c r="AI191" s="45"/>
      <c r="AJ191" s="45"/>
      <c r="AK191" s="45"/>
    </row>
    <row r="192" spans="35:37" ht="14.25" customHeight="1" x14ac:dyDescent="0.2">
      <c r="AI192" s="45"/>
      <c r="AJ192" s="45"/>
      <c r="AK192" s="45"/>
    </row>
    <row r="193" spans="4:37" ht="14.25" customHeight="1" x14ac:dyDescent="0.2">
      <c r="AI193" s="45"/>
      <c r="AJ193" s="45"/>
      <c r="AK193" s="45"/>
    </row>
    <row r="194" spans="4:37" ht="14.25" customHeight="1" x14ac:dyDescent="0.2">
      <c r="AI194" s="45"/>
      <c r="AJ194" s="45"/>
      <c r="AK194" s="45"/>
    </row>
    <row r="195" spans="4:37" ht="14.25" customHeight="1" x14ac:dyDescent="0.2">
      <c r="AI195" s="45"/>
      <c r="AJ195" s="45"/>
      <c r="AK195" s="45"/>
    </row>
    <row r="196" spans="4:37" ht="14.25" customHeight="1" x14ac:dyDescent="0.2">
      <c r="AI196" s="45"/>
      <c r="AJ196" s="45"/>
      <c r="AK196" s="45"/>
    </row>
    <row r="197" spans="4:37" ht="14.25" customHeight="1" x14ac:dyDescent="0.2">
      <c r="AI197" s="45"/>
      <c r="AJ197" s="45"/>
      <c r="AK197" s="45"/>
    </row>
    <row r="198" spans="4:37" ht="14.25" customHeight="1" x14ac:dyDescent="0.2">
      <c r="AI198" s="45"/>
      <c r="AJ198" s="45"/>
      <c r="AK198" s="45"/>
    </row>
    <row r="199" spans="4:37" ht="14.25" customHeight="1" x14ac:dyDescent="0.2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5"/>
      <c r="AJ199" s="45"/>
      <c r="AK199" s="45"/>
    </row>
    <row r="200" spans="4:37" ht="14.25" customHeight="1" x14ac:dyDescent="0.2"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4:37" ht="14.25" customHeight="1" x14ac:dyDescent="0.2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4:37" ht="14.25" customHeight="1" x14ac:dyDescent="0.2"/>
    <row r="203" spans="4:37" ht="14.25" customHeight="1" x14ac:dyDescent="0.2"/>
    <row r="204" spans="4:37" ht="14.25" customHeight="1" x14ac:dyDescent="0.2"/>
    <row r="205" spans="4:37" ht="14.25" customHeight="1" x14ac:dyDescent="0.2"/>
    <row r="206" spans="4:37" ht="14.25" customHeight="1" x14ac:dyDescent="0.2"/>
    <row r="207" spans="4:37" ht="14.25" customHeight="1" x14ac:dyDescent="0.2"/>
    <row r="208" spans="4:3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64">
    <mergeCell ref="A114:A117"/>
    <mergeCell ref="A94:A97"/>
    <mergeCell ref="B122:B125"/>
    <mergeCell ref="B94:B97"/>
    <mergeCell ref="A110:A113"/>
    <mergeCell ref="A122:A125"/>
    <mergeCell ref="B110:B113"/>
    <mergeCell ref="A102:A105"/>
    <mergeCell ref="B90:B93"/>
    <mergeCell ref="B59:B62"/>
    <mergeCell ref="B106:B109"/>
    <mergeCell ref="B102:B105"/>
    <mergeCell ref="A90:A93"/>
    <mergeCell ref="B98:B101"/>
    <mergeCell ref="A82:A85"/>
    <mergeCell ref="A64:A67"/>
    <mergeCell ref="A78:A81"/>
    <mergeCell ref="B86:B89"/>
    <mergeCell ref="B78:B81"/>
    <mergeCell ref="AJ1:AJ2"/>
    <mergeCell ref="A4:A7"/>
    <mergeCell ref="AI71:AI73"/>
    <mergeCell ref="B14:B17"/>
    <mergeCell ref="A118:A121"/>
    <mergeCell ref="B39:B42"/>
    <mergeCell ref="A1:C2"/>
    <mergeCell ref="A74:A77"/>
    <mergeCell ref="B82:B85"/>
    <mergeCell ref="A86:A89"/>
    <mergeCell ref="B29:B32"/>
    <mergeCell ref="B19:B22"/>
    <mergeCell ref="A98:A101"/>
    <mergeCell ref="B118:B121"/>
    <mergeCell ref="A106:A109"/>
    <mergeCell ref="B114:B117"/>
    <mergeCell ref="B9:B12"/>
    <mergeCell ref="D1:AH1"/>
    <mergeCell ref="B34:B37"/>
    <mergeCell ref="A71:C72"/>
    <mergeCell ref="B74:B77"/>
    <mergeCell ref="A14:A17"/>
    <mergeCell ref="A29:A32"/>
    <mergeCell ref="B24:B27"/>
    <mergeCell ref="A19:A22"/>
    <mergeCell ref="B49:B52"/>
    <mergeCell ref="A54:A57"/>
    <mergeCell ref="D72:AH72"/>
    <mergeCell ref="D71:AH71"/>
    <mergeCell ref="AK71:AK73"/>
    <mergeCell ref="A9:A12"/>
    <mergeCell ref="D2:AH2"/>
    <mergeCell ref="A44:A47"/>
    <mergeCell ref="B4:B7"/>
    <mergeCell ref="B64:B67"/>
    <mergeCell ref="A34:A37"/>
    <mergeCell ref="A39:A42"/>
    <mergeCell ref="A59:A62"/>
    <mergeCell ref="A24:A27"/>
    <mergeCell ref="B54:B57"/>
    <mergeCell ref="A49:A52"/>
    <mergeCell ref="AI1:AI2"/>
    <mergeCell ref="AK1:AK2"/>
    <mergeCell ref="B44:B47"/>
    <mergeCell ref="AJ71:AJ73"/>
  </mergeCells>
  <conditionalFormatting sqref="A68:XFD70 A1 A134:XFD1048576 C3:XFD3 C4:C27 C28:XFD67 E4:XFD27 G4:G29 I4:I29 J4:K28 L4:N29 P4:R29 S4:T28 U4:U29 W4:Y29 Z4:Z28 AA4:AB29 AD4:AF29 AI1:XFD2">
    <cfRule type="colorScale" priority="64">
      <colorScale>
        <cfvo type="min"/>
        <cfvo type="max"/>
        <color rgb="FFFF7128"/>
        <color rgb="FFFFFF00"/>
      </colorScale>
    </cfRule>
    <cfRule type="colorScale" priority="63">
      <colorScale>
        <cfvo type="min"/>
        <cfvo type="max"/>
        <color rgb="FFFF7128"/>
        <color rgb="FFFFEF9C"/>
      </colorScale>
    </cfRule>
    <cfRule type="colorScale" priority="62">
      <colorScale>
        <cfvo type="min"/>
        <cfvo type="max"/>
        <color rgb="FFFFC000"/>
        <color rgb="FFFFEF9C"/>
      </colorScale>
    </cfRule>
    <cfRule type="colorScale" priority="60">
      <colorScale>
        <cfvo type="min"/>
        <cfvo type="max"/>
        <color rgb="FFEDFC2C"/>
        <color rgb="FFFFEF9C"/>
      </colorScale>
    </cfRule>
  </conditionalFormatting>
  <conditionalFormatting sqref="C4:AK67">
    <cfRule type="expression" dxfId="107" priority="115">
      <formula>AND($A4="",$B4="",$C4="")</formula>
    </cfRule>
  </conditionalFormatting>
  <conditionalFormatting sqref="D4:G27">
    <cfRule type="colorScale" priority="111">
      <colorScale>
        <cfvo type="min"/>
        <cfvo type="max"/>
        <color rgb="FFEDFC2C"/>
        <color rgb="FFFFEF9C"/>
      </colorScale>
    </cfRule>
    <cfRule type="colorScale" priority="114">
      <colorScale>
        <cfvo type="min"/>
        <cfvo type="max"/>
        <color rgb="FFFF7128"/>
        <color rgb="FFFFFF00"/>
      </colorScale>
    </cfRule>
    <cfRule type="colorScale" priority="113">
      <colorScale>
        <cfvo type="min"/>
        <cfvo type="max"/>
        <color rgb="FFFF7128"/>
        <color rgb="FFFFEF9C"/>
      </colorScale>
    </cfRule>
    <cfRule type="colorScale" priority="112">
      <colorScale>
        <cfvo type="min"/>
        <cfvo type="max"/>
        <color rgb="FFFFC000"/>
        <color rgb="FFFFEF9C"/>
      </colorScale>
    </cfRule>
  </conditionalFormatting>
  <conditionalFormatting sqref="D1:AH1">
    <cfRule type="colorScale" priority="54">
      <colorScale>
        <cfvo type="min"/>
        <cfvo type="max"/>
        <color rgb="FFEDFC2C"/>
        <color rgb="FFFFEF9C"/>
      </colorScale>
    </cfRule>
    <cfRule type="colorScale" priority="57">
      <colorScale>
        <cfvo type="min"/>
        <cfvo type="max"/>
        <color rgb="FFFF7128"/>
        <color rgb="FFFFFF00"/>
      </colorScale>
    </cfRule>
    <cfRule type="colorScale" priority="55">
      <colorScale>
        <cfvo type="min"/>
        <cfvo type="max"/>
        <color rgb="FFFFC000"/>
        <color rgb="FFFFEF9C"/>
      </colorScale>
    </cfRule>
    <cfRule type="colorScale" priority="56">
      <colorScale>
        <cfvo type="min"/>
        <cfvo type="max"/>
        <color rgb="FFFF7128"/>
        <color rgb="FFFFEF9C"/>
      </colorScale>
    </cfRule>
  </conditionalFormatting>
  <conditionalFormatting sqref="D3:AH29">
    <cfRule type="expression" dxfId="106" priority="49">
      <formula>WEEKDAY(D$3)=1</formula>
    </cfRule>
  </conditionalFormatting>
  <conditionalFormatting sqref="D3:AH67">
    <cfRule type="expression" dxfId="105" priority="119">
      <formula>AND(D$3&lt;&gt;"",WEEKDAY(D$3,2)=7)</formula>
    </cfRule>
  </conditionalFormatting>
  <conditionalFormatting sqref="D4:AH67">
    <cfRule type="expression" dxfId="104" priority="122">
      <formula>AND($C4="C3",D4&lt;&gt;"")</formula>
    </cfRule>
    <cfRule type="expression" dxfId="103" priority="120">
      <formula>AND($C4="TC",D4&lt;&gt;"")</formula>
    </cfRule>
    <cfRule type="expression" dxfId="102" priority="121">
      <formula>AND($C4="C1",D4&lt;&gt;"")</formula>
    </cfRule>
  </conditionalFormatting>
  <conditionalFormatting sqref="D73:AH125">
    <cfRule type="expression" dxfId="101" priority="4">
      <formula>WEEKDAY(D$3)=1</formula>
    </cfRule>
  </conditionalFormatting>
  <conditionalFormatting sqref="D74:AH125">
    <cfRule type="expression" dxfId="100" priority="2">
      <formula>AND($C74="C1",D74&lt;&gt;"")</formula>
    </cfRule>
    <cfRule type="expression" dxfId="99" priority="3">
      <formula>AND($C74="TC",D74&lt;&gt;"")</formula>
    </cfRule>
    <cfRule type="expression" dxfId="98" priority="1">
      <formula>AND($C74="C3",D74&lt;&gt;"")</formula>
    </cfRule>
  </conditionalFormatting>
  <conditionalFormatting sqref="I4:N27">
    <cfRule type="colorScale" priority="47">
      <colorScale>
        <cfvo type="min"/>
        <cfvo type="max"/>
        <color rgb="FFFF7128"/>
        <color rgb="FFFFEF9C"/>
      </colorScale>
    </cfRule>
    <cfRule type="colorScale" priority="46">
      <colorScale>
        <cfvo type="min"/>
        <cfvo type="max"/>
        <color rgb="FFFFC000"/>
        <color rgb="FFFFEF9C"/>
      </colorScale>
    </cfRule>
    <cfRule type="colorScale" priority="45">
      <colorScale>
        <cfvo type="min"/>
        <cfvo type="max"/>
        <color rgb="FFEDFC2C"/>
        <color rgb="FFFFEF9C"/>
      </colorScale>
    </cfRule>
    <cfRule type="colorScale" priority="48">
      <colorScale>
        <cfvo type="min"/>
        <cfvo type="max"/>
        <color rgb="FFFF7128"/>
        <color rgb="FFFFFF00"/>
      </colorScale>
    </cfRule>
  </conditionalFormatting>
  <conditionalFormatting sqref="P4:S27">
    <cfRule type="colorScale" priority="44">
      <colorScale>
        <cfvo type="min"/>
        <cfvo type="max"/>
        <color rgb="FFFF7128"/>
        <color rgb="FFFFFF00"/>
      </colorScale>
    </cfRule>
    <cfRule type="colorScale" priority="42">
      <colorScale>
        <cfvo type="min"/>
        <cfvo type="max"/>
        <color rgb="FFFFC000"/>
        <color rgb="FFFFEF9C"/>
      </colorScale>
    </cfRule>
    <cfRule type="colorScale" priority="43">
      <colorScale>
        <cfvo type="min"/>
        <cfvo type="max"/>
        <color rgb="FFFF7128"/>
        <color rgb="FFFFEF9C"/>
      </colorScale>
    </cfRule>
    <cfRule type="colorScale" priority="41">
      <colorScale>
        <cfvo type="min"/>
        <cfvo type="max"/>
        <color rgb="FFEDFC2C"/>
        <color rgb="FFFFEF9C"/>
      </colorScale>
    </cfRule>
  </conditionalFormatting>
  <conditionalFormatting sqref="T4:U27">
    <cfRule type="colorScale" priority="40">
      <colorScale>
        <cfvo type="min"/>
        <cfvo type="max"/>
        <color rgb="FFFF7128"/>
        <color rgb="FFFFFF00"/>
      </colorScale>
    </cfRule>
    <cfRule type="colorScale" priority="39">
      <colorScale>
        <cfvo type="min"/>
        <cfvo type="max"/>
        <color rgb="FFFF7128"/>
        <color rgb="FFFFEF9C"/>
      </colorScale>
    </cfRule>
    <cfRule type="colorScale" priority="38">
      <colorScale>
        <cfvo type="min"/>
        <cfvo type="max"/>
        <color rgb="FFFFC000"/>
        <color rgb="FFFFEF9C"/>
      </colorScale>
    </cfRule>
    <cfRule type="colorScale" priority="37">
      <colorScale>
        <cfvo type="min"/>
        <cfvo type="max"/>
        <color rgb="FFEDFC2C"/>
        <color rgb="FFFFEF9C"/>
      </colorScale>
    </cfRule>
  </conditionalFormatting>
  <conditionalFormatting sqref="V21">
    <cfRule type="colorScale" priority="59">
      <colorScale>
        <cfvo type="min"/>
        <cfvo type="max"/>
        <color rgb="FFFFC000"/>
        <color rgb="FFFFEF9C"/>
      </colorScale>
    </cfRule>
  </conditionalFormatting>
  <conditionalFormatting sqref="V14:W14">
    <cfRule type="colorScale" priority="61">
      <colorScale>
        <cfvo type="min"/>
        <cfvo type="max"/>
        <color rgb="FFE8FC2C"/>
        <color rgb="FFFFEF9C"/>
      </colorScale>
    </cfRule>
  </conditionalFormatting>
  <conditionalFormatting sqref="W4:W27">
    <cfRule type="colorScale" priority="33">
      <colorScale>
        <cfvo type="min"/>
        <cfvo type="max"/>
        <color rgb="FFEDFC2C"/>
        <color rgb="FFFFEF9C"/>
      </colorScale>
    </cfRule>
    <cfRule type="colorScale" priority="34">
      <colorScale>
        <cfvo type="min"/>
        <cfvo type="max"/>
        <color rgb="FFFFC000"/>
        <color rgb="FFFFEF9C"/>
      </colorScale>
    </cfRule>
    <cfRule type="colorScale" priority="35">
      <colorScale>
        <cfvo type="min"/>
        <cfvo type="max"/>
        <color rgb="FFFF7128"/>
        <color rgb="FFFFEF9C"/>
      </colorScale>
    </cfRule>
    <cfRule type="colorScale" priority="36">
      <colorScale>
        <cfvo type="min"/>
        <cfvo type="max"/>
        <color rgb="FFFF7128"/>
        <color rgb="FFFFFF00"/>
      </colorScale>
    </cfRule>
  </conditionalFormatting>
  <conditionalFormatting sqref="X4:Y27">
    <cfRule type="colorScale" priority="32">
      <colorScale>
        <cfvo type="min"/>
        <cfvo type="max"/>
        <color rgb="FFFF7128"/>
        <color rgb="FFFFFF00"/>
      </colorScale>
    </cfRule>
    <cfRule type="colorScale" priority="31">
      <colorScale>
        <cfvo type="min"/>
        <cfvo type="max"/>
        <color rgb="FFFF7128"/>
        <color rgb="FFFFEF9C"/>
      </colorScale>
    </cfRule>
    <cfRule type="colorScale" priority="30">
      <colorScale>
        <cfvo type="min"/>
        <cfvo type="max"/>
        <color rgb="FFFFC000"/>
        <color rgb="FFFFEF9C"/>
      </colorScale>
    </cfRule>
    <cfRule type="colorScale" priority="29">
      <colorScale>
        <cfvo type="min"/>
        <cfvo type="max"/>
        <color rgb="FFEDFC2C"/>
        <color rgb="FFFFEF9C"/>
      </colorScale>
    </cfRule>
  </conditionalFormatting>
  <conditionalFormatting sqref="Z4:Z27">
    <cfRule type="colorScale" priority="28">
      <colorScale>
        <cfvo type="min"/>
        <cfvo type="max"/>
        <color rgb="FFFF7128"/>
        <color rgb="FFFFFF00"/>
      </colorScale>
    </cfRule>
    <cfRule type="colorScale" priority="26">
      <colorScale>
        <cfvo type="min"/>
        <cfvo type="max"/>
        <color rgb="FFFFC000"/>
        <color rgb="FFFFEF9C"/>
      </colorScale>
    </cfRule>
    <cfRule type="colorScale" priority="27">
      <colorScale>
        <cfvo type="min"/>
        <cfvo type="max"/>
        <color rgb="FFFF7128"/>
        <color rgb="FFFFEF9C"/>
      </colorScale>
    </cfRule>
    <cfRule type="colorScale" priority="25">
      <colorScale>
        <cfvo type="min"/>
        <cfvo type="max"/>
        <color rgb="FFEDFC2C"/>
        <color rgb="FFFFEF9C"/>
      </colorScale>
    </cfRule>
  </conditionalFormatting>
  <conditionalFormatting sqref="AA4:AA27">
    <cfRule type="colorScale" priority="24">
      <colorScale>
        <cfvo type="min"/>
        <cfvo type="max"/>
        <color rgb="FFFF7128"/>
        <color rgb="FFFFFF00"/>
      </colorScale>
    </cfRule>
    <cfRule type="colorScale" priority="23">
      <colorScale>
        <cfvo type="min"/>
        <cfvo type="max"/>
        <color rgb="FFFF7128"/>
        <color rgb="FFFFEF9C"/>
      </colorScale>
    </cfRule>
    <cfRule type="colorScale" priority="22">
      <colorScale>
        <cfvo type="min"/>
        <cfvo type="max"/>
        <color rgb="FFFFC000"/>
        <color rgb="FFFFEF9C"/>
      </colorScale>
    </cfRule>
    <cfRule type="colorScale" priority="21">
      <colorScale>
        <cfvo type="min"/>
        <cfvo type="max"/>
        <color rgb="FFEDFC2C"/>
        <color rgb="FFFFEF9C"/>
      </colorScale>
    </cfRule>
  </conditionalFormatting>
  <conditionalFormatting sqref="AB4:AB27">
    <cfRule type="colorScale" priority="20">
      <colorScale>
        <cfvo type="min"/>
        <cfvo type="max"/>
        <color rgb="FFFF7128"/>
        <color rgb="FFFFFF00"/>
      </colorScale>
    </cfRule>
    <cfRule type="colorScale" priority="19">
      <colorScale>
        <cfvo type="min"/>
        <cfvo type="max"/>
        <color rgb="FFFF7128"/>
        <color rgb="FFFFEF9C"/>
      </colorScale>
    </cfRule>
    <cfRule type="colorScale" priority="18">
      <colorScale>
        <cfvo type="min"/>
        <cfvo type="max"/>
        <color rgb="FFFFC000"/>
        <color rgb="FFFFEF9C"/>
      </colorScale>
    </cfRule>
    <cfRule type="colorScale" priority="17">
      <colorScale>
        <cfvo type="min"/>
        <cfvo type="max"/>
        <color rgb="FFEDFC2C"/>
        <color rgb="FFFFEF9C"/>
      </colorScale>
    </cfRule>
  </conditionalFormatting>
  <conditionalFormatting sqref="AD4:AD27">
    <cfRule type="colorScale" priority="16">
      <colorScale>
        <cfvo type="min"/>
        <cfvo type="max"/>
        <color rgb="FFFF7128"/>
        <color rgb="FFFFFF00"/>
      </colorScale>
    </cfRule>
    <cfRule type="colorScale" priority="15">
      <colorScale>
        <cfvo type="min"/>
        <cfvo type="max"/>
        <color rgb="FFFF7128"/>
        <color rgb="FFFFEF9C"/>
      </colorScale>
    </cfRule>
    <cfRule type="colorScale" priority="14">
      <colorScale>
        <cfvo type="min"/>
        <cfvo type="max"/>
        <color rgb="FFFFC000"/>
        <color rgb="FFFFEF9C"/>
      </colorScale>
    </cfRule>
    <cfRule type="colorScale" priority="13">
      <colorScale>
        <cfvo type="min"/>
        <cfvo type="max"/>
        <color rgb="FFEDFC2C"/>
        <color rgb="FFFFEF9C"/>
      </colorScale>
    </cfRule>
  </conditionalFormatting>
  <conditionalFormatting sqref="AE4:AE27">
    <cfRule type="colorScale" priority="9">
      <colorScale>
        <cfvo type="min"/>
        <cfvo type="max"/>
        <color rgb="FFEDFC2C"/>
        <color rgb="FFFFEF9C"/>
      </colorScale>
    </cfRule>
    <cfRule type="colorScale" priority="12">
      <colorScale>
        <cfvo type="min"/>
        <cfvo type="max"/>
        <color rgb="FFFF7128"/>
        <color rgb="FFFFFF00"/>
      </colorScale>
    </cfRule>
    <cfRule type="colorScale" priority="11">
      <colorScale>
        <cfvo type="min"/>
        <cfvo type="max"/>
        <color rgb="FFFF7128"/>
        <color rgb="FFFFEF9C"/>
      </colorScale>
    </cfRule>
    <cfRule type="colorScale" priority="10">
      <colorScale>
        <cfvo type="min"/>
        <cfvo type="max"/>
        <color rgb="FFFFC000"/>
        <color rgb="FFFFEF9C"/>
      </colorScale>
    </cfRule>
  </conditionalFormatting>
  <conditionalFormatting sqref="AF4:AF27">
    <cfRule type="colorScale" priority="8">
      <colorScale>
        <cfvo type="min"/>
        <cfvo type="max"/>
        <color rgb="FFFF7128"/>
        <color rgb="FFFFFF00"/>
      </colorScale>
    </cfRule>
    <cfRule type="colorScale" priority="7">
      <colorScale>
        <cfvo type="min"/>
        <cfvo type="max"/>
        <color rgb="FFFF7128"/>
        <color rgb="FFFFEF9C"/>
      </colorScale>
    </cfRule>
    <cfRule type="colorScale" priority="6">
      <colorScale>
        <cfvo type="min"/>
        <cfvo type="max"/>
        <color rgb="FFFFC000"/>
        <color rgb="FFFFEF9C"/>
      </colorScale>
    </cfRule>
    <cfRule type="colorScale" priority="5">
      <colorScale>
        <cfvo type="min"/>
        <cfvo type="max"/>
        <color rgb="FFEDFC2C"/>
        <color rgb="FFFFEF9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025"/>
  <sheetViews>
    <sheetView topLeftCell="A28" workbookViewId="0">
      <selection activeCell="AE34" sqref="AE34"/>
    </sheetView>
  </sheetViews>
  <sheetFormatPr defaultColWidth="12.625" defaultRowHeight="14.25" x14ac:dyDescent="0.2"/>
  <cols>
    <col min="1" max="1" width="5" customWidth="1"/>
    <col min="2" max="2" width="22" customWidth="1"/>
    <col min="3" max="3" width="7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10" customWidth="1"/>
  </cols>
  <sheetData>
    <row r="1" spans="1:37" ht="27.95" customHeight="1" x14ac:dyDescent="0.2">
      <c r="A1" s="114" t="s">
        <v>0</v>
      </c>
      <c r="B1" s="118"/>
      <c r="C1" s="119"/>
      <c r="D1" s="114" t="s">
        <v>46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1"/>
      <c r="AI1" s="123" t="s">
        <v>2</v>
      </c>
      <c r="AJ1" s="123" t="s">
        <v>3</v>
      </c>
      <c r="AK1" s="123" t="s">
        <v>4</v>
      </c>
    </row>
    <row r="2" spans="1:37" ht="20.100000000000001" customHeight="1" x14ac:dyDescent="0.2">
      <c r="A2" s="120"/>
      <c r="B2" s="121"/>
      <c r="C2" s="122"/>
      <c r="D2" s="109">
        <v>46143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1"/>
      <c r="AI2" s="113"/>
      <c r="AJ2" s="113"/>
      <c r="AK2" s="113"/>
    </row>
    <row r="3" spans="1:37" ht="21.95" customHeight="1" x14ac:dyDescent="0.2">
      <c r="A3" s="2" t="s">
        <v>5</v>
      </c>
      <c r="B3" s="2" t="s">
        <v>6</v>
      </c>
      <c r="C3" s="32"/>
      <c r="D3" s="85">
        <v>46143</v>
      </c>
      <c r="E3" s="85">
        <v>46144</v>
      </c>
      <c r="F3" s="86">
        <f t="shared" ref="F3:AH3" si="0">+E3+1</f>
        <v>46145</v>
      </c>
      <c r="G3" s="85">
        <f t="shared" si="0"/>
        <v>46146</v>
      </c>
      <c r="H3" s="85">
        <f t="shared" si="0"/>
        <v>46147</v>
      </c>
      <c r="I3" s="85">
        <f t="shared" si="0"/>
        <v>46148</v>
      </c>
      <c r="J3" s="85">
        <f t="shared" si="0"/>
        <v>46149</v>
      </c>
      <c r="K3" s="85">
        <f t="shared" si="0"/>
        <v>46150</v>
      </c>
      <c r="L3" s="85">
        <f t="shared" si="0"/>
        <v>46151</v>
      </c>
      <c r="M3" s="86">
        <f t="shared" si="0"/>
        <v>46152</v>
      </c>
      <c r="N3" s="85">
        <f t="shared" si="0"/>
        <v>46153</v>
      </c>
      <c r="O3" s="85">
        <f t="shared" si="0"/>
        <v>46154</v>
      </c>
      <c r="P3" s="85">
        <f t="shared" si="0"/>
        <v>46155</v>
      </c>
      <c r="Q3" s="85">
        <f t="shared" si="0"/>
        <v>46156</v>
      </c>
      <c r="R3" s="85">
        <f t="shared" si="0"/>
        <v>46157</v>
      </c>
      <c r="S3" s="85">
        <f t="shared" si="0"/>
        <v>46158</v>
      </c>
      <c r="T3" s="86">
        <f t="shared" si="0"/>
        <v>46159</v>
      </c>
      <c r="U3" s="85">
        <f t="shared" si="0"/>
        <v>46160</v>
      </c>
      <c r="V3" s="85">
        <f t="shared" si="0"/>
        <v>46161</v>
      </c>
      <c r="W3" s="85">
        <f t="shared" si="0"/>
        <v>46162</v>
      </c>
      <c r="X3" s="85">
        <f t="shared" si="0"/>
        <v>46163</v>
      </c>
      <c r="Y3" s="85">
        <f t="shared" si="0"/>
        <v>46164</v>
      </c>
      <c r="Z3" s="85">
        <f t="shared" si="0"/>
        <v>46165</v>
      </c>
      <c r="AA3" s="86">
        <f t="shared" si="0"/>
        <v>46166</v>
      </c>
      <c r="AB3" s="85">
        <f t="shared" si="0"/>
        <v>46167</v>
      </c>
      <c r="AC3" s="85">
        <f t="shared" si="0"/>
        <v>46168</v>
      </c>
      <c r="AD3" s="85">
        <f t="shared" si="0"/>
        <v>46169</v>
      </c>
      <c r="AE3" s="85">
        <f t="shared" si="0"/>
        <v>46170</v>
      </c>
      <c r="AF3" s="85">
        <f t="shared" si="0"/>
        <v>46171</v>
      </c>
      <c r="AG3" s="85">
        <f t="shared" si="0"/>
        <v>46172</v>
      </c>
      <c r="AH3" s="86">
        <f t="shared" si="0"/>
        <v>46173</v>
      </c>
      <c r="AI3" s="31"/>
      <c r="AJ3" s="32"/>
      <c r="AK3" s="32"/>
    </row>
    <row r="4" spans="1:37" ht="13.5" customHeight="1" x14ac:dyDescent="0.2">
      <c r="A4" s="94">
        <v>1</v>
      </c>
      <c r="B4" s="95" t="s">
        <v>7</v>
      </c>
      <c r="C4" s="28" t="s">
        <v>8</v>
      </c>
      <c r="D4" s="65"/>
      <c r="E4" s="65"/>
      <c r="F4" s="71"/>
      <c r="G4" s="65"/>
      <c r="H4" s="65"/>
      <c r="I4" s="65"/>
      <c r="J4" s="65"/>
      <c r="K4" s="65"/>
      <c r="L4" s="65"/>
      <c r="M4" s="71"/>
      <c r="N4" s="65"/>
      <c r="O4" s="65"/>
      <c r="P4" s="65"/>
      <c r="Q4" s="65"/>
      <c r="R4" s="65"/>
      <c r="S4" s="65"/>
      <c r="T4" s="71"/>
      <c r="U4" s="65"/>
      <c r="V4" s="65"/>
      <c r="W4" s="65"/>
      <c r="X4" s="65"/>
      <c r="Y4" s="65"/>
      <c r="Z4" s="65"/>
      <c r="AA4" s="71"/>
      <c r="AB4" s="65"/>
      <c r="AC4" s="65"/>
      <c r="AD4" s="65"/>
      <c r="AE4" s="65"/>
      <c r="AF4" s="65"/>
      <c r="AG4" s="65"/>
      <c r="AH4" s="71"/>
      <c r="AI4" s="33">
        <f>0</f>
        <v>0</v>
      </c>
      <c r="AJ4" s="33">
        <f>SUM(D4:AH4)/8</f>
        <v>0</v>
      </c>
      <c r="AK4" s="33">
        <f t="shared" ref="AK4:AK27" si="1">AI4+AJ4</f>
        <v>0</v>
      </c>
    </row>
    <row r="5" spans="1:37" ht="13.5" customHeight="1" x14ac:dyDescent="0.2">
      <c r="A5" s="89"/>
      <c r="B5" s="89"/>
      <c r="C5" s="28" t="s">
        <v>9</v>
      </c>
      <c r="D5" s="65"/>
      <c r="E5" s="65"/>
      <c r="F5" s="71"/>
      <c r="G5" s="65"/>
      <c r="H5" s="65"/>
      <c r="I5" s="65"/>
      <c r="J5" s="65"/>
      <c r="K5" s="65"/>
      <c r="L5" s="65"/>
      <c r="M5" s="71"/>
      <c r="N5" s="65" t="s">
        <v>10</v>
      </c>
      <c r="O5" s="65"/>
      <c r="P5" s="65" t="s">
        <v>10</v>
      </c>
      <c r="Q5" s="65" t="s">
        <v>10</v>
      </c>
      <c r="R5" s="65" t="s">
        <v>10</v>
      </c>
      <c r="S5" s="65" t="s">
        <v>10</v>
      </c>
      <c r="T5" s="71"/>
      <c r="U5" s="65"/>
      <c r="V5" s="65"/>
      <c r="W5" s="65"/>
      <c r="X5" s="65"/>
      <c r="Y5" s="65"/>
      <c r="Z5" s="65"/>
      <c r="AA5" s="71"/>
      <c r="AB5" s="65"/>
      <c r="AC5" s="65"/>
      <c r="AD5" s="65"/>
      <c r="AE5" s="65"/>
      <c r="AF5" s="65"/>
      <c r="AG5" s="65"/>
      <c r="AH5" s="71"/>
      <c r="AI5" s="33">
        <f>COUNTIF(D5:AH5,"x")+COUNTIF(D5:AH5,"x-0,25")+COUNTIF(D5:AH5,"x-0,50")+COUNTIF(D5:AH5,"x-0.75")+COUNTIF(D5:AH5,"x-1")+COUNTIF(D5:AH5,"x-1,25")+COUNTIF(D5:AH5,"x-1,5")+COUNTIF(D5:AH5,"x-1,55")+COUNTIF(D5:AH5,"x-2")+COUNTIF(D5:AH5,"x/2")/2</f>
        <v>5</v>
      </c>
      <c r="AJ5" s="33">
        <f>0</f>
        <v>0</v>
      </c>
      <c r="AK5" s="33">
        <f t="shared" si="1"/>
        <v>5</v>
      </c>
    </row>
    <row r="6" spans="1:37" ht="13.5" customHeight="1" x14ac:dyDescent="0.2">
      <c r="A6" s="89"/>
      <c r="B6" s="89"/>
      <c r="C6" s="28" t="s">
        <v>11</v>
      </c>
      <c r="D6" s="65"/>
      <c r="E6" s="65"/>
      <c r="F6" s="71" t="s">
        <v>10</v>
      </c>
      <c r="G6" s="65">
        <v>0</v>
      </c>
      <c r="H6" s="65" t="s">
        <v>10</v>
      </c>
      <c r="I6" s="65" t="s">
        <v>10</v>
      </c>
      <c r="J6" s="65" t="s">
        <v>10</v>
      </c>
      <c r="K6" s="65" t="s">
        <v>10</v>
      </c>
      <c r="L6" s="65">
        <v>0</v>
      </c>
      <c r="M6" s="71"/>
      <c r="N6" s="65"/>
      <c r="O6" s="65" t="s">
        <v>10</v>
      </c>
      <c r="P6" s="65"/>
      <c r="Q6" s="65"/>
      <c r="R6" s="65"/>
      <c r="S6" s="65"/>
      <c r="T6" s="71"/>
      <c r="U6" s="65"/>
      <c r="V6" s="65"/>
      <c r="W6" s="65"/>
      <c r="X6" s="65"/>
      <c r="Y6" s="65"/>
      <c r="Z6" s="65"/>
      <c r="AA6" s="71"/>
      <c r="AB6" s="65" t="s">
        <v>10</v>
      </c>
      <c r="AC6" s="65" t="s">
        <v>10</v>
      </c>
      <c r="AD6" s="65" t="s">
        <v>10</v>
      </c>
      <c r="AE6" s="65" t="s">
        <v>10</v>
      </c>
      <c r="AF6" s="65" t="s">
        <v>10</v>
      </c>
      <c r="AG6" s="65" t="s">
        <v>10</v>
      </c>
      <c r="AH6" s="71" t="s">
        <v>10</v>
      </c>
      <c r="AI6" s="33">
        <f>COUNTIF(D6:AH6,"x")+COUNTIF(D6:AH6,"x-0,25")+COUNTIF(D6:AH6,"x-0,50")+COUNTIF(D6:AH6,"x-0.75")+COUNTIF(D6:AH6,"x-1")+COUNTIF(D6:AH6,"x-1,25")+COUNTIF(D6:AH6,"x-1,5")+COUNTIF(D6:AH6,"x-1,55")+COUNTIF(D6:AH6,"x-2")+COUNTIF(D6:AH6,"x/2")/2</f>
        <v>13</v>
      </c>
      <c r="AJ6" s="33">
        <f>0</f>
        <v>0</v>
      </c>
      <c r="AK6" s="33">
        <f t="shared" si="1"/>
        <v>13</v>
      </c>
    </row>
    <row r="7" spans="1:37" s="7" customFormat="1" ht="13.5" customHeight="1" x14ac:dyDescent="0.2">
      <c r="A7" s="90"/>
      <c r="B7" s="96"/>
      <c r="C7" s="28" t="s">
        <v>12</v>
      </c>
      <c r="D7" s="65"/>
      <c r="E7" s="65" t="s">
        <v>10</v>
      </c>
      <c r="F7" s="71"/>
      <c r="G7" s="65"/>
      <c r="H7" s="65"/>
      <c r="I7" s="65"/>
      <c r="J7" s="65"/>
      <c r="K7" s="65"/>
      <c r="L7" s="65"/>
      <c r="M7" s="71"/>
      <c r="N7" s="65"/>
      <c r="O7" s="65"/>
      <c r="P7" s="65"/>
      <c r="Q7" s="65"/>
      <c r="R7" s="65"/>
      <c r="S7" s="65"/>
      <c r="T7" s="71" t="s">
        <v>10</v>
      </c>
      <c r="U7" s="65" t="s">
        <v>10</v>
      </c>
      <c r="V7" s="65" t="s">
        <v>10</v>
      </c>
      <c r="W7" s="65" t="s">
        <v>10</v>
      </c>
      <c r="X7" s="65" t="s">
        <v>10</v>
      </c>
      <c r="Y7" s="65" t="s">
        <v>10</v>
      </c>
      <c r="Z7" s="65" t="s">
        <v>10</v>
      </c>
      <c r="AA7" s="71"/>
      <c r="AB7" s="65"/>
      <c r="AC7" s="65"/>
      <c r="AD7" s="65"/>
      <c r="AE7" s="65"/>
      <c r="AF7" s="65"/>
      <c r="AG7" s="65"/>
      <c r="AH7" s="71"/>
      <c r="AI7" s="33">
        <f>COUNTIF(D7:AH7,"x")+COUNTIF(D7:AH7,"x-0,25")+COUNTIF(D7:AH7,"x-0,50")+COUNTIF(D7:AH7,"x-0.75")+COUNTIF(D7:AH7,"x-1")+COUNTIF(D7:AH7,"x-1,25")+COUNTIF(D7:AH7,"x-1,5")+COUNTIF(D7:AH7,"x-1,55")+COUNTIF(D7:AH7,"x-2")+COUNTIF(D7:AH7,"x/2")/2</f>
        <v>8</v>
      </c>
      <c r="AJ7" s="33">
        <f>0</f>
        <v>0</v>
      </c>
      <c r="AK7" s="33">
        <f t="shared" si="1"/>
        <v>8</v>
      </c>
    </row>
    <row r="8" spans="1:37" s="7" customFormat="1" ht="13.5" customHeight="1" x14ac:dyDescent="0.2">
      <c r="A8" s="16"/>
      <c r="B8" s="17"/>
      <c r="C8" s="69"/>
      <c r="D8" s="69"/>
      <c r="E8" s="69"/>
      <c r="F8" s="71"/>
      <c r="G8" s="69"/>
      <c r="H8" s="69"/>
      <c r="I8" s="69"/>
      <c r="J8" s="69"/>
      <c r="K8" s="69"/>
      <c r="L8" s="69"/>
      <c r="M8" s="71"/>
      <c r="N8" s="69"/>
      <c r="O8" s="69"/>
      <c r="P8" s="69"/>
      <c r="Q8" s="69"/>
      <c r="R8" s="69"/>
      <c r="S8" s="69"/>
      <c r="T8" s="71"/>
      <c r="U8" s="69"/>
      <c r="V8" s="69"/>
      <c r="W8" s="69"/>
      <c r="X8" s="69"/>
      <c r="Y8" s="69"/>
      <c r="Z8" s="69"/>
      <c r="AA8" s="71"/>
      <c r="AB8" s="69"/>
      <c r="AC8" s="69"/>
      <c r="AD8" s="69"/>
      <c r="AE8" s="69"/>
      <c r="AF8" s="69"/>
      <c r="AG8" s="69"/>
      <c r="AH8" s="71"/>
      <c r="AI8" s="78">
        <f>0</f>
        <v>0</v>
      </c>
      <c r="AJ8" s="78">
        <f>SUM(D8:AH8)/8</f>
        <v>0</v>
      </c>
      <c r="AK8" s="78">
        <f t="shared" si="1"/>
        <v>0</v>
      </c>
    </row>
    <row r="9" spans="1:37" s="7" customFormat="1" ht="13.5" customHeight="1" x14ac:dyDescent="0.2">
      <c r="A9" s="94">
        <v>2</v>
      </c>
      <c r="B9" s="97" t="s">
        <v>13</v>
      </c>
      <c r="C9" s="28" t="s">
        <v>8</v>
      </c>
      <c r="D9" s="65"/>
      <c r="E9" s="65"/>
      <c r="F9" s="71"/>
      <c r="G9" s="65"/>
      <c r="H9" s="65"/>
      <c r="I9" s="65"/>
      <c r="J9" s="65"/>
      <c r="K9" s="65"/>
      <c r="L9" s="65"/>
      <c r="M9" s="71"/>
      <c r="N9" s="65"/>
      <c r="O9" s="65"/>
      <c r="P9" s="65"/>
      <c r="Q9" s="65"/>
      <c r="R9" s="65"/>
      <c r="S9" s="65"/>
      <c r="T9" s="71"/>
      <c r="U9" s="65"/>
      <c r="V9" s="65"/>
      <c r="W9" s="65"/>
      <c r="X9" s="65"/>
      <c r="Y9" s="65"/>
      <c r="Z9" s="65"/>
      <c r="AA9" s="71"/>
      <c r="AB9" s="65"/>
      <c r="AC9" s="65"/>
      <c r="AD9" s="65"/>
      <c r="AE9" s="65"/>
      <c r="AF9" s="65"/>
      <c r="AG9" s="65"/>
      <c r="AH9" s="71"/>
      <c r="AI9" s="33">
        <f>0</f>
        <v>0</v>
      </c>
      <c r="AJ9" s="33">
        <f>SUM(D9:AH9)/8</f>
        <v>0</v>
      </c>
      <c r="AK9" s="33">
        <f t="shared" si="1"/>
        <v>0</v>
      </c>
    </row>
    <row r="10" spans="1:37" s="7" customFormat="1" ht="13.5" customHeight="1" x14ac:dyDescent="0.2">
      <c r="A10" s="89"/>
      <c r="B10" s="89"/>
      <c r="C10" s="28" t="s">
        <v>9</v>
      </c>
      <c r="D10" s="65"/>
      <c r="E10" s="65" t="s">
        <v>10</v>
      </c>
      <c r="F10" s="71"/>
      <c r="G10" s="65"/>
      <c r="H10" s="65"/>
      <c r="I10" s="65"/>
      <c r="J10" s="65"/>
      <c r="K10" s="65"/>
      <c r="L10" s="65"/>
      <c r="M10" s="71"/>
      <c r="N10" s="65"/>
      <c r="O10" s="65"/>
      <c r="P10" s="65"/>
      <c r="Q10" s="65"/>
      <c r="R10" s="65"/>
      <c r="S10" s="65"/>
      <c r="T10" s="71" t="s">
        <v>10</v>
      </c>
      <c r="U10" s="65" t="s">
        <v>10</v>
      </c>
      <c r="V10" s="65" t="s">
        <v>10</v>
      </c>
      <c r="W10" s="65" t="s">
        <v>10</v>
      </c>
      <c r="X10" s="65" t="s">
        <v>10</v>
      </c>
      <c r="Y10" s="65" t="s">
        <v>10</v>
      </c>
      <c r="Z10" s="65" t="s">
        <v>10</v>
      </c>
      <c r="AA10" s="71"/>
      <c r="AB10" s="65"/>
      <c r="AC10" s="65"/>
      <c r="AD10" s="65"/>
      <c r="AE10" s="65"/>
      <c r="AF10" s="65"/>
      <c r="AG10" s="65"/>
      <c r="AH10" s="71"/>
      <c r="AI10" s="33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8</v>
      </c>
      <c r="AJ10" s="33">
        <f>0</f>
        <v>0</v>
      </c>
      <c r="AK10" s="33">
        <f t="shared" si="1"/>
        <v>8</v>
      </c>
    </row>
    <row r="11" spans="1:37" s="7" customFormat="1" ht="13.5" customHeight="1" x14ac:dyDescent="0.2">
      <c r="A11" s="89"/>
      <c r="B11" s="89"/>
      <c r="C11" s="28" t="s">
        <v>11</v>
      </c>
      <c r="D11" s="65"/>
      <c r="E11" s="65"/>
      <c r="F11" s="71"/>
      <c r="G11" s="65"/>
      <c r="H11" s="65"/>
      <c r="I11" s="65"/>
      <c r="J11" s="65"/>
      <c r="K11" s="65"/>
      <c r="L11" s="65"/>
      <c r="M11" s="71"/>
      <c r="N11" s="65" t="s">
        <v>10</v>
      </c>
      <c r="O11" s="65" t="s">
        <v>10</v>
      </c>
      <c r="P11" s="65" t="s">
        <v>10</v>
      </c>
      <c r="Q11" s="65" t="s">
        <v>10</v>
      </c>
      <c r="R11" s="65" t="s">
        <v>10</v>
      </c>
      <c r="S11" s="65" t="s">
        <v>10</v>
      </c>
      <c r="T11" s="71"/>
      <c r="U11" s="65"/>
      <c r="V11" s="65"/>
      <c r="W11" s="65"/>
      <c r="X11" s="65"/>
      <c r="Y11" s="65"/>
      <c r="Z11" s="65"/>
      <c r="AA11" s="71"/>
      <c r="AB11" s="65"/>
      <c r="AC11" s="65"/>
      <c r="AD11" s="65"/>
      <c r="AE11" s="65"/>
      <c r="AF11" s="65"/>
      <c r="AG11" s="65"/>
      <c r="AH11" s="71" t="s">
        <v>10</v>
      </c>
      <c r="AI11" s="33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7</v>
      </c>
      <c r="AJ11" s="33">
        <f>0</f>
        <v>0</v>
      </c>
      <c r="AK11" s="33">
        <f t="shared" si="1"/>
        <v>7</v>
      </c>
    </row>
    <row r="12" spans="1:37" s="7" customFormat="1" ht="13.5" customHeight="1" x14ac:dyDescent="0.2">
      <c r="A12" s="90"/>
      <c r="B12" s="96"/>
      <c r="C12" s="28" t="s">
        <v>12</v>
      </c>
      <c r="D12" s="65"/>
      <c r="E12" s="65"/>
      <c r="F12" s="71" t="s">
        <v>10</v>
      </c>
      <c r="G12" s="65" t="s">
        <v>10</v>
      </c>
      <c r="H12" s="65">
        <v>0</v>
      </c>
      <c r="I12" s="65" t="s">
        <v>10</v>
      </c>
      <c r="J12" s="65" t="s">
        <v>10</v>
      </c>
      <c r="K12" s="65" t="s">
        <v>10</v>
      </c>
      <c r="L12" s="77" t="s">
        <v>10</v>
      </c>
      <c r="M12" s="71"/>
      <c r="N12" s="65"/>
      <c r="O12" s="65"/>
      <c r="P12" s="65"/>
      <c r="Q12" s="65"/>
      <c r="R12" s="65"/>
      <c r="S12" s="65"/>
      <c r="T12" s="71"/>
      <c r="U12" s="65"/>
      <c r="V12" s="65"/>
      <c r="W12" s="65"/>
      <c r="X12" s="65"/>
      <c r="Y12" s="65"/>
      <c r="Z12" s="65"/>
      <c r="AA12" s="71" t="s">
        <v>10</v>
      </c>
      <c r="AB12" s="65" t="s">
        <v>10</v>
      </c>
      <c r="AC12" s="65" t="s">
        <v>10</v>
      </c>
      <c r="AD12" s="65" t="s">
        <v>10</v>
      </c>
      <c r="AE12" s="65" t="s">
        <v>10</v>
      </c>
      <c r="AF12" s="65" t="s">
        <v>10</v>
      </c>
      <c r="AG12" s="65" t="s">
        <v>10</v>
      </c>
      <c r="AH12" s="71"/>
      <c r="AI12" s="33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13</v>
      </c>
      <c r="AJ12" s="33">
        <f>0</f>
        <v>0</v>
      </c>
      <c r="AK12" s="33">
        <f t="shared" si="1"/>
        <v>13</v>
      </c>
    </row>
    <row r="13" spans="1:37" s="7" customFormat="1" ht="23.25" customHeight="1" x14ac:dyDescent="0.2">
      <c r="A13" s="16"/>
      <c r="B13" s="17"/>
      <c r="C13" s="69"/>
      <c r="D13" s="69"/>
      <c r="E13" s="69"/>
      <c r="F13" s="71"/>
      <c r="G13" s="69"/>
      <c r="H13" s="69"/>
      <c r="I13" s="69"/>
      <c r="J13" s="69"/>
      <c r="K13" s="69"/>
      <c r="L13" s="69"/>
      <c r="M13" s="71"/>
      <c r="N13" s="69"/>
      <c r="O13" s="69"/>
      <c r="P13" s="69"/>
      <c r="Q13" s="69"/>
      <c r="R13" s="69"/>
      <c r="S13" s="69"/>
      <c r="T13" s="71"/>
      <c r="U13" s="69"/>
      <c r="V13" s="69"/>
      <c r="W13" s="69"/>
      <c r="X13" s="69"/>
      <c r="Y13" s="69"/>
      <c r="Z13" s="69"/>
      <c r="AA13" s="71"/>
      <c r="AB13" s="69"/>
      <c r="AC13" s="69"/>
      <c r="AD13" s="69"/>
      <c r="AE13" s="69"/>
      <c r="AF13" s="69"/>
      <c r="AG13" s="69"/>
      <c r="AH13" s="71"/>
      <c r="AI13" s="78">
        <f>0</f>
        <v>0</v>
      </c>
      <c r="AJ13" s="78">
        <f>SUM(D13:AH13)/8</f>
        <v>0</v>
      </c>
      <c r="AK13" s="78">
        <f t="shared" si="1"/>
        <v>0</v>
      </c>
    </row>
    <row r="14" spans="1:37" s="7" customFormat="1" ht="13.5" customHeight="1" x14ac:dyDescent="0.2">
      <c r="A14" s="94">
        <v>3</v>
      </c>
      <c r="B14" s="97" t="s">
        <v>14</v>
      </c>
      <c r="C14" s="28" t="s">
        <v>8</v>
      </c>
      <c r="D14" s="65"/>
      <c r="E14" s="65"/>
      <c r="F14" s="71"/>
      <c r="G14" s="65"/>
      <c r="H14" s="65"/>
      <c r="I14" s="65"/>
      <c r="J14" s="65"/>
      <c r="K14" s="65"/>
      <c r="L14" s="65"/>
      <c r="M14" s="71"/>
      <c r="N14" s="65"/>
      <c r="O14" s="65"/>
      <c r="P14" s="65"/>
      <c r="Q14" s="65"/>
      <c r="R14" s="65"/>
      <c r="S14" s="65"/>
      <c r="T14" s="71"/>
      <c r="U14" s="65"/>
      <c r="V14" s="65"/>
      <c r="W14" s="65"/>
      <c r="X14" s="65"/>
      <c r="Y14" s="65"/>
      <c r="Z14" s="65"/>
      <c r="AA14" s="71"/>
      <c r="AB14" s="65"/>
      <c r="AC14" s="65"/>
      <c r="AD14" s="65"/>
      <c r="AE14" s="65"/>
      <c r="AF14" s="65"/>
      <c r="AG14" s="65"/>
      <c r="AH14" s="71"/>
      <c r="AI14" s="33">
        <f>0</f>
        <v>0</v>
      </c>
      <c r="AJ14" s="33">
        <f>SUM(D14:AH14)/8</f>
        <v>0</v>
      </c>
      <c r="AK14" s="33">
        <f t="shared" si="1"/>
        <v>0</v>
      </c>
    </row>
    <row r="15" spans="1:37" s="7" customFormat="1" ht="13.5" customHeight="1" x14ac:dyDescent="0.2">
      <c r="A15" s="89"/>
      <c r="B15" s="89"/>
      <c r="C15" s="28" t="s">
        <v>9</v>
      </c>
      <c r="D15" s="65"/>
      <c r="E15" s="65"/>
      <c r="F15" s="71"/>
      <c r="G15" s="65" t="s">
        <v>10</v>
      </c>
      <c r="H15" s="65" t="s">
        <v>10</v>
      </c>
      <c r="I15" s="65" t="s">
        <v>10</v>
      </c>
      <c r="J15" s="65" t="s">
        <v>10</v>
      </c>
      <c r="K15" s="65" t="s">
        <v>10</v>
      </c>
      <c r="L15" s="77" t="s">
        <v>47</v>
      </c>
      <c r="M15" s="71"/>
      <c r="N15" s="65" t="s">
        <v>10</v>
      </c>
      <c r="O15" s="65" t="s">
        <v>10</v>
      </c>
      <c r="P15" s="65" t="s">
        <v>10</v>
      </c>
      <c r="Q15" s="65" t="s">
        <v>15</v>
      </c>
      <c r="R15" s="65" t="s">
        <v>10</v>
      </c>
      <c r="S15" s="65" t="s">
        <v>10</v>
      </c>
      <c r="T15" s="71"/>
      <c r="U15" s="65" t="s">
        <v>10</v>
      </c>
      <c r="V15" s="65" t="s">
        <v>48</v>
      </c>
      <c r="W15" s="65" t="s">
        <v>10</v>
      </c>
      <c r="X15" s="65" t="s">
        <v>10</v>
      </c>
      <c r="Y15" s="65" t="s">
        <v>10</v>
      </c>
      <c r="Z15" s="65" t="s">
        <v>15</v>
      </c>
      <c r="AA15" s="71"/>
      <c r="AB15" s="65" t="s">
        <v>10</v>
      </c>
      <c r="AC15" s="65" t="s">
        <v>10</v>
      </c>
      <c r="AD15" s="65" t="s">
        <v>10</v>
      </c>
      <c r="AE15" s="65" t="s">
        <v>15</v>
      </c>
      <c r="AF15" s="65" t="s">
        <v>10</v>
      </c>
      <c r="AG15" s="65" t="s">
        <v>10</v>
      </c>
      <c r="AH15" s="71" t="s">
        <v>10</v>
      </c>
      <c r="AI15" s="33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23.5</v>
      </c>
      <c r="AJ15" s="33">
        <f>0</f>
        <v>0</v>
      </c>
      <c r="AK15" s="33">
        <f t="shared" si="1"/>
        <v>23.5</v>
      </c>
    </row>
    <row r="16" spans="1:37" s="7" customFormat="1" ht="13.5" customHeight="1" x14ac:dyDescent="0.2">
      <c r="A16" s="89"/>
      <c r="B16" s="89"/>
      <c r="C16" s="28" t="s">
        <v>11</v>
      </c>
      <c r="D16" s="65"/>
      <c r="E16" s="65"/>
      <c r="F16" s="71"/>
      <c r="G16" s="65"/>
      <c r="H16" s="65"/>
      <c r="I16" s="65"/>
      <c r="J16" s="65"/>
      <c r="K16" s="65"/>
      <c r="L16" s="65"/>
      <c r="M16" s="71" t="s">
        <v>10</v>
      </c>
      <c r="N16" s="65"/>
      <c r="O16" s="65"/>
      <c r="P16" s="65"/>
      <c r="Q16" s="65"/>
      <c r="R16" s="65"/>
      <c r="S16" s="65"/>
      <c r="T16" s="71" t="s">
        <v>15</v>
      </c>
      <c r="U16" s="65"/>
      <c r="V16" s="65"/>
      <c r="W16" s="65"/>
      <c r="X16" s="65"/>
      <c r="Y16" s="65"/>
      <c r="Z16" s="65"/>
      <c r="AA16" s="71" t="s">
        <v>49</v>
      </c>
      <c r="AB16" s="65"/>
      <c r="AC16" s="65"/>
      <c r="AD16" s="65"/>
      <c r="AE16" s="65"/>
      <c r="AF16" s="65"/>
      <c r="AG16" s="65"/>
      <c r="AH16" s="71"/>
      <c r="AI16" s="33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2.5</v>
      </c>
      <c r="AJ16" s="33">
        <f>0</f>
        <v>0</v>
      </c>
      <c r="AK16" s="33">
        <f t="shared" si="1"/>
        <v>2.5</v>
      </c>
    </row>
    <row r="17" spans="1:37" s="7" customFormat="1" ht="13.5" customHeight="1" x14ac:dyDescent="0.2">
      <c r="A17" s="90"/>
      <c r="B17" s="96"/>
      <c r="C17" s="28" t="s">
        <v>12</v>
      </c>
      <c r="D17" s="65"/>
      <c r="E17" s="65"/>
      <c r="F17" s="71"/>
      <c r="G17" s="65"/>
      <c r="H17" s="65"/>
      <c r="I17" s="65"/>
      <c r="J17" s="65"/>
      <c r="K17" s="65"/>
      <c r="L17" s="65"/>
      <c r="M17" s="71"/>
      <c r="N17" s="65"/>
      <c r="O17" s="65"/>
      <c r="P17" s="65"/>
      <c r="Q17" s="65"/>
      <c r="R17" s="65"/>
      <c r="S17" s="65"/>
      <c r="T17" s="71"/>
      <c r="U17" s="65"/>
      <c r="V17" s="65"/>
      <c r="W17" s="65"/>
      <c r="X17" s="65"/>
      <c r="Y17" s="65"/>
      <c r="Z17" s="65"/>
      <c r="AA17" s="71"/>
      <c r="AB17" s="65"/>
      <c r="AC17" s="65"/>
      <c r="AD17" s="65"/>
      <c r="AE17" s="65"/>
      <c r="AF17" s="65"/>
      <c r="AG17" s="65"/>
      <c r="AH17" s="71"/>
      <c r="AI17" s="33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33">
        <f>0</f>
        <v>0</v>
      </c>
      <c r="AK17" s="33">
        <f t="shared" si="1"/>
        <v>0</v>
      </c>
    </row>
    <row r="18" spans="1:37" s="7" customFormat="1" ht="13.5" customHeight="1" x14ac:dyDescent="0.2">
      <c r="A18" s="16"/>
      <c r="B18" s="17"/>
      <c r="C18" s="69"/>
      <c r="D18" s="69"/>
      <c r="E18" s="69"/>
      <c r="F18" s="71"/>
      <c r="G18" s="69"/>
      <c r="H18" s="69"/>
      <c r="I18" s="69"/>
      <c r="J18" s="69"/>
      <c r="K18" s="69"/>
      <c r="L18" s="69"/>
      <c r="M18" s="71"/>
      <c r="N18" s="69"/>
      <c r="O18" s="69"/>
      <c r="P18" s="69"/>
      <c r="Q18" s="69"/>
      <c r="R18" s="69"/>
      <c r="S18" s="69"/>
      <c r="T18" s="71"/>
      <c r="U18" s="69"/>
      <c r="V18" s="69"/>
      <c r="W18" s="69"/>
      <c r="X18" s="69"/>
      <c r="Y18" s="69"/>
      <c r="Z18" s="69"/>
      <c r="AA18" s="71"/>
      <c r="AB18" s="69"/>
      <c r="AC18" s="69"/>
      <c r="AD18" s="69"/>
      <c r="AE18" s="69"/>
      <c r="AF18" s="69"/>
      <c r="AG18" s="69"/>
      <c r="AH18" s="71"/>
      <c r="AI18" s="78">
        <f>0</f>
        <v>0</v>
      </c>
      <c r="AJ18" s="78">
        <f>SUM(D18:AH18)/8</f>
        <v>0</v>
      </c>
      <c r="AK18" s="78">
        <f t="shared" si="1"/>
        <v>0</v>
      </c>
    </row>
    <row r="19" spans="1:37" s="7" customFormat="1" ht="13.5" customHeight="1" x14ac:dyDescent="0.2">
      <c r="A19" s="94">
        <v>4</v>
      </c>
      <c r="B19" s="97" t="s">
        <v>16</v>
      </c>
      <c r="C19" s="28" t="s">
        <v>8</v>
      </c>
      <c r="D19" s="65"/>
      <c r="E19" s="65"/>
      <c r="F19" s="71"/>
      <c r="G19" s="65"/>
      <c r="H19" s="65"/>
      <c r="I19" s="65"/>
      <c r="J19" s="65"/>
      <c r="K19" s="65"/>
      <c r="L19" s="65"/>
      <c r="M19" s="71"/>
      <c r="N19" s="65"/>
      <c r="O19" s="65"/>
      <c r="P19" s="65"/>
      <c r="Q19" s="65"/>
      <c r="R19" s="65"/>
      <c r="S19" s="65"/>
      <c r="T19" s="71"/>
      <c r="U19" s="65"/>
      <c r="V19" s="65"/>
      <c r="W19" s="65"/>
      <c r="X19" s="65"/>
      <c r="Y19" s="65"/>
      <c r="Z19" s="65"/>
      <c r="AA19" s="71"/>
      <c r="AB19" s="65"/>
      <c r="AC19" s="65"/>
      <c r="AD19" s="65"/>
      <c r="AE19" s="65"/>
      <c r="AF19" s="65"/>
      <c r="AG19" s="65"/>
      <c r="AH19" s="71"/>
      <c r="AI19" s="33">
        <f>0</f>
        <v>0</v>
      </c>
      <c r="AJ19" s="33">
        <f>SUM(D19:AH19)/8</f>
        <v>0</v>
      </c>
      <c r="AK19" s="33">
        <f t="shared" si="1"/>
        <v>0</v>
      </c>
    </row>
    <row r="20" spans="1:37" s="7" customFormat="1" ht="13.5" customHeight="1" x14ac:dyDescent="0.2">
      <c r="A20" s="89"/>
      <c r="B20" s="89"/>
      <c r="C20" s="28" t="s">
        <v>9</v>
      </c>
      <c r="D20" s="65"/>
      <c r="E20" s="65"/>
      <c r="F20" s="71"/>
      <c r="G20" s="65"/>
      <c r="H20" s="65"/>
      <c r="I20" s="65"/>
      <c r="J20" s="65"/>
      <c r="K20" s="65"/>
      <c r="L20" s="65"/>
      <c r="M20" s="71" t="s">
        <v>10</v>
      </c>
      <c r="N20" s="65" t="s">
        <v>10</v>
      </c>
      <c r="O20" s="65" t="s">
        <v>10</v>
      </c>
      <c r="P20" s="65" t="s">
        <v>10</v>
      </c>
      <c r="Q20" s="65"/>
      <c r="R20" s="65"/>
      <c r="S20" s="65" t="s">
        <v>10</v>
      </c>
      <c r="T20" s="71"/>
      <c r="U20" s="65" t="s">
        <v>10</v>
      </c>
      <c r="V20" s="65" t="s">
        <v>10</v>
      </c>
      <c r="W20" s="65" t="s">
        <v>10</v>
      </c>
      <c r="X20" s="65" t="s">
        <v>10</v>
      </c>
      <c r="Y20" s="65" t="s">
        <v>10</v>
      </c>
      <c r="Z20" s="65" t="s">
        <v>10</v>
      </c>
      <c r="AA20" s="71"/>
      <c r="AB20" s="65"/>
      <c r="AC20" s="65"/>
      <c r="AD20" s="65"/>
      <c r="AE20" s="65"/>
      <c r="AF20" s="65"/>
      <c r="AG20" s="65"/>
      <c r="AH20" s="71"/>
      <c r="AI20" s="33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11</v>
      </c>
      <c r="AJ20" s="33">
        <f>0</f>
        <v>0</v>
      </c>
      <c r="AK20" s="33">
        <f t="shared" si="1"/>
        <v>11</v>
      </c>
    </row>
    <row r="21" spans="1:37" s="7" customFormat="1" ht="13.5" customHeight="1" x14ac:dyDescent="0.2">
      <c r="A21" s="89"/>
      <c r="B21" s="89"/>
      <c r="C21" s="28" t="s">
        <v>11</v>
      </c>
      <c r="D21" s="65"/>
      <c r="E21" s="65" t="s">
        <v>10</v>
      </c>
      <c r="F21" s="71" t="s">
        <v>10</v>
      </c>
      <c r="G21" s="65" t="s">
        <v>10</v>
      </c>
      <c r="H21" s="65" t="s">
        <v>10</v>
      </c>
      <c r="I21" s="65" t="s">
        <v>10</v>
      </c>
      <c r="J21" s="65" t="s">
        <v>10</v>
      </c>
      <c r="K21" s="65" t="s">
        <v>10</v>
      </c>
      <c r="L21" s="65" t="s">
        <v>10</v>
      </c>
      <c r="M21" s="71"/>
      <c r="N21" s="65"/>
      <c r="O21" s="65"/>
      <c r="P21" s="65"/>
      <c r="Q21" s="65" t="s">
        <v>10</v>
      </c>
      <c r="R21" s="65" t="s">
        <v>10</v>
      </c>
      <c r="S21" s="65"/>
      <c r="T21" s="71"/>
      <c r="U21" s="65"/>
      <c r="V21" s="65"/>
      <c r="W21" s="65"/>
      <c r="X21" s="65"/>
      <c r="Y21" s="65"/>
      <c r="Z21" s="65"/>
      <c r="AA21" s="71"/>
      <c r="AB21" s="65" t="s">
        <v>10</v>
      </c>
      <c r="AC21" s="65" t="s">
        <v>10</v>
      </c>
      <c r="AD21" s="65" t="s">
        <v>10</v>
      </c>
      <c r="AE21" s="65" t="s">
        <v>10</v>
      </c>
      <c r="AF21" s="65" t="s">
        <v>10</v>
      </c>
      <c r="AG21" s="65" t="s">
        <v>10</v>
      </c>
      <c r="AH21" s="71"/>
      <c r="AI21" s="33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16</v>
      </c>
      <c r="AJ21" s="33">
        <f>0</f>
        <v>0</v>
      </c>
      <c r="AK21" s="33">
        <f t="shared" si="1"/>
        <v>16</v>
      </c>
    </row>
    <row r="22" spans="1:37" s="7" customFormat="1" ht="13.5" customHeight="1" x14ac:dyDescent="0.2">
      <c r="A22" s="90"/>
      <c r="B22" s="96"/>
      <c r="C22" s="28" t="s">
        <v>12</v>
      </c>
      <c r="D22" s="65"/>
      <c r="E22" s="65"/>
      <c r="F22" s="71"/>
      <c r="G22" s="65"/>
      <c r="H22" s="65"/>
      <c r="I22" s="65"/>
      <c r="J22" s="65"/>
      <c r="K22" s="65"/>
      <c r="L22" s="65"/>
      <c r="M22" s="71"/>
      <c r="N22" s="65"/>
      <c r="O22" s="65"/>
      <c r="P22" s="65"/>
      <c r="Q22" s="65"/>
      <c r="R22" s="65"/>
      <c r="S22" s="65"/>
      <c r="T22" s="71"/>
      <c r="U22" s="65"/>
      <c r="V22" s="65"/>
      <c r="W22" s="65"/>
      <c r="X22" s="65"/>
      <c r="Y22" s="65"/>
      <c r="Z22" s="65"/>
      <c r="AA22" s="71"/>
      <c r="AB22" s="65"/>
      <c r="AC22" s="65"/>
      <c r="AD22" s="65"/>
      <c r="AE22" s="65"/>
      <c r="AF22" s="65"/>
      <c r="AG22" s="65"/>
      <c r="AH22" s="71"/>
      <c r="AI22" s="33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33">
        <f>0</f>
        <v>0</v>
      </c>
      <c r="AK22" s="33">
        <f t="shared" si="1"/>
        <v>0</v>
      </c>
    </row>
    <row r="23" spans="1:37" s="7" customFormat="1" ht="13.5" customHeight="1" x14ac:dyDescent="0.2">
      <c r="A23" s="16"/>
      <c r="B23" s="17"/>
      <c r="C23" s="69"/>
      <c r="D23" s="69"/>
      <c r="E23" s="69"/>
      <c r="F23" s="71"/>
      <c r="G23" s="69"/>
      <c r="H23" s="69"/>
      <c r="I23" s="69"/>
      <c r="J23" s="69"/>
      <c r="K23" s="69"/>
      <c r="L23" s="69"/>
      <c r="M23" s="71"/>
      <c r="N23" s="69"/>
      <c r="O23" s="69"/>
      <c r="P23" s="69"/>
      <c r="Q23" s="69"/>
      <c r="R23" s="69"/>
      <c r="S23" s="69"/>
      <c r="T23" s="71"/>
      <c r="U23" s="69"/>
      <c r="V23" s="69"/>
      <c r="W23" s="69"/>
      <c r="X23" s="69"/>
      <c r="Y23" s="69"/>
      <c r="Z23" s="69"/>
      <c r="AA23" s="71"/>
      <c r="AB23" s="69"/>
      <c r="AC23" s="69"/>
      <c r="AD23" s="69"/>
      <c r="AE23" s="69"/>
      <c r="AF23" s="69"/>
      <c r="AG23" s="69"/>
      <c r="AH23" s="71"/>
      <c r="AI23" s="33">
        <f>0</f>
        <v>0</v>
      </c>
      <c r="AJ23" s="33">
        <f>SUM(D23:AH23)/8</f>
        <v>0</v>
      </c>
      <c r="AK23" s="33">
        <f t="shared" si="1"/>
        <v>0</v>
      </c>
    </row>
    <row r="24" spans="1:37" s="7" customFormat="1" ht="12.75" customHeight="1" x14ac:dyDescent="0.2">
      <c r="A24" s="94">
        <v>5</v>
      </c>
      <c r="B24" s="97" t="s">
        <v>17</v>
      </c>
      <c r="C24" s="28" t="s">
        <v>8</v>
      </c>
      <c r="D24" s="65"/>
      <c r="E24" s="65"/>
      <c r="F24" s="71"/>
      <c r="G24" s="65"/>
      <c r="H24" s="65"/>
      <c r="I24" s="65"/>
      <c r="J24" s="65"/>
      <c r="K24" s="65"/>
      <c r="L24" s="65"/>
      <c r="M24" s="71"/>
      <c r="N24" s="65"/>
      <c r="O24" s="65"/>
      <c r="P24" s="65"/>
      <c r="Q24" s="65"/>
      <c r="R24" s="65"/>
      <c r="S24" s="65"/>
      <c r="T24" s="71"/>
      <c r="U24" s="65"/>
      <c r="V24" s="65"/>
      <c r="W24" s="65"/>
      <c r="X24" s="65"/>
      <c r="Y24" s="65"/>
      <c r="Z24" s="65"/>
      <c r="AA24" s="71"/>
      <c r="AB24" s="65"/>
      <c r="AC24" s="65"/>
      <c r="AD24" s="65"/>
      <c r="AE24" s="65"/>
      <c r="AF24" s="65"/>
      <c r="AG24" s="65"/>
      <c r="AH24" s="71"/>
      <c r="AI24" s="33">
        <f>0</f>
        <v>0</v>
      </c>
      <c r="AJ24" s="33">
        <f>SUM(D24:AH24)/8</f>
        <v>0</v>
      </c>
      <c r="AK24" s="33">
        <f t="shared" si="1"/>
        <v>0</v>
      </c>
    </row>
    <row r="25" spans="1:37" s="7" customFormat="1" ht="13.5" customHeight="1" x14ac:dyDescent="0.2">
      <c r="A25" s="89"/>
      <c r="B25" s="89"/>
      <c r="C25" s="28" t="s">
        <v>9</v>
      </c>
      <c r="D25" s="65"/>
      <c r="E25" s="65"/>
      <c r="F25" s="71"/>
      <c r="G25" s="65"/>
      <c r="H25" s="65"/>
      <c r="I25" s="65"/>
      <c r="J25" s="65"/>
      <c r="K25" s="65"/>
      <c r="L25" s="65"/>
      <c r="M25" s="71"/>
      <c r="N25" s="65"/>
      <c r="O25" s="65"/>
      <c r="P25" s="65"/>
      <c r="Q25" s="65"/>
      <c r="R25" s="65"/>
      <c r="S25" s="65"/>
      <c r="T25" s="71"/>
      <c r="U25" s="65"/>
      <c r="V25" s="65"/>
      <c r="W25" s="65"/>
      <c r="X25" s="65"/>
      <c r="Y25" s="65"/>
      <c r="Z25" s="65"/>
      <c r="AA25" s="71"/>
      <c r="AB25" s="65"/>
      <c r="AC25" s="65"/>
      <c r="AD25" s="65"/>
      <c r="AE25" s="65"/>
      <c r="AF25" s="65"/>
      <c r="AG25" s="65"/>
      <c r="AH25" s="71"/>
      <c r="AI25" s="33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0</v>
      </c>
      <c r="AJ25" s="33">
        <f>0</f>
        <v>0</v>
      </c>
      <c r="AK25" s="33">
        <f t="shared" si="1"/>
        <v>0</v>
      </c>
    </row>
    <row r="26" spans="1:37" s="7" customFormat="1" ht="13.5" customHeight="1" x14ac:dyDescent="0.2">
      <c r="A26" s="89"/>
      <c r="B26" s="89"/>
      <c r="C26" s="28" t="s">
        <v>11</v>
      </c>
      <c r="D26" s="65"/>
      <c r="E26" s="65" t="s">
        <v>10</v>
      </c>
      <c r="F26" s="71"/>
      <c r="G26" s="65" t="s">
        <v>10</v>
      </c>
      <c r="H26" s="65" t="s">
        <v>10</v>
      </c>
      <c r="I26" s="65" t="s">
        <v>10</v>
      </c>
      <c r="J26" s="65" t="s">
        <v>10</v>
      </c>
      <c r="K26" s="65" t="s">
        <v>10</v>
      </c>
      <c r="L26" s="65" t="s">
        <v>10</v>
      </c>
      <c r="M26" s="71" t="s">
        <v>10</v>
      </c>
      <c r="N26" s="65" t="s">
        <v>10</v>
      </c>
      <c r="O26" s="65" t="s">
        <v>10</v>
      </c>
      <c r="P26" s="65" t="s">
        <v>10</v>
      </c>
      <c r="Q26" s="65" t="s">
        <v>10</v>
      </c>
      <c r="R26" s="65" t="s">
        <v>10</v>
      </c>
      <c r="S26" s="65" t="s">
        <v>10</v>
      </c>
      <c r="T26" s="71" t="s">
        <v>10</v>
      </c>
      <c r="U26" s="65" t="s">
        <v>10</v>
      </c>
      <c r="V26" s="65" t="s">
        <v>10</v>
      </c>
      <c r="W26" s="65" t="s">
        <v>10</v>
      </c>
      <c r="X26" s="65" t="s">
        <v>10</v>
      </c>
      <c r="Y26" s="65" t="s">
        <v>10</v>
      </c>
      <c r="Z26" s="65" t="s">
        <v>10</v>
      </c>
      <c r="AA26" s="71" t="s">
        <v>10</v>
      </c>
      <c r="AB26" s="65" t="s">
        <v>10</v>
      </c>
      <c r="AC26" s="65" t="s">
        <v>10</v>
      </c>
      <c r="AD26" s="65" t="s">
        <v>10</v>
      </c>
      <c r="AE26" s="65" t="s">
        <v>10</v>
      </c>
      <c r="AF26" s="65" t="s">
        <v>10</v>
      </c>
      <c r="AG26" s="65" t="s">
        <v>10</v>
      </c>
      <c r="AH26" s="71" t="s">
        <v>10</v>
      </c>
      <c r="AI26" s="33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29</v>
      </c>
      <c r="AJ26" s="33">
        <f>0</f>
        <v>0</v>
      </c>
      <c r="AK26" s="33">
        <f t="shared" si="1"/>
        <v>29</v>
      </c>
    </row>
    <row r="27" spans="1:37" s="7" customFormat="1" ht="13.5" customHeight="1" x14ac:dyDescent="0.2">
      <c r="A27" s="90"/>
      <c r="B27" s="96"/>
      <c r="C27" s="28" t="s">
        <v>12</v>
      </c>
      <c r="D27" s="65"/>
      <c r="E27" s="65"/>
      <c r="F27" s="71"/>
      <c r="G27" s="65"/>
      <c r="H27" s="65"/>
      <c r="I27" s="65"/>
      <c r="J27" s="65"/>
      <c r="K27" s="65"/>
      <c r="L27" s="65"/>
      <c r="M27" s="71"/>
      <c r="N27" s="65"/>
      <c r="O27" s="65"/>
      <c r="P27" s="65"/>
      <c r="Q27" s="65"/>
      <c r="R27" s="65"/>
      <c r="S27" s="65"/>
      <c r="T27" s="71"/>
      <c r="U27" s="65"/>
      <c r="V27" s="65"/>
      <c r="W27" s="65"/>
      <c r="X27" s="65"/>
      <c r="Y27" s="65"/>
      <c r="Z27" s="65"/>
      <c r="AA27" s="71"/>
      <c r="AB27" s="65"/>
      <c r="AC27" s="65"/>
      <c r="AD27" s="65"/>
      <c r="AE27" s="65"/>
      <c r="AF27" s="65"/>
      <c r="AG27" s="65"/>
      <c r="AH27" s="71"/>
      <c r="AI27" s="78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78">
        <f>0</f>
        <v>0</v>
      </c>
      <c r="AK27" s="78">
        <f t="shared" si="1"/>
        <v>0</v>
      </c>
    </row>
    <row r="28" spans="1:37" s="7" customFormat="1" ht="13.5" customHeight="1" x14ac:dyDescent="0.2">
      <c r="A28" s="16"/>
      <c r="B28" s="17"/>
      <c r="C28" s="69"/>
      <c r="D28" s="69"/>
      <c r="E28" s="69"/>
      <c r="F28" s="71"/>
      <c r="G28" s="69"/>
      <c r="H28" s="69"/>
      <c r="I28" s="69"/>
      <c r="J28" s="69"/>
      <c r="K28" s="69"/>
      <c r="L28" s="69"/>
      <c r="M28" s="71"/>
      <c r="N28" s="69"/>
      <c r="O28" s="69"/>
      <c r="P28" s="69"/>
      <c r="Q28" s="69"/>
      <c r="R28" s="69"/>
      <c r="S28" s="69"/>
      <c r="T28" s="71"/>
      <c r="U28" s="69"/>
      <c r="V28" s="69"/>
      <c r="W28" s="69"/>
      <c r="X28" s="69"/>
      <c r="Y28" s="69"/>
      <c r="Z28" s="69"/>
      <c r="AA28" s="71"/>
      <c r="AB28" s="69"/>
      <c r="AC28" s="69"/>
      <c r="AD28" s="69"/>
      <c r="AE28" s="69"/>
      <c r="AF28" s="69"/>
      <c r="AG28" s="69"/>
      <c r="AH28" s="71"/>
      <c r="AI28" s="33">
        <f>0</f>
        <v>0</v>
      </c>
      <c r="AJ28" s="33" t="str">
        <f>""</f>
        <v/>
      </c>
      <c r="AK28" s="33" t="str">
        <f>""</f>
        <v/>
      </c>
    </row>
    <row r="29" spans="1:37" s="7" customFormat="1" ht="13.5" customHeight="1" x14ac:dyDescent="0.2">
      <c r="A29" s="94">
        <v>6</v>
      </c>
      <c r="B29" s="97" t="s">
        <v>18</v>
      </c>
      <c r="C29" s="28" t="s">
        <v>8</v>
      </c>
      <c r="D29" s="65"/>
      <c r="E29" s="65"/>
      <c r="F29" s="71"/>
      <c r="G29" s="65"/>
      <c r="H29" s="65"/>
      <c r="I29" s="65"/>
      <c r="J29" s="65"/>
      <c r="K29" s="65"/>
      <c r="L29" s="65"/>
      <c r="M29" s="71"/>
      <c r="N29" s="65"/>
      <c r="O29" s="65"/>
      <c r="P29" s="65"/>
      <c r="Q29" s="65"/>
      <c r="R29" s="65"/>
      <c r="S29" s="65"/>
      <c r="T29" s="71"/>
      <c r="U29" s="65"/>
      <c r="V29" s="65"/>
      <c r="W29" s="65"/>
      <c r="X29" s="65"/>
      <c r="Y29" s="65"/>
      <c r="Z29" s="65"/>
      <c r="AA29" s="71"/>
      <c r="AB29" s="65"/>
      <c r="AC29" s="65"/>
      <c r="AD29" s="65"/>
      <c r="AE29" s="65"/>
      <c r="AF29" s="65"/>
      <c r="AG29" s="65"/>
      <c r="AH29" s="71"/>
      <c r="AI29" s="33">
        <f>0</f>
        <v>0</v>
      </c>
      <c r="AJ29" s="33">
        <f>SUM(D29:AH29)/8</f>
        <v>0</v>
      </c>
      <c r="AK29" s="33">
        <f>AI29+AJ29</f>
        <v>0</v>
      </c>
    </row>
    <row r="30" spans="1:37" s="7" customFormat="1" ht="12.75" customHeight="1" x14ac:dyDescent="0.2">
      <c r="A30" s="89"/>
      <c r="B30" s="89"/>
      <c r="C30" s="28" t="s">
        <v>9</v>
      </c>
      <c r="D30" s="65"/>
      <c r="E30" s="65"/>
      <c r="F30" s="71" t="s">
        <v>10</v>
      </c>
      <c r="G30" s="65" t="s">
        <v>10</v>
      </c>
      <c r="H30" s="65" t="s">
        <v>10</v>
      </c>
      <c r="I30" s="65" t="s">
        <v>10</v>
      </c>
      <c r="J30" s="65" t="s">
        <v>10</v>
      </c>
      <c r="K30" s="65" t="s">
        <v>10</v>
      </c>
      <c r="L30" s="65" t="s">
        <v>10</v>
      </c>
      <c r="M30" s="71"/>
      <c r="N30" s="65"/>
      <c r="O30" s="65"/>
      <c r="P30" s="65"/>
      <c r="Q30" s="65"/>
      <c r="R30" s="65"/>
      <c r="S30" s="65"/>
      <c r="T30" s="71"/>
      <c r="U30" s="65"/>
      <c r="V30" s="65"/>
      <c r="W30" s="65"/>
      <c r="X30" s="65"/>
      <c r="Y30" s="65"/>
      <c r="Z30" s="65"/>
      <c r="AA30" s="71" t="s">
        <v>10</v>
      </c>
      <c r="AB30" s="65" t="s">
        <v>10</v>
      </c>
      <c r="AC30" s="65" t="s">
        <v>10</v>
      </c>
      <c r="AD30" s="65" t="s">
        <v>10</v>
      </c>
      <c r="AE30" s="65" t="s">
        <v>10</v>
      </c>
      <c r="AF30" s="65" t="s">
        <v>10</v>
      </c>
      <c r="AG30" s="65" t="s">
        <v>10</v>
      </c>
      <c r="AH30" s="71"/>
      <c r="AI30" s="33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14</v>
      </c>
      <c r="AJ30" s="33">
        <f>0</f>
        <v>0</v>
      </c>
      <c r="AK30" s="33">
        <f>AI30+AJ30</f>
        <v>14</v>
      </c>
    </row>
    <row r="31" spans="1:37" s="7" customFormat="1" ht="13.5" customHeight="1" x14ac:dyDescent="0.2">
      <c r="A31" s="89"/>
      <c r="B31" s="89"/>
      <c r="C31" s="28" t="s">
        <v>11</v>
      </c>
      <c r="D31" s="65"/>
      <c r="E31" s="65" t="s">
        <v>10</v>
      </c>
      <c r="F31" s="71"/>
      <c r="G31" s="65"/>
      <c r="H31" s="65"/>
      <c r="I31" s="65"/>
      <c r="J31" s="65"/>
      <c r="K31" s="65"/>
      <c r="L31" s="65"/>
      <c r="M31" s="71"/>
      <c r="N31" s="65"/>
      <c r="O31" s="65"/>
      <c r="P31" s="65"/>
      <c r="Q31" s="65"/>
      <c r="R31" s="65"/>
      <c r="S31" s="65"/>
      <c r="T31" s="71" t="s">
        <v>10</v>
      </c>
      <c r="U31" s="65" t="s">
        <v>10</v>
      </c>
      <c r="V31" s="65" t="s">
        <v>10</v>
      </c>
      <c r="W31" s="65" t="s">
        <v>10</v>
      </c>
      <c r="X31" s="65" t="s">
        <v>10</v>
      </c>
      <c r="Y31" s="65" t="s">
        <v>10</v>
      </c>
      <c r="Z31" s="65" t="s">
        <v>10</v>
      </c>
      <c r="AA31" s="71"/>
      <c r="AB31" s="65"/>
      <c r="AC31" s="65"/>
      <c r="AD31" s="65"/>
      <c r="AE31" s="65"/>
      <c r="AF31" s="65"/>
      <c r="AG31" s="65"/>
      <c r="AH31" s="71"/>
      <c r="AI31" s="33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8</v>
      </c>
      <c r="AJ31" s="33">
        <f>0</f>
        <v>0</v>
      </c>
      <c r="AK31" s="33">
        <f>AI31+AJ31</f>
        <v>8</v>
      </c>
    </row>
    <row r="32" spans="1:37" s="7" customFormat="1" ht="13.5" customHeight="1" x14ac:dyDescent="0.2">
      <c r="A32" s="90"/>
      <c r="B32" s="96"/>
      <c r="C32" s="28" t="s">
        <v>12</v>
      </c>
      <c r="D32" s="65"/>
      <c r="E32" s="65"/>
      <c r="F32" s="71"/>
      <c r="G32" s="65"/>
      <c r="H32" s="65"/>
      <c r="I32" s="65"/>
      <c r="J32" s="65"/>
      <c r="K32" s="65"/>
      <c r="L32" s="65"/>
      <c r="M32" s="71" t="s">
        <v>10</v>
      </c>
      <c r="N32" s="65" t="s">
        <v>10</v>
      </c>
      <c r="O32" s="65" t="s">
        <v>10</v>
      </c>
      <c r="P32" s="65" t="s">
        <v>10</v>
      </c>
      <c r="Q32" s="65" t="s">
        <v>10</v>
      </c>
      <c r="R32" s="65" t="s">
        <v>10</v>
      </c>
      <c r="S32" s="65" t="s">
        <v>10</v>
      </c>
      <c r="T32" s="71"/>
      <c r="U32" s="65"/>
      <c r="V32" s="65"/>
      <c r="W32" s="65"/>
      <c r="X32" s="65"/>
      <c r="Y32" s="65"/>
      <c r="Z32" s="65"/>
      <c r="AA32" s="71"/>
      <c r="AB32" s="65"/>
      <c r="AC32" s="65"/>
      <c r="AD32" s="65"/>
      <c r="AE32" s="65"/>
      <c r="AF32" s="65"/>
      <c r="AG32" s="65"/>
      <c r="AH32" s="71"/>
      <c r="AI32" s="78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7</v>
      </c>
      <c r="AJ32" s="78">
        <f>0</f>
        <v>0</v>
      </c>
      <c r="AK32" s="78">
        <f>AI32+AJ32</f>
        <v>7</v>
      </c>
    </row>
    <row r="33" spans="1:44" s="7" customFormat="1" ht="13.5" customHeight="1" x14ac:dyDescent="0.2">
      <c r="A33" s="16"/>
      <c r="B33" s="17"/>
      <c r="C33" s="69"/>
      <c r="D33" s="69"/>
      <c r="E33" s="69"/>
      <c r="F33" s="71"/>
      <c r="G33" s="69"/>
      <c r="H33" s="69"/>
      <c r="I33" s="69"/>
      <c r="J33" s="69"/>
      <c r="K33" s="69"/>
      <c r="L33" s="69"/>
      <c r="M33" s="71"/>
      <c r="N33" s="69"/>
      <c r="O33" s="69"/>
      <c r="P33" s="69"/>
      <c r="Q33" s="69"/>
      <c r="R33" s="69"/>
      <c r="S33" s="69"/>
      <c r="T33" s="71"/>
      <c r="U33" s="69"/>
      <c r="V33" s="69"/>
      <c r="W33" s="69"/>
      <c r="X33" s="69"/>
      <c r="Y33" s="69"/>
      <c r="Z33" s="69"/>
      <c r="AA33" s="71"/>
      <c r="AB33" s="69"/>
      <c r="AC33" s="69"/>
      <c r="AD33" s="69"/>
      <c r="AE33" s="69"/>
      <c r="AF33" s="69"/>
      <c r="AG33" s="69"/>
      <c r="AH33" s="71"/>
      <c r="AI33" s="33">
        <f>0</f>
        <v>0</v>
      </c>
      <c r="AJ33" s="33" t="str">
        <f>""</f>
        <v/>
      </c>
      <c r="AK33" s="33" t="str">
        <f>""</f>
        <v/>
      </c>
    </row>
    <row r="34" spans="1:44" s="7" customFormat="1" ht="13.5" customHeight="1" x14ac:dyDescent="0.2">
      <c r="A34" s="94">
        <v>7</v>
      </c>
      <c r="B34" s="97" t="s">
        <v>19</v>
      </c>
      <c r="C34" s="28" t="s">
        <v>8</v>
      </c>
      <c r="D34" s="65"/>
      <c r="E34" s="65"/>
      <c r="F34" s="71"/>
      <c r="G34" s="65"/>
      <c r="H34" s="65"/>
      <c r="I34" s="65"/>
      <c r="J34" s="65"/>
      <c r="K34" s="65"/>
      <c r="L34" s="65"/>
      <c r="M34" s="71"/>
      <c r="N34" s="65"/>
      <c r="O34" s="65"/>
      <c r="P34" s="65"/>
      <c r="Q34" s="65"/>
      <c r="R34" s="65"/>
      <c r="S34" s="65"/>
      <c r="T34" s="71"/>
      <c r="U34" s="65"/>
      <c r="V34" s="65"/>
      <c r="W34" s="65"/>
      <c r="X34" s="65"/>
      <c r="Y34" s="65"/>
      <c r="Z34" s="65"/>
      <c r="AA34" s="71"/>
      <c r="AB34" s="65"/>
      <c r="AC34" s="65"/>
      <c r="AD34" s="65"/>
      <c r="AE34" s="65"/>
      <c r="AF34" s="65"/>
      <c r="AG34" s="65"/>
      <c r="AH34" s="71"/>
      <c r="AI34" s="33">
        <f>0</f>
        <v>0</v>
      </c>
      <c r="AJ34" s="33">
        <f>SUM(D34:AH34)/8</f>
        <v>0</v>
      </c>
      <c r="AK34" s="33">
        <f>AI34+AJ34</f>
        <v>0</v>
      </c>
    </row>
    <row r="35" spans="1:44" s="7" customFormat="1" ht="13.5" customHeight="1" x14ac:dyDescent="0.2">
      <c r="A35" s="89"/>
      <c r="B35" s="89"/>
      <c r="C35" s="28" t="s">
        <v>9</v>
      </c>
      <c r="D35" s="65"/>
      <c r="E35" s="65"/>
      <c r="F35" s="71" t="s">
        <v>10</v>
      </c>
      <c r="G35" s="65" t="s">
        <v>10</v>
      </c>
      <c r="H35" s="65" t="s">
        <v>10</v>
      </c>
      <c r="I35" s="65" t="s">
        <v>10</v>
      </c>
      <c r="J35" s="65" t="s">
        <v>10</v>
      </c>
      <c r="K35" s="65" t="s">
        <v>10</v>
      </c>
      <c r="L35" s="65" t="s">
        <v>10</v>
      </c>
      <c r="M35" s="71"/>
      <c r="N35" s="65"/>
      <c r="O35" s="65"/>
      <c r="P35" s="65"/>
      <c r="Q35" s="65"/>
      <c r="R35" s="65"/>
      <c r="S35" s="65"/>
      <c r="T35" s="71"/>
      <c r="U35" s="65"/>
      <c r="V35" s="65"/>
      <c r="W35" s="65"/>
      <c r="X35" s="65"/>
      <c r="Y35" s="65"/>
      <c r="Z35" s="65"/>
      <c r="AA35" s="71" t="s">
        <v>10</v>
      </c>
      <c r="AB35" s="65" t="s">
        <v>10</v>
      </c>
      <c r="AC35" s="65" t="s">
        <v>10</v>
      </c>
      <c r="AD35" s="65" t="s">
        <v>10</v>
      </c>
      <c r="AE35" s="65" t="s">
        <v>10</v>
      </c>
      <c r="AF35" s="65" t="s">
        <v>10</v>
      </c>
      <c r="AG35" s="65" t="s">
        <v>10</v>
      </c>
      <c r="AH35" s="71"/>
      <c r="AI35" s="33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14</v>
      </c>
      <c r="AJ35" s="33">
        <f>0</f>
        <v>0</v>
      </c>
      <c r="AK35" s="33">
        <f>AI35+AJ35</f>
        <v>14</v>
      </c>
    </row>
    <row r="36" spans="1:44" s="7" customFormat="1" ht="13.5" customHeight="1" x14ac:dyDescent="0.2">
      <c r="A36" s="89"/>
      <c r="B36" s="89"/>
      <c r="C36" s="28" t="s">
        <v>11</v>
      </c>
      <c r="D36" s="65"/>
      <c r="E36" s="65" t="s">
        <v>10</v>
      </c>
      <c r="F36" s="71"/>
      <c r="G36" s="65"/>
      <c r="H36" s="65"/>
      <c r="I36" s="65"/>
      <c r="J36" s="65"/>
      <c r="K36" s="65"/>
      <c r="L36" s="65"/>
      <c r="M36" s="71"/>
      <c r="N36" s="65"/>
      <c r="O36" s="65"/>
      <c r="P36" s="65"/>
      <c r="Q36" s="65"/>
      <c r="R36" s="65"/>
      <c r="S36" s="65"/>
      <c r="T36" s="71"/>
      <c r="U36" s="65"/>
      <c r="V36" s="65"/>
      <c r="W36" s="65"/>
      <c r="X36" s="65"/>
      <c r="Y36" s="65"/>
      <c r="Z36" s="65"/>
      <c r="AA36" s="71"/>
      <c r="AB36" s="65"/>
      <c r="AC36" s="65"/>
      <c r="AD36" s="65"/>
      <c r="AE36" s="65"/>
      <c r="AF36" s="65"/>
      <c r="AG36" s="65"/>
      <c r="AH36" s="71"/>
      <c r="AI36" s="33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1</v>
      </c>
      <c r="AJ36" s="33">
        <f>0</f>
        <v>0</v>
      </c>
      <c r="AK36" s="33">
        <f>AI36+AJ36</f>
        <v>1</v>
      </c>
    </row>
    <row r="37" spans="1:44" s="7" customFormat="1" ht="13.5" customHeight="1" x14ac:dyDescent="0.2">
      <c r="A37" s="90"/>
      <c r="B37" s="96"/>
      <c r="C37" s="28" t="s">
        <v>12</v>
      </c>
      <c r="D37" s="65"/>
      <c r="E37" s="65"/>
      <c r="F37" s="71"/>
      <c r="G37" s="65"/>
      <c r="H37" s="65"/>
      <c r="I37" s="65"/>
      <c r="J37" s="65"/>
      <c r="K37" s="65"/>
      <c r="L37" s="65"/>
      <c r="M37" s="71" t="s">
        <v>10</v>
      </c>
      <c r="N37" s="65" t="s">
        <v>10</v>
      </c>
      <c r="O37" s="65" t="s">
        <v>10</v>
      </c>
      <c r="P37" s="65" t="s">
        <v>10</v>
      </c>
      <c r="Q37" s="65" t="s">
        <v>10</v>
      </c>
      <c r="R37" s="65" t="s">
        <v>10</v>
      </c>
      <c r="S37" s="65" t="s">
        <v>10</v>
      </c>
      <c r="T37" s="71"/>
      <c r="U37" s="65" t="s">
        <v>10</v>
      </c>
      <c r="V37" s="65" t="s">
        <v>10</v>
      </c>
      <c r="W37" s="65" t="s">
        <v>10</v>
      </c>
      <c r="X37" s="65" t="s">
        <v>10</v>
      </c>
      <c r="Y37" s="65" t="s">
        <v>10</v>
      </c>
      <c r="Z37" s="65" t="s">
        <v>10</v>
      </c>
      <c r="AA37" s="71"/>
      <c r="AB37" s="65"/>
      <c r="AC37" s="65"/>
      <c r="AD37" s="65"/>
      <c r="AE37" s="65"/>
      <c r="AF37" s="65"/>
      <c r="AG37" s="65"/>
      <c r="AH37" s="71" t="s">
        <v>10</v>
      </c>
      <c r="AI37" s="78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14</v>
      </c>
      <c r="AJ37" s="78">
        <f>0</f>
        <v>0</v>
      </c>
      <c r="AK37" s="78">
        <f>AI37+AJ37</f>
        <v>14</v>
      </c>
    </row>
    <row r="38" spans="1:44" s="7" customFormat="1" ht="13.5" customHeight="1" x14ac:dyDescent="0.2">
      <c r="A38" s="16"/>
      <c r="B38" s="17"/>
      <c r="C38" s="69"/>
      <c r="D38" s="69"/>
      <c r="E38" s="69"/>
      <c r="F38" s="71"/>
      <c r="G38" s="69"/>
      <c r="H38" s="69"/>
      <c r="I38" s="69"/>
      <c r="J38" s="69"/>
      <c r="K38" s="69"/>
      <c r="L38" s="69"/>
      <c r="M38" s="71"/>
      <c r="N38" s="69"/>
      <c r="O38" s="69"/>
      <c r="P38" s="69"/>
      <c r="Q38" s="69"/>
      <c r="R38" s="69"/>
      <c r="S38" s="69"/>
      <c r="T38" s="71"/>
      <c r="U38" s="69"/>
      <c r="V38" s="69"/>
      <c r="W38" s="69"/>
      <c r="X38" s="69"/>
      <c r="Y38" s="69"/>
      <c r="Z38" s="69"/>
      <c r="AA38" s="71"/>
      <c r="AB38" s="69"/>
      <c r="AC38" s="69"/>
      <c r="AD38" s="69"/>
      <c r="AE38" s="69"/>
      <c r="AF38" s="69"/>
      <c r="AG38" s="69"/>
      <c r="AH38" s="71"/>
      <c r="AI38" s="33">
        <f>0</f>
        <v>0</v>
      </c>
      <c r="AJ38" s="33" t="str">
        <f>""</f>
        <v/>
      </c>
      <c r="AK38" s="33" t="str">
        <f>""</f>
        <v/>
      </c>
    </row>
    <row r="39" spans="1:44" s="7" customFormat="1" ht="13.5" customHeight="1" x14ac:dyDescent="0.2">
      <c r="A39" s="94">
        <v>8</v>
      </c>
      <c r="B39" s="97" t="s">
        <v>20</v>
      </c>
      <c r="C39" s="28" t="s">
        <v>8</v>
      </c>
      <c r="D39" s="65"/>
      <c r="E39" s="65"/>
      <c r="F39" s="71"/>
      <c r="G39" s="65"/>
      <c r="H39" s="65"/>
      <c r="I39" s="65"/>
      <c r="J39" s="65"/>
      <c r="K39" s="65"/>
      <c r="L39" s="65"/>
      <c r="M39" s="71"/>
      <c r="N39" s="65"/>
      <c r="O39" s="65"/>
      <c r="P39" s="65"/>
      <c r="Q39" s="65"/>
      <c r="R39" s="65"/>
      <c r="S39" s="65"/>
      <c r="T39" s="71"/>
      <c r="U39" s="65"/>
      <c r="V39" s="65"/>
      <c r="W39" s="65"/>
      <c r="X39" s="65"/>
      <c r="Y39" s="65"/>
      <c r="Z39" s="65"/>
      <c r="AA39" s="71"/>
      <c r="AB39" s="65"/>
      <c r="AC39" s="65"/>
      <c r="AD39" s="65"/>
      <c r="AE39" s="65"/>
      <c r="AF39" s="65"/>
      <c r="AG39" s="65">
        <v>1</v>
      </c>
      <c r="AH39" s="71"/>
      <c r="AI39" s="33">
        <f>0</f>
        <v>0</v>
      </c>
      <c r="AJ39" s="33">
        <f>SUM(D39:AH39)/8</f>
        <v>0.125</v>
      </c>
      <c r="AK39" s="33">
        <f>AI39+AJ39</f>
        <v>0.125</v>
      </c>
    </row>
    <row r="40" spans="1:44" s="7" customFormat="1" ht="13.5" customHeight="1" x14ac:dyDescent="0.2">
      <c r="A40" s="89"/>
      <c r="B40" s="89"/>
      <c r="C40" s="28" t="s">
        <v>9</v>
      </c>
      <c r="D40" s="65"/>
      <c r="E40" s="65"/>
      <c r="F40" s="71" t="s">
        <v>10</v>
      </c>
      <c r="G40" s="65" t="s">
        <v>10</v>
      </c>
      <c r="H40" s="65" t="s">
        <v>10</v>
      </c>
      <c r="I40" s="65" t="s">
        <v>10</v>
      </c>
      <c r="J40" s="65" t="s">
        <v>10</v>
      </c>
      <c r="K40" s="65" t="s">
        <v>10</v>
      </c>
      <c r="L40" s="65" t="s">
        <v>10</v>
      </c>
      <c r="M40" s="71"/>
      <c r="N40" s="65" t="s">
        <v>10</v>
      </c>
      <c r="O40" s="65" t="s">
        <v>10</v>
      </c>
      <c r="P40" s="65" t="s">
        <v>10</v>
      </c>
      <c r="Q40" s="65" t="s">
        <v>10</v>
      </c>
      <c r="R40" s="65" t="s">
        <v>10</v>
      </c>
      <c r="S40" s="65" t="s">
        <v>10</v>
      </c>
      <c r="T40" s="71"/>
      <c r="U40" s="65"/>
      <c r="V40" s="65"/>
      <c r="W40" s="65"/>
      <c r="X40" s="65"/>
      <c r="Y40" s="65"/>
      <c r="Z40" s="65"/>
      <c r="AA40" s="71" t="s">
        <v>10</v>
      </c>
      <c r="AB40" s="65" t="s">
        <v>10</v>
      </c>
      <c r="AC40" s="65" t="s">
        <v>10</v>
      </c>
      <c r="AD40" s="65" t="s">
        <v>10</v>
      </c>
      <c r="AE40" s="65" t="s">
        <v>10</v>
      </c>
      <c r="AF40" s="65" t="s">
        <v>10</v>
      </c>
      <c r="AG40" s="65" t="s">
        <v>10</v>
      </c>
      <c r="AH40" s="71" t="s">
        <v>10</v>
      </c>
      <c r="AI40" s="33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21</v>
      </c>
      <c r="AJ40" s="33">
        <f>0</f>
        <v>0</v>
      </c>
      <c r="AK40" s="33">
        <f>AI40+AJ40</f>
        <v>21</v>
      </c>
    </row>
    <row r="41" spans="1:44" s="7" customFormat="1" ht="13.5" customHeight="1" x14ac:dyDescent="0.2">
      <c r="A41" s="89"/>
      <c r="B41" s="89"/>
      <c r="C41" s="28" t="s">
        <v>11</v>
      </c>
      <c r="D41" s="65"/>
      <c r="E41" s="65"/>
      <c r="F41" s="71"/>
      <c r="G41" s="65"/>
      <c r="H41" s="65"/>
      <c r="I41" s="65"/>
      <c r="J41" s="65"/>
      <c r="K41" s="65"/>
      <c r="L41" s="65"/>
      <c r="M41" s="71"/>
      <c r="N41" s="65"/>
      <c r="O41" s="65"/>
      <c r="P41" s="65"/>
      <c r="Q41" s="65"/>
      <c r="R41" s="65"/>
      <c r="S41" s="65"/>
      <c r="T41" s="71" t="s">
        <v>10</v>
      </c>
      <c r="U41" s="65" t="s">
        <v>10</v>
      </c>
      <c r="V41" s="65" t="s">
        <v>10</v>
      </c>
      <c r="W41" s="65" t="s">
        <v>10</v>
      </c>
      <c r="X41" s="65" t="s">
        <v>10</v>
      </c>
      <c r="Y41" s="65" t="s">
        <v>10</v>
      </c>
      <c r="Z41" s="65" t="s">
        <v>10</v>
      </c>
      <c r="AA41" s="71"/>
      <c r="AB41" s="65"/>
      <c r="AC41" s="65"/>
      <c r="AD41" s="65"/>
      <c r="AE41" s="65"/>
      <c r="AF41" s="65"/>
      <c r="AG41" s="65"/>
      <c r="AH41" s="71"/>
      <c r="AI41" s="33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7</v>
      </c>
      <c r="AJ41" s="33">
        <f>0</f>
        <v>0</v>
      </c>
      <c r="AK41" s="33">
        <f>AI41+AJ41</f>
        <v>7</v>
      </c>
    </row>
    <row r="42" spans="1:44" s="7" customFormat="1" ht="13.5" customHeight="1" x14ac:dyDescent="0.2">
      <c r="A42" s="90"/>
      <c r="B42" s="96"/>
      <c r="C42" s="28" t="s">
        <v>12</v>
      </c>
      <c r="D42" s="65"/>
      <c r="E42" s="65"/>
      <c r="F42" s="71"/>
      <c r="G42" s="65"/>
      <c r="H42" s="65"/>
      <c r="I42" s="65"/>
      <c r="J42" s="65"/>
      <c r="K42" s="65"/>
      <c r="L42" s="65"/>
      <c r="M42" s="71"/>
      <c r="N42" s="65"/>
      <c r="O42" s="65"/>
      <c r="P42" s="65"/>
      <c r="Q42" s="65"/>
      <c r="R42" s="65"/>
      <c r="S42" s="65"/>
      <c r="T42" s="71"/>
      <c r="U42" s="65"/>
      <c r="V42" s="65"/>
      <c r="W42" s="65"/>
      <c r="X42" s="65"/>
      <c r="Y42" s="65"/>
      <c r="Z42" s="65"/>
      <c r="AA42" s="71"/>
      <c r="AB42" s="65"/>
      <c r="AC42" s="65"/>
      <c r="AD42" s="65"/>
      <c r="AE42" s="65"/>
      <c r="AF42" s="65"/>
      <c r="AG42" s="65"/>
      <c r="AH42" s="71"/>
      <c r="AI42" s="33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33">
        <f>0</f>
        <v>0</v>
      </c>
      <c r="AK42" s="33">
        <f>AI42+AJ42</f>
        <v>0</v>
      </c>
    </row>
    <row r="43" spans="1:44" s="7" customFormat="1" ht="13.5" customHeight="1" x14ac:dyDescent="0.2">
      <c r="A43" s="16"/>
      <c r="B43" s="17"/>
      <c r="C43" s="69"/>
      <c r="D43" s="69"/>
      <c r="E43" s="69"/>
      <c r="F43" s="71"/>
      <c r="G43" s="69"/>
      <c r="H43" s="69"/>
      <c r="I43" s="69"/>
      <c r="J43" s="69"/>
      <c r="K43" s="69"/>
      <c r="L43" s="69"/>
      <c r="M43" s="71"/>
      <c r="N43" s="69"/>
      <c r="O43" s="69"/>
      <c r="P43" s="69"/>
      <c r="Q43" s="69"/>
      <c r="R43" s="69"/>
      <c r="S43" s="69"/>
      <c r="T43" s="71"/>
      <c r="U43" s="69"/>
      <c r="V43" s="69"/>
      <c r="W43" s="69"/>
      <c r="X43" s="69"/>
      <c r="Y43" s="69"/>
      <c r="Z43" s="69"/>
      <c r="AA43" s="71"/>
      <c r="AB43" s="69"/>
      <c r="AC43" s="69"/>
      <c r="AD43" s="69"/>
      <c r="AE43" s="69"/>
      <c r="AF43" s="69"/>
      <c r="AG43" s="69"/>
      <c r="AH43" s="71"/>
      <c r="AI43" s="33">
        <f>0</f>
        <v>0</v>
      </c>
      <c r="AJ43" s="33" t="str">
        <f>""</f>
        <v/>
      </c>
      <c r="AK43" s="33" t="str">
        <f>""</f>
        <v/>
      </c>
    </row>
    <row r="44" spans="1:44" s="7" customFormat="1" ht="13.5" customHeight="1" x14ac:dyDescent="0.2">
      <c r="A44" s="94">
        <v>9</v>
      </c>
      <c r="B44" s="97" t="s">
        <v>21</v>
      </c>
      <c r="C44" s="28" t="s">
        <v>8</v>
      </c>
      <c r="D44" s="65"/>
      <c r="E44" s="65"/>
      <c r="F44" s="71"/>
      <c r="G44" s="65"/>
      <c r="H44" s="65"/>
      <c r="I44" s="65"/>
      <c r="J44" s="65"/>
      <c r="K44" s="65"/>
      <c r="L44" s="65"/>
      <c r="M44" s="71"/>
      <c r="N44" s="65"/>
      <c r="O44" s="65"/>
      <c r="P44" s="65"/>
      <c r="Q44" s="65"/>
      <c r="R44" s="65"/>
      <c r="S44" s="65"/>
      <c r="T44" s="71"/>
      <c r="U44" s="65"/>
      <c r="V44" s="65"/>
      <c r="W44" s="65"/>
      <c r="X44" s="65"/>
      <c r="Y44" s="65"/>
      <c r="Z44" s="65"/>
      <c r="AA44" s="71"/>
      <c r="AB44" s="65"/>
      <c r="AC44" s="65"/>
      <c r="AD44" s="65"/>
      <c r="AE44" s="65"/>
      <c r="AF44" s="65"/>
      <c r="AG44" s="65"/>
      <c r="AH44" s="71"/>
      <c r="AI44" s="33">
        <f>0</f>
        <v>0</v>
      </c>
      <c r="AJ44" s="33">
        <f>SUM(D44:AH44)/8</f>
        <v>0</v>
      </c>
      <c r="AK44" s="33">
        <f>AI44+AJ44</f>
        <v>0</v>
      </c>
      <c r="AR44" s="10"/>
    </row>
    <row r="45" spans="1:44" s="7" customFormat="1" ht="13.5" customHeight="1" x14ac:dyDescent="0.2">
      <c r="A45" s="89"/>
      <c r="B45" s="89"/>
      <c r="C45" s="28" t="s">
        <v>9</v>
      </c>
      <c r="D45" s="65"/>
      <c r="E45" s="65"/>
      <c r="F45" s="71" t="s">
        <v>10</v>
      </c>
      <c r="G45" s="65" t="s">
        <v>10</v>
      </c>
      <c r="H45" s="65" t="s">
        <v>10</v>
      </c>
      <c r="I45" s="65" t="s">
        <v>10</v>
      </c>
      <c r="J45" s="65" t="s">
        <v>10</v>
      </c>
      <c r="K45" s="65" t="s">
        <v>10</v>
      </c>
      <c r="L45" s="65" t="s">
        <v>10</v>
      </c>
      <c r="M45" s="71"/>
      <c r="N45" s="65"/>
      <c r="O45" s="65"/>
      <c r="P45" s="65"/>
      <c r="Q45" s="65"/>
      <c r="R45" s="65"/>
      <c r="S45" s="65"/>
      <c r="T45" s="71"/>
      <c r="U45" s="65"/>
      <c r="V45" s="65"/>
      <c r="W45" s="65"/>
      <c r="X45" s="65"/>
      <c r="Y45" s="65"/>
      <c r="Z45" s="65" t="s">
        <v>10</v>
      </c>
      <c r="AA45" s="71" t="s">
        <v>10</v>
      </c>
      <c r="AB45" s="65" t="s">
        <v>10</v>
      </c>
      <c r="AC45" s="65" t="s">
        <v>10</v>
      </c>
      <c r="AD45" s="65" t="s">
        <v>10</v>
      </c>
      <c r="AE45" s="65" t="s">
        <v>10</v>
      </c>
      <c r="AF45" s="65" t="s">
        <v>10</v>
      </c>
      <c r="AG45" s="65" t="s">
        <v>10</v>
      </c>
      <c r="AH45" s="71"/>
      <c r="AI45" s="33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15</v>
      </c>
      <c r="AJ45" s="33">
        <f>0</f>
        <v>0</v>
      </c>
      <c r="AK45" s="33">
        <f>AI45+AJ45</f>
        <v>15</v>
      </c>
      <c r="AR45" s="10"/>
    </row>
    <row r="46" spans="1:44" s="7" customFormat="1" ht="13.5" customHeight="1" x14ac:dyDescent="0.2">
      <c r="A46" s="89"/>
      <c r="B46" s="89"/>
      <c r="C46" s="28" t="s">
        <v>11</v>
      </c>
      <c r="D46" s="65"/>
      <c r="E46" s="65" t="s">
        <v>10</v>
      </c>
      <c r="F46" s="71"/>
      <c r="G46" s="65"/>
      <c r="H46" s="65"/>
      <c r="I46" s="65"/>
      <c r="J46" s="65"/>
      <c r="K46" s="65"/>
      <c r="L46" s="65"/>
      <c r="M46" s="71"/>
      <c r="N46" s="65"/>
      <c r="O46" s="65"/>
      <c r="P46" s="65"/>
      <c r="Q46" s="65"/>
      <c r="R46" s="65"/>
      <c r="S46" s="65"/>
      <c r="T46" s="71"/>
      <c r="U46" s="65" t="s">
        <v>10</v>
      </c>
      <c r="V46" s="65" t="s">
        <v>10</v>
      </c>
      <c r="W46" s="65" t="s">
        <v>10</v>
      </c>
      <c r="X46" s="65" t="s">
        <v>10</v>
      </c>
      <c r="Y46" s="65" t="s">
        <v>10</v>
      </c>
      <c r="Z46" s="65"/>
      <c r="AA46" s="71"/>
      <c r="AB46" s="65"/>
      <c r="AC46" s="65"/>
      <c r="AD46" s="65"/>
      <c r="AE46" s="65"/>
      <c r="AF46" s="65"/>
      <c r="AG46" s="65"/>
      <c r="AH46" s="71"/>
      <c r="AI46" s="78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6</v>
      </c>
      <c r="AJ46" s="78">
        <f>0</f>
        <v>0</v>
      </c>
      <c r="AK46" s="78">
        <f>AI46+AJ46</f>
        <v>6</v>
      </c>
      <c r="AR46" s="10"/>
    </row>
    <row r="47" spans="1:44" s="7" customFormat="1" ht="13.5" customHeight="1" x14ac:dyDescent="0.2">
      <c r="A47" s="90"/>
      <c r="B47" s="96"/>
      <c r="C47" s="28" t="s">
        <v>12</v>
      </c>
      <c r="D47" s="65"/>
      <c r="E47" s="65"/>
      <c r="F47" s="71"/>
      <c r="G47" s="66"/>
      <c r="H47" s="66"/>
      <c r="I47" s="66"/>
      <c r="J47" s="66"/>
      <c r="K47" s="66"/>
      <c r="L47" s="66"/>
      <c r="M47" s="71" t="s">
        <v>10</v>
      </c>
      <c r="N47" s="66" t="s">
        <v>10</v>
      </c>
      <c r="O47" s="66" t="s">
        <v>10</v>
      </c>
      <c r="P47" s="66" t="s">
        <v>10</v>
      </c>
      <c r="Q47" s="66" t="s">
        <v>10</v>
      </c>
      <c r="R47" s="65" t="s">
        <v>10</v>
      </c>
      <c r="S47" s="65" t="s">
        <v>10</v>
      </c>
      <c r="T47" s="71"/>
      <c r="U47" s="65"/>
      <c r="V47" s="65"/>
      <c r="W47" s="65"/>
      <c r="X47" s="65"/>
      <c r="Y47" s="65"/>
      <c r="Z47" s="65"/>
      <c r="AA47" s="71"/>
      <c r="AB47" s="65"/>
      <c r="AC47" s="65"/>
      <c r="AD47" s="65"/>
      <c r="AE47" s="65"/>
      <c r="AF47" s="65"/>
      <c r="AG47" s="65"/>
      <c r="AH47" s="71" t="s">
        <v>10</v>
      </c>
      <c r="AI47" s="33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8</v>
      </c>
      <c r="AJ47" s="33">
        <f>0</f>
        <v>0</v>
      </c>
      <c r="AK47" s="33">
        <f>AI47+AJ47</f>
        <v>8</v>
      </c>
    </row>
    <row r="48" spans="1:44" ht="13.5" customHeight="1" x14ac:dyDescent="0.2">
      <c r="A48" s="16"/>
      <c r="B48" s="17"/>
      <c r="C48" s="69"/>
      <c r="D48" s="69"/>
      <c r="E48" s="69"/>
      <c r="F48" s="71"/>
      <c r="G48" s="69"/>
      <c r="H48" s="69"/>
      <c r="I48" s="69"/>
      <c r="J48" s="69"/>
      <c r="K48" s="69"/>
      <c r="L48" s="69"/>
      <c r="M48" s="71"/>
      <c r="N48" s="69"/>
      <c r="O48" s="69"/>
      <c r="P48" s="69"/>
      <c r="Q48" s="69"/>
      <c r="R48" s="69"/>
      <c r="S48" s="69"/>
      <c r="T48" s="71"/>
      <c r="U48" s="69"/>
      <c r="V48" s="69"/>
      <c r="W48" s="69"/>
      <c r="X48" s="69"/>
      <c r="Y48" s="69"/>
      <c r="Z48" s="69"/>
      <c r="AA48" s="71"/>
      <c r="AB48" s="69"/>
      <c r="AC48" s="69"/>
      <c r="AD48" s="69"/>
      <c r="AE48" s="69"/>
      <c r="AF48" s="69"/>
      <c r="AG48" s="69"/>
      <c r="AH48" s="71"/>
      <c r="AI48" s="33">
        <f>0</f>
        <v>0</v>
      </c>
      <c r="AJ48" s="33" t="str">
        <f>""</f>
        <v/>
      </c>
      <c r="AK48" s="33" t="str">
        <f>""</f>
        <v/>
      </c>
    </row>
    <row r="49" spans="1:37" ht="13.5" customHeight="1" x14ac:dyDescent="0.2">
      <c r="A49" s="94">
        <v>10</v>
      </c>
      <c r="B49" s="97" t="s">
        <v>22</v>
      </c>
      <c r="C49" s="28" t="s">
        <v>8</v>
      </c>
      <c r="D49" s="65"/>
      <c r="E49" s="65"/>
      <c r="F49" s="71"/>
      <c r="G49" s="65"/>
      <c r="H49" s="65"/>
      <c r="I49" s="65"/>
      <c r="J49" s="65"/>
      <c r="K49" s="65"/>
      <c r="L49" s="65"/>
      <c r="M49" s="71"/>
      <c r="N49" s="65"/>
      <c r="O49" s="65"/>
      <c r="P49" s="65"/>
      <c r="Q49" s="65"/>
      <c r="R49" s="65"/>
      <c r="S49" s="65"/>
      <c r="T49" s="71"/>
      <c r="U49" s="65"/>
      <c r="V49" s="65"/>
      <c r="W49" s="65"/>
      <c r="X49" s="65"/>
      <c r="Y49" s="65"/>
      <c r="Z49" s="65"/>
      <c r="AA49" s="71"/>
      <c r="AB49" s="65"/>
      <c r="AC49" s="65"/>
      <c r="AD49" s="65"/>
      <c r="AE49" s="65"/>
      <c r="AF49" s="65"/>
      <c r="AG49" s="65"/>
      <c r="AH49" s="71"/>
      <c r="AI49" s="33">
        <f>0</f>
        <v>0</v>
      </c>
      <c r="AJ49" s="33">
        <f>SUM(D49:AH49)/8</f>
        <v>0</v>
      </c>
      <c r="AK49" s="33">
        <f>AI49+AJ49</f>
        <v>0</v>
      </c>
    </row>
    <row r="50" spans="1:37" ht="12.75" customHeight="1" x14ac:dyDescent="0.2">
      <c r="A50" s="89"/>
      <c r="B50" s="89"/>
      <c r="C50" s="28" t="s">
        <v>9</v>
      </c>
      <c r="D50" s="65"/>
      <c r="E50" s="65"/>
      <c r="F50" s="71"/>
      <c r="G50" s="65"/>
      <c r="H50" s="65"/>
      <c r="I50" s="65"/>
      <c r="J50" s="65"/>
      <c r="K50" s="65"/>
      <c r="L50" s="65"/>
      <c r="M50" s="71" t="s">
        <v>10</v>
      </c>
      <c r="N50" s="65" t="s">
        <v>10</v>
      </c>
      <c r="O50" s="65" t="s">
        <v>10</v>
      </c>
      <c r="P50" s="65" t="s">
        <v>10</v>
      </c>
      <c r="Q50" s="65" t="s">
        <v>10</v>
      </c>
      <c r="R50" s="65" t="s">
        <v>10</v>
      </c>
      <c r="S50" s="65" t="s">
        <v>10</v>
      </c>
      <c r="T50" s="71"/>
      <c r="U50" s="65"/>
      <c r="V50" s="65"/>
      <c r="W50" s="65"/>
      <c r="X50" s="65"/>
      <c r="Y50" s="65"/>
      <c r="Z50" s="65"/>
      <c r="AA50" s="71"/>
      <c r="AB50" s="65"/>
      <c r="AC50" s="65"/>
      <c r="AD50" s="65"/>
      <c r="AE50" s="65"/>
      <c r="AF50" s="65"/>
      <c r="AG50" s="65"/>
      <c r="AH50" s="71" t="s">
        <v>10</v>
      </c>
      <c r="AI50" s="33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8</v>
      </c>
      <c r="AJ50" s="33">
        <f>0</f>
        <v>0</v>
      </c>
      <c r="AK50" s="33">
        <f>AI50+AJ50</f>
        <v>8</v>
      </c>
    </row>
    <row r="51" spans="1:37" s="7" customFormat="1" ht="13.5" customHeight="1" x14ac:dyDescent="0.2">
      <c r="A51" s="89"/>
      <c r="B51" s="89"/>
      <c r="C51" s="28" t="s">
        <v>11</v>
      </c>
      <c r="D51" s="65"/>
      <c r="E51" s="65"/>
      <c r="F51" s="71"/>
      <c r="G51" s="65" t="s">
        <v>10</v>
      </c>
      <c r="H51" s="65" t="s">
        <v>10</v>
      </c>
      <c r="I51" s="65" t="s">
        <v>10</v>
      </c>
      <c r="J51" s="65" t="s">
        <v>10</v>
      </c>
      <c r="K51" s="65" t="s">
        <v>10</v>
      </c>
      <c r="L51" s="65" t="s">
        <v>10</v>
      </c>
      <c r="M51" s="71"/>
      <c r="N51" s="65"/>
      <c r="O51" s="65"/>
      <c r="P51" s="65"/>
      <c r="Q51" s="65"/>
      <c r="R51" s="65"/>
      <c r="S51" s="65"/>
      <c r="T51" s="71"/>
      <c r="U51" s="65"/>
      <c r="V51" s="65"/>
      <c r="W51" s="65"/>
      <c r="X51" s="65"/>
      <c r="Y51" s="65"/>
      <c r="Z51" s="65"/>
      <c r="AA51" s="71"/>
      <c r="AB51" s="65" t="s">
        <v>10</v>
      </c>
      <c r="AC51" s="65" t="s">
        <v>10</v>
      </c>
      <c r="AD51" s="65" t="s">
        <v>10</v>
      </c>
      <c r="AE51" s="65" t="s">
        <v>10</v>
      </c>
      <c r="AF51" s="65" t="s">
        <v>10</v>
      </c>
      <c r="AG51" s="65" t="s">
        <v>10</v>
      </c>
      <c r="AH51" s="71"/>
      <c r="AI51" s="78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12</v>
      </c>
      <c r="AJ51" s="78">
        <f>0</f>
        <v>0</v>
      </c>
      <c r="AK51" s="78">
        <f>AI51+AJ51</f>
        <v>12</v>
      </c>
    </row>
    <row r="52" spans="1:37" ht="13.5" customHeight="1" x14ac:dyDescent="0.2">
      <c r="A52" s="90"/>
      <c r="B52" s="96"/>
      <c r="C52" s="28" t="s">
        <v>12</v>
      </c>
      <c r="D52" s="65"/>
      <c r="E52" s="65" t="s">
        <v>10</v>
      </c>
      <c r="F52" s="71"/>
      <c r="G52" s="65"/>
      <c r="H52" s="65"/>
      <c r="I52" s="65"/>
      <c r="J52" s="65"/>
      <c r="K52" s="65"/>
      <c r="L52" s="65"/>
      <c r="M52" s="71"/>
      <c r="N52" s="65"/>
      <c r="O52" s="65"/>
      <c r="P52" s="65"/>
      <c r="Q52" s="65"/>
      <c r="R52" s="65"/>
      <c r="S52" s="65"/>
      <c r="T52" s="71" t="s">
        <v>10</v>
      </c>
      <c r="U52" s="65" t="s">
        <v>10</v>
      </c>
      <c r="V52" s="65" t="s">
        <v>10</v>
      </c>
      <c r="W52" s="65" t="s">
        <v>10</v>
      </c>
      <c r="X52" s="65" t="s">
        <v>10</v>
      </c>
      <c r="Y52" s="65" t="s">
        <v>10</v>
      </c>
      <c r="Z52" s="65" t="s">
        <v>10</v>
      </c>
      <c r="AA52" s="71"/>
      <c r="AB52" s="65"/>
      <c r="AC52" s="65"/>
      <c r="AD52" s="65"/>
      <c r="AE52" s="65"/>
      <c r="AF52" s="65"/>
      <c r="AG52" s="65"/>
      <c r="AH52" s="71"/>
      <c r="AI52" s="33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8</v>
      </c>
      <c r="AJ52" s="33">
        <f>0</f>
        <v>0</v>
      </c>
      <c r="AK52" s="33">
        <f>AI52+AJ52</f>
        <v>8</v>
      </c>
    </row>
    <row r="53" spans="1:37" ht="13.5" customHeight="1" x14ac:dyDescent="0.2">
      <c r="A53" s="16"/>
      <c r="B53" s="17"/>
      <c r="C53" s="69"/>
      <c r="D53" s="69"/>
      <c r="E53" s="69"/>
      <c r="F53" s="71"/>
      <c r="G53" s="69"/>
      <c r="H53" s="69"/>
      <c r="I53" s="69"/>
      <c r="J53" s="69"/>
      <c r="K53" s="69"/>
      <c r="L53" s="69"/>
      <c r="M53" s="71"/>
      <c r="N53" s="69"/>
      <c r="O53" s="69"/>
      <c r="P53" s="69"/>
      <c r="Q53" s="69"/>
      <c r="R53" s="69"/>
      <c r="S53" s="69"/>
      <c r="T53" s="71"/>
      <c r="U53" s="69"/>
      <c r="V53" s="69"/>
      <c r="W53" s="69"/>
      <c r="X53" s="69"/>
      <c r="Y53" s="69"/>
      <c r="Z53" s="69"/>
      <c r="AA53" s="71"/>
      <c r="AB53" s="69"/>
      <c r="AC53" s="69"/>
      <c r="AD53" s="69"/>
      <c r="AE53" s="69"/>
      <c r="AF53" s="69"/>
      <c r="AG53" s="69"/>
      <c r="AH53" s="71"/>
      <c r="AI53" s="33">
        <f>0</f>
        <v>0</v>
      </c>
      <c r="AJ53" s="33" t="str">
        <f>""</f>
        <v/>
      </c>
      <c r="AK53" s="33" t="str">
        <f>""</f>
        <v/>
      </c>
    </row>
    <row r="54" spans="1:37" ht="13.5" customHeight="1" x14ac:dyDescent="0.2">
      <c r="A54" s="94">
        <v>11</v>
      </c>
      <c r="B54" s="97" t="s">
        <v>23</v>
      </c>
      <c r="C54" s="28" t="s">
        <v>8</v>
      </c>
      <c r="D54" s="65"/>
      <c r="E54" s="65"/>
      <c r="F54" s="71"/>
      <c r="G54" s="65"/>
      <c r="H54" s="65"/>
      <c r="I54" s="65"/>
      <c r="J54" s="65"/>
      <c r="K54" s="65"/>
      <c r="L54" s="65"/>
      <c r="M54" s="71"/>
      <c r="N54" s="65"/>
      <c r="O54" s="65"/>
      <c r="P54" s="65"/>
      <c r="Q54" s="65"/>
      <c r="R54" s="65"/>
      <c r="S54" s="65"/>
      <c r="T54" s="71"/>
      <c r="U54" s="65"/>
      <c r="V54" s="65"/>
      <c r="W54" s="65"/>
      <c r="X54" s="65"/>
      <c r="Y54" s="65"/>
      <c r="Z54" s="65"/>
      <c r="AA54" s="71"/>
      <c r="AB54" s="65"/>
      <c r="AC54" s="65"/>
      <c r="AD54" s="65"/>
      <c r="AE54" s="65"/>
      <c r="AF54" s="65"/>
      <c r="AG54" s="65"/>
      <c r="AH54" s="71"/>
      <c r="AI54" s="33">
        <f>0</f>
        <v>0</v>
      </c>
      <c r="AJ54" s="33">
        <f>SUM(D54:AH54)/8</f>
        <v>0</v>
      </c>
      <c r="AK54" s="33">
        <f>AI54+AJ54</f>
        <v>0</v>
      </c>
    </row>
    <row r="55" spans="1:37" s="7" customFormat="1" ht="13.5" customHeight="1" x14ac:dyDescent="0.2">
      <c r="A55" s="89"/>
      <c r="B55" s="89"/>
      <c r="C55" s="28" t="s">
        <v>9</v>
      </c>
      <c r="D55" s="65"/>
      <c r="E55" s="65" t="s">
        <v>10</v>
      </c>
      <c r="F55" s="71"/>
      <c r="G55" s="65"/>
      <c r="H55" s="65"/>
      <c r="I55" s="65"/>
      <c r="J55" s="65"/>
      <c r="K55" s="65"/>
      <c r="L55" s="65"/>
      <c r="M55" s="71"/>
      <c r="N55" s="65"/>
      <c r="O55" s="65"/>
      <c r="P55" s="65"/>
      <c r="Q55" s="65"/>
      <c r="R55" s="65"/>
      <c r="S55" s="65"/>
      <c r="T55" s="71" t="s">
        <v>10</v>
      </c>
      <c r="U55" s="65" t="s">
        <v>10</v>
      </c>
      <c r="V55" s="65" t="s">
        <v>10</v>
      </c>
      <c r="W55" s="65" t="s">
        <v>10</v>
      </c>
      <c r="X55" s="65" t="s">
        <v>10</v>
      </c>
      <c r="Y55" s="65" t="s">
        <v>10</v>
      </c>
      <c r="Z55" s="65" t="s">
        <v>10</v>
      </c>
      <c r="AA55" s="71"/>
      <c r="AB55" s="65"/>
      <c r="AC55" s="65"/>
      <c r="AD55" s="65"/>
      <c r="AE55" s="65"/>
      <c r="AF55" s="65"/>
      <c r="AG55" s="65"/>
      <c r="AH55" s="71"/>
      <c r="AI55" s="33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8</v>
      </c>
      <c r="AJ55" s="33">
        <f>0</f>
        <v>0</v>
      </c>
      <c r="AK55" s="33">
        <f>AI55+AJ55</f>
        <v>8</v>
      </c>
    </row>
    <row r="56" spans="1:37" ht="20.25" customHeight="1" x14ac:dyDescent="0.2">
      <c r="A56" s="89"/>
      <c r="B56" s="89"/>
      <c r="C56" s="28" t="s">
        <v>11</v>
      </c>
      <c r="D56" s="65"/>
      <c r="E56" s="65"/>
      <c r="F56" s="71"/>
      <c r="G56" s="65"/>
      <c r="H56" s="65"/>
      <c r="I56" s="65"/>
      <c r="J56" s="65"/>
      <c r="K56" s="65"/>
      <c r="L56" s="65"/>
      <c r="M56" s="71"/>
      <c r="N56" s="65" t="s">
        <v>10</v>
      </c>
      <c r="O56" s="65" t="s">
        <v>10</v>
      </c>
      <c r="P56" s="65" t="s">
        <v>10</v>
      </c>
      <c r="Q56" s="65" t="s">
        <v>10</v>
      </c>
      <c r="R56" s="65" t="s">
        <v>10</v>
      </c>
      <c r="S56" s="65" t="s">
        <v>10</v>
      </c>
      <c r="T56" s="71"/>
      <c r="U56" s="65"/>
      <c r="V56" s="65"/>
      <c r="W56" s="65"/>
      <c r="X56" s="65"/>
      <c r="Y56" s="65"/>
      <c r="Z56" s="65"/>
      <c r="AA56" s="71"/>
      <c r="AB56" s="65"/>
      <c r="AC56" s="65"/>
      <c r="AD56" s="65"/>
      <c r="AE56" s="65"/>
      <c r="AF56" s="65"/>
      <c r="AG56" s="65"/>
      <c r="AH56" s="71"/>
      <c r="AI56" s="78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6</v>
      </c>
      <c r="AJ56" s="78">
        <f>0</f>
        <v>0</v>
      </c>
      <c r="AK56" s="78">
        <f>AI56+AJ56</f>
        <v>6</v>
      </c>
    </row>
    <row r="57" spans="1:37" x14ac:dyDescent="0.2">
      <c r="A57" s="90"/>
      <c r="B57" s="96"/>
      <c r="C57" s="28" t="s">
        <v>12</v>
      </c>
      <c r="D57" s="65"/>
      <c r="E57" s="65"/>
      <c r="F57" s="71" t="s">
        <v>10</v>
      </c>
      <c r="G57" s="65" t="s">
        <v>10</v>
      </c>
      <c r="H57" s="65" t="s">
        <v>10</v>
      </c>
      <c r="I57" s="65" t="s">
        <v>10</v>
      </c>
      <c r="J57" s="65" t="s">
        <v>10</v>
      </c>
      <c r="K57" s="65" t="s">
        <v>10</v>
      </c>
      <c r="L57" s="65" t="s">
        <v>10</v>
      </c>
      <c r="M57" s="71"/>
      <c r="N57" s="65"/>
      <c r="O57" s="65"/>
      <c r="P57" s="65"/>
      <c r="Q57" s="65"/>
      <c r="R57" s="65"/>
      <c r="S57" s="65"/>
      <c r="T57" s="71"/>
      <c r="U57" s="65"/>
      <c r="V57" s="65"/>
      <c r="W57" s="65"/>
      <c r="X57" s="65"/>
      <c r="Y57" s="65"/>
      <c r="Z57" s="65"/>
      <c r="AA57" s="71" t="s">
        <v>10</v>
      </c>
      <c r="AB57" s="65" t="s">
        <v>10</v>
      </c>
      <c r="AC57" s="65" t="s">
        <v>10</v>
      </c>
      <c r="AD57" s="65" t="s">
        <v>10</v>
      </c>
      <c r="AE57" s="65" t="s">
        <v>10</v>
      </c>
      <c r="AF57" s="65" t="s">
        <v>10</v>
      </c>
      <c r="AG57" s="65" t="s">
        <v>10</v>
      </c>
      <c r="AH57" s="71"/>
      <c r="AI57" s="33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14</v>
      </c>
      <c r="AJ57" s="33">
        <f>0</f>
        <v>0</v>
      </c>
      <c r="AK57" s="33">
        <f>AI57+AJ57</f>
        <v>14</v>
      </c>
    </row>
    <row r="58" spans="1:37" ht="16.5" customHeight="1" x14ac:dyDescent="0.2">
      <c r="A58" s="16"/>
      <c r="B58" s="17"/>
      <c r="C58" s="69"/>
      <c r="D58" s="69"/>
      <c r="E58" s="69"/>
      <c r="F58" s="71"/>
      <c r="G58" s="69"/>
      <c r="H58" s="69"/>
      <c r="I58" s="69"/>
      <c r="J58" s="69"/>
      <c r="K58" s="69"/>
      <c r="L58" s="69"/>
      <c r="M58" s="71"/>
      <c r="N58" s="69"/>
      <c r="O58" s="69"/>
      <c r="P58" s="69"/>
      <c r="Q58" s="69"/>
      <c r="R58" s="69"/>
      <c r="S58" s="69"/>
      <c r="T58" s="71"/>
      <c r="U58" s="69"/>
      <c r="V58" s="69"/>
      <c r="W58" s="69"/>
      <c r="X58" s="69"/>
      <c r="Y58" s="69"/>
      <c r="Z58" s="69"/>
      <c r="AA58" s="71"/>
      <c r="AB58" s="69"/>
      <c r="AC58" s="69"/>
      <c r="AD58" s="69"/>
      <c r="AE58" s="69"/>
      <c r="AF58" s="69"/>
      <c r="AG58" s="69"/>
      <c r="AH58" s="71"/>
      <c r="AI58" s="33">
        <f>0</f>
        <v>0</v>
      </c>
      <c r="AJ58" s="33" t="str">
        <f>""</f>
        <v/>
      </c>
      <c r="AK58" s="33" t="str">
        <f>""</f>
        <v/>
      </c>
    </row>
    <row r="59" spans="1:37" ht="14.25" customHeight="1" x14ac:dyDescent="0.2">
      <c r="A59" s="94">
        <v>12</v>
      </c>
      <c r="B59" s="88" t="s">
        <v>24</v>
      </c>
      <c r="C59" s="28" t="s">
        <v>8</v>
      </c>
      <c r="D59" s="65"/>
      <c r="E59" s="65"/>
      <c r="F59" s="71"/>
      <c r="G59" s="65"/>
      <c r="H59" s="65"/>
      <c r="I59" s="65"/>
      <c r="J59" s="65"/>
      <c r="K59" s="65"/>
      <c r="L59" s="65"/>
      <c r="M59" s="71"/>
      <c r="N59" s="65"/>
      <c r="O59" s="65"/>
      <c r="P59" s="65"/>
      <c r="Q59" s="65"/>
      <c r="R59" s="65"/>
      <c r="S59" s="65"/>
      <c r="T59" s="71"/>
      <c r="U59" s="65"/>
      <c r="V59" s="65"/>
      <c r="W59" s="65"/>
      <c r="X59" s="65"/>
      <c r="Y59" s="65"/>
      <c r="Z59" s="65"/>
      <c r="AA59" s="71"/>
      <c r="AB59" s="65"/>
      <c r="AC59" s="65"/>
      <c r="AD59" s="65"/>
      <c r="AE59" s="65"/>
      <c r="AF59" s="65"/>
      <c r="AG59" s="65"/>
      <c r="AH59" s="71"/>
      <c r="AI59" s="33">
        <f>0</f>
        <v>0</v>
      </c>
      <c r="AJ59" s="33">
        <f>SUM(D59:AH59)/8</f>
        <v>0</v>
      </c>
      <c r="AK59" s="33">
        <f>AI59+AJ59</f>
        <v>0</v>
      </c>
    </row>
    <row r="60" spans="1:37" ht="14.25" customHeight="1" x14ac:dyDescent="0.2">
      <c r="A60" s="89"/>
      <c r="B60" s="89"/>
      <c r="C60" s="28" t="s">
        <v>9</v>
      </c>
      <c r="D60" s="65"/>
      <c r="E60" s="65"/>
      <c r="F60" s="71"/>
      <c r="G60" s="65"/>
      <c r="H60" s="65"/>
      <c r="I60" s="65"/>
      <c r="J60" s="65"/>
      <c r="K60" s="65"/>
      <c r="L60" s="65"/>
      <c r="M60" s="71"/>
      <c r="N60" s="65"/>
      <c r="O60" s="65" t="s">
        <v>10</v>
      </c>
      <c r="P60" s="65"/>
      <c r="Q60" s="65"/>
      <c r="R60" s="65"/>
      <c r="S60" s="65"/>
      <c r="T60" s="71" t="s">
        <v>10</v>
      </c>
      <c r="U60" s="65" t="s">
        <v>10</v>
      </c>
      <c r="V60" s="65" t="s">
        <v>10</v>
      </c>
      <c r="W60" s="65" t="s">
        <v>10</v>
      </c>
      <c r="X60" s="65" t="s">
        <v>10</v>
      </c>
      <c r="Y60" s="65" t="s">
        <v>10</v>
      </c>
      <c r="Z60" s="65"/>
      <c r="AA60" s="71"/>
      <c r="AB60" s="65"/>
      <c r="AC60" s="65"/>
      <c r="AD60" s="65"/>
      <c r="AE60" s="65"/>
      <c r="AF60" s="65"/>
      <c r="AG60" s="65"/>
      <c r="AH60" s="71"/>
      <c r="AI60" s="33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7</v>
      </c>
      <c r="AJ60" s="33">
        <f>0</f>
        <v>0</v>
      </c>
      <c r="AK60" s="33">
        <f>AI60+AJ60</f>
        <v>7</v>
      </c>
    </row>
    <row r="61" spans="1:37" ht="14.25" customHeight="1" x14ac:dyDescent="0.2">
      <c r="A61" s="89"/>
      <c r="B61" s="89"/>
      <c r="C61" s="28" t="s">
        <v>11</v>
      </c>
      <c r="D61" s="65"/>
      <c r="E61" s="65"/>
      <c r="F61" s="71"/>
      <c r="G61" s="65"/>
      <c r="H61" s="65"/>
      <c r="I61" s="65"/>
      <c r="J61" s="65"/>
      <c r="K61" s="65"/>
      <c r="L61" s="65"/>
      <c r="M61" s="71"/>
      <c r="N61" s="65" t="s">
        <v>10</v>
      </c>
      <c r="O61" s="65"/>
      <c r="P61" s="65" t="s">
        <v>10</v>
      </c>
      <c r="Q61" s="65">
        <v>0</v>
      </c>
      <c r="R61" s="65">
        <v>0</v>
      </c>
      <c r="S61" s="65" t="s">
        <v>10</v>
      </c>
      <c r="T61" s="71"/>
      <c r="U61" s="65"/>
      <c r="V61" s="65"/>
      <c r="W61" s="65"/>
      <c r="X61" s="65"/>
      <c r="Y61" s="65"/>
      <c r="Z61" s="65" t="s">
        <v>10</v>
      </c>
      <c r="AA61" s="71"/>
      <c r="AB61" s="65"/>
      <c r="AC61" s="65"/>
      <c r="AD61" s="65"/>
      <c r="AE61" s="65"/>
      <c r="AF61" s="65"/>
      <c r="AG61" s="65"/>
      <c r="AH61" s="71"/>
      <c r="AI61" s="33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4</v>
      </c>
      <c r="AJ61" s="33">
        <f>0</f>
        <v>0</v>
      </c>
      <c r="AK61" s="33">
        <f>AI61+AJ61</f>
        <v>4</v>
      </c>
    </row>
    <row r="62" spans="1:37" ht="14.25" customHeight="1" x14ac:dyDescent="0.2">
      <c r="A62" s="90"/>
      <c r="B62" s="90"/>
      <c r="C62" s="28" t="s">
        <v>12</v>
      </c>
      <c r="D62" s="65"/>
      <c r="E62" s="65"/>
      <c r="F62" s="71" t="s">
        <v>10</v>
      </c>
      <c r="G62" s="65" t="s">
        <v>10</v>
      </c>
      <c r="H62" s="65" t="s">
        <v>10</v>
      </c>
      <c r="I62" s="65" t="s">
        <v>50</v>
      </c>
      <c r="J62" s="65" t="s">
        <v>10</v>
      </c>
      <c r="K62" s="65">
        <v>0</v>
      </c>
      <c r="L62" s="65" t="s">
        <v>10</v>
      </c>
      <c r="M62" s="71"/>
      <c r="N62" s="65"/>
      <c r="O62" s="65"/>
      <c r="P62" s="65"/>
      <c r="Q62" s="65"/>
      <c r="R62" s="65"/>
      <c r="S62" s="65"/>
      <c r="T62" s="71"/>
      <c r="U62" s="65"/>
      <c r="V62" s="65"/>
      <c r="W62" s="65"/>
      <c r="X62" s="65"/>
      <c r="Y62" s="65"/>
      <c r="Z62" s="65"/>
      <c r="AA62" s="71" t="s">
        <v>10</v>
      </c>
      <c r="AB62" s="65" t="s">
        <v>10</v>
      </c>
      <c r="AC62" s="65" t="s">
        <v>10</v>
      </c>
      <c r="AD62" s="65" t="s">
        <v>10</v>
      </c>
      <c r="AE62" s="65" t="s">
        <v>10</v>
      </c>
      <c r="AF62" s="65" t="s">
        <v>10</v>
      </c>
      <c r="AG62" s="65" t="s">
        <v>10</v>
      </c>
      <c r="AH62" s="71"/>
      <c r="AI62" s="33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13</v>
      </c>
      <c r="AJ62" s="33">
        <f>0</f>
        <v>0</v>
      </c>
      <c r="AK62" s="33">
        <f>AI62+AJ62</f>
        <v>13</v>
      </c>
    </row>
    <row r="63" spans="1:37" ht="14.25" customHeight="1" x14ac:dyDescent="0.2">
      <c r="A63" s="16"/>
      <c r="B63" s="23"/>
      <c r="C63" s="69"/>
      <c r="D63" s="69"/>
      <c r="E63" s="69"/>
      <c r="F63" s="71"/>
      <c r="G63" s="69"/>
      <c r="H63" s="69"/>
      <c r="I63" s="69"/>
      <c r="J63" s="69"/>
      <c r="K63" s="69"/>
      <c r="L63" s="69"/>
      <c r="M63" s="71"/>
      <c r="N63" s="69"/>
      <c r="O63" s="69"/>
      <c r="P63" s="69"/>
      <c r="Q63" s="69"/>
      <c r="R63" s="69"/>
      <c r="S63" s="69"/>
      <c r="T63" s="71"/>
      <c r="U63" s="69"/>
      <c r="V63" s="69"/>
      <c r="W63" s="69"/>
      <c r="X63" s="69"/>
      <c r="Y63" s="69"/>
      <c r="Z63" s="69"/>
      <c r="AA63" s="71"/>
      <c r="AB63" s="69"/>
      <c r="AC63" s="69"/>
      <c r="AD63" s="69"/>
      <c r="AE63" s="69"/>
      <c r="AF63" s="69"/>
      <c r="AG63" s="69"/>
      <c r="AH63" s="71"/>
      <c r="AI63" s="33">
        <f>0</f>
        <v>0</v>
      </c>
      <c r="AJ63" s="33" t="str">
        <f>""</f>
        <v/>
      </c>
      <c r="AK63" s="33" t="str">
        <f>""</f>
        <v/>
      </c>
    </row>
    <row r="64" spans="1:37" ht="14.25" customHeight="1" x14ac:dyDescent="0.2">
      <c r="A64" s="94">
        <v>13</v>
      </c>
      <c r="B64" s="94" t="s">
        <v>26</v>
      </c>
      <c r="C64" s="28" t="s">
        <v>8</v>
      </c>
      <c r="D64" s="65"/>
      <c r="E64" s="65"/>
      <c r="F64" s="71"/>
      <c r="G64" s="65"/>
      <c r="H64" s="65"/>
      <c r="I64" s="65"/>
      <c r="J64" s="65"/>
      <c r="K64" s="65"/>
      <c r="L64" s="65"/>
      <c r="M64" s="71"/>
      <c r="N64" s="65"/>
      <c r="O64" s="65"/>
      <c r="P64" s="65"/>
      <c r="Q64" s="65"/>
      <c r="R64" s="65"/>
      <c r="S64" s="65"/>
      <c r="T64" s="71"/>
      <c r="U64" s="65"/>
      <c r="V64" s="65"/>
      <c r="W64" s="65"/>
      <c r="X64" s="65"/>
      <c r="Y64" s="65"/>
      <c r="Z64" s="65"/>
      <c r="AA64" s="71"/>
      <c r="AB64" s="65"/>
      <c r="AC64" s="65"/>
      <c r="AD64" s="65"/>
      <c r="AE64" s="65"/>
      <c r="AF64" s="65"/>
      <c r="AG64" s="65"/>
      <c r="AH64" s="71"/>
      <c r="AI64" s="33">
        <f>0</f>
        <v>0</v>
      </c>
      <c r="AJ64" s="33">
        <f>SUM(D64:AH64)/8</f>
        <v>0</v>
      </c>
      <c r="AK64" s="33">
        <f>AI64+AJ64</f>
        <v>0</v>
      </c>
    </row>
    <row r="65" spans="1:37" ht="14.25" customHeight="1" x14ac:dyDescent="0.2">
      <c r="A65" s="89"/>
      <c r="B65" s="89"/>
      <c r="C65" s="28" t="s">
        <v>9</v>
      </c>
      <c r="D65" s="65"/>
      <c r="E65" s="65"/>
      <c r="F65" s="71"/>
      <c r="G65" s="65"/>
      <c r="H65" s="65"/>
      <c r="I65" s="65"/>
      <c r="J65" s="65"/>
      <c r="K65" s="65"/>
      <c r="L65" s="65"/>
      <c r="M65" s="71" t="s">
        <v>10</v>
      </c>
      <c r="N65" s="65" t="s">
        <v>10</v>
      </c>
      <c r="O65" s="65" t="s">
        <v>10</v>
      </c>
      <c r="P65" s="65" t="s">
        <v>10</v>
      </c>
      <c r="Q65" s="65" t="s">
        <v>10</v>
      </c>
      <c r="R65" s="65" t="s">
        <v>10</v>
      </c>
      <c r="S65" s="65" t="s">
        <v>10</v>
      </c>
      <c r="T65" s="71"/>
      <c r="U65" s="65"/>
      <c r="V65" s="65"/>
      <c r="W65" s="65"/>
      <c r="X65" s="65"/>
      <c r="Y65" s="65"/>
      <c r="Z65" s="65"/>
      <c r="AA65" s="71"/>
      <c r="AB65" s="65"/>
      <c r="AC65" s="65"/>
      <c r="AD65" s="65"/>
      <c r="AE65" s="65"/>
      <c r="AF65" s="65"/>
      <c r="AG65" s="65"/>
      <c r="AH65" s="71" t="s">
        <v>10</v>
      </c>
      <c r="AI65" s="78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8</v>
      </c>
      <c r="AJ65" s="78">
        <f>0</f>
        <v>0</v>
      </c>
      <c r="AK65" s="78">
        <f>AI65+AJ65</f>
        <v>8</v>
      </c>
    </row>
    <row r="66" spans="1:37" ht="14.25" customHeight="1" x14ac:dyDescent="0.2">
      <c r="A66" s="89"/>
      <c r="B66" s="89"/>
      <c r="C66" s="28" t="s">
        <v>11</v>
      </c>
      <c r="D66" s="65"/>
      <c r="E66" s="65"/>
      <c r="F66" s="71"/>
      <c r="G66" s="65" t="s">
        <v>10</v>
      </c>
      <c r="H66" s="65" t="s">
        <v>10</v>
      </c>
      <c r="I66" s="65" t="s">
        <v>10</v>
      </c>
      <c r="J66" s="65" t="s">
        <v>10</v>
      </c>
      <c r="K66" s="65" t="s">
        <v>10</v>
      </c>
      <c r="L66" s="65" t="s">
        <v>10</v>
      </c>
      <c r="M66" s="71"/>
      <c r="N66" s="65"/>
      <c r="O66" s="65"/>
      <c r="P66" s="65"/>
      <c r="Q66" s="65"/>
      <c r="R66" s="65"/>
      <c r="S66" s="65"/>
      <c r="T66" s="71"/>
      <c r="U66" s="65"/>
      <c r="V66" s="65"/>
      <c r="W66" s="65"/>
      <c r="X66" s="65"/>
      <c r="Y66" s="65"/>
      <c r="Z66" s="65"/>
      <c r="AA66" s="71"/>
      <c r="AB66" s="65" t="s">
        <v>10</v>
      </c>
      <c r="AC66" s="65" t="s">
        <v>10</v>
      </c>
      <c r="AD66" s="65" t="s">
        <v>10</v>
      </c>
      <c r="AE66" s="65" t="s">
        <v>10</v>
      </c>
      <c r="AF66" s="65" t="s">
        <v>10</v>
      </c>
      <c r="AG66" s="65" t="s">
        <v>10</v>
      </c>
      <c r="AH66" s="71"/>
      <c r="AI66" s="33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12</v>
      </c>
      <c r="AJ66" s="33">
        <f>0</f>
        <v>0</v>
      </c>
      <c r="AK66" s="33">
        <f>AI66+AJ66</f>
        <v>12</v>
      </c>
    </row>
    <row r="67" spans="1:37" ht="14.25" customHeight="1" x14ac:dyDescent="0.2">
      <c r="A67" s="90"/>
      <c r="B67" s="90"/>
      <c r="C67" s="28" t="s">
        <v>12</v>
      </c>
      <c r="D67" s="65"/>
      <c r="E67" s="65" t="s">
        <v>10</v>
      </c>
      <c r="F67" s="71"/>
      <c r="G67" s="65"/>
      <c r="H67" s="65"/>
      <c r="I67" s="65"/>
      <c r="J67" s="65"/>
      <c r="K67" s="65"/>
      <c r="L67" s="65"/>
      <c r="M67" s="71"/>
      <c r="N67" s="65"/>
      <c r="O67" s="65"/>
      <c r="P67" s="65"/>
      <c r="Q67" s="65"/>
      <c r="R67" s="65"/>
      <c r="S67" s="65"/>
      <c r="T67" s="71" t="s">
        <v>10</v>
      </c>
      <c r="U67" s="65" t="s">
        <v>10</v>
      </c>
      <c r="V67" s="65" t="s">
        <v>10</v>
      </c>
      <c r="W67" s="65" t="s">
        <v>10</v>
      </c>
      <c r="X67" s="65" t="s">
        <v>10</v>
      </c>
      <c r="Y67" s="65" t="s">
        <v>10</v>
      </c>
      <c r="Z67" s="65" t="s">
        <v>10</v>
      </c>
      <c r="AA67" s="71"/>
      <c r="AB67" s="65"/>
      <c r="AC67" s="65"/>
      <c r="AD67" s="65"/>
      <c r="AE67" s="65"/>
      <c r="AF67" s="65"/>
      <c r="AG67" s="65"/>
      <c r="AH67" s="71"/>
      <c r="AI67" s="33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8</v>
      </c>
      <c r="AJ67" s="33">
        <f>0</f>
        <v>0</v>
      </c>
      <c r="AK67" s="33">
        <f>AI67+AJ67</f>
        <v>8</v>
      </c>
    </row>
    <row r="68" spans="1:37" ht="14.25" customHeight="1" x14ac:dyDescent="0.2">
      <c r="A68" s="39" t="s">
        <v>27</v>
      </c>
      <c r="B68" s="40" t="s">
        <v>30</v>
      </c>
      <c r="C68" s="41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8" t="str">
        <f>""</f>
        <v/>
      </c>
      <c r="AJ68" s="38" t="str">
        <f>""</f>
        <v/>
      </c>
      <c r="AK68" s="38" t="str">
        <f>""</f>
        <v/>
      </c>
    </row>
    <row r="69" spans="1:37" ht="14.25" customHeight="1" x14ac:dyDescent="0.2">
      <c r="A69" s="42"/>
      <c r="B69" s="43"/>
      <c r="C69" s="44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4"/>
      <c r="AJ69" s="34"/>
      <c r="AK69" s="34"/>
    </row>
    <row r="70" spans="1:37" ht="14.25" customHeight="1" x14ac:dyDescent="0.2">
      <c r="AI70" s="45"/>
      <c r="AJ70" s="45"/>
      <c r="AK70" s="45"/>
    </row>
    <row r="71" spans="1:37" ht="14.25" customHeight="1" x14ac:dyDescent="0.2">
      <c r="A71" s="103"/>
      <c r="B71" s="104"/>
      <c r="C71" s="104"/>
      <c r="D71" s="10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3"/>
      <c r="AI71" s="106"/>
      <c r="AJ71" s="108"/>
      <c r="AK71" s="107"/>
    </row>
    <row r="72" spans="1:37" ht="14.25" customHeight="1" x14ac:dyDescent="0.2">
      <c r="A72" s="100"/>
      <c r="B72" s="105"/>
      <c r="C72" s="105"/>
      <c r="D72" s="91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89"/>
      <c r="AJ72" s="99"/>
      <c r="AK72" s="89"/>
    </row>
    <row r="73" spans="1:37" ht="14.25" customHeight="1" x14ac:dyDescent="0.25">
      <c r="A73" s="2"/>
      <c r="B73" s="2"/>
      <c r="C73" s="3"/>
      <c r="D73" s="14">
        <f t="shared" ref="D73:AH73" si="2">+C73+1</f>
        <v>1</v>
      </c>
      <c r="E73" s="14">
        <f t="shared" si="2"/>
        <v>2</v>
      </c>
      <c r="F73" s="14">
        <f t="shared" si="2"/>
        <v>3</v>
      </c>
      <c r="G73" s="14">
        <f t="shared" si="2"/>
        <v>4</v>
      </c>
      <c r="H73" s="14">
        <f t="shared" si="2"/>
        <v>5</v>
      </c>
      <c r="I73" s="14">
        <f t="shared" si="2"/>
        <v>6</v>
      </c>
      <c r="J73" s="14">
        <f t="shared" si="2"/>
        <v>7</v>
      </c>
      <c r="K73" s="14">
        <f t="shared" si="2"/>
        <v>8</v>
      </c>
      <c r="L73" s="14">
        <f t="shared" si="2"/>
        <v>9</v>
      </c>
      <c r="M73" s="14">
        <f t="shared" si="2"/>
        <v>10</v>
      </c>
      <c r="N73" s="14">
        <f t="shared" si="2"/>
        <v>11</v>
      </c>
      <c r="O73" s="14">
        <f t="shared" si="2"/>
        <v>12</v>
      </c>
      <c r="P73" s="14">
        <f t="shared" si="2"/>
        <v>13</v>
      </c>
      <c r="Q73" s="14">
        <f t="shared" si="2"/>
        <v>14</v>
      </c>
      <c r="R73" s="14">
        <f t="shared" si="2"/>
        <v>15</v>
      </c>
      <c r="S73" s="14">
        <f t="shared" si="2"/>
        <v>16</v>
      </c>
      <c r="T73" s="14">
        <f t="shared" si="2"/>
        <v>17</v>
      </c>
      <c r="U73" s="14">
        <f t="shared" si="2"/>
        <v>18</v>
      </c>
      <c r="V73" s="14">
        <f t="shared" si="2"/>
        <v>19</v>
      </c>
      <c r="W73" s="14">
        <f t="shared" si="2"/>
        <v>20</v>
      </c>
      <c r="X73" s="14">
        <f t="shared" si="2"/>
        <v>21</v>
      </c>
      <c r="Y73" s="14">
        <f t="shared" si="2"/>
        <v>22</v>
      </c>
      <c r="Z73" s="14">
        <f t="shared" si="2"/>
        <v>23</v>
      </c>
      <c r="AA73" s="14">
        <f t="shared" si="2"/>
        <v>24</v>
      </c>
      <c r="AB73" s="14">
        <f t="shared" si="2"/>
        <v>25</v>
      </c>
      <c r="AC73" s="14">
        <f t="shared" si="2"/>
        <v>26</v>
      </c>
      <c r="AD73" s="14">
        <f t="shared" si="2"/>
        <v>27</v>
      </c>
      <c r="AE73" s="14">
        <f t="shared" si="2"/>
        <v>28</v>
      </c>
      <c r="AF73" s="14">
        <f t="shared" si="2"/>
        <v>29</v>
      </c>
      <c r="AG73" s="14">
        <f t="shared" si="2"/>
        <v>30</v>
      </c>
      <c r="AH73" s="14">
        <f t="shared" si="2"/>
        <v>31</v>
      </c>
      <c r="AI73" s="90"/>
      <c r="AJ73" s="100"/>
      <c r="AK73" s="90"/>
    </row>
    <row r="74" spans="1:37" ht="14.25" customHeight="1" x14ac:dyDescent="0.2">
      <c r="A74" s="94"/>
      <c r="B74" s="95"/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8"/>
      <c r="Z74" s="8"/>
      <c r="AA74" s="8"/>
      <c r="AB74" s="8"/>
      <c r="AC74" s="8"/>
      <c r="AD74" s="8"/>
      <c r="AE74" s="8"/>
      <c r="AF74" s="8"/>
      <c r="AG74" s="8"/>
      <c r="AH74" s="4"/>
      <c r="AI74" s="50">
        <f>0</f>
        <v>0</v>
      </c>
      <c r="AJ74" s="51">
        <f t="shared" ref="AJ74:AJ81" si="3">SUM(D74:AH74)/8</f>
        <v>0</v>
      </c>
      <c r="AK74" s="52">
        <f t="shared" ref="AK74:AK105" si="4">AI74+AJ74</f>
        <v>0</v>
      </c>
    </row>
    <row r="75" spans="1:37" ht="14.25" customHeight="1" x14ac:dyDescent="0.2">
      <c r="A75" s="89"/>
      <c r="B75" s="89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si="3"/>
        <v>0</v>
      </c>
      <c r="AK75" s="52">
        <f t="shared" si="4"/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3"/>
        <v>0</v>
      </c>
      <c r="AK76" s="52">
        <f t="shared" si="4"/>
        <v>0</v>
      </c>
    </row>
    <row r="77" spans="1:37" ht="14.25" customHeight="1" x14ac:dyDescent="0.2">
      <c r="A77" s="90"/>
      <c r="B77" s="96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9"/>
      <c r="AF77" s="8"/>
      <c r="AG77" s="8"/>
      <c r="AH77" s="6"/>
      <c r="AI77" s="50">
        <f>0</f>
        <v>0</v>
      </c>
      <c r="AJ77" s="51">
        <f t="shared" si="3"/>
        <v>0</v>
      </c>
      <c r="AK77" s="52">
        <f t="shared" si="4"/>
        <v>0</v>
      </c>
    </row>
    <row r="78" spans="1:37" ht="14.25" customHeight="1" x14ac:dyDescent="0.2">
      <c r="A78" s="94"/>
      <c r="B78" s="97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3"/>
        <v>0</v>
      </c>
      <c r="AK78" s="52">
        <f t="shared" si="4"/>
        <v>0</v>
      </c>
    </row>
    <row r="79" spans="1:37" ht="14.25" customHeight="1" x14ac:dyDescent="0.2">
      <c r="A79" s="89"/>
      <c r="B79" s="89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3"/>
        <v>0</v>
      </c>
      <c r="AK79" s="52">
        <f t="shared" si="4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3"/>
        <v>0</v>
      </c>
      <c r="AK80" s="52">
        <f t="shared" si="4"/>
        <v>0</v>
      </c>
    </row>
    <row r="81" spans="1:37" ht="14.25" customHeight="1" x14ac:dyDescent="0.2">
      <c r="A81" s="90"/>
      <c r="B81" s="96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3"/>
        <v>0</v>
      </c>
      <c r="AK81" s="52">
        <f t="shared" si="4"/>
        <v>0</v>
      </c>
    </row>
    <row r="82" spans="1:37" ht="14.25" customHeight="1" x14ac:dyDescent="0.2">
      <c r="A82" s="94"/>
      <c r="B82" s="97"/>
      <c r="C82" s="2"/>
      <c r="D82" s="8"/>
      <c r="E82" s="8"/>
      <c r="F82" s="8"/>
      <c r="G82" s="8"/>
      <c r="H82" s="8"/>
      <c r="I82" s="8"/>
      <c r="J82" s="8"/>
      <c r="K82" s="8"/>
      <c r="L82" s="15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/>
      <c r="AK82" s="52">
        <f t="shared" si="4"/>
        <v>0</v>
      </c>
    </row>
    <row r="83" spans="1:37" ht="14.25" customHeight="1" x14ac:dyDescent="0.2">
      <c r="A83" s="89"/>
      <c r="B83" s="89"/>
      <c r="C83" s="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>
        <f>0</f>
        <v>0</v>
      </c>
      <c r="AK83" s="52">
        <f t="shared" si="4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4"/>
        <v>0</v>
      </c>
    </row>
    <row r="85" spans="1:37" ht="14.25" customHeight="1" x14ac:dyDescent="0.2">
      <c r="A85" s="90"/>
      <c r="B85" s="96"/>
      <c r="C85" s="2"/>
      <c r="D85" s="8"/>
      <c r="E85" s="8"/>
      <c r="F85" s="8"/>
      <c r="G85" s="8"/>
      <c r="H85" s="8"/>
      <c r="I85" s="8"/>
      <c r="J85" s="8"/>
      <c r="K85" s="8"/>
      <c r="L85" s="15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4"/>
        <v>0</v>
      </c>
    </row>
    <row r="86" spans="1:37" ht="14.25" customHeight="1" x14ac:dyDescent="0.2">
      <c r="A86" s="94"/>
      <c r="B86" s="97"/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4"/>
        <v>0</v>
      </c>
    </row>
    <row r="87" spans="1:37" ht="14.25" customHeight="1" x14ac:dyDescent="0.2">
      <c r="A87" s="89"/>
      <c r="B87" s="89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4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4"/>
        <v>0</v>
      </c>
    </row>
    <row r="89" spans="1:37" ht="14.25" customHeight="1" x14ac:dyDescent="0.2">
      <c r="A89" s="90"/>
      <c r="B89" s="96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4"/>
        <v>0</v>
      </c>
    </row>
    <row r="90" spans="1:37" ht="14.25" customHeight="1" x14ac:dyDescent="0.2">
      <c r="A90" s="94"/>
      <c r="B90" s="97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4"/>
        <v>0</v>
      </c>
    </row>
    <row r="91" spans="1:37" ht="14.25" customHeight="1" x14ac:dyDescent="0.2">
      <c r="A91" s="89"/>
      <c r="B91" s="89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4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4"/>
        <v>0</v>
      </c>
    </row>
    <row r="93" spans="1:37" ht="14.25" customHeight="1" x14ac:dyDescent="0.2">
      <c r="A93" s="90"/>
      <c r="B93" s="96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4"/>
        <v>0</v>
      </c>
    </row>
    <row r="94" spans="1:37" ht="14.25" customHeight="1" x14ac:dyDescent="0.2">
      <c r="A94" s="94"/>
      <c r="B94" s="97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4"/>
        <v>0</v>
      </c>
    </row>
    <row r="95" spans="1:37" ht="14.25" customHeight="1" x14ac:dyDescent="0.2">
      <c r="A95" s="89"/>
      <c r="B95" s="89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4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4"/>
        <v>0</v>
      </c>
    </row>
    <row r="97" spans="1:37" ht="14.25" customHeight="1" x14ac:dyDescent="0.2">
      <c r="A97" s="90"/>
      <c r="B97" s="96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4"/>
        <v>0</v>
      </c>
    </row>
    <row r="98" spans="1:37" ht="14.25" customHeight="1" x14ac:dyDescent="0.2">
      <c r="A98" s="94"/>
      <c r="B98" s="97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4"/>
        <v>0</v>
      </c>
    </row>
    <row r="99" spans="1:37" ht="14.25" customHeight="1" x14ac:dyDescent="0.2">
      <c r="A99" s="89"/>
      <c r="B99" s="89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4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4"/>
        <v>0</v>
      </c>
    </row>
    <row r="101" spans="1:37" ht="14.25" customHeight="1" x14ac:dyDescent="0.2">
      <c r="A101" s="90"/>
      <c r="B101" s="96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4"/>
        <v>0</v>
      </c>
    </row>
    <row r="102" spans="1:37" ht="14.25" customHeight="1" x14ac:dyDescent="0.2">
      <c r="A102" s="94"/>
      <c r="B102" s="97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6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4"/>
        <v>0</v>
      </c>
    </row>
    <row r="103" spans="1:37" ht="14.25" customHeight="1" x14ac:dyDescent="0.2">
      <c r="A103" s="89"/>
      <c r="B103" s="89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4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4"/>
        <v>0</v>
      </c>
    </row>
    <row r="105" spans="1:37" ht="14.25" customHeight="1" x14ac:dyDescent="0.2">
      <c r="A105" s="90"/>
      <c r="B105" s="96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4"/>
        <v>0</v>
      </c>
    </row>
    <row r="106" spans="1:37" ht="14.25" customHeight="1" x14ac:dyDescent="0.2">
      <c r="A106" s="94"/>
      <c r="B106" s="97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ref="AK106:AK125" si="5">AI106+AJ106</f>
        <v>0</v>
      </c>
    </row>
    <row r="107" spans="1:37" ht="14.25" customHeight="1" x14ac:dyDescent="0.2">
      <c r="A107" s="89"/>
      <c r="B107" s="89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si="5"/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5"/>
        <v>0</v>
      </c>
    </row>
    <row r="109" spans="1:37" ht="14.25" customHeight="1" x14ac:dyDescent="0.2">
      <c r="A109" s="90"/>
      <c r="B109" s="96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6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5"/>
        <v>0</v>
      </c>
    </row>
    <row r="110" spans="1:37" ht="14.25" customHeight="1" x14ac:dyDescent="0.2">
      <c r="A110" s="94"/>
      <c r="B110" s="97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5"/>
        <v>0</v>
      </c>
    </row>
    <row r="111" spans="1:37" ht="14.25" customHeight="1" x14ac:dyDescent="0.2">
      <c r="A111" s="89"/>
      <c r="B111" s="89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5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5"/>
        <v>0</v>
      </c>
    </row>
    <row r="113" spans="1:37" ht="14.25" customHeight="1" x14ac:dyDescent="0.2">
      <c r="A113" s="90"/>
      <c r="B113" s="96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6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5"/>
        <v>0</v>
      </c>
    </row>
    <row r="114" spans="1:37" ht="14.25" customHeight="1" x14ac:dyDescent="0.2">
      <c r="A114" s="94"/>
      <c r="B114" s="97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6"/>
      <c r="X114" s="9"/>
      <c r="Y114" s="8"/>
      <c r="Z114" s="8"/>
      <c r="AA114" s="8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5"/>
        <v>0</v>
      </c>
    </row>
    <row r="115" spans="1:37" ht="14.25" customHeight="1" x14ac:dyDescent="0.2">
      <c r="A115" s="89"/>
      <c r="B115" s="89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5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5"/>
        <v>0</v>
      </c>
    </row>
    <row r="117" spans="1:37" ht="14.25" customHeight="1" x14ac:dyDescent="0.2">
      <c r="A117" s="90"/>
      <c r="B117" s="96"/>
      <c r="C117" s="2"/>
      <c r="D117" s="8"/>
      <c r="E117" s="8"/>
      <c r="F117" s="8"/>
      <c r="G117" s="8"/>
      <c r="H117" s="8"/>
      <c r="I117" s="8"/>
      <c r="J117" s="13"/>
      <c r="K117" s="13"/>
      <c r="L117" s="13"/>
      <c r="M117" s="8"/>
      <c r="N117" s="13"/>
      <c r="O117" s="13"/>
      <c r="P117" s="13"/>
      <c r="Q117" s="13"/>
      <c r="R117" s="8"/>
      <c r="S117" s="8"/>
      <c r="T117" s="8"/>
      <c r="U117" s="8"/>
      <c r="V117" s="6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5"/>
        <v>0</v>
      </c>
    </row>
    <row r="118" spans="1:37" ht="14.25" customHeight="1" x14ac:dyDescent="0.2">
      <c r="A118" s="94"/>
      <c r="B118" s="88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4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4"/>
      <c r="AI118" s="50">
        <f>0</f>
        <v>0</v>
      </c>
      <c r="AJ118" s="51">
        <f>0</f>
        <v>0</v>
      </c>
      <c r="AK118" s="52">
        <f t="shared" si="5"/>
        <v>0</v>
      </c>
    </row>
    <row r="119" spans="1:37" ht="14.25" customHeight="1" x14ac:dyDescent="0.2">
      <c r="A119" s="89"/>
      <c r="B119" s="89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5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5"/>
        <v>0</v>
      </c>
    </row>
    <row r="121" spans="1:37" ht="14.25" customHeight="1" x14ac:dyDescent="0.2">
      <c r="A121" s="90"/>
      <c r="B121" s="90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6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6"/>
      <c r="AI121" s="50">
        <f>0</f>
        <v>0</v>
      </c>
      <c r="AJ121" s="51">
        <f>0</f>
        <v>0</v>
      </c>
      <c r="AK121" s="52">
        <f t="shared" si="5"/>
        <v>0</v>
      </c>
    </row>
    <row r="122" spans="1:37" ht="14.25" customHeight="1" x14ac:dyDescent="0.2">
      <c r="A122" s="94"/>
      <c r="B122" s="94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4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4"/>
      <c r="AI122" s="50">
        <f>0</f>
        <v>0</v>
      </c>
      <c r="AJ122" s="51">
        <f>0</f>
        <v>0</v>
      </c>
      <c r="AK122" s="52">
        <f t="shared" si="5"/>
        <v>0</v>
      </c>
    </row>
    <row r="123" spans="1:37" ht="14.25" customHeight="1" x14ac:dyDescent="0.2">
      <c r="A123" s="89"/>
      <c r="B123" s="89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5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5"/>
        <v>0</v>
      </c>
    </row>
    <row r="125" spans="1:37" ht="14.25" customHeight="1" x14ac:dyDescent="0.2">
      <c r="A125" s="90"/>
      <c r="B125" s="90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6"/>
      <c r="W125" s="6"/>
      <c r="X125" s="9"/>
      <c r="Y125" s="8"/>
      <c r="Z125" s="8"/>
      <c r="AA125" s="6"/>
      <c r="AB125" s="8"/>
      <c r="AC125" s="8"/>
      <c r="AD125" s="8"/>
      <c r="AE125" s="9"/>
      <c r="AF125" s="8"/>
      <c r="AG125" s="8"/>
      <c r="AH125" s="6"/>
      <c r="AI125" s="50">
        <f>0</f>
        <v>0</v>
      </c>
      <c r="AJ125" s="51">
        <f>0</f>
        <v>0</v>
      </c>
      <c r="AK125" s="52">
        <f t="shared" si="5"/>
        <v>0</v>
      </c>
    </row>
    <row r="126" spans="1:37" x14ac:dyDescent="0.2">
      <c r="A126" s="11"/>
      <c r="B126" s="11"/>
      <c r="AH126" s="12"/>
      <c r="AI126" s="52"/>
      <c r="AJ126" s="52">
        <f>SUM(AJ74:AJ125)</f>
        <v>0</v>
      </c>
      <c r="AK126" s="52">
        <f>SUM(AK74:AK125)</f>
        <v>0</v>
      </c>
    </row>
    <row r="127" spans="1:37" x14ac:dyDescent="0.2">
      <c r="A127" s="11"/>
      <c r="B127" s="11"/>
      <c r="AI127" s="45"/>
      <c r="AJ127" s="45"/>
      <c r="AK127" s="45"/>
    </row>
    <row r="128" spans="1:37" ht="14.25" customHeight="1" x14ac:dyDescent="0.2"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4.25" customHeight="1" x14ac:dyDescent="0.2">
      <c r="AI134" s="45"/>
      <c r="AJ134" s="45"/>
      <c r="AK134" s="45"/>
    </row>
    <row r="135" spans="35:37" ht="14.25" customHeight="1" x14ac:dyDescent="0.2">
      <c r="AI135" s="45"/>
      <c r="AJ135" s="45"/>
      <c r="AK135" s="45"/>
    </row>
    <row r="136" spans="35:37" ht="14.25" customHeight="1" x14ac:dyDescent="0.2">
      <c r="AI136" s="45"/>
      <c r="AJ136" s="45"/>
      <c r="AK136" s="45"/>
    </row>
    <row r="137" spans="35:37" ht="14.25" customHeight="1" x14ac:dyDescent="0.2">
      <c r="AI137" s="45"/>
      <c r="AJ137" s="45"/>
      <c r="AK137" s="45"/>
    </row>
    <row r="138" spans="35:37" ht="14.25" customHeight="1" x14ac:dyDescent="0.2">
      <c r="AI138" s="45"/>
      <c r="AJ138" s="45"/>
      <c r="AK138" s="45"/>
    </row>
    <row r="139" spans="35:37" ht="14.25" customHeight="1" x14ac:dyDescent="0.2">
      <c r="AI139" s="45"/>
      <c r="AJ139" s="45"/>
      <c r="AK139" s="45"/>
    </row>
    <row r="140" spans="35:37" ht="14.25" customHeight="1" x14ac:dyDescent="0.2">
      <c r="AI140" s="45"/>
      <c r="AJ140" s="45"/>
      <c r="AK140" s="45"/>
    </row>
    <row r="141" spans="35:37" ht="14.25" customHeight="1" x14ac:dyDescent="0.2">
      <c r="AI141" s="45"/>
      <c r="AJ141" s="45"/>
      <c r="AK141" s="45"/>
    </row>
    <row r="142" spans="35:37" ht="14.25" customHeight="1" x14ac:dyDescent="0.2">
      <c r="AI142" s="45"/>
      <c r="AJ142" s="45"/>
      <c r="AK142" s="45"/>
    </row>
    <row r="143" spans="35:37" ht="14.25" customHeight="1" x14ac:dyDescent="0.2">
      <c r="AI143" s="45"/>
      <c r="AJ143" s="45"/>
      <c r="AK143" s="45"/>
    </row>
    <row r="144" spans="35:37" ht="14.25" customHeight="1" x14ac:dyDescent="0.2">
      <c r="AI144" s="45"/>
      <c r="AJ144" s="45"/>
      <c r="AK144" s="45"/>
    </row>
    <row r="145" spans="35:37" ht="14.25" customHeight="1" x14ac:dyDescent="0.2">
      <c r="AI145" s="45"/>
      <c r="AJ145" s="45"/>
      <c r="AK145" s="45"/>
    </row>
    <row r="146" spans="35:37" ht="14.25" customHeight="1" x14ac:dyDescent="0.2">
      <c r="AI146" s="45"/>
      <c r="AJ146" s="45"/>
      <c r="AK146" s="45"/>
    </row>
    <row r="147" spans="35:37" ht="14.25" customHeight="1" x14ac:dyDescent="0.2">
      <c r="AI147" s="45"/>
      <c r="AJ147" s="45"/>
      <c r="AK147" s="45"/>
    </row>
    <row r="148" spans="35:37" ht="14.25" customHeight="1" x14ac:dyDescent="0.2">
      <c r="AI148" s="45"/>
      <c r="AJ148" s="45"/>
      <c r="AK148" s="45"/>
    </row>
    <row r="149" spans="35:37" ht="14.25" customHeight="1" x14ac:dyDescent="0.2">
      <c r="AI149" s="45"/>
      <c r="AJ149" s="45"/>
      <c r="AK149" s="45"/>
    </row>
    <row r="150" spans="35:37" ht="14.25" customHeight="1" x14ac:dyDescent="0.2">
      <c r="AI150" s="45"/>
      <c r="AJ150" s="45"/>
      <c r="AK150" s="45"/>
    </row>
    <row r="151" spans="35:37" ht="14.25" customHeight="1" x14ac:dyDescent="0.2">
      <c r="AI151" s="45"/>
      <c r="AJ151" s="45"/>
      <c r="AK151" s="45"/>
    </row>
    <row r="152" spans="35:37" ht="14.25" customHeight="1" x14ac:dyDescent="0.2">
      <c r="AI152" s="45"/>
      <c r="AJ152" s="45"/>
      <c r="AK152" s="45"/>
    </row>
    <row r="153" spans="35:37" ht="14.25" customHeight="1" x14ac:dyDescent="0.2">
      <c r="AI153" s="45"/>
      <c r="AJ153" s="45"/>
      <c r="AK153" s="45"/>
    </row>
    <row r="154" spans="35:37" ht="14.25" customHeight="1" x14ac:dyDescent="0.2">
      <c r="AI154" s="45"/>
      <c r="AJ154" s="45"/>
      <c r="AK154" s="45"/>
    </row>
    <row r="155" spans="35:37" ht="14.25" customHeight="1" x14ac:dyDescent="0.2">
      <c r="AI155" s="45"/>
      <c r="AJ155" s="45"/>
      <c r="AK155" s="45"/>
    </row>
    <row r="156" spans="35:37" ht="14.25" customHeight="1" x14ac:dyDescent="0.2">
      <c r="AI156" s="45"/>
      <c r="AJ156" s="45"/>
      <c r="AK156" s="45"/>
    </row>
    <row r="157" spans="35:37" ht="14.25" customHeight="1" x14ac:dyDescent="0.2">
      <c r="AI157" s="45"/>
      <c r="AJ157" s="45"/>
      <c r="AK157" s="45"/>
    </row>
    <row r="158" spans="35:37" ht="14.25" customHeight="1" x14ac:dyDescent="0.2">
      <c r="AI158" s="45"/>
      <c r="AJ158" s="45"/>
      <c r="AK158" s="45"/>
    </row>
    <row r="159" spans="35:37" ht="14.25" customHeight="1" x14ac:dyDescent="0.2">
      <c r="AI159" s="45"/>
      <c r="AJ159" s="45"/>
      <c r="AK159" s="45"/>
    </row>
    <row r="160" spans="35:37" ht="14.25" customHeight="1" x14ac:dyDescent="0.2">
      <c r="AI160" s="45"/>
      <c r="AJ160" s="45"/>
      <c r="AK160" s="45"/>
    </row>
    <row r="161" spans="35:37" ht="14.25" customHeight="1" x14ac:dyDescent="0.2">
      <c r="AI161" s="45"/>
      <c r="AJ161" s="45"/>
      <c r="AK161" s="45"/>
    </row>
    <row r="162" spans="35:37" ht="14.25" customHeight="1" x14ac:dyDescent="0.2">
      <c r="AI162" s="45"/>
      <c r="AJ162" s="45"/>
      <c r="AK162" s="45"/>
    </row>
    <row r="163" spans="35:37" ht="14.25" customHeight="1" x14ac:dyDescent="0.2">
      <c r="AI163" s="45"/>
      <c r="AJ163" s="45"/>
      <c r="AK163" s="45"/>
    </row>
    <row r="164" spans="35:37" ht="14.25" customHeight="1" x14ac:dyDescent="0.2">
      <c r="AI164" s="45"/>
      <c r="AJ164" s="45"/>
      <c r="AK164" s="45"/>
    </row>
    <row r="165" spans="35:37" ht="14.25" customHeight="1" x14ac:dyDescent="0.2">
      <c r="AI165" s="45"/>
      <c r="AJ165" s="45"/>
      <c r="AK165" s="45"/>
    </row>
    <row r="166" spans="35:37" ht="14.25" customHeight="1" x14ac:dyDescent="0.2">
      <c r="AI166" s="45"/>
      <c r="AJ166" s="45"/>
      <c r="AK166" s="45"/>
    </row>
    <row r="167" spans="35:37" ht="14.25" customHeight="1" x14ac:dyDescent="0.2">
      <c r="AI167" s="45"/>
      <c r="AJ167" s="45"/>
      <c r="AK167" s="45"/>
    </row>
    <row r="168" spans="35:37" ht="14.25" customHeight="1" x14ac:dyDescent="0.2">
      <c r="AI168" s="45"/>
      <c r="AJ168" s="45"/>
      <c r="AK168" s="45"/>
    </row>
    <row r="169" spans="35:37" ht="14.25" customHeight="1" x14ac:dyDescent="0.2">
      <c r="AI169" s="45"/>
      <c r="AJ169" s="45"/>
      <c r="AK169" s="45"/>
    </row>
    <row r="170" spans="35:37" ht="14.25" customHeight="1" x14ac:dyDescent="0.2">
      <c r="AI170" s="45"/>
      <c r="AJ170" s="45"/>
      <c r="AK170" s="45"/>
    </row>
    <row r="171" spans="35:37" ht="14.25" customHeight="1" x14ac:dyDescent="0.2">
      <c r="AI171" s="45"/>
      <c r="AJ171" s="45"/>
      <c r="AK171" s="45"/>
    </row>
    <row r="172" spans="35:37" ht="14.25" customHeight="1" x14ac:dyDescent="0.2">
      <c r="AI172" s="45"/>
      <c r="AJ172" s="45"/>
      <c r="AK172" s="45"/>
    </row>
    <row r="173" spans="35:37" ht="14.25" customHeight="1" x14ac:dyDescent="0.2">
      <c r="AI173" s="45"/>
      <c r="AJ173" s="45"/>
      <c r="AK173" s="45"/>
    </row>
    <row r="174" spans="35:37" ht="14.25" customHeight="1" x14ac:dyDescent="0.2">
      <c r="AI174" s="45"/>
      <c r="AJ174" s="45"/>
      <c r="AK174" s="45"/>
    </row>
    <row r="175" spans="35:37" ht="14.25" customHeight="1" x14ac:dyDescent="0.2">
      <c r="AI175" s="45"/>
      <c r="AJ175" s="45"/>
      <c r="AK175" s="45"/>
    </row>
    <row r="176" spans="35:37" ht="14.25" customHeight="1" x14ac:dyDescent="0.2">
      <c r="AI176" s="45"/>
      <c r="AJ176" s="45"/>
      <c r="AK176" s="45"/>
    </row>
    <row r="177" spans="35:37" ht="14.25" customHeight="1" x14ac:dyDescent="0.2">
      <c r="AI177" s="45"/>
      <c r="AJ177" s="45"/>
      <c r="AK177" s="45"/>
    </row>
    <row r="178" spans="35:37" ht="14.25" customHeight="1" x14ac:dyDescent="0.2">
      <c r="AI178" s="45"/>
      <c r="AJ178" s="45"/>
      <c r="AK178" s="45"/>
    </row>
    <row r="179" spans="35:37" ht="14.25" customHeight="1" x14ac:dyDescent="0.2">
      <c r="AI179" s="45"/>
      <c r="AJ179" s="45"/>
      <c r="AK179" s="45"/>
    </row>
    <row r="180" spans="35:37" ht="14.25" customHeight="1" x14ac:dyDescent="0.2">
      <c r="AI180" s="45"/>
      <c r="AJ180" s="45"/>
      <c r="AK180" s="45"/>
    </row>
    <row r="181" spans="35:37" ht="14.25" customHeight="1" x14ac:dyDescent="0.2">
      <c r="AI181" s="45"/>
      <c r="AJ181" s="45"/>
      <c r="AK181" s="45"/>
    </row>
    <row r="182" spans="35:37" ht="14.25" customHeight="1" x14ac:dyDescent="0.2">
      <c r="AI182" s="45"/>
      <c r="AJ182" s="45"/>
      <c r="AK182" s="45"/>
    </row>
    <row r="183" spans="35:37" ht="14.25" customHeight="1" x14ac:dyDescent="0.2">
      <c r="AI183" s="45"/>
      <c r="AJ183" s="45"/>
      <c r="AK183" s="45"/>
    </row>
    <row r="184" spans="35:37" ht="14.25" customHeight="1" x14ac:dyDescent="0.2">
      <c r="AI184" s="45"/>
      <c r="AJ184" s="45"/>
      <c r="AK184" s="45"/>
    </row>
    <row r="185" spans="35:37" ht="14.25" customHeight="1" x14ac:dyDescent="0.2">
      <c r="AI185" s="45"/>
      <c r="AJ185" s="45"/>
      <c r="AK185" s="45"/>
    </row>
    <row r="186" spans="35:37" ht="14.25" customHeight="1" x14ac:dyDescent="0.2">
      <c r="AI186" s="45"/>
      <c r="AJ186" s="45"/>
      <c r="AK186" s="45"/>
    </row>
    <row r="187" spans="35:37" ht="14.25" customHeight="1" x14ac:dyDescent="0.2">
      <c r="AI187" s="45"/>
      <c r="AJ187" s="45"/>
      <c r="AK187" s="45"/>
    </row>
    <row r="188" spans="35:37" ht="14.25" customHeight="1" x14ac:dyDescent="0.2">
      <c r="AI188" s="45"/>
      <c r="AJ188" s="45"/>
      <c r="AK188" s="45"/>
    </row>
    <row r="189" spans="35:37" ht="14.25" customHeight="1" x14ac:dyDescent="0.2">
      <c r="AI189" s="45"/>
      <c r="AJ189" s="45"/>
      <c r="AK189" s="45"/>
    </row>
    <row r="190" spans="35:37" ht="14.25" customHeight="1" x14ac:dyDescent="0.2">
      <c r="AI190" s="45"/>
      <c r="AJ190" s="45"/>
      <c r="AK190" s="45"/>
    </row>
    <row r="191" spans="35:37" ht="14.25" customHeight="1" x14ac:dyDescent="0.2">
      <c r="AI191" s="45"/>
      <c r="AJ191" s="45"/>
      <c r="AK191" s="45"/>
    </row>
    <row r="192" spans="35:37" ht="14.25" customHeight="1" x14ac:dyDescent="0.2">
      <c r="AI192" s="45"/>
      <c r="AJ192" s="45"/>
      <c r="AK192" s="45"/>
    </row>
    <row r="193" spans="4:37" ht="14.25" customHeight="1" x14ac:dyDescent="0.2">
      <c r="AI193" s="45"/>
      <c r="AJ193" s="45"/>
      <c r="AK193" s="45"/>
    </row>
    <row r="194" spans="4:37" ht="14.25" customHeight="1" x14ac:dyDescent="0.2">
      <c r="AI194" s="45"/>
      <c r="AJ194" s="45"/>
      <c r="AK194" s="45"/>
    </row>
    <row r="195" spans="4:37" ht="14.25" customHeight="1" x14ac:dyDescent="0.2">
      <c r="AI195" s="45"/>
      <c r="AJ195" s="45"/>
      <c r="AK195" s="45"/>
    </row>
    <row r="196" spans="4:37" ht="14.25" customHeight="1" x14ac:dyDescent="0.2">
      <c r="AI196" s="45"/>
      <c r="AJ196" s="45"/>
      <c r="AK196" s="45"/>
    </row>
    <row r="197" spans="4:37" ht="14.25" customHeight="1" x14ac:dyDescent="0.2">
      <c r="AI197" s="45"/>
      <c r="AJ197" s="45"/>
      <c r="AK197" s="45"/>
    </row>
    <row r="198" spans="4:37" ht="14.25" customHeight="1" x14ac:dyDescent="0.2">
      <c r="AI198" s="45"/>
      <c r="AJ198" s="45"/>
      <c r="AK198" s="45"/>
    </row>
    <row r="199" spans="4:37" ht="14.25" customHeight="1" x14ac:dyDescent="0.2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5"/>
      <c r="AJ199" s="45"/>
      <c r="AK199" s="45"/>
    </row>
    <row r="200" spans="4:37" ht="14.25" customHeight="1" x14ac:dyDescent="0.2"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4:37" ht="14.25" customHeight="1" x14ac:dyDescent="0.2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4:37" ht="14.25" customHeight="1" x14ac:dyDescent="0.2"/>
    <row r="203" spans="4:37" ht="14.25" customHeight="1" x14ac:dyDescent="0.2"/>
    <row r="204" spans="4:37" ht="14.25" customHeight="1" x14ac:dyDescent="0.2"/>
    <row r="205" spans="4:37" ht="14.25" customHeight="1" x14ac:dyDescent="0.2"/>
    <row r="206" spans="4:37" ht="14.25" customHeight="1" x14ac:dyDescent="0.2"/>
    <row r="207" spans="4:37" ht="14.25" customHeight="1" x14ac:dyDescent="0.2"/>
    <row r="208" spans="4:3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</sheetData>
  <mergeCells count="64">
    <mergeCell ref="A114:A117"/>
    <mergeCell ref="A94:A97"/>
    <mergeCell ref="B122:B125"/>
    <mergeCell ref="B94:B97"/>
    <mergeCell ref="A110:A113"/>
    <mergeCell ref="A122:A125"/>
    <mergeCell ref="B110:B113"/>
    <mergeCell ref="A102:A105"/>
    <mergeCell ref="B90:B93"/>
    <mergeCell ref="B59:B62"/>
    <mergeCell ref="B106:B109"/>
    <mergeCell ref="B102:B105"/>
    <mergeCell ref="A90:A93"/>
    <mergeCell ref="B98:B101"/>
    <mergeCell ref="A82:A85"/>
    <mergeCell ref="A64:A67"/>
    <mergeCell ref="A78:A81"/>
    <mergeCell ref="B86:B89"/>
    <mergeCell ref="B78:B81"/>
    <mergeCell ref="AJ1:AJ2"/>
    <mergeCell ref="A4:A7"/>
    <mergeCell ref="AI71:AI73"/>
    <mergeCell ref="B14:B17"/>
    <mergeCell ref="A118:A121"/>
    <mergeCell ref="B39:B42"/>
    <mergeCell ref="A1:C2"/>
    <mergeCell ref="A74:A77"/>
    <mergeCell ref="B82:B85"/>
    <mergeCell ref="A86:A89"/>
    <mergeCell ref="B29:B32"/>
    <mergeCell ref="B19:B22"/>
    <mergeCell ref="A98:A101"/>
    <mergeCell ref="B118:B121"/>
    <mergeCell ref="A106:A109"/>
    <mergeCell ref="B114:B117"/>
    <mergeCell ref="B9:B12"/>
    <mergeCell ref="D1:AH1"/>
    <mergeCell ref="B34:B37"/>
    <mergeCell ref="A71:C72"/>
    <mergeCell ref="B74:B77"/>
    <mergeCell ref="A14:A17"/>
    <mergeCell ref="A29:A32"/>
    <mergeCell ref="B24:B27"/>
    <mergeCell ref="A19:A22"/>
    <mergeCell ref="B49:B52"/>
    <mergeCell ref="A54:A57"/>
    <mergeCell ref="D72:AH72"/>
    <mergeCell ref="D71:AH71"/>
    <mergeCell ref="AK71:AK73"/>
    <mergeCell ref="A9:A12"/>
    <mergeCell ref="D2:AH2"/>
    <mergeCell ref="A44:A47"/>
    <mergeCell ref="B4:B7"/>
    <mergeCell ref="B64:B67"/>
    <mergeCell ref="A34:A37"/>
    <mergeCell ref="A39:A42"/>
    <mergeCell ref="A59:A62"/>
    <mergeCell ref="A24:A27"/>
    <mergeCell ref="B54:B57"/>
    <mergeCell ref="A49:A52"/>
    <mergeCell ref="AI1:AI2"/>
    <mergeCell ref="AK1:AK2"/>
    <mergeCell ref="B44:B47"/>
    <mergeCell ref="AJ71:AJ73"/>
  </mergeCells>
  <conditionalFormatting sqref="C4:AK67">
    <cfRule type="expression" dxfId="97" priority="9">
      <formula>AND($A4="",$B4="",$C4="")</formula>
    </cfRule>
  </conditionalFormatting>
  <conditionalFormatting sqref="D3:AH55">
    <cfRule type="expression" dxfId="96" priority="8">
      <formula>WEEKDAY(D$3)=1</formula>
    </cfRule>
  </conditionalFormatting>
  <conditionalFormatting sqref="D3:AH67">
    <cfRule type="expression" dxfId="95" priority="13">
      <formula>AND(D$3&lt;&gt;"",WEEKDAY(D$3,2)=7)</formula>
    </cfRule>
  </conditionalFormatting>
  <conditionalFormatting sqref="D4:AH55">
    <cfRule type="expression" dxfId="94" priority="5">
      <formula>AND($C4="C3",D4&lt;&gt;"")</formula>
    </cfRule>
    <cfRule type="expression" dxfId="93" priority="6">
      <formula>AND($C4="C1",D4&lt;&gt;"")</formula>
    </cfRule>
    <cfRule type="expression" dxfId="92" priority="7">
      <formula>AND($C4="TC",D4&lt;&gt;"")</formula>
    </cfRule>
  </conditionalFormatting>
  <conditionalFormatting sqref="D4:AH67">
    <cfRule type="expression" dxfId="91" priority="14">
      <formula>AND($C4="TC",D4&lt;&gt;"")</formula>
    </cfRule>
    <cfRule type="expression" dxfId="90" priority="15">
      <formula>AND($C4="C1",D4&lt;&gt;"")</formula>
    </cfRule>
    <cfRule type="expression" dxfId="89" priority="16">
      <formula>AND($C4="C3",D4&lt;&gt;"")</formula>
    </cfRule>
  </conditionalFormatting>
  <conditionalFormatting sqref="D73:AH125">
    <cfRule type="expression" dxfId="88" priority="4">
      <formula>WEEKDAY(D$3)=1</formula>
    </cfRule>
  </conditionalFormatting>
  <conditionalFormatting sqref="D74:AH125">
    <cfRule type="expression" dxfId="87" priority="1">
      <formula>AND($C74="C3",D74&lt;&gt;"")</formula>
    </cfRule>
    <cfRule type="expression" dxfId="86" priority="2">
      <formula>AND($C74="C1",D74&lt;&gt;"")</formula>
    </cfRule>
    <cfRule type="expression" dxfId="85" priority="3">
      <formula>AND($C74="TC",D74&lt;&gt;"")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037"/>
  <sheetViews>
    <sheetView topLeftCell="A22" workbookViewId="0">
      <selection sqref="A1:C2"/>
    </sheetView>
  </sheetViews>
  <sheetFormatPr defaultColWidth="12.625" defaultRowHeight="14.25" x14ac:dyDescent="0.2"/>
  <cols>
    <col min="1" max="1" width="5" customWidth="1"/>
    <col min="2" max="2" width="23" customWidth="1"/>
    <col min="3" max="3" width="8.25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7.5" customWidth="1"/>
  </cols>
  <sheetData>
    <row r="1" spans="1:37" ht="44.25" customHeight="1" x14ac:dyDescent="0.2">
      <c r="A1" s="103" t="s">
        <v>0</v>
      </c>
      <c r="B1" s="104"/>
      <c r="C1" s="104"/>
      <c r="D1" s="102" t="s">
        <v>51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3"/>
      <c r="AI1" s="101" t="s">
        <v>2</v>
      </c>
      <c r="AJ1" s="98" t="s">
        <v>3</v>
      </c>
      <c r="AK1" s="88" t="s">
        <v>4</v>
      </c>
    </row>
    <row r="2" spans="1:37" ht="24.75" customHeight="1" x14ac:dyDescent="0.2">
      <c r="A2" s="100"/>
      <c r="B2" s="105"/>
      <c r="C2" s="105"/>
      <c r="D2" s="91">
        <v>46174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3"/>
      <c r="AI2" s="89"/>
      <c r="AJ2" s="99"/>
      <c r="AK2" s="89"/>
    </row>
    <row r="3" spans="1:37" ht="30.75" customHeight="1" x14ac:dyDescent="0.25">
      <c r="A3" s="2" t="s">
        <v>5</v>
      </c>
      <c r="B3" s="2" t="s">
        <v>6</v>
      </c>
      <c r="C3" s="3"/>
      <c r="D3" s="14">
        <v>46174</v>
      </c>
      <c r="E3" s="14">
        <v>46175</v>
      </c>
      <c r="F3" s="14">
        <f t="shared" ref="F3:AH3" si="0">+E3+1</f>
        <v>46176</v>
      </c>
      <c r="G3" s="14">
        <f t="shared" si="0"/>
        <v>46177</v>
      </c>
      <c r="H3" s="14">
        <f t="shared" si="0"/>
        <v>46178</v>
      </c>
      <c r="I3" s="14">
        <f t="shared" si="0"/>
        <v>46179</v>
      </c>
      <c r="J3" s="14">
        <f t="shared" si="0"/>
        <v>46180</v>
      </c>
      <c r="K3" s="14">
        <f t="shared" si="0"/>
        <v>46181</v>
      </c>
      <c r="L3" s="14">
        <f t="shared" si="0"/>
        <v>46182</v>
      </c>
      <c r="M3" s="14">
        <f t="shared" si="0"/>
        <v>46183</v>
      </c>
      <c r="N3" s="14">
        <f t="shared" si="0"/>
        <v>46184</v>
      </c>
      <c r="O3" s="14">
        <f t="shared" si="0"/>
        <v>46185</v>
      </c>
      <c r="P3" s="14">
        <f t="shared" si="0"/>
        <v>46186</v>
      </c>
      <c r="Q3" s="14">
        <f t="shared" si="0"/>
        <v>46187</v>
      </c>
      <c r="R3" s="14">
        <f t="shared" si="0"/>
        <v>46188</v>
      </c>
      <c r="S3" s="14">
        <f t="shared" si="0"/>
        <v>46189</v>
      </c>
      <c r="T3" s="14">
        <f t="shared" si="0"/>
        <v>46190</v>
      </c>
      <c r="U3" s="14">
        <f t="shared" si="0"/>
        <v>46191</v>
      </c>
      <c r="V3" s="14">
        <f t="shared" si="0"/>
        <v>46192</v>
      </c>
      <c r="W3" s="14">
        <f t="shared" si="0"/>
        <v>46193</v>
      </c>
      <c r="X3" s="14">
        <f t="shared" si="0"/>
        <v>46194</v>
      </c>
      <c r="Y3" s="14">
        <f t="shared" si="0"/>
        <v>46195</v>
      </c>
      <c r="Z3" s="14">
        <f t="shared" si="0"/>
        <v>46196</v>
      </c>
      <c r="AA3" s="14">
        <f t="shared" si="0"/>
        <v>46197</v>
      </c>
      <c r="AB3" s="14">
        <f t="shared" si="0"/>
        <v>46198</v>
      </c>
      <c r="AC3" s="14">
        <f t="shared" si="0"/>
        <v>46199</v>
      </c>
      <c r="AD3" s="14">
        <f t="shared" si="0"/>
        <v>46200</v>
      </c>
      <c r="AE3" s="14">
        <f t="shared" si="0"/>
        <v>46201</v>
      </c>
      <c r="AF3" s="14">
        <f t="shared" si="0"/>
        <v>46202</v>
      </c>
      <c r="AG3" s="14">
        <f t="shared" si="0"/>
        <v>46203</v>
      </c>
      <c r="AH3" s="14">
        <f t="shared" si="0"/>
        <v>46204</v>
      </c>
      <c r="AI3" s="90"/>
      <c r="AJ3" s="100"/>
      <c r="AK3" s="90"/>
    </row>
    <row r="4" spans="1:37" ht="13.5" customHeight="1" x14ac:dyDescent="0.2">
      <c r="A4" s="94">
        <v>1</v>
      </c>
      <c r="B4" s="95" t="s">
        <v>7</v>
      </c>
      <c r="C4" s="2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8">
        <v>4</v>
      </c>
      <c r="Z4" s="8">
        <v>4</v>
      </c>
      <c r="AA4" s="8">
        <v>3</v>
      </c>
      <c r="AB4" s="8">
        <v>4</v>
      </c>
      <c r="AC4" s="8">
        <v>4</v>
      </c>
      <c r="AD4" s="8">
        <v>3.25</v>
      </c>
      <c r="AE4" s="8"/>
      <c r="AF4" s="8">
        <v>2</v>
      </c>
      <c r="AG4" s="8"/>
      <c r="AH4" s="4"/>
      <c r="AI4" s="50">
        <f>0</f>
        <v>0</v>
      </c>
      <c r="AJ4" s="51">
        <f>SUM(D4:AH4)/8</f>
        <v>3.03125</v>
      </c>
      <c r="AK4" s="52">
        <f>AI4+AJ4</f>
        <v>3.03125</v>
      </c>
    </row>
    <row r="5" spans="1:37" ht="13.5" customHeight="1" x14ac:dyDescent="0.2">
      <c r="A5" s="89"/>
      <c r="B5" s="89"/>
      <c r="C5" s="2" t="s">
        <v>9</v>
      </c>
      <c r="D5" s="8">
        <v>0</v>
      </c>
      <c r="E5" s="8"/>
      <c r="F5" s="8"/>
      <c r="G5" s="8" t="s">
        <v>10</v>
      </c>
      <c r="H5" s="8" t="s">
        <v>10</v>
      </c>
      <c r="I5" s="8" t="s">
        <v>10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 t="s">
        <v>10</v>
      </c>
      <c r="Y5" s="8" t="s">
        <v>10</v>
      </c>
      <c r="Z5" s="8" t="s">
        <v>10</v>
      </c>
      <c r="AA5" s="8" t="s">
        <v>10</v>
      </c>
      <c r="AB5" s="8" t="s">
        <v>10</v>
      </c>
      <c r="AC5" s="8" t="s">
        <v>10</v>
      </c>
      <c r="AD5" s="8" t="s">
        <v>10</v>
      </c>
      <c r="AE5" s="8"/>
      <c r="AF5" s="8"/>
      <c r="AG5" s="8"/>
      <c r="AH5" s="4"/>
      <c r="AI5" s="50">
        <f>COUNTIF(D5:AH5,"x")+COUNTIF(D5:AH5,"x-0,25")+COUNTIF(D5:AH5,"x-0,50")+COUNTIF(D5:AH5,"x-0.75")+COUNTIF(D5:AH5,"x-1")+COUNTIF(D5:AH5,"x-1,25")+COUNTIF(D5:AH5,"x-1,5")+COUNTIF(D5:AH5,"x-1,55")+COUNTIF(D5:AH5,"x-2")+COUNTIF(D5:AH5,"x/2")/2</f>
        <v>10</v>
      </c>
      <c r="AJ5" s="51">
        <f>0</f>
        <v>0</v>
      </c>
      <c r="AK5" s="52">
        <f>AI5+AJ5</f>
        <v>10</v>
      </c>
    </row>
    <row r="6" spans="1:37" ht="13.5" customHeight="1" x14ac:dyDescent="0.2">
      <c r="A6" s="89"/>
      <c r="B6" s="89"/>
      <c r="C6" s="2" t="s">
        <v>11</v>
      </c>
      <c r="D6" s="8"/>
      <c r="E6" s="8" t="s">
        <v>10</v>
      </c>
      <c r="F6" s="8" t="s">
        <v>10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 t="s">
        <v>10</v>
      </c>
      <c r="T6" s="8" t="s">
        <v>10</v>
      </c>
      <c r="U6" s="8" t="s">
        <v>10</v>
      </c>
      <c r="V6" s="8" t="s">
        <v>10</v>
      </c>
      <c r="W6" s="8" t="s">
        <v>10</v>
      </c>
      <c r="X6" s="9"/>
      <c r="Y6" s="8"/>
      <c r="Z6" s="8"/>
      <c r="AA6" s="8"/>
      <c r="AB6" s="8"/>
      <c r="AC6" s="8"/>
      <c r="AD6" s="8"/>
      <c r="AE6" s="8"/>
      <c r="AF6" s="8"/>
      <c r="AG6" s="8"/>
      <c r="AH6" s="4"/>
      <c r="AI6" s="50">
        <f>COUNTIF(D6:AH6,"x")+COUNTIF(D6:AH6,"x-0,25")+COUNTIF(D6:AH6,"x-0,50")+COUNTIF(D6:AH6,"x-0.75")+COUNTIF(D6:AH6,"x-1")+COUNTIF(D6:AH6,"x-1,25")+COUNTIF(D6:AH6,"x-1,5")+COUNTIF(D6:AH6,"x-1,55")+COUNTIF(D6:AH6,"x-2")+COUNTIF(D6:AH6,"x/2")/2</f>
        <v>7</v>
      </c>
      <c r="AJ6" s="51">
        <f>0</f>
        <v>0</v>
      </c>
      <c r="AK6" s="52">
        <f>AI6+AJ6</f>
        <v>7</v>
      </c>
    </row>
    <row r="7" spans="1:37" s="7" customFormat="1" ht="12.75" customHeight="1" x14ac:dyDescent="0.2">
      <c r="A7" s="90"/>
      <c r="B7" s="96"/>
      <c r="C7" s="2" t="s">
        <v>12</v>
      </c>
      <c r="D7" s="8"/>
      <c r="E7" s="8"/>
      <c r="F7" s="8"/>
      <c r="G7" s="8"/>
      <c r="H7" s="8"/>
      <c r="I7" s="8"/>
      <c r="J7" s="8" t="s">
        <v>10</v>
      </c>
      <c r="K7" s="8" t="s">
        <v>10</v>
      </c>
      <c r="L7" s="8" t="s">
        <v>10</v>
      </c>
      <c r="M7" s="8" t="s">
        <v>10</v>
      </c>
      <c r="N7" s="8" t="s">
        <v>10</v>
      </c>
      <c r="O7" s="8" t="s">
        <v>10</v>
      </c>
      <c r="P7" s="8" t="s">
        <v>15</v>
      </c>
      <c r="Q7" s="8"/>
      <c r="R7" s="8"/>
      <c r="S7" s="8"/>
      <c r="T7" s="8"/>
      <c r="U7" s="8"/>
      <c r="V7" s="8"/>
      <c r="W7" s="8"/>
      <c r="X7" s="9"/>
      <c r="Y7" s="8"/>
      <c r="Z7" s="8"/>
      <c r="AA7" s="8"/>
      <c r="AB7" s="8"/>
      <c r="AC7" s="8"/>
      <c r="AD7" s="8"/>
      <c r="AE7" s="9"/>
      <c r="AF7" s="8" t="s">
        <v>10</v>
      </c>
      <c r="AG7" s="8" t="s">
        <v>10</v>
      </c>
      <c r="AH7" s="6"/>
      <c r="AI7" s="50">
        <f>COUNTIF(D7:AH7,"x")+COUNTIF(D7:AH7,"x-0,25")+COUNTIF(D7:AH7,"x-0,50")+COUNTIF(D7:AH7,"x-0.75")+COUNTIF(D7:AH7,"x-1")+COUNTIF(D7:AH7,"x-1,25")+COUNTIF(D7:AH7,"x-1,5")+COUNTIF(D7:AH7,"x-1,55")+COUNTIF(D7:AH7,"x-2")+COUNTIF(D7:AH7,"x/2")/2</f>
        <v>8.5</v>
      </c>
      <c r="AJ7" s="51">
        <f>0</f>
        <v>0</v>
      </c>
      <c r="AK7" s="52">
        <f>AI7+AJ7</f>
        <v>8.5</v>
      </c>
    </row>
    <row r="8" spans="1:37" s="7" customFormat="1" ht="13.5" customHeight="1" x14ac:dyDescent="0.2">
      <c r="A8" s="16"/>
      <c r="B8" s="17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/>
      <c r="Y8" s="19"/>
      <c r="Z8" s="19"/>
      <c r="AA8" s="19"/>
      <c r="AB8" s="19"/>
      <c r="AC8" s="19"/>
      <c r="AD8" s="19"/>
      <c r="AE8" s="20"/>
      <c r="AF8" s="19"/>
      <c r="AG8" s="19"/>
      <c r="AH8" s="20"/>
      <c r="AI8" s="53" t="str">
        <f>""</f>
        <v/>
      </c>
      <c r="AJ8" s="54" t="str">
        <f>""</f>
        <v/>
      </c>
      <c r="AK8" s="55" t="str">
        <f>""</f>
        <v/>
      </c>
    </row>
    <row r="9" spans="1:37" s="7" customFormat="1" ht="12.75" customHeight="1" x14ac:dyDescent="0.2">
      <c r="A9" s="94">
        <v>2</v>
      </c>
      <c r="B9" s="97" t="s">
        <v>13</v>
      </c>
      <c r="C9" s="2" t="s">
        <v>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4</v>
      </c>
      <c r="U9" s="8">
        <v>4</v>
      </c>
      <c r="V9" s="8"/>
      <c r="W9" s="8"/>
      <c r="X9" s="9"/>
      <c r="Y9" s="8">
        <v>4</v>
      </c>
      <c r="Z9" s="8">
        <v>4</v>
      </c>
      <c r="AA9" s="8">
        <v>3</v>
      </c>
      <c r="AB9" s="8">
        <v>4</v>
      </c>
      <c r="AC9" s="8">
        <v>4</v>
      </c>
      <c r="AD9" s="8">
        <v>4</v>
      </c>
      <c r="AE9" s="9"/>
      <c r="AF9" s="8">
        <v>2</v>
      </c>
      <c r="AG9" s="8">
        <v>2</v>
      </c>
      <c r="AH9" s="6"/>
      <c r="AI9" s="50">
        <f>0</f>
        <v>0</v>
      </c>
      <c r="AJ9" s="51">
        <f>SUM(D9:AH9)/8</f>
        <v>4.375</v>
      </c>
      <c r="AK9" s="52">
        <f>AI9+AJ9</f>
        <v>4.375</v>
      </c>
    </row>
    <row r="10" spans="1:37" s="7" customFormat="1" ht="13.5" customHeight="1" x14ac:dyDescent="0.2">
      <c r="A10" s="89"/>
      <c r="B10" s="89"/>
      <c r="C10" s="2" t="s">
        <v>9</v>
      </c>
      <c r="D10" s="8"/>
      <c r="E10" s="8"/>
      <c r="F10" s="8"/>
      <c r="G10" s="8"/>
      <c r="H10" s="8"/>
      <c r="I10" s="8"/>
      <c r="J10" s="8" t="s">
        <v>10</v>
      </c>
      <c r="K10" s="8" t="s">
        <v>10</v>
      </c>
      <c r="L10" s="8" t="s">
        <v>10</v>
      </c>
      <c r="M10" s="8" t="s">
        <v>10</v>
      </c>
      <c r="N10" s="8" t="s">
        <v>10</v>
      </c>
      <c r="O10" s="8" t="s">
        <v>10</v>
      </c>
      <c r="P10" s="8" t="s">
        <v>10</v>
      </c>
      <c r="Q10" s="8"/>
      <c r="R10" s="8"/>
      <c r="S10" s="8"/>
      <c r="T10" s="8"/>
      <c r="U10" s="8"/>
      <c r="V10" s="8"/>
      <c r="W10" s="8"/>
      <c r="X10" s="9"/>
      <c r="Y10" s="8" t="s">
        <v>10</v>
      </c>
      <c r="Z10" s="8" t="s">
        <v>10</v>
      </c>
      <c r="AA10" s="8" t="s">
        <v>10</v>
      </c>
      <c r="AB10" s="8" t="s">
        <v>10</v>
      </c>
      <c r="AC10" s="8" t="s">
        <v>10</v>
      </c>
      <c r="AD10" s="8" t="s">
        <v>10</v>
      </c>
      <c r="AE10" s="9" t="s">
        <v>10</v>
      </c>
      <c r="AF10" s="8" t="s">
        <v>10</v>
      </c>
      <c r="AG10" s="8" t="s">
        <v>10</v>
      </c>
      <c r="AH10" s="6"/>
      <c r="AI10" s="50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16</v>
      </c>
      <c r="AJ10" s="51">
        <f>0</f>
        <v>0</v>
      </c>
      <c r="AK10" s="52">
        <f>AI10+AJ10</f>
        <v>16</v>
      </c>
    </row>
    <row r="11" spans="1:37" s="7" customFormat="1" ht="13.5" customHeight="1" x14ac:dyDescent="0.2">
      <c r="A11" s="89"/>
      <c r="B11" s="89"/>
      <c r="C11" s="2" t="s">
        <v>11</v>
      </c>
      <c r="D11" s="8" t="s">
        <v>10</v>
      </c>
      <c r="E11" s="8" t="s">
        <v>10</v>
      </c>
      <c r="F11" s="8" t="s">
        <v>10</v>
      </c>
      <c r="G11" s="8" t="s">
        <v>10</v>
      </c>
      <c r="H11" s="8" t="s">
        <v>10</v>
      </c>
      <c r="I11" s="8" t="s">
        <v>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8"/>
      <c r="Z11" s="8"/>
      <c r="AA11" s="8"/>
      <c r="AB11" s="8"/>
      <c r="AC11" s="8"/>
      <c r="AD11" s="8"/>
      <c r="AE11" s="9"/>
      <c r="AF11" s="8"/>
      <c r="AG11" s="8"/>
      <c r="AH11" s="6"/>
      <c r="AI11" s="50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6</v>
      </c>
      <c r="AJ11" s="51">
        <f>0</f>
        <v>0</v>
      </c>
      <c r="AK11" s="52">
        <f>AI11+AJ11</f>
        <v>6</v>
      </c>
    </row>
    <row r="12" spans="1:37" s="7" customFormat="1" ht="13.5" customHeight="1" x14ac:dyDescent="0.2">
      <c r="A12" s="90"/>
      <c r="B12" s="96"/>
      <c r="C12" s="2" t="s">
        <v>12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 t="s">
        <v>10</v>
      </c>
      <c r="T12" s="8" t="s">
        <v>10</v>
      </c>
      <c r="U12" s="8" t="s">
        <v>10</v>
      </c>
      <c r="V12" s="8" t="s">
        <v>10</v>
      </c>
      <c r="W12" s="8" t="s">
        <v>10</v>
      </c>
      <c r="X12" s="9"/>
      <c r="Y12" s="8"/>
      <c r="Z12" s="8"/>
      <c r="AA12" s="8"/>
      <c r="AB12" s="8"/>
      <c r="AC12" s="8"/>
      <c r="AD12" s="8"/>
      <c r="AE12" s="9"/>
      <c r="AF12" s="8"/>
      <c r="AG12" s="8"/>
      <c r="AH12" s="6"/>
      <c r="AI12" s="50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5</v>
      </c>
      <c r="AJ12" s="51">
        <f>0</f>
        <v>0</v>
      </c>
      <c r="AK12" s="52">
        <f>AI12+AJ12</f>
        <v>5</v>
      </c>
    </row>
    <row r="13" spans="1:37" s="7" customFormat="1" ht="13.5" customHeight="1" x14ac:dyDescent="0.2">
      <c r="A13" s="16"/>
      <c r="B13" s="17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0"/>
      <c r="Y13" s="19"/>
      <c r="Z13" s="19"/>
      <c r="AA13" s="19"/>
      <c r="AB13" s="19"/>
      <c r="AC13" s="19"/>
      <c r="AD13" s="19"/>
      <c r="AE13" s="20"/>
      <c r="AF13" s="19"/>
      <c r="AG13" s="19"/>
      <c r="AH13" s="20"/>
      <c r="AI13" s="53" t="str">
        <f>""</f>
        <v/>
      </c>
      <c r="AJ13" s="54" t="str">
        <f>""</f>
        <v/>
      </c>
      <c r="AK13" s="55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" t="s">
        <v>8</v>
      </c>
      <c r="D14" s="8"/>
      <c r="E14" s="8"/>
      <c r="F14" s="8"/>
      <c r="G14" s="8"/>
      <c r="H14" s="8"/>
      <c r="I14" s="8"/>
      <c r="J14" s="8"/>
      <c r="K14" s="8"/>
      <c r="L14" s="15"/>
      <c r="M14" s="8"/>
      <c r="N14" s="8"/>
      <c r="O14" s="8"/>
      <c r="P14" s="8"/>
      <c r="Q14" s="8"/>
      <c r="R14" s="8"/>
      <c r="S14" s="8"/>
      <c r="T14" s="8"/>
      <c r="U14" s="8">
        <v>2</v>
      </c>
      <c r="V14" s="8"/>
      <c r="W14" s="8"/>
      <c r="X14" s="9"/>
      <c r="Y14" s="8"/>
      <c r="Z14" s="8"/>
      <c r="AA14" s="8"/>
      <c r="AB14" s="8">
        <v>0.75</v>
      </c>
      <c r="AC14" s="8">
        <v>1</v>
      </c>
      <c r="AD14" s="8"/>
      <c r="AE14" s="9"/>
      <c r="AF14" s="8"/>
      <c r="AG14" s="8"/>
      <c r="AH14" s="6"/>
      <c r="AI14" s="50">
        <f>0</f>
        <v>0</v>
      </c>
      <c r="AJ14" s="51">
        <f>SUM(D14:AH14)/8</f>
        <v>0.46875</v>
      </c>
      <c r="AK14" s="52">
        <f>AI14+AJ14</f>
        <v>0.46875</v>
      </c>
    </row>
    <row r="15" spans="1:37" s="7" customFormat="1" ht="13.5" customHeight="1" x14ac:dyDescent="0.2">
      <c r="A15" s="89"/>
      <c r="B15" s="89"/>
      <c r="C15" s="2" t="s">
        <v>9</v>
      </c>
      <c r="D15" s="8" t="s">
        <v>10</v>
      </c>
      <c r="E15" s="8" t="s">
        <v>10</v>
      </c>
      <c r="F15" s="8" t="s">
        <v>10</v>
      </c>
      <c r="G15" s="8" t="s">
        <v>10</v>
      </c>
      <c r="H15" s="8" t="s">
        <v>10</v>
      </c>
      <c r="I15" s="8" t="s">
        <v>10</v>
      </c>
      <c r="J15" s="8"/>
      <c r="K15" s="8" t="s">
        <v>10</v>
      </c>
      <c r="L15" s="8" t="s">
        <v>10</v>
      </c>
      <c r="M15" s="8" t="s">
        <v>10</v>
      </c>
      <c r="N15" s="8" t="s">
        <v>10</v>
      </c>
      <c r="O15" s="8" t="s">
        <v>10</v>
      </c>
      <c r="P15" s="8" t="s">
        <v>10</v>
      </c>
      <c r="Q15" s="8"/>
      <c r="R15" s="8"/>
      <c r="S15" s="8" t="s">
        <v>10</v>
      </c>
      <c r="T15" s="8" t="s">
        <v>52</v>
      </c>
      <c r="U15" s="8" t="s">
        <v>53</v>
      </c>
      <c r="V15" s="8" t="s">
        <v>10</v>
      </c>
      <c r="W15" s="8" t="s">
        <v>10</v>
      </c>
      <c r="X15" s="9" t="s">
        <v>15</v>
      </c>
      <c r="Y15" s="8" t="s">
        <v>54</v>
      </c>
      <c r="Z15" s="8" t="s">
        <v>10</v>
      </c>
      <c r="AA15" s="8" t="s">
        <v>10</v>
      </c>
      <c r="AB15" s="8" t="s">
        <v>10</v>
      </c>
      <c r="AC15" s="8" t="s">
        <v>10</v>
      </c>
      <c r="AD15" s="8" t="s">
        <v>10</v>
      </c>
      <c r="AE15" s="9"/>
      <c r="AF15" s="8" t="s">
        <v>10</v>
      </c>
      <c r="AG15" s="8" t="s">
        <v>10</v>
      </c>
      <c r="AH15" s="6"/>
      <c r="AI15" s="50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25.5</v>
      </c>
      <c r="AJ15" s="51">
        <f>0</f>
        <v>0</v>
      </c>
      <c r="AK15" s="52">
        <f>AI15+AJ15</f>
        <v>25.5</v>
      </c>
    </row>
    <row r="16" spans="1:37" s="7" customFormat="1" ht="13.5" customHeight="1" x14ac:dyDescent="0.2">
      <c r="A16" s="89"/>
      <c r="B16" s="89"/>
      <c r="C16" s="2" t="s">
        <v>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8"/>
      <c r="Z16" s="8"/>
      <c r="AA16" s="8"/>
      <c r="AB16" s="8"/>
      <c r="AC16" s="8"/>
      <c r="AD16" s="8"/>
      <c r="AE16" s="9"/>
      <c r="AF16" s="8"/>
      <c r="AG16" s="8"/>
      <c r="AH16" s="6"/>
      <c r="AI16" s="50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51">
        <f>0</f>
        <v>0</v>
      </c>
      <c r="AK16" s="52">
        <f>AI16+AJ16</f>
        <v>0</v>
      </c>
    </row>
    <row r="17" spans="1:37" s="7" customFormat="1" ht="13.5" customHeight="1" x14ac:dyDescent="0.2">
      <c r="A17" s="90"/>
      <c r="B17" s="96"/>
      <c r="C17" s="2" t="s">
        <v>12</v>
      </c>
      <c r="D17" s="8"/>
      <c r="E17" s="8"/>
      <c r="F17" s="8"/>
      <c r="G17" s="8"/>
      <c r="H17" s="8"/>
      <c r="I17" s="8"/>
      <c r="J17" s="8"/>
      <c r="K17" s="8"/>
      <c r="L17" s="15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8"/>
      <c r="Z17" s="8"/>
      <c r="AA17" s="8"/>
      <c r="AB17" s="8"/>
      <c r="AC17" s="8"/>
      <c r="AD17" s="8"/>
      <c r="AE17" s="9"/>
      <c r="AF17" s="8"/>
      <c r="AG17" s="8"/>
      <c r="AH17" s="6"/>
      <c r="AI17" s="50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51">
        <f>0</f>
        <v>0</v>
      </c>
      <c r="AK17" s="52">
        <f>AI17+AJ17</f>
        <v>0</v>
      </c>
    </row>
    <row r="18" spans="1:37" s="7" customFormat="1" ht="13.5" customHeight="1" x14ac:dyDescent="0.2">
      <c r="A18" s="16"/>
      <c r="B18" s="17"/>
      <c r="C18" s="18"/>
      <c r="D18" s="19"/>
      <c r="E18" s="19"/>
      <c r="F18" s="19"/>
      <c r="G18" s="19"/>
      <c r="H18" s="19"/>
      <c r="I18" s="19"/>
      <c r="J18" s="19"/>
      <c r="K18" s="19"/>
      <c r="L18" s="21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/>
      <c r="Y18" s="19"/>
      <c r="Z18" s="19"/>
      <c r="AA18" s="19"/>
      <c r="AB18" s="19"/>
      <c r="AC18" s="19"/>
      <c r="AD18" s="19"/>
      <c r="AE18" s="20"/>
      <c r="AF18" s="19"/>
      <c r="AG18" s="19"/>
      <c r="AH18" s="20"/>
      <c r="AI18" s="53" t="str">
        <f>""</f>
        <v/>
      </c>
      <c r="AJ18" s="54" t="str">
        <f>""</f>
        <v/>
      </c>
      <c r="AK18" s="55" t="str">
        <f>""</f>
        <v/>
      </c>
    </row>
    <row r="19" spans="1:37" s="7" customFormat="1" ht="13.5" customHeight="1" x14ac:dyDescent="0.2">
      <c r="A19" s="94">
        <v>4</v>
      </c>
      <c r="B19" s="97" t="s">
        <v>16</v>
      </c>
      <c r="C19" s="2" t="s">
        <v>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8">
        <v>4</v>
      </c>
      <c r="Z19" s="8">
        <v>4</v>
      </c>
      <c r="AA19" s="8">
        <v>0</v>
      </c>
      <c r="AB19" s="8">
        <v>3</v>
      </c>
      <c r="AC19" s="8">
        <v>4</v>
      </c>
      <c r="AD19" s="8"/>
      <c r="AE19" s="9"/>
      <c r="AF19" s="8"/>
      <c r="AG19" s="8">
        <v>2</v>
      </c>
      <c r="AH19" s="6"/>
      <c r="AI19" s="50">
        <f>0</f>
        <v>0</v>
      </c>
      <c r="AJ19" s="51">
        <f>SUM(D19:AH19)/8</f>
        <v>2.125</v>
      </c>
      <c r="AK19" s="52">
        <f>AI19+AJ19</f>
        <v>2.125</v>
      </c>
    </row>
    <row r="20" spans="1:37" s="7" customFormat="1" ht="13.5" customHeight="1" x14ac:dyDescent="0.2">
      <c r="A20" s="89"/>
      <c r="B20" s="89"/>
      <c r="C20" s="2" t="s">
        <v>9</v>
      </c>
      <c r="D20" s="8" t="s">
        <v>10</v>
      </c>
      <c r="E20" s="8" t="s">
        <v>10</v>
      </c>
      <c r="F20" s="8" t="s">
        <v>10</v>
      </c>
      <c r="G20" s="8" t="s">
        <v>10</v>
      </c>
      <c r="H20" s="8" t="s">
        <v>10</v>
      </c>
      <c r="I20" s="8" t="s">
        <v>10</v>
      </c>
      <c r="J20" s="8" t="s">
        <v>10</v>
      </c>
      <c r="K20" s="8" t="s">
        <v>10</v>
      </c>
      <c r="L20" s="8" t="s">
        <v>10</v>
      </c>
      <c r="M20" s="8" t="s">
        <v>10</v>
      </c>
      <c r="N20" s="8" t="s">
        <v>10</v>
      </c>
      <c r="O20" s="8" t="s">
        <v>10</v>
      </c>
      <c r="P20" s="8" t="s">
        <v>10</v>
      </c>
      <c r="Q20" s="8"/>
      <c r="R20" s="8"/>
      <c r="S20" s="8"/>
      <c r="T20" s="8"/>
      <c r="U20" s="8"/>
      <c r="V20" s="8"/>
      <c r="W20" s="8"/>
      <c r="X20" s="9" t="s">
        <v>10</v>
      </c>
      <c r="Y20" s="8" t="s">
        <v>10</v>
      </c>
      <c r="Z20" s="8" t="s">
        <v>10</v>
      </c>
      <c r="AA20" s="8" t="s">
        <v>10</v>
      </c>
      <c r="AB20" s="8" t="s">
        <v>10</v>
      </c>
      <c r="AC20" s="8" t="s">
        <v>10</v>
      </c>
      <c r="AD20" s="8">
        <v>0</v>
      </c>
      <c r="AE20" s="9" t="s">
        <v>10</v>
      </c>
      <c r="AF20" s="8" t="s">
        <v>10</v>
      </c>
      <c r="AG20" s="8" t="s">
        <v>10</v>
      </c>
      <c r="AH20" s="6"/>
      <c r="AI20" s="50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22</v>
      </c>
      <c r="AJ20" s="51">
        <f>0</f>
        <v>0</v>
      </c>
      <c r="AK20" s="52">
        <f>AI20+AJ20</f>
        <v>22</v>
      </c>
    </row>
    <row r="21" spans="1:37" s="7" customFormat="1" ht="13.5" customHeight="1" x14ac:dyDescent="0.2">
      <c r="A21" s="89"/>
      <c r="B21" s="89"/>
      <c r="C21" s="2" t="s">
        <v>11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 t="s">
        <v>10</v>
      </c>
      <c r="T21" s="8" t="s">
        <v>10</v>
      </c>
      <c r="U21" s="8" t="s">
        <v>10</v>
      </c>
      <c r="V21" s="8" t="s">
        <v>10</v>
      </c>
      <c r="W21" s="8" t="s">
        <v>10</v>
      </c>
      <c r="X21" s="9"/>
      <c r="Y21" s="8"/>
      <c r="Z21" s="8"/>
      <c r="AA21" s="8"/>
      <c r="AB21" s="8"/>
      <c r="AC21" s="8"/>
      <c r="AD21" s="8"/>
      <c r="AE21" s="9"/>
      <c r="AF21" s="8"/>
      <c r="AG21" s="8"/>
      <c r="AH21" s="6"/>
      <c r="AI21" s="50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5</v>
      </c>
      <c r="AJ21" s="51">
        <f>0</f>
        <v>0</v>
      </c>
      <c r="AK21" s="52">
        <f>AI21+AJ21</f>
        <v>5</v>
      </c>
    </row>
    <row r="22" spans="1:37" s="7" customFormat="1" ht="13.5" customHeight="1" x14ac:dyDescent="0.2">
      <c r="A22" s="90"/>
      <c r="B22" s="96"/>
      <c r="C22" s="2" t="s">
        <v>12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8"/>
      <c r="Z22" s="8"/>
      <c r="AA22" s="8"/>
      <c r="AB22" s="8"/>
      <c r="AC22" s="8"/>
      <c r="AD22" s="8"/>
      <c r="AE22" s="9"/>
      <c r="AF22" s="8"/>
      <c r="AG22" s="8"/>
      <c r="AH22" s="6"/>
      <c r="AI22" s="50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51">
        <f>0</f>
        <v>0</v>
      </c>
      <c r="AK22" s="52">
        <f>AI22+AJ22</f>
        <v>0</v>
      </c>
    </row>
    <row r="23" spans="1:37" s="7" customFormat="1" ht="13.5" customHeight="1" x14ac:dyDescent="0.2">
      <c r="A23" s="16"/>
      <c r="B23" s="17"/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20"/>
      <c r="AF23" s="19"/>
      <c r="AG23" s="19"/>
      <c r="AH23" s="20"/>
      <c r="AI23" s="53" t="str">
        <f>""</f>
        <v/>
      </c>
      <c r="AJ23" s="54" t="str">
        <f>""</f>
        <v/>
      </c>
      <c r="AK23" s="55" t="str">
        <f>""</f>
        <v/>
      </c>
    </row>
    <row r="24" spans="1:37" s="7" customFormat="1" ht="13.5" customHeight="1" x14ac:dyDescent="0.2">
      <c r="A24" s="94">
        <v>5</v>
      </c>
      <c r="B24" s="97" t="s">
        <v>17</v>
      </c>
      <c r="C24" s="2" t="s">
        <v>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8">
        <v>4</v>
      </c>
      <c r="Z24" s="8">
        <v>4</v>
      </c>
      <c r="AA24" s="8">
        <v>3</v>
      </c>
      <c r="AB24" s="8"/>
      <c r="AC24" s="8">
        <v>4</v>
      </c>
      <c r="AD24" s="8">
        <v>4</v>
      </c>
      <c r="AE24" s="9"/>
      <c r="AF24" s="8">
        <v>2</v>
      </c>
      <c r="AG24" s="8">
        <v>2</v>
      </c>
      <c r="AH24" s="6"/>
      <c r="AI24" s="50">
        <f>0</f>
        <v>0</v>
      </c>
      <c r="AJ24" s="51">
        <f>SUM(D24:AH24)/8</f>
        <v>2.875</v>
      </c>
      <c r="AK24" s="52">
        <f>AI24+AJ24</f>
        <v>2.875</v>
      </c>
    </row>
    <row r="25" spans="1:37" s="7" customFormat="1" ht="13.5" customHeight="1" x14ac:dyDescent="0.2">
      <c r="A25" s="89"/>
      <c r="B25" s="89"/>
      <c r="C25" s="2" t="s">
        <v>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8" t="s">
        <v>10</v>
      </c>
      <c r="Z25" s="8" t="s">
        <v>10</v>
      </c>
      <c r="AA25" s="8" t="s">
        <v>10</v>
      </c>
      <c r="AB25" s="8" t="s">
        <v>10</v>
      </c>
      <c r="AC25" s="8" t="s">
        <v>10</v>
      </c>
      <c r="AD25" s="8" t="s">
        <v>10</v>
      </c>
      <c r="AE25" s="9" t="s">
        <v>10</v>
      </c>
      <c r="AF25" s="8"/>
      <c r="AG25" s="8"/>
      <c r="AH25" s="6"/>
      <c r="AI25" s="50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7</v>
      </c>
      <c r="AJ25" s="51">
        <f>0</f>
        <v>0</v>
      </c>
      <c r="AK25" s="52">
        <f>AI25+AJ25</f>
        <v>7</v>
      </c>
    </row>
    <row r="26" spans="1:37" s="7" customFormat="1" ht="13.5" customHeight="1" x14ac:dyDescent="0.2">
      <c r="A26" s="89"/>
      <c r="B26" s="89"/>
      <c r="C26" s="2" t="s">
        <v>11</v>
      </c>
      <c r="D26" s="8" t="s">
        <v>10</v>
      </c>
      <c r="E26" s="8" t="s">
        <v>10</v>
      </c>
      <c r="F26" s="8" t="s">
        <v>10</v>
      </c>
      <c r="G26" s="8" t="s">
        <v>10</v>
      </c>
      <c r="H26" s="8" t="s">
        <v>10</v>
      </c>
      <c r="I26" s="8">
        <v>0</v>
      </c>
      <c r="J26" s="8"/>
      <c r="K26" s="8" t="s">
        <v>10</v>
      </c>
      <c r="L26" s="8" t="s">
        <v>10</v>
      </c>
      <c r="M26" s="8" t="s">
        <v>10</v>
      </c>
      <c r="N26" s="8" t="s">
        <v>10</v>
      </c>
      <c r="O26" s="8" t="s">
        <v>10</v>
      </c>
      <c r="P26" s="8" t="s">
        <v>10</v>
      </c>
      <c r="Q26" s="8"/>
      <c r="R26" s="8"/>
      <c r="S26" s="8">
        <v>0</v>
      </c>
      <c r="T26" s="8">
        <v>0</v>
      </c>
      <c r="U26" s="7">
        <v>0</v>
      </c>
      <c r="V26" s="8">
        <v>0</v>
      </c>
      <c r="W26" s="8">
        <v>0</v>
      </c>
      <c r="X26" s="9"/>
      <c r="Y26" s="8"/>
      <c r="Z26" s="8"/>
      <c r="AA26" s="8"/>
      <c r="AB26" s="8"/>
      <c r="AC26" s="8"/>
      <c r="AD26" s="8"/>
      <c r="AE26" s="9"/>
      <c r="AF26" s="8" t="s">
        <v>10</v>
      </c>
      <c r="AG26" s="8" t="s">
        <v>10</v>
      </c>
      <c r="AH26" s="6"/>
      <c r="AI26" s="50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13</v>
      </c>
      <c r="AJ26" s="51">
        <f>0</f>
        <v>0</v>
      </c>
      <c r="AK26" s="52">
        <f>AI26+AJ26</f>
        <v>13</v>
      </c>
    </row>
    <row r="27" spans="1:37" s="7" customFormat="1" ht="13.5" customHeight="1" x14ac:dyDescent="0.2">
      <c r="A27" s="90"/>
      <c r="B27" s="96"/>
      <c r="C27" s="2" t="s">
        <v>12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8"/>
      <c r="Z27" s="8"/>
      <c r="AA27" s="8"/>
      <c r="AB27" s="8"/>
      <c r="AC27" s="8"/>
      <c r="AD27" s="8"/>
      <c r="AE27" s="9"/>
      <c r="AF27" s="8"/>
      <c r="AG27" s="8"/>
      <c r="AH27" s="6"/>
      <c r="AI27" s="50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51">
        <f>0</f>
        <v>0</v>
      </c>
      <c r="AK27" s="52">
        <f>AI27+AJ27</f>
        <v>0</v>
      </c>
    </row>
    <row r="28" spans="1:37" s="7" customFormat="1" ht="13.5" customHeight="1" x14ac:dyDescent="0.2">
      <c r="A28" s="16"/>
      <c r="B28" s="17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  <c r="Y28" s="19"/>
      <c r="Z28" s="19"/>
      <c r="AA28" s="19"/>
      <c r="AB28" s="19"/>
      <c r="AC28" s="19"/>
      <c r="AD28" s="19"/>
      <c r="AE28" s="20"/>
      <c r="AF28" s="19"/>
      <c r="AG28" s="19"/>
      <c r="AH28" s="20"/>
      <c r="AI28" s="53" t="str">
        <f>""</f>
        <v/>
      </c>
      <c r="AJ28" s="54" t="str">
        <f>""</f>
        <v/>
      </c>
      <c r="AK28" s="55" t="str">
        <f>""</f>
        <v/>
      </c>
    </row>
    <row r="29" spans="1:37" s="7" customFormat="1" ht="13.5" customHeight="1" x14ac:dyDescent="0.2">
      <c r="A29" s="94">
        <v>6</v>
      </c>
      <c r="B29" s="97" t="s">
        <v>18</v>
      </c>
      <c r="C29" s="2" t="s">
        <v>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8">
        <v>4</v>
      </c>
      <c r="Z29" s="8">
        <v>4</v>
      </c>
      <c r="AA29" s="8">
        <v>3</v>
      </c>
      <c r="AB29" s="8">
        <v>4</v>
      </c>
      <c r="AC29" s="8">
        <v>4</v>
      </c>
      <c r="AD29" s="8">
        <v>4</v>
      </c>
      <c r="AE29" s="9"/>
      <c r="AF29" s="8">
        <v>2</v>
      </c>
      <c r="AG29" s="8">
        <v>2</v>
      </c>
      <c r="AH29" s="6"/>
      <c r="AI29" s="50">
        <f>0</f>
        <v>0</v>
      </c>
      <c r="AJ29" s="51">
        <f>SUM(D29:AH29)/8</f>
        <v>3.375</v>
      </c>
      <c r="AK29" s="52">
        <f>AI29+AJ29</f>
        <v>3.375</v>
      </c>
    </row>
    <row r="30" spans="1:37" s="7" customFormat="1" ht="13.5" customHeight="1" x14ac:dyDescent="0.2">
      <c r="A30" s="89"/>
      <c r="B30" s="89"/>
      <c r="C30" s="2" t="s">
        <v>9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 t="s">
        <v>10</v>
      </c>
      <c r="T30" s="8" t="s">
        <v>10</v>
      </c>
      <c r="U30" s="8" t="s">
        <v>10</v>
      </c>
      <c r="V30" s="8" t="s">
        <v>10</v>
      </c>
      <c r="W30" s="8" t="s">
        <v>10</v>
      </c>
      <c r="X30" s="9"/>
      <c r="Y30" s="8"/>
      <c r="Z30" s="8"/>
      <c r="AA30" s="8"/>
      <c r="AB30" s="8"/>
      <c r="AC30" s="8"/>
      <c r="AD30" s="8"/>
      <c r="AE30" s="9"/>
      <c r="AF30" s="8"/>
      <c r="AG30" s="8"/>
      <c r="AH30" s="6"/>
      <c r="AI30" s="50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5</v>
      </c>
      <c r="AJ30" s="51">
        <f>0</f>
        <v>0</v>
      </c>
      <c r="AK30" s="52">
        <f>AI30+AJ30</f>
        <v>5</v>
      </c>
    </row>
    <row r="31" spans="1:37" s="7" customFormat="1" ht="13.5" customHeight="1" x14ac:dyDescent="0.2">
      <c r="A31" s="89"/>
      <c r="B31" s="89"/>
      <c r="C31" s="2" t="s">
        <v>11</v>
      </c>
      <c r="D31" s="8"/>
      <c r="E31" s="8"/>
      <c r="F31" s="8"/>
      <c r="G31" s="8"/>
      <c r="H31" s="8"/>
      <c r="I31" s="8"/>
      <c r="J31" s="8" t="s">
        <v>10</v>
      </c>
      <c r="K31" s="8" t="s">
        <v>10</v>
      </c>
      <c r="L31" s="8" t="s">
        <v>10</v>
      </c>
      <c r="M31" s="8" t="s">
        <v>10</v>
      </c>
      <c r="N31" s="8" t="s">
        <v>10</v>
      </c>
      <c r="O31" s="8" t="s">
        <v>10</v>
      </c>
      <c r="P31" s="8" t="s">
        <v>10</v>
      </c>
      <c r="Q31" s="8"/>
      <c r="R31" s="8"/>
      <c r="S31" s="8"/>
      <c r="T31" s="8"/>
      <c r="U31" s="8"/>
      <c r="V31" s="8"/>
      <c r="W31" s="8"/>
      <c r="X31" s="9"/>
      <c r="Y31" s="8"/>
      <c r="Z31" s="8"/>
      <c r="AA31" s="8"/>
      <c r="AB31" s="8"/>
      <c r="AC31" s="8"/>
      <c r="AD31" s="8"/>
      <c r="AE31" s="9"/>
      <c r="AF31" s="8" t="s">
        <v>10</v>
      </c>
      <c r="AG31" s="8" t="s">
        <v>10</v>
      </c>
      <c r="AH31" s="6"/>
      <c r="AI31" s="50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9</v>
      </c>
      <c r="AJ31" s="51">
        <f>0</f>
        <v>0</v>
      </c>
      <c r="AK31" s="52">
        <f>AI31+AJ31</f>
        <v>9</v>
      </c>
    </row>
    <row r="32" spans="1:37" s="7" customFormat="1" ht="13.5" customHeight="1" x14ac:dyDescent="0.2">
      <c r="A32" s="90"/>
      <c r="B32" s="96"/>
      <c r="C32" s="2" t="s">
        <v>12</v>
      </c>
      <c r="D32" s="8" t="s">
        <v>10</v>
      </c>
      <c r="E32" s="8" t="s">
        <v>10</v>
      </c>
      <c r="F32" s="8" t="s">
        <v>10</v>
      </c>
      <c r="G32" s="8" t="s">
        <v>10</v>
      </c>
      <c r="H32" s="8" t="s">
        <v>10</v>
      </c>
      <c r="I32" s="8" t="s">
        <v>10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 t="s">
        <v>10</v>
      </c>
      <c r="Y32" s="8" t="s">
        <v>10</v>
      </c>
      <c r="Z32" s="8" t="s">
        <v>10</v>
      </c>
      <c r="AA32" s="8" t="s">
        <v>10</v>
      </c>
      <c r="AB32" s="8" t="s">
        <v>10</v>
      </c>
      <c r="AC32" s="8" t="s">
        <v>10</v>
      </c>
      <c r="AD32" s="8" t="s">
        <v>10</v>
      </c>
      <c r="AE32" s="9"/>
      <c r="AF32" s="8"/>
      <c r="AG32" s="8"/>
      <c r="AH32" s="6"/>
      <c r="AI32" s="50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13</v>
      </c>
      <c r="AJ32" s="51">
        <f>0</f>
        <v>0</v>
      </c>
      <c r="AK32" s="52">
        <f>AI32+AJ32</f>
        <v>13</v>
      </c>
    </row>
    <row r="33" spans="1:37" s="7" customFormat="1" ht="13.5" customHeight="1" x14ac:dyDescent="0.2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/>
      <c r="Y33" s="19"/>
      <c r="Z33" s="19"/>
      <c r="AA33" s="19"/>
      <c r="AB33" s="19"/>
      <c r="AC33" s="19"/>
      <c r="AD33" s="19"/>
      <c r="AE33" s="20"/>
      <c r="AF33" s="19"/>
      <c r="AG33" s="19"/>
      <c r="AH33" s="20"/>
      <c r="AI33" s="53" t="str">
        <f>""</f>
        <v/>
      </c>
      <c r="AJ33" s="54" t="str">
        <f>""</f>
        <v/>
      </c>
      <c r="AK33" s="55" t="str">
        <f>""</f>
        <v/>
      </c>
    </row>
    <row r="34" spans="1:37" s="7" customFormat="1" ht="13.5" customHeight="1" x14ac:dyDescent="0.2">
      <c r="A34" s="94">
        <v>7</v>
      </c>
      <c r="B34" s="97" t="s">
        <v>19</v>
      </c>
      <c r="C34" s="2" t="s">
        <v>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8">
        <v>4</v>
      </c>
      <c r="Z34" s="8">
        <v>4</v>
      </c>
      <c r="AA34" s="8">
        <v>3</v>
      </c>
      <c r="AB34" s="8">
        <v>4</v>
      </c>
      <c r="AC34" s="8">
        <v>4</v>
      </c>
      <c r="AD34" s="8">
        <v>4</v>
      </c>
      <c r="AE34" s="9"/>
      <c r="AF34" s="8">
        <v>2</v>
      </c>
      <c r="AG34" s="8">
        <v>2</v>
      </c>
      <c r="AH34" s="6"/>
      <c r="AI34" s="50">
        <f>0</f>
        <v>0</v>
      </c>
      <c r="AJ34" s="51">
        <f>SUM(D34:AH34)/8</f>
        <v>3.375</v>
      </c>
      <c r="AK34" s="52">
        <f>AI34+AJ34</f>
        <v>3.375</v>
      </c>
    </row>
    <row r="35" spans="1:37" s="7" customFormat="1" ht="13.5" customHeight="1" x14ac:dyDescent="0.2">
      <c r="A35" s="89"/>
      <c r="B35" s="89"/>
      <c r="C35" s="2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 t="s">
        <v>10</v>
      </c>
      <c r="O35" s="8"/>
      <c r="P35" s="8"/>
      <c r="Q35" s="8"/>
      <c r="R35" s="8"/>
      <c r="S35" s="8" t="s">
        <v>10</v>
      </c>
      <c r="T35" s="8" t="s">
        <v>10</v>
      </c>
      <c r="U35" s="8" t="s">
        <v>10</v>
      </c>
      <c r="V35" s="8" t="s">
        <v>10</v>
      </c>
      <c r="W35" s="8" t="s">
        <v>10</v>
      </c>
      <c r="X35" s="9"/>
      <c r="Y35" s="8"/>
      <c r="Z35" s="8"/>
      <c r="AA35" s="8"/>
      <c r="AB35" s="8"/>
      <c r="AC35" s="8"/>
      <c r="AD35" s="8"/>
      <c r="AE35" s="9"/>
      <c r="AF35" s="8"/>
      <c r="AG35" s="8"/>
      <c r="AH35" s="6"/>
      <c r="AI35" s="50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6</v>
      </c>
      <c r="AJ35" s="51">
        <f>0</f>
        <v>0</v>
      </c>
      <c r="AK35" s="52">
        <f>AI35+AJ35</f>
        <v>6</v>
      </c>
    </row>
    <row r="36" spans="1:37" s="7" customFormat="1" ht="13.5" customHeight="1" x14ac:dyDescent="0.2">
      <c r="A36" s="89"/>
      <c r="B36" s="89"/>
      <c r="C36" s="2" t="s">
        <v>11</v>
      </c>
      <c r="D36" s="8"/>
      <c r="E36" s="8"/>
      <c r="F36" s="8"/>
      <c r="G36" s="8"/>
      <c r="H36" s="8"/>
      <c r="I36" s="8"/>
      <c r="J36" s="8"/>
      <c r="K36" s="8" t="s">
        <v>10</v>
      </c>
      <c r="L36" s="8" t="s">
        <v>10</v>
      </c>
      <c r="M36" s="8" t="s">
        <v>10</v>
      </c>
      <c r="N36" s="8"/>
      <c r="O36" s="8" t="s">
        <v>10</v>
      </c>
      <c r="P36" s="8" t="s">
        <v>10</v>
      </c>
      <c r="Q36" s="8"/>
      <c r="R36" s="8"/>
      <c r="S36" s="8"/>
      <c r="T36" s="8"/>
      <c r="U36" s="8"/>
      <c r="V36" s="8"/>
      <c r="W36" s="8"/>
      <c r="X36" s="9"/>
      <c r="Y36" s="8"/>
      <c r="Z36" s="8"/>
      <c r="AA36" s="8"/>
      <c r="AB36" s="8"/>
      <c r="AC36" s="8"/>
      <c r="AD36" s="8"/>
      <c r="AE36" s="9" t="s">
        <v>10</v>
      </c>
      <c r="AF36" s="8" t="s">
        <v>10</v>
      </c>
      <c r="AG36" s="8" t="s">
        <v>10</v>
      </c>
      <c r="AH36" s="6"/>
      <c r="AI36" s="50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8</v>
      </c>
      <c r="AJ36" s="51">
        <f>0</f>
        <v>0</v>
      </c>
      <c r="AK36" s="52">
        <f>AI36+AJ36</f>
        <v>8</v>
      </c>
    </row>
    <row r="37" spans="1:37" s="7" customFormat="1" ht="13.5" customHeight="1" x14ac:dyDescent="0.2">
      <c r="A37" s="90"/>
      <c r="B37" s="96"/>
      <c r="C37" s="2" t="s">
        <v>12</v>
      </c>
      <c r="D37" s="8" t="s">
        <v>10</v>
      </c>
      <c r="E37" s="8" t="s">
        <v>10</v>
      </c>
      <c r="F37" s="8" t="s">
        <v>10</v>
      </c>
      <c r="G37" s="8" t="s">
        <v>10</v>
      </c>
      <c r="H37" s="8" t="s">
        <v>10</v>
      </c>
      <c r="I37" s="8" t="s">
        <v>50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 t="s">
        <v>10</v>
      </c>
      <c r="Y37" s="8" t="s">
        <v>10</v>
      </c>
      <c r="Z37" s="8" t="s">
        <v>10</v>
      </c>
      <c r="AA37" s="8" t="s">
        <v>10</v>
      </c>
      <c r="AB37" s="8" t="s">
        <v>10</v>
      </c>
      <c r="AC37" s="8" t="s">
        <v>10</v>
      </c>
      <c r="AD37" s="8" t="s">
        <v>10</v>
      </c>
      <c r="AE37" s="9"/>
      <c r="AF37" s="8"/>
      <c r="AG37" s="8"/>
      <c r="AH37" s="6"/>
      <c r="AI37" s="50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13</v>
      </c>
      <c r="AJ37" s="51">
        <f>0</f>
        <v>0</v>
      </c>
      <c r="AK37" s="52">
        <f>AI37+AJ37</f>
        <v>13</v>
      </c>
    </row>
    <row r="38" spans="1:37" s="7" customFormat="1" ht="13.5" customHeight="1" x14ac:dyDescent="0.2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20"/>
      <c r="Y38" s="19"/>
      <c r="Z38" s="19"/>
      <c r="AA38" s="19"/>
      <c r="AB38" s="19"/>
      <c r="AC38" s="19"/>
      <c r="AD38" s="19"/>
      <c r="AE38" s="20"/>
      <c r="AF38" s="19"/>
      <c r="AG38" s="19"/>
      <c r="AH38" s="20"/>
      <c r="AI38" s="53" t="str">
        <f>""</f>
        <v/>
      </c>
      <c r="AJ38" s="54" t="str">
        <f>""</f>
        <v/>
      </c>
      <c r="AK38" s="55" t="str">
        <f>""</f>
        <v/>
      </c>
    </row>
    <row r="39" spans="1:37" s="7" customFormat="1" ht="13.5" customHeight="1" x14ac:dyDescent="0.2">
      <c r="A39" s="94">
        <v>8</v>
      </c>
      <c r="B39" s="97" t="s">
        <v>20</v>
      </c>
      <c r="C39" s="2" t="s">
        <v>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>
        <v>4</v>
      </c>
      <c r="U39" s="8">
        <v>4</v>
      </c>
      <c r="V39" s="8"/>
      <c r="W39" s="6"/>
      <c r="X39" s="9"/>
      <c r="Y39" s="8">
        <v>4</v>
      </c>
      <c r="Z39" s="8">
        <v>4</v>
      </c>
      <c r="AA39" s="8">
        <v>3</v>
      </c>
      <c r="AB39" s="8">
        <v>4</v>
      </c>
      <c r="AC39" s="8">
        <v>4</v>
      </c>
      <c r="AD39" s="8">
        <v>4</v>
      </c>
      <c r="AE39" s="9"/>
      <c r="AF39" s="8">
        <v>2</v>
      </c>
      <c r="AG39" s="8">
        <v>3</v>
      </c>
      <c r="AH39" s="6"/>
      <c r="AI39" s="50">
        <f>0</f>
        <v>0</v>
      </c>
      <c r="AJ39" s="51">
        <f>SUM(D39:AH39)/8</f>
        <v>4.5</v>
      </c>
      <c r="AK39" s="52">
        <f>AI39+AJ39</f>
        <v>4.5</v>
      </c>
    </row>
    <row r="40" spans="1:37" s="7" customFormat="1" ht="13.5" customHeight="1" x14ac:dyDescent="0.2">
      <c r="A40" s="89"/>
      <c r="B40" s="89"/>
      <c r="C40" s="2" t="s">
        <v>9</v>
      </c>
      <c r="D40" s="8" t="s">
        <v>10</v>
      </c>
      <c r="E40" s="8" t="s">
        <v>10</v>
      </c>
      <c r="F40" s="8" t="s">
        <v>10</v>
      </c>
      <c r="G40" s="8" t="s">
        <v>10</v>
      </c>
      <c r="H40" s="8" t="s">
        <v>10</v>
      </c>
      <c r="I40" s="8" t="s">
        <v>10</v>
      </c>
      <c r="J40" s="8" t="s">
        <v>10</v>
      </c>
      <c r="K40" s="8"/>
      <c r="L40" s="8"/>
      <c r="M40" s="8"/>
      <c r="N40" s="8"/>
      <c r="O40" s="8"/>
      <c r="P40" s="8"/>
      <c r="Q40" s="8"/>
      <c r="R40" s="8"/>
      <c r="S40" s="8" t="s">
        <v>10</v>
      </c>
      <c r="T40" s="8" t="s">
        <v>10</v>
      </c>
      <c r="U40" s="8" t="s">
        <v>10</v>
      </c>
      <c r="V40" s="8" t="s">
        <v>10</v>
      </c>
      <c r="W40" s="6" t="s">
        <v>10</v>
      </c>
      <c r="X40" s="9"/>
      <c r="Y40" s="8"/>
      <c r="Z40" s="8"/>
      <c r="AA40" s="8"/>
      <c r="AB40" s="8"/>
      <c r="AC40" s="8"/>
      <c r="AD40" s="8"/>
      <c r="AE40" s="9"/>
      <c r="AF40" s="8"/>
      <c r="AG40" s="8"/>
      <c r="AH40" s="6"/>
      <c r="AI40" s="50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12</v>
      </c>
      <c r="AJ40" s="51">
        <f>0</f>
        <v>0</v>
      </c>
      <c r="AK40" s="52">
        <f>AI40+AJ40</f>
        <v>12</v>
      </c>
    </row>
    <row r="41" spans="1:37" s="7" customFormat="1" ht="13.5" customHeight="1" x14ac:dyDescent="0.2">
      <c r="A41" s="89"/>
      <c r="B41" s="89"/>
      <c r="C41" s="2" t="s">
        <v>11</v>
      </c>
      <c r="D41" s="8"/>
      <c r="E41" s="8"/>
      <c r="F41" s="8"/>
      <c r="G41" s="8"/>
      <c r="H41" s="8"/>
      <c r="I41" s="8"/>
      <c r="J41" s="8"/>
      <c r="K41" s="8" t="s">
        <v>10</v>
      </c>
      <c r="L41" s="8" t="s">
        <v>10</v>
      </c>
      <c r="M41" s="8" t="s">
        <v>10</v>
      </c>
      <c r="N41" s="8" t="s">
        <v>10</v>
      </c>
      <c r="O41" s="8" t="s">
        <v>10</v>
      </c>
      <c r="P41" s="8" t="s">
        <v>10</v>
      </c>
      <c r="Q41" s="8"/>
      <c r="R41" s="8"/>
      <c r="S41" s="8"/>
      <c r="T41" s="8"/>
      <c r="U41" s="8"/>
      <c r="V41" s="8"/>
      <c r="W41" s="6"/>
      <c r="X41" s="9"/>
      <c r="Y41" s="8"/>
      <c r="Z41" s="8"/>
      <c r="AA41" s="8"/>
      <c r="AB41" s="8"/>
      <c r="AC41" s="8"/>
      <c r="AD41" s="8"/>
      <c r="AE41" s="9"/>
      <c r="AF41" s="8" t="s">
        <v>10</v>
      </c>
      <c r="AG41" s="8" t="s">
        <v>10</v>
      </c>
      <c r="AH41" s="6"/>
      <c r="AI41" s="50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8</v>
      </c>
      <c r="AJ41" s="51">
        <f>0</f>
        <v>0</v>
      </c>
      <c r="AK41" s="52">
        <f>AI41+AJ41</f>
        <v>8</v>
      </c>
    </row>
    <row r="42" spans="1:37" s="7" customFormat="1" ht="13.5" customHeight="1" x14ac:dyDescent="0.2">
      <c r="A42" s="90"/>
      <c r="B42" s="96"/>
      <c r="C42" s="2" t="s">
        <v>12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6"/>
      <c r="X42" s="9" t="s">
        <v>10</v>
      </c>
      <c r="Y42" s="8" t="s">
        <v>10</v>
      </c>
      <c r="Z42" s="8" t="s">
        <v>10</v>
      </c>
      <c r="AA42" s="8" t="s">
        <v>10</v>
      </c>
      <c r="AB42" s="8" t="s">
        <v>10</v>
      </c>
      <c r="AC42" s="8" t="s">
        <v>10</v>
      </c>
      <c r="AD42" s="8" t="s">
        <v>10</v>
      </c>
      <c r="AE42" s="9"/>
      <c r="AF42" s="8"/>
      <c r="AG42" s="8"/>
      <c r="AH42" s="6"/>
      <c r="AI42" s="50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7</v>
      </c>
      <c r="AJ42" s="51">
        <f>0</f>
        <v>0</v>
      </c>
      <c r="AK42" s="52">
        <f>AI42+AJ42</f>
        <v>7</v>
      </c>
    </row>
    <row r="43" spans="1:37" s="7" customFormat="1" ht="13.5" customHeight="1" x14ac:dyDescent="0.2">
      <c r="A43" s="16"/>
      <c r="B43" s="17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20"/>
      <c r="Y43" s="19"/>
      <c r="Z43" s="19"/>
      <c r="AA43" s="19"/>
      <c r="AB43" s="19"/>
      <c r="AC43" s="19"/>
      <c r="AD43" s="19"/>
      <c r="AE43" s="20"/>
      <c r="AF43" s="19"/>
      <c r="AG43" s="19"/>
      <c r="AH43" s="20"/>
      <c r="AI43" s="53" t="str">
        <f>""</f>
        <v/>
      </c>
      <c r="AJ43" s="54" t="str">
        <f>""</f>
        <v/>
      </c>
      <c r="AK43" s="55" t="str">
        <f>""</f>
        <v/>
      </c>
    </row>
    <row r="44" spans="1:37" s="7" customFormat="1" ht="13.5" customHeight="1" x14ac:dyDescent="0.2">
      <c r="A44" s="94">
        <v>9</v>
      </c>
      <c r="B44" s="97" t="s">
        <v>21</v>
      </c>
      <c r="C44" s="2" t="s">
        <v>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6"/>
      <c r="X44" s="9"/>
      <c r="Y44" s="8">
        <v>4</v>
      </c>
      <c r="Z44" s="8">
        <v>4</v>
      </c>
      <c r="AA44" s="8">
        <v>3</v>
      </c>
      <c r="AB44" s="8">
        <v>4</v>
      </c>
      <c r="AC44" s="8">
        <v>4</v>
      </c>
      <c r="AD44" s="8">
        <v>4</v>
      </c>
      <c r="AE44" s="9"/>
      <c r="AF44" s="8">
        <v>2</v>
      </c>
      <c r="AG44" s="8">
        <v>2</v>
      </c>
      <c r="AH44" s="6"/>
      <c r="AI44" s="50">
        <f>0</f>
        <v>0</v>
      </c>
      <c r="AJ44" s="51">
        <f>SUM(D44:AH44)/8</f>
        <v>3.375</v>
      </c>
      <c r="AK44" s="52">
        <f>AI44+AJ44</f>
        <v>3.375</v>
      </c>
    </row>
    <row r="45" spans="1:37" s="7" customFormat="1" ht="13.5" customHeight="1" x14ac:dyDescent="0.2">
      <c r="A45" s="89"/>
      <c r="B45" s="89"/>
      <c r="C45" s="2" t="s">
        <v>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 t="s">
        <v>10</v>
      </c>
      <c r="T45" s="8" t="s">
        <v>10</v>
      </c>
      <c r="U45" s="8" t="s">
        <v>10</v>
      </c>
      <c r="V45" s="8" t="s">
        <v>10</v>
      </c>
      <c r="W45" s="6" t="s">
        <v>10</v>
      </c>
      <c r="X45" s="9"/>
      <c r="Y45" s="8"/>
      <c r="Z45" s="8"/>
      <c r="AA45" s="8"/>
      <c r="AB45" s="8"/>
      <c r="AC45" s="8"/>
      <c r="AD45" s="8"/>
      <c r="AE45" s="9"/>
      <c r="AF45" s="8"/>
      <c r="AG45" s="8"/>
      <c r="AH45" s="6"/>
      <c r="AI45" s="50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5</v>
      </c>
      <c r="AJ45" s="51">
        <f>0</f>
        <v>0</v>
      </c>
      <c r="AK45" s="52">
        <f>AI45+AJ45</f>
        <v>5</v>
      </c>
    </row>
    <row r="46" spans="1:37" s="7" customFormat="1" ht="13.5" customHeight="1" x14ac:dyDescent="0.2">
      <c r="A46" s="89"/>
      <c r="B46" s="89"/>
      <c r="C46" s="2" t="s">
        <v>11</v>
      </c>
      <c r="D46" s="8"/>
      <c r="E46" s="8"/>
      <c r="F46" s="8"/>
      <c r="G46" s="8"/>
      <c r="H46" s="8"/>
      <c r="I46" s="8"/>
      <c r="J46" s="8" t="s">
        <v>10</v>
      </c>
      <c r="K46" s="8" t="s">
        <v>10</v>
      </c>
      <c r="L46" s="8" t="s">
        <v>10</v>
      </c>
      <c r="M46" s="8" t="s">
        <v>10</v>
      </c>
      <c r="N46" s="8" t="s">
        <v>10</v>
      </c>
      <c r="O46" s="8" t="s">
        <v>10</v>
      </c>
      <c r="P46" s="8" t="s">
        <v>10</v>
      </c>
      <c r="Q46" s="8"/>
      <c r="R46" s="8"/>
      <c r="S46" s="8"/>
      <c r="T46" s="8"/>
      <c r="U46" s="8"/>
      <c r="V46" s="8"/>
      <c r="W46" s="6"/>
      <c r="X46" s="9"/>
      <c r="Y46" s="8"/>
      <c r="Z46" s="8"/>
      <c r="AA46" s="8"/>
      <c r="AB46" s="8"/>
      <c r="AC46" s="8"/>
      <c r="AD46" s="8"/>
      <c r="AE46" s="9" t="s">
        <v>10</v>
      </c>
      <c r="AF46" s="8" t="s">
        <v>10</v>
      </c>
      <c r="AG46" s="8" t="s">
        <v>10</v>
      </c>
      <c r="AH46" s="6"/>
      <c r="AI46" s="50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10</v>
      </c>
      <c r="AJ46" s="51">
        <f>0</f>
        <v>0</v>
      </c>
      <c r="AK46" s="52">
        <f>AI46+AJ46</f>
        <v>10</v>
      </c>
    </row>
    <row r="47" spans="1:37" s="7" customFormat="1" ht="13.5" customHeight="1" x14ac:dyDescent="0.2">
      <c r="A47" s="90"/>
      <c r="B47" s="96"/>
      <c r="C47" s="2" t="s">
        <v>12</v>
      </c>
      <c r="D47" s="8" t="s">
        <v>10</v>
      </c>
      <c r="E47" s="8" t="s">
        <v>10</v>
      </c>
      <c r="F47" s="8" t="s">
        <v>10</v>
      </c>
      <c r="G47" s="8" t="s">
        <v>10</v>
      </c>
      <c r="H47" s="8" t="s">
        <v>10</v>
      </c>
      <c r="I47" s="8" t="s">
        <v>10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6"/>
      <c r="X47" s="9" t="s">
        <v>10</v>
      </c>
      <c r="Y47" s="8" t="s">
        <v>10</v>
      </c>
      <c r="Z47" s="8" t="s">
        <v>10</v>
      </c>
      <c r="AA47" s="6" t="s">
        <v>10</v>
      </c>
      <c r="AB47" s="8" t="s">
        <v>10</v>
      </c>
      <c r="AC47" s="8" t="s">
        <v>10</v>
      </c>
      <c r="AD47" s="8" t="s">
        <v>10</v>
      </c>
      <c r="AE47" s="9"/>
      <c r="AF47" s="8"/>
      <c r="AG47" s="8"/>
      <c r="AH47" s="6"/>
      <c r="AI47" s="50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13</v>
      </c>
      <c r="AJ47" s="51">
        <f>0</f>
        <v>0</v>
      </c>
      <c r="AK47" s="52">
        <f>AI47+AJ47</f>
        <v>13</v>
      </c>
    </row>
    <row r="48" spans="1:37" s="7" customFormat="1" ht="13.5" customHeight="1" x14ac:dyDescent="0.2">
      <c r="A48" s="16"/>
      <c r="B48" s="17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X48" s="20"/>
      <c r="Y48" s="19"/>
      <c r="Z48" s="19"/>
      <c r="AA48" s="20"/>
      <c r="AB48" s="19"/>
      <c r="AC48" s="19"/>
      <c r="AD48" s="19"/>
      <c r="AE48" s="20"/>
      <c r="AF48" s="19"/>
      <c r="AG48" s="19"/>
      <c r="AH48" s="20"/>
      <c r="AI48" s="53" t="str">
        <f>""</f>
        <v/>
      </c>
      <c r="AJ48" s="54" t="str">
        <f>""</f>
        <v/>
      </c>
      <c r="AK48" s="55" t="str">
        <f>""</f>
        <v/>
      </c>
    </row>
    <row r="49" spans="1:44" s="7" customFormat="1" ht="13.5" customHeight="1" x14ac:dyDescent="0.2">
      <c r="A49" s="94">
        <v>10</v>
      </c>
      <c r="B49" s="97" t="s">
        <v>22</v>
      </c>
      <c r="C49" s="2" t="s">
        <v>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6"/>
      <c r="X49" s="9"/>
      <c r="Y49" s="8">
        <v>4</v>
      </c>
      <c r="Z49" s="8">
        <v>4</v>
      </c>
      <c r="AA49" s="6">
        <v>3</v>
      </c>
      <c r="AB49" s="8">
        <v>4</v>
      </c>
      <c r="AC49" s="8">
        <v>4</v>
      </c>
      <c r="AD49" s="8">
        <v>4</v>
      </c>
      <c r="AE49" s="9"/>
      <c r="AF49" s="8">
        <v>2</v>
      </c>
      <c r="AG49" s="8">
        <v>2</v>
      </c>
      <c r="AH49" s="6"/>
      <c r="AI49" s="50">
        <f>0</f>
        <v>0</v>
      </c>
      <c r="AJ49" s="51">
        <f>SUM(D49:AH49)/8</f>
        <v>3.375</v>
      </c>
      <c r="AK49" s="52">
        <f>AI49+AJ49</f>
        <v>3.375</v>
      </c>
    </row>
    <row r="50" spans="1:44" s="7" customFormat="1" ht="13.5" customHeight="1" x14ac:dyDescent="0.2">
      <c r="A50" s="89"/>
      <c r="B50" s="89"/>
      <c r="C50" s="2" t="s">
        <v>9</v>
      </c>
      <c r="D50" s="8" t="s">
        <v>10</v>
      </c>
      <c r="E50" s="8" t="s">
        <v>10</v>
      </c>
      <c r="F50" s="8" t="s">
        <v>10</v>
      </c>
      <c r="G50" s="8" t="s">
        <v>10</v>
      </c>
      <c r="H50" s="8" t="s">
        <v>10</v>
      </c>
      <c r="I50" s="8" t="s">
        <v>10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6"/>
      <c r="X50" s="9" t="s">
        <v>10</v>
      </c>
      <c r="Y50" s="8"/>
      <c r="Z50" s="8"/>
      <c r="AA50" s="6"/>
      <c r="AB50" s="8"/>
      <c r="AC50" s="8"/>
      <c r="AD50" s="8"/>
      <c r="AE50" s="9"/>
      <c r="AF50" s="8"/>
      <c r="AG50" s="8"/>
      <c r="AH50" s="6"/>
      <c r="AI50" s="50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7</v>
      </c>
      <c r="AJ50" s="51">
        <f>0</f>
        <v>0</v>
      </c>
      <c r="AK50" s="52">
        <f>AI50+AJ50</f>
        <v>7</v>
      </c>
    </row>
    <row r="51" spans="1:44" s="7" customFormat="1" ht="13.5" customHeight="1" x14ac:dyDescent="0.2">
      <c r="A51" s="89"/>
      <c r="B51" s="89"/>
      <c r="C51" s="2" t="s">
        <v>11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 t="s">
        <v>10</v>
      </c>
      <c r="T51" s="8" t="s">
        <v>10</v>
      </c>
      <c r="U51" s="8" t="s">
        <v>10</v>
      </c>
      <c r="V51" s="8" t="s">
        <v>10</v>
      </c>
      <c r="W51" s="6" t="s">
        <v>10</v>
      </c>
      <c r="X51" s="9"/>
      <c r="Y51" s="8"/>
      <c r="Z51" s="8"/>
      <c r="AA51" s="6"/>
      <c r="AB51" s="8"/>
      <c r="AC51" s="8"/>
      <c r="AD51" s="8"/>
      <c r="AE51" s="9"/>
      <c r="AF51" s="8"/>
      <c r="AG51" s="8"/>
      <c r="AH51" s="6"/>
      <c r="AI51" s="50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5</v>
      </c>
      <c r="AJ51" s="51">
        <f>0</f>
        <v>0</v>
      </c>
      <c r="AK51" s="52">
        <f>AI51+AJ51</f>
        <v>5</v>
      </c>
    </row>
    <row r="52" spans="1:44" s="7" customFormat="1" ht="13.5" customHeight="1" x14ac:dyDescent="0.2">
      <c r="A52" s="90"/>
      <c r="B52" s="96"/>
      <c r="C52" s="2" t="s">
        <v>12</v>
      </c>
      <c r="D52" s="8"/>
      <c r="E52" s="8"/>
      <c r="F52" s="8"/>
      <c r="G52" s="8"/>
      <c r="H52" s="8"/>
      <c r="I52" s="8"/>
      <c r="J52" s="8" t="s">
        <v>10</v>
      </c>
      <c r="K52" s="8" t="s">
        <v>10</v>
      </c>
      <c r="L52" s="8" t="s">
        <v>10</v>
      </c>
      <c r="M52" s="8" t="s">
        <v>10</v>
      </c>
      <c r="N52" s="8" t="s">
        <v>10</v>
      </c>
      <c r="O52" s="8" t="s">
        <v>10</v>
      </c>
      <c r="P52" s="8" t="s">
        <v>15</v>
      </c>
      <c r="Q52" s="8"/>
      <c r="R52" s="8"/>
      <c r="S52" s="8"/>
      <c r="T52" s="8"/>
      <c r="U52" s="8"/>
      <c r="V52" s="6"/>
      <c r="W52" s="6"/>
      <c r="X52" s="9"/>
      <c r="Y52" s="8" t="s">
        <v>10</v>
      </c>
      <c r="Z52" s="8" t="s">
        <v>10</v>
      </c>
      <c r="AA52" s="6" t="s">
        <v>10</v>
      </c>
      <c r="AB52" s="8" t="s">
        <v>10</v>
      </c>
      <c r="AC52" s="8" t="s">
        <v>10</v>
      </c>
      <c r="AD52" s="8" t="s">
        <v>10</v>
      </c>
      <c r="AE52" s="9"/>
      <c r="AF52" s="8" t="s">
        <v>10</v>
      </c>
      <c r="AG52" s="8" t="s">
        <v>10</v>
      </c>
      <c r="AH52" s="6"/>
      <c r="AI52" s="50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14.5</v>
      </c>
      <c r="AJ52" s="51">
        <f>0</f>
        <v>0</v>
      </c>
      <c r="AK52" s="52">
        <f>AI52+AJ52</f>
        <v>14.5</v>
      </c>
    </row>
    <row r="53" spans="1:44" s="7" customFormat="1" ht="13.5" customHeight="1" x14ac:dyDescent="0.2">
      <c r="A53" s="16"/>
      <c r="B53" s="17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20"/>
      <c r="X53" s="20"/>
      <c r="Y53" s="19"/>
      <c r="Z53" s="19"/>
      <c r="AA53" s="20"/>
      <c r="AB53" s="19"/>
      <c r="AC53" s="19"/>
      <c r="AD53" s="19"/>
      <c r="AE53" s="20"/>
      <c r="AF53" s="19"/>
      <c r="AG53" s="19"/>
      <c r="AH53" s="20"/>
      <c r="AI53" s="53" t="str">
        <f>""</f>
        <v/>
      </c>
      <c r="AJ53" s="54" t="str">
        <f>""</f>
        <v/>
      </c>
      <c r="AK53" s="55" t="str">
        <f>""</f>
        <v/>
      </c>
    </row>
    <row r="54" spans="1:44" s="7" customFormat="1" ht="12" customHeight="1" x14ac:dyDescent="0.2">
      <c r="A54" s="94">
        <v>11</v>
      </c>
      <c r="B54" s="97" t="s">
        <v>23</v>
      </c>
      <c r="C54" s="2" t="s">
        <v>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6"/>
      <c r="X54" s="9"/>
      <c r="Y54" s="8">
        <v>4</v>
      </c>
      <c r="Z54" s="8">
        <v>4</v>
      </c>
      <c r="AA54" s="8">
        <v>3</v>
      </c>
      <c r="AB54" s="8">
        <v>4</v>
      </c>
      <c r="AC54" s="8">
        <v>4</v>
      </c>
      <c r="AD54" s="8">
        <v>4</v>
      </c>
      <c r="AE54" s="9"/>
      <c r="AF54" s="8">
        <v>2</v>
      </c>
      <c r="AG54" s="8">
        <v>2</v>
      </c>
      <c r="AH54" s="6"/>
      <c r="AI54" s="50">
        <f>0</f>
        <v>0</v>
      </c>
      <c r="AJ54" s="51">
        <f>SUM(D54:AH54)/8</f>
        <v>3.375</v>
      </c>
      <c r="AK54" s="52">
        <f>AI54+AJ54</f>
        <v>3.375</v>
      </c>
      <c r="AR54" s="10"/>
    </row>
    <row r="55" spans="1:44" s="7" customFormat="1" ht="13.5" customHeight="1" x14ac:dyDescent="0.2">
      <c r="A55" s="89"/>
      <c r="B55" s="89"/>
      <c r="C55" s="2" t="s">
        <v>9</v>
      </c>
      <c r="D55" s="8"/>
      <c r="E55" s="8"/>
      <c r="F55" s="8"/>
      <c r="G55" s="8"/>
      <c r="H55" s="8"/>
      <c r="I55" s="8"/>
      <c r="J55" s="8" t="s">
        <v>10</v>
      </c>
      <c r="K55" s="8" t="s">
        <v>10</v>
      </c>
      <c r="L55" s="8" t="s">
        <v>10</v>
      </c>
      <c r="M55" s="8" t="s">
        <v>10</v>
      </c>
      <c r="N55" s="8" t="s">
        <v>10</v>
      </c>
      <c r="O55" s="8" t="s">
        <v>10</v>
      </c>
      <c r="P55" s="8" t="s">
        <v>10</v>
      </c>
      <c r="Q55" s="8"/>
      <c r="R55" s="8"/>
      <c r="S55" s="8"/>
      <c r="T55" s="8"/>
      <c r="U55" s="8"/>
      <c r="V55" s="8"/>
      <c r="W55" s="6"/>
      <c r="X55" s="9"/>
      <c r="Y55" s="8"/>
      <c r="Z55" s="8"/>
      <c r="AA55" s="8"/>
      <c r="AB55" s="8"/>
      <c r="AC55" s="8"/>
      <c r="AD55" s="8"/>
      <c r="AE55" s="9"/>
      <c r="AF55" s="8" t="s">
        <v>10</v>
      </c>
      <c r="AG55" s="8" t="s">
        <v>10</v>
      </c>
      <c r="AH55" s="6"/>
      <c r="AI55" s="50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9</v>
      </c>
      <c r="AJ55" s="51">
        <f>0</f>
        <v>0</v>
      </c>
      <c r="AK55" s="52">
        <f>AI55+AJ55</f>
        <v>9</v>
      </c>
      <c r="AR55" s="10"/>
    </row>
    <row r="56" spans="1:44" s="7" customFormat="1" ht="13.5" customHeight="1" x14ac:dyDescent="0.2">
      <c r="A56" s="89"/>
      <c r="B56" s="89"/>
      <c r="C56" s="2" t="s">
        <v>11</v>
      </c>
      <c r="D56" s="8" t="s">
        <v>10</v>
      </c>
      <c r="E56" s="8" t="s">
        <v>10</v>
      </c>
      <c r="F56" s="8" t="s">
        <v>10</v>
      </c>
      <c r="G56" s="8" t="s">
        <v>10</v>
      </c>
      <c r="H56" s="8" t="s">
        <v>10</v>
      </c>
      <c r="I56" s="8" t="s">
        <v>10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6"/>
      <c r="X56" s="9"/>
      <c r="Y56" s="8"/>
      <c r="Z56" s="8"/>
      <c r="AA56" s="8"/>
      <c r="AB56" s="8"/>
      <c r="AC56" s="8"/>
      <c r="AD56" s="8"/>
      <c r="AE56" s="9"/>
      <c r="AF56" s="8"/>
      <c r="AG56" s="8"/>
      <c r="AH56" s="6"/>
      <c r="AI56" s="50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6</v>
      </c>
      <c r="AJ56" s="51">
        <f>0</f>
        <v>0</v>
      </c>
      <c r="AK56" s="52">
        <f>AI56+AJ56</f>
        <v>6</v>
      </c>
      <c r="AR56" s="10"/>
    </row>
    <row r="57" spans="1:44" s="7" customFormat="1" ht="13.5" customHeight="1" x14ac:dyDescent="0.2">
      <c r="A57" s="90"/>
      <c r="B57" s="96"/>
      <c r="C57" s="2" t="s">
        <v>12</v>
      </c>
      <c r="D57" s="8"/>
      <c r="E57" s="8"/>
      <c r="F57" s="8"/>
      <c r="G57" s="8"/>
      <c r="H57" s="8"/>
      <c r="I57" s="8"/>
      <c r="J57" s="13"/>
      <c r="K57" s="13"/>
      <c r="L57" s="13"/>
      <c r="M57" s="8"/>
      <c r="N57" s="13"/>
      <c r="O57" s="13"/>
      <c r="P57" s="13"/>
      <c r="Q57" s="13"/>
      <c r="R57" s="8"/>
      <c r="S57" s="8" t="s">
        <v>10</v>
      </c>
      <c r="T57" s="8" t="s">
        <v>10</v>
      </c>
      <c r="U57" s="8" t="s">
        <v>10</v>
      </c>
      <c r="V57" s="6" t="s">
        <v>10</v>
      </c>
      <c r="W57" s="6" t="s">
        <v>10</v>
      </c>
      <c r="X57" s="9"/>
      <c r="Y57" s="8" t="s">
        <v>10</v>
      </c>
      <c r="Z57" s="8" t="s">
        <v>10</v>
      </c>
      <c r="AA57" s="8" t="s">
        <v>10</v>
      </c>
      <c r="AB57" s="8" t="s">
        <v>10</v>
      </c>
      <c r="AC57" s="8" t="s">
        <v>10</v>
      </c>
      <c r="AD57" s="8" t="s">
        <v>10</v>
      </c>
      <c r="AE57" s="9"/>
      <c r="AF57" s="8"/>
      <c r="AG57" s="8"/>
      <c r="AH57" s="6"/>
      <c r="AI57" s="50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11</v>
      </c>
      <c r="AJ57" s="51">
        <f>0</f>
        <v>0</v>
      </c>
      <c r="AK57" s="52">
        <f>AI57+AJ57</f>
        <v>11</v>
      </c>
    </row>
    <row r="58" spans="1:44" s="7" customFormat="1" ht="13.5" customHeight="1" x14ac:dyDescent="0.2">
      <c r="A58" s="16"/>
      <c r="B58" s="17"/>
      <c r="C58" s="18"/>
      <c r="D58" s="19"/>
      <c r="E58" s="19"/>
      <c r="F58" s="19"/>
      <c r="G58" s="19"/>
      <c r="H58" s="19"/>
      <c r="I58" s="19"/>
      <c r="J58" s="22"/>
      <c r="K58" s="22"/>
      <c r="L58" s="22"/>
      <c r="M58" s="19"/>
      <c r="N58" s="22"/>
      <c r="O58" s="22"/>
      <c r="P58" s="22"/>
      <c r="Q58" s="22"/>
      <c r="R58" s="19"/>
      <c r="S58" s="19"/>
      <c r="T58" s="19"/>
      <c r="U58" s="19"/>
      <c r="V58" s="20"/>
      <c r="W58" s="20"/>
      <c r="X58" s="20"/>
      <c r="Y58" s="19"/>
      <c r="Z58" s="19"/>
      <c r="AA58" s="19"/>
      <c r="AB58" s="19"/>
      <c r="AC58" s="19"/>
      <c r="AD58" s="19"/>
      <c r="AE58" s="20"/>
      <c r="AF58" s="19"/>
      <c r="AG58" s="19"/>
      <c r="AH58" s="20"/>
      <c r="AI58" s="53" t="str">
        <f>""</f>
        <v/>
      </c>
      <c r="AJ58" s="54" t="str">
        <f>""</f>
        <v/>
      </c>
      <c r="AK58" s="55" t="str">
        <f>""</f>
        <v/>
      </c>
    </row>
    <row r="59" spans="1:44" ht="13.5" customHeight="1" x14ac:dyDescent="0.2">
      <c r="A59" s="94">
        <v>12</v>
      </c>
      <c r="B59" s="88" t="s">
        <v>24</v>
      </c>
      <c r="C59" s="2" t="s">
        <v>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"/>
      <c r="W59" s="6"/>
      <c r="X59" s="9"/>
      <c r="Y59" s="8">
        <v>3.25</v>
      </c>
      <c r="Z59" s="8">
        <v>0</v>
      </c>
      <c r="AA59" s="8">
        <v>3</v>
      </c>
      <c r="AB59" s="8">
        <v>4</v>
      </c>
      <c r="AC59" s="8">
        <v>4</v>
      </c>
      <c r="AD59" s="8"/>
      <c r="AE59" s="9"/>
      <c r="AF59" s="8"/>
      <c r="AG59" s="8"/>
      <c r="AH59" s="4"/>
      <c r="AI59" s="50">
        <f>0</f>
        <v>0</v>
      </c>
      <c r="AJ59" s="51">
        <f>SUM(D59:AH59)/8</f>
        <v>1.78125</v>
      </c>
      <c r="AK59" s="52">
        <f>AI59+AJ59</f>
        <v>1.78125</v>
      </c>
    </row>
    <row r="60" spans="1:44" ht="13.5" customHeight="1" x14ac:dyDescent="0.2">
      <c r="A60" s="89"/>
      <c r="B60" s="89"/>
      <c r="C60" s="2" t="s">
        <v>9</v>
      </c>
      <c r="D60" s="8"/>
      <c r="E60" s="8" t="s">
        <v>10</v>
      </c>
      <c r="F60" s="8" t="s">
        <v>10</v>
      </c>
      <c r="G60" s="8"/>
      <c r="H60" s="8"/>
      <c r="I60" s="8"/>
      <c r="J60" s="8" t="s">
        <v>10</v>
      </c>
      <c r="K60" s="8" t="s">
        <v>10</v>
      </c>
      <c r="L60" s="8" t="s">
        <v>10</v>
      </c>
      <c r="M60" s="8" t="s">
        <v>10</v>
      </c>
      <c r="N60" s="8"/>
      <c r="O60" s="8" t="s">
        <v>55</v>
      </c>
      <c r="P60" s="8" t="s">
        <v>10</v>
      </c>
      <c r="Q60" s="8"/>
      <c r="R60" s="8"/>
      <c r="S60" s="8"/>
      <c r="T60" s="8"/>
      <c r="U60" s="8"/>
      <c r="V60" s="4"/>
      <c r="W60" s="6"/>
      <c r="X60" s="9"/>
      <c r="Y60" s="8" t="s">
        <v>10</v>
      </c>
      <c r="Z60" s="8" t="s">
        <v>10</v>
      </c>
      <c r="AA60" s="8" t="s">
        <v>10</v>
      </c>
      <c r="AB60" s="8" t="s">
        <v>10</v>
      </c>
      <c r="AC60" s="8" t="s">
        <v>10</v>
      </c>
      <c r="AD60" s="8" t="s">
        <v>10</v>
      </c>
      <c r="AE60" s="9"/>
      <c r="AF60" s="8"/>
      <c r="AG60" s="8"/>
      <c r="AH60" s="4"/>
      <c r="AI60" s="50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14</v>
      </c>
      <c r="AJ60" s="51">
        <f>0</f>
        <v>0</v>
      </c>
      <c r="AK60" s="52">
        <f>AI60+AJ60</f>
        <v>14</v>
      </c>
    </row>
    <row r="61" spans="1:44" ht="13.5" customHeight="1" x14ac:dyDescent="0.2">
      <c r="A61" s="89"/>
      <c r="B61" s="89"/>
      <c r="C61" s="2" t="s">
        <v>11</v>
      </c>
      <c r="D61" s="8" t="s">
        <v>10</v>
      </c>
      <c r="E61" s="8"/>
      <c r="F61" s="8"/>
      <c r="G61" s="8" t="s">
        <v>10</v>
      </c>
      <c r="H61" s="8">
        <v>0</v>
      </c>
      <c r="I61" s="8" t="s">
        <v>10</v>
      </c>
      <c r="J61" s="8"/>
      <c r="K61" s="8"/>
      <c r="L61" s="8"/>
      <c r="M61" s="8"/>
      <c r="N61" s="8" t="s">
        <v>10</v>
      </c>
      <c r="O61" s="8"/>
      <c r="P61" s="8"/>
      <c r="Q61" s="8"/>
      <c r="R61" s="8"/>
      <c r="S61" s="8" t="s">
        <v>10</v>
      </c>
      <c r="T61" s="8" t="s">
        <v>10</v>
      </c>
      <c r="U61" s="8" t="s">
        <v>10</v>
      </c>
      <c r="V61" s="4" t="s">
        <v>10</v>
      </c>
      <c r="W61" s="6" t="s">
        <v>10</v>
      </c>
      <c r="X61" s="9"/>
      <c r="Y61" s="8"/>
      <c r="Z61" s="8"/>
      <c r="AA61" s="8"/>
      <c r="AB61" s="8"/>
      <c r="AC61" s="8"/>
      <c r="AD61" s="8"/>
      <c r="AE61" s="9"/>
      <c r="AF61" s="8"/>
      <c r="AG61" s="8"/>
      <c r="AH61" s="4"/>
      <c r="AI61" s="50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9</v>
      </c>
      <c r="AJ61" s="51">
        <f>0</f>
        <v>0</v>
      </c>
      <c r="AK61" s="52">
        <f>AI61+AJ61</f>
        <v>9</v>
      </c>
    </row>
    <row r="62" spans="1:44" s="7" customFormat="1" ht="13.5" customHeight="1" x14ac:dyDescent="0.2">
      <c r="A62" s="90"/>
      <c r="B62" s="90"/>
      <c r="C62" s="2" t="s">
        <v>12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6"/>
      <c r="W62" s="6"/>
      <c r="X62" s="9"/>
      <c r="Y62" s="8"/>
      <c r="Z62" s="8"/>
      <c r="AA62" s="8"/>
      <c r="AB62" s="8"/>
      <c r="AC62" s="8"/>
      <c r="AD62" s="8"/>
      <c r="AE62" s="9"/>
      <c r="AF62" s="8" t="s">
        <v>10</v>
      </c>
      <c r="AG62" s="8" t="s">
        <v>10</v>
      </c>
      <c r="AH62" s="6"/>
      <c r="AI62" s="50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2</v>
      </c>
      <c r="AJ62" s="51">
        <f>0</f>
        <v>0</v>
      </c>
      <c r="AK62" s="52">
        <f>AI62+AJ62</f>
        <v>2</v>
      </c>
    </row>
    <row r="63" spans="1:44" s="7" customFormat="1" ht="13.5" customHeight="1" x14ac:dyDescent="0.2">
      <c r="A63" s="16"/>
      <c r="B63" s="23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  <c r="W63" s="20"/>
      <c r="X63" s="20"/>
      <c r="Y63" s="19"/>
      <c r="Z63" s="19"/>
      <c r="AA63" s="19"/>
      <c r="AB63" s="19"/>
      <c r="AC63" s="19"/>
      <c r="AD63" s="19"/>
      <c r="AE63" s="20"/>
      <c r="AF63" s="19"/>
      <c r="AG63" s="19"/>
      <c r="AH63" s="20"/>
      <c r="AI63" s="53" t="str">
        <f>""</f>
        <v/>
      </c>
      <c r="AJ63" s="54" t="str">
        <f>""</f>
        <v/>
      </c>
      <c r="AK63" s="55" t="str">
        <f>""</f>
        <v/>
      </c>
    </row>
    <row r="64" spans="1:44" ht="13.5" customHeight="1" x14ac:dyDescent="0.2">
      <c r="A64" s="94">
        <v>13</v>
      </c>
      <c r="B64" s="94" t="s">
        <v>26</v>
      </c>
      <c r="C64" s="2" t="s">
        <v>8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4"/>
      <c r="W64" s="6"/>
      <c r="X64" s="9"/>
      <c r="Y64" s="8">
        <v>4</v>
      </c>
      <c r="Z64" s="8">
        <v>4</v>
      </c>
      <c r="AA64" s="8">
        <v>3</v>
      </c>
      <c r="AB64" s="8">
        <v>4</v>
      </c>
      <c r="AC64" s="8">
        <v>4</v>
      </c>
      <c r="AD64" s="8">
        <v>4</v>
      </c>
      <c r="AE64" s="9"/>
      <c r="AF64" s="8">
        <v>2</v>
      </c>
      <c r="AG64" s="8">
        <v>2</v>
      </c>
      <c r="AH64" s="4"/>
      <c r="AI64" s="50">
        <f>0</f>
        <v>0</v>
      </c>
      <c r="AJ64" s="51">
        <f>SUM(D64:AH64)/8</f>
        <v>3.375</v>
      </c>
      <c r="AK64" s="52">
        <f>AI64+AJ64</f>
        <v>3.375</v>
      </c>
    </row>
    <row r="65" spans="1:37" ht="13.5" customHeight="1" x14ac:dyDescent="0.2">
      <c r="A65" s="89"/>
      <c r="B65" s="89"/>
      <c r="C65" s="2" t="s">
        <v>9</v>
      </c>
      <c r="D65" s="8" t="s">
        <v>10</v>
      </c>
      <c r="E65" s="8" t="s">
        <v>10</v>
      </c>
      <c r="F65" s="8" t="s">
        <v>10</v>
      </c>
      <c r="G65" s="8" t="s">
        <v>10</v>
      </c>
      <c r="H65" s="8" t="s">
        <v>10</v>
      </c>
      <c r="I65" s="8" t="s">
        <v>10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"/>
      <c r="W65" s="6"/>
      <c r="X65" s="9" t="s">
        <v>10</v>
      </c>
      <c r="Y65" s="8" t="s">
        <v>10</v>
      </c>
      <c r="Z65" s="8" t="s">
        <v>10</v>
      </c>
      <c r="AA65" s="8" t="s">
        <v>10</v>
      </c>
      <c r="AB65" s="8" t="s">
        <v>10</v>
      </c>
      <c r="AC65" s="8" t="s">
        <v>10</v>
      </c>
      <c r="AD65" s="8" t="s">
        <v>10</v>
      </c>
      <c r="AE65" s="9"/>
      <c r="AF65" s="8"/>
      <c r="AG65" s="8"/>
      <c r="AH65" s="4"/>
      <c r="AI65" s="50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13</v>
      </c>
      <c r="AJ65" s="51">
        <f>0</f>
        <v>0</v>
      </c>
      <c r="AK65" s="52">
        <f>AI65+AJ65</f>
        <v>13</v>
      </c>
    </row>
    <row r="66" spans="1:37" ht="12.75" customHeight="1" x14ac:dyDescent="0.2">
      <c r="A66" s="89"/>
      <c r="B66" s="89"/>
      <c r="C66" s="2" t="s">
        <v>11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 t="s">
        <v>10</v>
      </c>
      <c r="T66" s="8" t="s">
        <v>10</v>
      </c>
      <c r="U66" s="8" t="s">
        <v>10</v>
      </c>
      <c r="V66" s="4" t="s">
        <v>10</v>
      </c>
      <c r="W66" s="6" t="s">
        <v>10</v>
      </c>
      <c r="X66" s="9"/>
      <c r="Y66" s="8"/>
      <c r="Z66" s="8"/>
      <c r="AA66" s="8"/>
      <c r="AB66" s="8"/>
      <c r="AC66" s="8"/>
      <c r="AD66" s="8"/>
      <c r="AE66" s="9"/>
      <c r="AF66" s="8"/>
      <c r="AG66" s="8"/>
      <c r="AH66" s="4"/>
      <c r="AI66" s="50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5</v>
      </c>
      <c r="AJ66" s="51">
        <f>0</f>
        <v>0</v>
      </c>
      <c r="AK66" s="52">
        <f>AI66+AJ66</f>
        <v>5</v>
      </c>
    </row>
    <row r="67" spans="1:37" s="7" customFormat="1" ht="13.5" customHeight="1" x14ac:dyDescent="0.2">
      <c r="A67" s="90"/>
      <c r="B67" s="90"/>
      <c r="C67" s="2" t="s">
        <v>12</v>
      </c>
      <c r="D67" s="8"/>
      <c r="E67" s="8"/>
      <c r="F67" s="8"/>
      <c r="G67" s="8"/>
      <c r="H67" s="8"/>
      <c r="I67" s="8"/>
      <c r="J67" s="8"/>
      <c r="K67" s="8" t="s">
        <v>10</v>
      </c>
      <c r="L67" s="8" t="s">
        <v>10</v>
      </c>
      <c r="M67" s="8" t="s">
        <v>10</v>
      </c>
      <c r="N67" s="8" t="s">
        <v>10</v>
      </c>
      <c r="O67" s="8" t="s">
        <v>10</v>
      </c>
      <c r="P67" s="8" t="s">
        <v>15</v>
      </c>
      <c r="Q67" s="8"/>
      <c r="R67" s="8"/>
      <c r="S67" s="8"/>
      <c r="T67" s="8"/>
      <c r="U67" s="8"/>
      <c r="V67" s="6"/>
      <c r="W67" s="6"/>
      <c r="X67" s="9"/>
      <c r="Y67" s="8"/>
      <c r="Z67" s="8"/>
      <c r="AA67" s="6"/>
      <c r="AB67" s="8"/>
      <c r="AC67" s="8"/>
      <c r="AD67" s="8"/>
      <c r="AE67" s="9"/>
      <c r="AF67" s="8" t="s">
        <v>10</v>
      </c>
      <c r="AG67" s="8" t="s">
        <v>10</v>
      </c>
      <c r="AH67" s="6"/>
      <c r="AI67" s="50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7.5</v>
      </c>
      <c r="AJ67" s="51">
        <f>0</f>
        <v>0</v>
      </c>
      <c r="AK67" s="52">
        <f>AI67+AJ67</f>
        <v>7.5</v>
      </c>
    </row>
    <row r="68" spans="1:37" ht="20.25" customHeight="1" x14ac:dyDescent="0.2">
      <c r="A68" s="11" t="s">
        <v>27</v>
      </c>
      <c r="B68" s="11" t="s">
        <v>28</v>
      </c>
      <c r="AH68" s="12" t="s">
        <v>4</v>
      </c>
      <c r="AI68" s="52" t="str">
        <f>""</f>
        <v/>
      </c>
      <c r="AJ68" s="52" t="str">
        <f>""</f>
        <v/>
      </c>
      <c r="AK68" s="52" t="str">
        <f>""</f>
        <v/>
      </c>
    </row>
    <row r="69" spans="1:37" x14ac:dyDescent="0.2">
      <c r="A69" s="11"/>
      <c r="B69" s="11"/>
      <c r="AI69" s="45"/>
      <c r="AJ69" s="45"/>
      <c r="AK69" s="45"/>
    </row>
    <row r="70" spans="1:37" x14ac:dyDescent="0.2">
      <c r="AI70" s="45"/>
      <c r="AJ70" s="45"/>
      <c r="AK70" s="45"/>
    </row>
    <row r="71" spans="1:37" ht="14.25" customHeight="1" x14ac:dyDescent="0.2">
      <c r="AI71" s="45"/>
      <c r="AJ71" s="45"/>
      <c r="AK71" s="45"/>
    </row>
    <row r="72" spans="1:37" ht="14.25" customHeight="1" x14ac:dyDescent="0.2">
      <c r="A72" s="103"/>
      <c r="B72" s="104"/>
      <c r="C72" s="104"/>
      <c r="D72" s="10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106"/>
      <c r="AJ72" s="108"/>
      <c r="AK72" s="107"/>
    </row>
    <row r="73" spans="1:37" ht="14.25" customHeight="1" x14ac:dyDescent="0.2">
      <c r="A73" s="100"/>
      <c r="B73" s="105"/>
      <c r="C73" s="105"/>
      <c r="D73" s="91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3"/>
      <c r="AI73" s="89"/>
      <c r="AJ73" s="99"/>
      <c r="AK73" s="89"/>
    </row>
    <row r="74" spans="1:37" ht="14.25" customHeight="1" x14ac:dyDescent="0.25">
      <c r="A74" s="2"/>
      <c r="B74" s="2"/>
      <c r="C74" s="3"/>
      <c r="D74" s="14">
        <f t="shared" ref="D74:AH74" si="1">+C74+1</f>
        <v>1</v>
      </c>
      <c r="E74" s="14">
        <f t="shared" si="1"/>
        <v>2</v>
      </c>
      <c r="F74" s="14">
        <f t="shared" si="1"/>
        <v>3</v>
      </c>
      <c r="G74" s="14">
        <f t="shared" si="1"/>
        <v>4</v>
      </c>
      <c r="H74" s="14">
        <f t="shared" si="1"/>
        <v>5</v>
      </c>
      <c r="I74" s="14">
        <f t="shared" si="1"/>
        <v>6</v>
      </c>
      <c r="J74" s="14">
        <f t="shared" si="1"/>
        <v>7</v>
      </c>
      <c r="K74" s="14">
        <f t="shared" si="1"/>
        <v>8</v>
      </c>
      <c r="L74" s="14">
        <f t="shared" si="1"/>
        <v>9</v>
      </c>
      <c r="M74" s="14">
        <f t="shared" si="1"/>
        <v>10</v>
      </c>
      <c r="N74" s="14">
        <f t="shared" si="1"/>
        <v>11</v>
      </c>
      <c r="O74" s="14">
        <f t="shared" si="1"/>
        <v>12</v>
      </c>
      <c r="P74" s="14">
        <f t="shared" si="1"/>
        <v>13</v>
      </c>
      <c r="Q74" s="14">
        <f t="shared" si="1"/>
        <v>14</v>
      </c>
      <c r="R74" s="14">
        <f t="shared" si="1"/>
        <v>15</v>
      </c>
      <c r="S74" s="14">
        <f t="shared" si="1"/>
        <v>16</v>
      </c>
      <c r="T74" s="14">
        <f t="shared" si="1"/>
        <v>17</v>
      </c>
      <c r="U74" s="14">
        <f t="shared" si="1"/>
        <v>18</v>
      </c>
      <c r="V74" s="14">
        <f t="shared" si="1"/>
        <v>19</v>
      </c>
      <c r="W74" s="14">
        <f t="shared" si="1"/>
        <v>20</v>
      </c>
      <c r="X74" s="14">
        <f t="shared" si="1"/>
        <v>21</v>
      </c>
      <c r="Y74" s="14">
        <f t="shared" si="1"/>
        <v>22</v>
      </c>
      <c r="Z74" s="14">
        <f t="shared" si="1"/>
        <v>23</v>
      </c>
      <c r="AA74" s="14">
        <f t="shared" si="1"/>
        <v>24</v>
      </c>
      <c r="AB74" s="14">
        <f t="shared" si="1"/>
        <v>25</v>
      </c>
      <c r="AC74" s="14">
        <f t="shared" si="1"/>
        <v>26</v>
      </c>
      <c r="AD74" s="14">
        <f t="shared" si="1"/>
        <v>27</v>
      </c>
      <c r="AE74" s="14">
        <f t="shared" si="1"/>
        <v>28</v>
      </c>
      <c r="AF74" s="14">
        <f t="shared" si="1"/>
        <v>29</v>
      </c>
      <c r="AG74" s="14">
        <f t="shared" si="1"/>
        <v>30</v>
      </c>
      <c r="AH74" s="14">
        <f t="shared" si="1"/>
        <v>31</v>
      </c>
      <c r="AI74" s="90"/>
      <c r="AJ74" s="100"/>
      <c r="AK74" s="90"/>
    </row>
    <row r="75" spans="1:37" ht="14.25" customHeight="1" x14ac:dyDescent="0.2">
      <c r="A75" s="94"/>
      <c r="B75" s="95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ref="AJ75:AJ82" si="2">SUM(D75:AH75)/8</f>
        <v>0</v>
      </c>
      <c r="AK75" s="52">
        <f t="shared" ref="AK75:AK106" si="3">AI75+AJ75</f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2"/>
        <v>0</v>
      </c>
      <c r="AK76" s="52">
        <f t="shared" si="3"/>
        <v>0</v>
      </c>
    </row>
    <row r="77" spans="1:37" ht="14.25" customHeight="1" x14ac:dyDescent="0.2">
      <c r="A77" s="89"/>
      <c r="B77" s="89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8"/>
      <c r="AF77" s="8"/>
      <c r="AG77" s="8"/>
      <c r="AH77" s="4"/>
      <c r="AI77" s="50">
        <f>0</f>
        <v>0</v>
      </c>
      <c r="AJ77" s="51">
        <f t="shared" si="2"/>
        <v>0</v>
      </c>
      <c r="AK77" s="52">
        <f t="shared" si="3"/>
        <v>0</v>
      </c>
    </row>
    <row r="78" spans="1:37" ht="14.25" customHeight="1" x14ac:dyDescent="0.2">
      <c r="A78" s="90"/>
      <c r="B78" s="96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2"/>
        <v>0</v>
      </c>
      <c r="AK78" s="52">
        <f t="shared" si="3"/>
        <v>0</v>
      </c>
    </row>
    <row r="79" spans="1:37" ht="14.25" customHeight="1" x14ac:dyDescent="0.2">
      <c r="A79" s="94"/>
      <c r="B79" s="97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2"/>
        <v>0</v>
      </c>
      <c r="AK79" s="52">
        <f t="shared" si="3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2"/>
        <v>0</v>
      </c>
      <c r="AK80" s="52">
        <f t="shared" si="3"/>
        <v>0</v>
      </c>
    </row>
    <row r="81" spans="1:37" ht="14.25" customHeight="1" x14ac:dyDescent="0.2">
      <c r="A81" s="89"/>
      <c r="B81" s="89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2"/>
        <v>0</v>
      </c>
      <c r="AK81" s="52">
        <f t="shared" si="3"/>
        <v>0</v>
      </c>
    </row>
    <row r="82" spans="1:37" ht="14.25" customHeight="1" x14ac:dyDescent="0.2">
      <c r="A82" s="90"/>
      <c r="B82" s="96"/>
      <c r="C82" s="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>
        <f t="shared" si="2"/>
        <v>0</v>
      </c>
      <c r="AK82" s="52">
        <f t="shared" si="3"/>
        <v>0</v>
      </c>
    </row>
    <row r="83" spans="1:37" ht="14.25" customHeight="1" x14ac:dyDescent="0.2">
      <c r="A83" s="94"/>
      <c r="B83" s="97"/>
      <c r="C83" s="2"/>
      <c r="D83" s="8"/>
      <c r="E83" s="8"/>
      <c r="F83" s="8"/>
      <c r="G83" s="8"/>
      <c r="H83" s="8"/>
      <c r="I83" s="8"/>
      <c r="J83" s="8"/>
      <c r="K83" s="8"/>
      <c r="L83" s="1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/>
      <c r="AK83" s="52">
        <f t="shared" si="3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3"/>
        <v>0</v>
      </c>
    </row>
    <row r="85" spans="1:37" ht="14.25" customHeight="1" x14ac:dyDescent="0.2">
      <c r="A85" s="89"/>
      <c r="B85" s="89"/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3"/>
        <v>0</v>
      </c>
    </row>
    <row r="86" spans="1:37" ht="14.25" customHeight="1" x14ac:dyDescent="0.2">
      <c r="A86" s="90"/>
      <c r="B86" s="96"/>
      <c r="C86" s="2"/>
      <c r="D86" s="8"/>
      <c r="E86" s="8"/>
      <c r="F86" s="8"/>
      <c r="G86" s="8"/>
      <c r="H86" s="8"/>
      <c r="I86" s="8"/>
      <c r="J86" s="8"/>
      <c r="K86" s="8"/>
      <c r="L86" s="1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3"/>
        <v>0</v>
      </c>
    </row>
    <row r="87" spans="1:37" ht="14.25" customHeight="1" x14ac:dyDescent="0.2">
      <c r="A87" s="94"/>
      <c r="B87" s="97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3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3"/>
        <v>0</v>
      </c>
    </row>
    <row r="89" spans="1:37" ht="14.25" customHeight="1" x14ac:dyDescent="0.2">
      <c r="A89" s="89"/>
      <c r="B89" s="89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3"/>
        <v>0</v>
      </c>
    </row>
    <row r="90" spans="1:37" ht="14.25" customHeight="1" x14ac:dyDescent="0.2">
      <c r="A90" s="90"/>
      <c r="B90" s="96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3"/>
        <v>0</v>
      </c>
    </row>
    <row r="91" spans="1:37" ht="14.25" customHeight="1" x14ac:dyDescent="0.2">
      <c r="A91" s="94"/>
      <c r="B91" s="97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3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3"/>
        <v>0</v>
      </c>
    </row>
    <row r="93" spans="1:37" ht="14.25" customHeight="1" x14ac:dyDescent="0.2">
      <c r="A93" s="89"/>
      <c r="B93" s="89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3"/>
        <v>0</v>
      </c>
    </row>
    <row r="94" spans="1:37" ht="14.25" customHeight="1" x14ac:dyDescent="0.2">
      <c r="A94" s="90"/>
      <c r="B94" s="96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3"/>
        <v>0</v>
      </c>
    </row>
    <row r="95" spans="1:37" ht="14.25" customHeight="1" x14ac:dyDescent="0.2">
      <c r="A95" s="94"/>
      <c r="B95" s="97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3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3"/>
        <v>0</v>
      </c>
    </row>
    <row r="97" spans="1:37" ht="14.25" customHeight="1" x14ac:dyDescent="0.2">
      <c r="A97" s="89"/>
      <c r="B97" s="89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3"/>
        <v>0</v>
      </c>
    </row>
    <row r="98" spans="1:37" ht="14.25" customHeight="1" x14ac:dyDescent="0.2">
      <c r="A98" s="90"/>
      <c r="B98" s="96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3"/>
        <v>0</v>
      </c>
    </row>
    <row r="99" spans="1:37" ht="14.25" customHeight="1" x14ac:dyDescent="0.2">
      <c r="A99" s="94"/>
      <c r="B99" s="97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3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3"/>
        <v>0</v>
      </c>
    </row>
    <row r="101" spans="1:37" ht="14.25" customHeight="1" x14ac:dyDescent="0.2">
      <c r="A101" s="89"/>
      <c r="B101" s="89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3"/>
        <v>0</v>
      </c>
    </row>
    <row r="102" spans="1:37" ht="14.25" customHeight="1" x14ac:dyDescent="0.2">
      <c r="A102" s="90"/>
      <c r="B102" s="96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3"/>
        <v>0</v>
      </c>
    </row>
    <row r="103" spans="1:37" ht="14.25" customHeight="1" x14ac:dyDescent="0.2">
      <c r="A103" s="94"/>
      <c r="B103" s="97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3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3"/>
        <v>0</v>
      </c>
    </row>
    <row r="105" spans="1:37" ht="14.25" customHeight="1" x14ac:dyDescent="0.2">
      <c r="A105" s="89"/>
      <c r="B105" s="89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3"/>
        <v>0</v>
      </c>
    </row>
    <row r="106" spans="1:37" ht="14.25" customHeight="1" x14ac:dyDescent="0.2">
      <c r="A106" s="90"/>
      <c r="B106" s="96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si="3"/>
        <v>0</v>
      </c>
    </row>
    <row r="107" spans="1:37" ht="14.25" customHeight="1" x14ac:dyDescent="0.2">
      <c r="A107" s="94"/>
      <c r="B107" s="97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ref="AK107:AK126" si="4">AI107+AJ107</f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4"/>
        <v>0</v>
      </c>
    </row>
    <row r="109" spans="1:37" ht="14.25" customHeight="1" x14ac:dyDescent="0.2">
      <c r="A109" s="89"/>
      <c r="B109" s="89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8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4"/>
        <v>0</v>
      </c>
    </row>
    <row r="110" spans="1:37" ht="14.25" customHeight="1" x14ac:dyDescent="0.2">
      <c r="A110" s="90"/>
      <c r="B110" s="96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4"/>
        <v>0</v>
      </c>
    </row>
    <row r="111" spans="1:37" ht="14.25" customHeight="1" x14ac:dyDescent="0.2">
      <c r="A111" s="94"/>
      <c r="B111" s="97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4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4"/>
        <v>0</v>
      </c>
    </row>
    <row r="113" spans="1:37" ht="14.25" customHeight="1" x14ac:dyDescent="0.2">
      <c r="A113" s="89"/>
      <c r="B113" s="89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4"/>
        <v>0</v>
      </c>
    </row>
    <row r="114" spans="1:37" ht="14.25" customHeight="1" x14ac:dyDescent="0.2">
      <c r="A114" s="90"/>
      <c r="B114" s="96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6"/>
      <c r="W114" s="6"/>
      <c r="X114" s="9"/>
      <c r="Y114" s="8"/>
      <c r="Z114" s="8"/>
      <c r="AA114" s="6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4"/>
        <v>0</v>
      </c>
    </row>
    <row r="115" spans="1:37" ht="14.25" customHeight="1" x14ac:dyDescent="0.2">
      <c r="A115" s="94"/>
      <c r="B115" s="97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4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4"/>
        <v>0</v>
      </c>
    </row>
    <row r="117" spans="1:37" ht="14.25" customHeight="1" x14ac:dyDescent="0.2">
      <c r="A117" s="89"/>
      <c r="B117" s="89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4"/>
        <v>0</v>
      </c>
    </row>
    <row r="118" spans="1:37" ht="14.25" customHeight="1" x14ac:dyDescent="0.2">
      <c r="A118" s="90"/>
      <c r="B118" s="96"/>
      <c r="C118" s="2"/>
      <c r="D118" s="8"/>
      <c r="E118" s="8"/>
      <c r="F118" s="8"/>
      <c r="G118" s="8"/>
      <c r="H118" s="8"/>
      <c r="I118" s="8"/>
      <c r="J118" s="13"/>
      <c r="K118" s="13"/>
      <c r="L118" s="13"/>
      <c r="M118" s="8"/>
      <c r="N118" s="13"/>
      <c r="O118" s="13"/>
      <c r="P118" s="13"/>
      <c r="Q118" s="13"/>
      <c r="R118" s="8"/>
      <c r="S118" s="8"/>
      <c r="T118" s="8"/>
      <c r="U118" s="8"/>
      <c r="V118" s="6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6"/>
      <c r="AI118" s="50">
        <f>0</f>
        <v>0</v>
      </c>
      <c r="AJ118" s="51">
        <f>0</f>
        <v>0</v>
      </c>
      <c r="AK118" s="52">
        <f t="shared" si="4"/>
        <v>0</v>
      </c>
    </row>
    <row r="119" spans="1:37" ht="14.25" customHeight="1" x14ac:dyDescent="0.2">
      <c r="A119" s="94"/>
      <c r="B119" s="88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4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4"/>
        <v>0</v>
      </c>
    </row>
    <row r="121" spans="1:37" ht="14.25" customHeight="1" x14ac:dyDescent="0.2">
      <c r="A121" s="89"/>
      <c r="B121" s="89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4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4"/>
      <c r="AI121" s="50">
        <f>0</f>
        <v>0</v>
      </c>
      <c r="AJ121" s="51">
        <f>0</f>
        <v>0</v>
      </c>
      <c r="AK121" s="52">
        <f t="shared" si="4"/>
        <v>0</v>
      </c>
    </row>
    <row r="122" spans="1:37" ht="14.25" customHeight="1" x14ac:dyDescent="0.2">
      <c r="A122" s="90"/>
      <c r="B122" s="90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6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6"/>
      <c r="AI122" s="50">
        <f>0</f>
        <v>0</v>
      </c>
      <c r="AJ122" s="51">
        <f>0</f>
        <v>0</v>
      </c>
      <c r="AK122" s="52">
        <f t="shared" si="4"/>
        <v>0</v>
      </c>
    </row>
    <row r="123" spans="1:37" ht="14.25" customHeight="1" x14ac:dyDescent="0.2">
      <c r="A123" s="94"/>
      <c r="B123" s="94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4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4"/>
        <v>0</v>
      </c>
    </row>
    <row r="125" spans="1:37" ht="14.25" customHeight="1" x14ac:dyDescent="0.2">
      <c r="A125" s="89"/>
      <c r="B125" s="89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4"/>
      <c r="W125" s="6"/>
      <c r="X125" s="9"/>
      <c r="Y125" s="8"/>
      <c r="Z125" s="8"/>
      <c r="AA125" s="8"/>
      <c r="AB125" s="8"/>
      <c r="AC125" s="8"/>
      <c r="AD125" s="8"/>
      <c r="AE125" s="9"/>
      <c r="AF125" s="8"/>
      <c r="AG125" s="8"/>
      <c r="AH125" s="4"/>
      <c r="AI125" s="50">
        <f>0</f>
        <v>0</v>
      </c>
      <c r="AJ125" s="51">
        <f>0</f>
        <v>0</v>
      </c>
      <c r="AK125" s="52">
        <f t="shared" si="4"/>
        <v>0</v>
      </c>
    </row>
    <row r="126" spans="1:37" ht="14.25" customHeight="1" x14ac:dyDescent="0.2">
      <c r="A126" s="90"/>
      <c r="B126" s="90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6"/>
      <c r="W126" s="6"/>
      <c r="X126" s="9"/>
      <c r="Y126" s="8"/>
      <c r="Z126" s="8"/>
      <c r="AA126" s="6"/>
      <c r="AB126" s="8"/>
      <c r="AC126" s="8"/>
      <c r="AD126" s="8"/>
      <c r="AE126" s="9"/>
      <c r="AF126" s="8"/>
      <c r="AG126" s="8"/>
      <c r="AH126" s="6"/>
      <c r="AI126" s="50">
        <f>0</f>
        <v>0</v>
      </c>
      <c r="AJ126" s="51">
        <f>0</f>
        <v>0</v>
      </c>
      <c r="AK126" s="52">
        <f t="shared" si="4"/>
        <v>0</v>
      </c>
    </row>
    <row r="127" spans="1:37" x14ac:dyDescent="0.2">
      <c r="A127" s="11"/>
      <c r="B127" s="11"/>
      <c r="AH127" s="12"/>
      <c r="AI127" s="52"/>
      <c r="AJ127" s="52">
        <f>SUM(AJ75:AJ126)</f>
        <v>0</v>
      </c>
      <c r="AK127" s="52">
        <f>SUM(AK75:AK126)</f>
        <v>0</v>
      </c>
    </row>
    <row r="128" spans="1:37" x14ac:dyDescent="0.2">
      <c r="A128" s="11"/>
      <c r="B128" s="11"/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4.25" customHeight="1" x14ac:dyDescent="0.2">
      <c r="AI134" s="45"/>
      <c r="AJ134" s="45"/>
      <c r="AK134" s="45"/>
    </row>
    <row r="135" spans="35:37" ht="14.25" customHeight="1" x14ac:dyDescent="0.2">
      <c r="AI135" s="45"/>
      <c r="AJ135" s="45"/>
      <c r="AK135" s="45"/>
    </row>
    <row r="136" spans="35:37" ht="14.25" customHeight="1" x14ac:dyDescent="0.2">
      <c r="AI136" s="45"/>
      <c r="AJ136" s="45"/>
      <c r="AK136" s="45"/>
    </row>
    <row r="137" spans="35:37" ht="14.25" customHeight="1" x14ac:dyDescent="0.2">
      <c r="AI137" s="45"/>
      <c r="AJ137" s="45"/>
      <c r="AK137" s="45"/>
    </row>
    <row r="138" spans="35:37" ht="14.25" customHeight="1" x14ac:dyDescent="0.2">
      <c r="AI138" s="45"/>
      <c r="AJ138" s="45"/>
      <c r="AK138" s="45"/>
    </row>
    <row r="139" spans="35:37" ht="14.25" customHeight="1" x14ac:dyDescent="0.2">
      <c r="AI139" s="45"/>
      <c r="AJ139" s="45"/>
      <c r="AK139" s="45"/>
    </row>
    <row r="140" spans="35:37" ht="14.25" customHeight="1" x14ac:dyDescent="0.2">
      <c r="AI140" s="45"/>
      <c r="AJ140" s="45"/>
      <c r="AK140" s="45"/>
    </row>
    <row r="141" spans="35:37" ht="14.25" customHeight="1" x14ac:dyDescent="0.2">
      <c r="AI141" s="45"/>
      <c r="AJ141" s="45"/>
      <c r="AK141" s="45"/>
    </row>
    <row r="142" spans="35:37" ht="14.25" customHeight="1" x14ac:dyDescent="0.2">
      <c r="AI142" s="45"/>
      <c r="AJ142" s="45"/>
      <c r="AK142" s="45"/>
    </row>
    <row r="143" spans="35:37" ht="14.25" customHeight="1" x14ac:dyDescent="0.2">
      <c r="AI143" s="45"/>
      <c r="AJ143" s="45"/>
      <c r="AK143" s="45"/>
    </row>
    <row r="144" spans="35:37" ht="14.25" customHeight="1" x14ac:dyDescent="0.2">
      <c r="AI144" s="45"/>
      <c r="AJ144" s="45"/>
      <c r="AK144" s="45"/>
    </row>
    <row r="145" spans="35:37" ht="14.25" customHeight="1" x14ac:dyDescent="0.2">
      <c r="AI145" s="45"/>
      <c r="AJ145" s="45"/>
      <c r="AK145" s="45"/>
    </row>
    <row r="146" spans="35:37" ht="14.25" customHeight="1" x14ac:dyDescent="0.2">
      <c r="AI146" s="45"/>
      <c r="AJ146" s="45"/>
      <c r="AK146" s="45"/>
    </row>
    <row r="147" spans="35:37" ht="14.25" customHeight="1" x14ac:dyDescent="0.2">
      <c r="AI147" s="45"/>
      <c r="AJ147" s="45"/>
      <c r="AK147" s="45"/>
    </row>
    <row r="148" spans="35:37" ht="14.25" customHeight="1" x14ac:dyDescent="0.2">
      <c r="AI148" s="45"/>
      <c r="AJ148" s="45"/>
      <c r="AK148" s="45"/>
    </row>
    <row r="149" spans="35:37" ht="14.25" customHeight="1" x14ac:dyDescent="0.2">
      <c r="AI149" s="45"/>
      <c r="AJ149" s="45"/>
      <c r="AK149" s="45"/>
    </row>
    <row r="150" spans="35:37" ht="14.25" customHeight="1" x14ac:dyDescent="0.2">
      <c r="AI150" s="45"/>
      <c r="AJ150" s="45"/>
      <c r="AK150" s="45"/>
    </row>
    <row r="151" spans="35:37" ht="14.25" customHeight="1" x14ac:dyDescent="0.2">
      <c r="AI151" s="45"/>
      <c r="AJ151" s="45"/>
      <c r="AK151" s="45"/>
    </row>
    <row r="152" spans="35:37" ht="14.25" customHeight="1" x14ac:dyDescent="0.2">
      <c r="AI152" s="45"/>
      <c r="AJ152" s="45"/>
      <c r="AK152" s="45"/>
    </row>
    <row r="153" spans="35:37" ht="14.25" customHeight="1" x14ac:dyDescent="0.2">
      <c r="AI153" s="45"/>
      <c r="AJ153" s="45"/>
      <c r="AK153" s="45"/>
    </row>
    <row r="154" spans="35:37" ht="14.25" customHeight="1" x14ac:dyDescent="0.2">
      <c r="AI154" s="45"/>
      <c r="AJ154" s="45"/>
      <c r="AK154" s="45"/>
    </row>
    <row r="155" spans="35:37" ht="14.25" customHeight="1" x14ac:dyDescent="0.2">
      <c r="AI155" s="45"/>
      <c r="AJ155" s="45"/>
      <c r="AK155" s="45"/>
    </row>
    <row r="156" spans="35:37" ht="14.25" customHeight="1" x14ac:dyDescent="0.2">
      <c r="AI156" s="45"/>
      <c r="AJ156" s="45"/>
      <c r="AK156" s="45"/>
    </row>
    <row r="157" spans="35:37" ht="14.25" customHeight="1" x14ac:dyDescent="0.2">
      <c r="AI157" s="45"/>
      <c r="AJ157" s="45"/>
      <c r="AK157" s="45"/>
    </row>
    <row r="158" spans="35:37" ht="14.25" customHeight="1" x14ac:dyDescent="0.2">
      <c r="AI158" s="45"/>
      <c r="AJ158" s="45"/>
      <c r="AK158" s="45"/>
    </row>
    <row r="159" spans="35:37" ht="14.25" customHeight="1" x14ac:dyDescent="0.2">
      <c r="AI159" s="45"/>
      <c r="AJ159" s="45"/>
      <c r="AK159" s="45"/>
    </row>
    <row r="160" spans="35:37" ht="14.25" customHeight="1" x14ac:dyDescent="0.2">
      <c r="AI160" s="45"/>
      <c r="AJ160" s="45"/>
      <c r="AK160" s="45"/>
    </row>
    <row r="161" spans="35:37" ht="14.25" customHeight="1" x14ac:dyDescent="0.2">
      <c r="AI161" s="45"/>
      <c r="AJ161" s="45"/>
      <c r="AK161" s="45"/>
    </row>
    <row r="162" spans="35:37" ht="14.25" customHeight="1" x14ac:dyDescent="0.2">
      <c r="AI162" s="45"/>
      <c r="AJ162" s="45"/>
      <c r="AK162" s="45"/>
    </row>
    <row r="163" spans="35:37" ht="14.25" customHeight="1" x14ac:dyDescent="0.2">
      <c r="AI163" s="45"/>
      <c r="AJ163" s="45"/>
      <c r="AK163" s="45"/>
    </row>
    <row r="164" spans="35:37" ht="14.25" customHeight="1" x14ac:dyDescent="0.2">
      <c r="AI164" s="45"/>
      <c r="AJ164" s="45"/>
      <c r="AK164" s="45"/>
    </row>
    <row r="165" spans="35:37" ht="14.25" customHeight="1" x14ac:dyDescent="0.2">
      <c r="AI165" s="45"/>
      <c r="AJ165" s="45"/>
      <c r="AK165" s="45"/>
    </row>
    <row r="166" spans="35:37" ht="14.25" customHeight="1" x14ac:dyDescent="0.2">
      <c r="AI166" s="45"/>
      <c r="AJ166" s="45"/>
      <c r="AK166" s="45"/>
    </row>
    <row r="167" spans="35:37" ht="14.25" customHeight="1" x14ac:dyDescent="0.2">
      <c r="AI167" s="45"/>
      <c r="AJ167" s="45"/>
      <c r="AK167" s="45"/>
    </row>
    <row r="168" spans="35:37" ht="14.25" customHeight="1" x14ac:dyDescent="0.2">
      <c r="AI168" s="45"/>
      <c r="AJ168" s="45"/>
      <c r="AK168" s="45"/>
    </row>
    <row r="169" spans="35:37" ht="14.25" customHeight="1" x14ac:dyDescent="0.2">
      <c r="AI169" s="45"/>
      <c r="AJ169" s="45"/>
      <c r="AK169" s="45"/>
    </row>
    <row r="170" spans="35:37" ht="14.25" customHeight="1" x14ac:dyDescent="0.2">
      <c r="AI170" s="45"/>
      <c r="AJ170" s="45"/>
      <c r="AK170" s="45"/>
    </row>
    <row r="171" spans="35:37" ht="14.25" customHeight="1" x14ac:dyDescent="0.2">
      <c r="AI171" s="45"/>
      <c r="AJ171" s="45"/>
      <c r="AK171" s="45"/>
    </row>
    <row r="172" spans="35:37" ht="14.25" customHeight="1" x14ac:dyDescent="0.2">
      <c r="AI172" s="45"/>
      <c r="AJ172" s="45"/>
      <c r="AK172" s="45"/>
    </row>
    <row r="173" spans="35:37" ht="14.25" customHeight="1" x14ac:dyDescent="0.2">
      <c r="AI173" s="45"/>
      <c r="AJ173" s="45"/>
      <c r="AK173" s="45"/>
    </row>
    <row r="174" spans="35:37" ht="14.25" customHeight="1" x14ac:dyDescent="0.2">
      <c r="AI174" s="45"/>
      <c r="AJ174" s="45"/>
      <c r="AK174" s="45"/>
    </row>
    <row r="175" spans="35:37" ht="14.25" customHeight="1" x14ac:dyDescent="0.2">
      <c r="AI175" s="45"/>
      <c r="AJ175" s="45"/>
      <c r="AK175" s="45"/>
    </row>
    <row r="176" spans="35:37" ht="14.25" customHeight="1" x14ac:dyDescent="0.2">
      <c r="AI176" s="45"/>
      <c r="AJ176" s="45"/>
      <c r="AK176" s="45"/>
    </row>
    <row r="177" spans="35:37" ht="14.25" customHeight="1" x14ac:dyDescent="0.2">
      <c r="AI177" s="45"/>
      <c r="AJ177" s="45"/>
      <c r="AK177" s="45"/>
    </row>
    <row r="178" spans="35:37" ht="14.25" customHeight="1" x14ac:dyDescent="0.2">
      <c r="AI178" s="45"/>
      <c r="AJ178" s="45"/>
      <c r="AK178" s="45"/>
    </row>
    <row r="179" spans="35:37" ht="14.25" customHeight="1" x14ac:dyDescent="0.2">
      <c r="AI179" s="45"/>
      <c r="AJ179" s="45"/>
      <c r="AK179" s="45"/>
    </row>
    <row r="180" spans="35:37" ht="14.25" customHeight="1" x14ac:dyDescent="0.2">
      <c r="AI180" s="45"/>
      <c r="AJ180" s="45"/>
      <c r="AK180" s="45"/>
    </row>
    <row r="181" spans="35:37" ht="14.25" customHeight="1" x14ac:dyDescent="0.2">
      <c r="AI181" s="45"/>
      <c r="AJ181" s="45"/>
      <c r="AK181" s="45"/>
    </row>
    <row r="182" spans="35:37" ht="14.25" customHeight="1" x14ac:dyDescent="0.2">
      <c r="AI182" s="45"/>
      <c r="AJ182" s="45"/>
      <c r="AK182" s="45"/>
    </row>
    <row r="183" spans="35:37" ht="14.25" customHeight="1" x14ac:dyDescent="0.2">
      <c r="AI183" s="45"/>
      <c r="AJ183" s="45"/>
      <c r="AK183" s="45"/>
    </row>
    <row r="184" spans="35:37" ht="14.25" customHeight="1" x14ac:dyDescent="0.2">
      <c r="AI184" s="45"/>
      <c r="AJ184" s="45"/>
      <c r="AK184" s="45"/>
    </row>
    <row r="185" spans="35:37" ht="14.25" customHeight="1" x14ac:dyDescent="0.2">
      <c r="AI185" s="45"/>
      <c r="AJ185" s="45"/>
      <c r="AK185" s="45"/>
    </row>
    <row r="186" spans="35:37" ht="14.25" customHeight="1" x14ac:dyDescent="0.2">
      <c r="AI186" s="45"/>
      <c r="AJ186" s="45"/>
      <c r="AK186" s="45"/>
    </row>
    <row r="187" spans="35:37" ht="14.25" customHeight="1" x14ac:dyDescent="0.2">
      <c r="AI187" s="45"/>
      <c r="AJ187" s="45"/>
      <c r="AK187" s="45"/>
    </row>
    <row r="188" spans="35:37" ht="14.25" customHeight="1" x14ac:dyDescent="0.2">
      <c r="AI188" s="45"/>
      <c r="AJ188" s="45"/>
      <c r="AK188" s="45"/>
    </row>
    <row r="189" spans="35:37" ht="14.25" customHeight="1" x14ac:dyDescent="0.2">
      <c r="AI189" s="45"/>
      <c r="AJ189" s="45"/>
      <c r="AK189" s="45"/>
    </row>
    <row r="190" spans="35:37" ht="14.25" customHeight="1" x14ac:dyDescent="0.2">
      <c r="AI190" s="45"/>
      <c r="AJ190" s="45"/>
      <c r="AK190" s="45"/>
    </row>
    <row r="191" spans="35:37" ht="14.25" customHeight="1" x14ac:dyDescent="0.2">
      <c r="AI191" s="45"/>
      <c r="AJ191" s="45"/>
      <c r="AK191" s="45"/>
    </row>
    <row r="192" spans="35:37" ht="14.25" customHeight="1" x14ac:dyDescent="0.2">
      <c r="AI192" s="45"/>
      <c r="AJ192" s="45"/>
      <c r="AK192" s="45"/>
    </row>
    <row r="193" spans="4:37" ht="14.25" customHeight="1" x14ac:dyDescent="0.2">
      <c r="AI193" s="45"/>
      <c r="AJ193" s="45"/>
      <c r="AK193" s="45"/>
    </row>
    <row r="194" spans="4:37" ht="14.25" customHeight="1" x14ac:dyDescent="0.2">
      <c r="AI194" s="45"/>
      <c r="AJ194" s="45"/>
      <c r="AK194" s="45"/>
    </row>
    <row r="195" spans="4:37" ht="14.25" customHeight="1" x14ac:dyDescent="0.2">
      <c r="AI195" s="45"/>
      <c r="AJ195" s="45"/>
      <c r="AK195" s="45"/>
    </row>
    <row r="196" spans="4:37" ht="14.25" customHeight="1" x14ac:dyDescent="0.2">
      <c r="AI196" s="45"/>
      <c r="AJ196" s="45"/>
      <c r="AK196" s="45"/>
    </row>
    <row r="197" spans="4:37" ht="14.25" customHeight="1" x14ac:dyDescent="0.2">
      <c r="AI197" s="45"/>
      <c r="AJ197" s="45"/>
      <c r="AK197" s="45"/>
    </row>
    <row r="198" spans="4:37" ht="14.25" customHeight="1" x14ac:dyDescent="0.2">
      <c r="AI198" s="45"/>
      <c r="AJ198" s="45"/>
      <c r="AK198" s="45"/>
    </row>
    <row r="199" spans="4:37" ht="14.25" customHeight="1" x14ac:dyDescent="0.2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5"/>
      <c r="AJ199" s="45"/>
      <c r="AK199" s="45"/>
    </row>
    <row r="200" spans="4:37" ht="14.25" customHeight="1" x14ac:dyDescent="0.2"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4:37" ht="14.25" customHeight="1" x14ac:dyDescent="0.2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4:37" ht="14.25" customHeight="1" x14ac:dyDescent="0.2"/>
    <row r="203" spans="4:37" ht="14.25" customHeight="1" x14ac:dyDescent="0.2"/>
    <row r="204" spans="4:37" ht="14.25" customHeight="1" x14ac:dyDescent="0.2"/>
    <row r="205" spans="4:37" ht="14.25" customHeight="1" x14ac:dyDescent="0.2"/>
    <row r="206" spans="4:37" ht="14.25" customHeight="1" x14ac:dyDescent="0.2"/>
    <row r="207" spans="4:37" ht="14.25" customHeight="1" x14ac:dyDescent="0.2"/>
    <row r="208" spans="4:3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</sheetData>
  <mergeCells count="64">
    <mergeCell ref="A123:A126"/>
    <mergeCell ref="A72:C73"/>
    <mergeCell ref="B75:B78"/>
    <mergeCell ref="D72:AH72"/>
    <mergeCell ref="A79:A82"/>
    <mergeCell ref="A107:A110"/>
    <mergeCell ref="B123:B126"/>
    <mergeCell ref="A119:A122"/>
    <mergeCell ref="B119:B122"/>
    <mergeCell ref="B107:B110"/>
    <mergeCell ref="A95:A98"/>
    <mergeCell ref="B103:B106"/>
    <mergeCell ref="A91:A94"/>
    <mergeCell ref="B99:B102"/>
    <mergeCell ref="AI72:AI74"/>
    <mergeCell ref="B59:B62"/>
    <mergeCell ref="B115:B118"/>
    <mergeCell ref="AK72:AK74"/>
    <mergeCell ref="A87:A90"/>
    <mergeCell ref="A103:A106"/>
    <mergeCell ref="AJ72:AJ74"/>
    <mergeCell ref="B95:B98"/>
    <mergeCell ref="A115:A118"/>
    <mergeCell ref="B79:B82"/>
    <mergeCell ref="A83:A86"/>
    <mergeCell ref="B91:B94"/>
    <mergeCell ref="B111:B114"/>
    <mergeCell ref="A99:A102"/>
    <mergeCell ref="A111:A114"/>
    <mergeCell ref="A75:A78"/>
    <mergeCell ref="A4:A7"/>
    <mergeCell ref="A44:A47"/>
    <mergeCell ref="A54:A57"/>
    <mergeCell ref="A64:A67"/>
    <mergeCell ref="B19:B22"/>
    <mergeCell ref="A14:A17"/>
    <mergeCell ref="B39:B42"/>
    <mergeCell ref="A29:A32"/>
    <mergeCell ref="B24:B27"/>
    <mergeCell ref="A19:A22"/>
    <mergeCell ref="D1:AH1"/>
    <mergeCell ref="B87:B90"/>
    <mergeCell ref="B83:B86"/>
    <mergeCell ref="B34:B37"/>
    <mergeCell ref="B14:B17"/>
    <mergeCell ref="D73:AH73"/>
    <mergeCell ref="B49:B52"/>
    <mergeCell ref="A1:C2"/>
    <mergeCell ref="AK1:AK3"/>
    <mergeCell ref="D2:AH2"/>
    <mergeCell ref="A9:A12"/>
    <mergeCell ref="B4:B7"/>
    <mergeCell ref="B64:B67"/>
    <mergeCell ref="A34:A37"/>
    <mergeCell ref="A39:A42"/>
    <mergeCell ref="A59:A62"/>
    <mergeCell ref="A24:A27"/>
    <mergeCell ref="B54:B57"/>
    <mergeCell ref="A49:A52"/>
    <mergeCell ref="AJ1:AJ3"/>
    <mergeCell ref="B29:B32"/>
    <mergeCell ref="AI1:AI3"/>
    <mergeCell ref="B44:B47"/>
    <mergeCell ref="B9:B12"/>
  </mergeCells>
  <conditionalFormatting sqref="D3:AH25 D26:T26 W26:AH26 D27:AH67">
    <cfRule type="expression" dxfId="84" priority="4">
      <formula>WEEKDAY(D$3)=1</formula>
    </cfRule>
  </conditionalFormatting>
  <conditionalFormatting sqref="D4:AH25 D26:T26 V26:AH26 D27:AH67">
    <cfRule type="expression" dxfId="83" priority="1">
      <formula>AND($C4="C3",D4&lt;&gt;"")</formula>
    </cfRule>
    <cfRule type="expression" dxfId="82" priority="2">
      <formula>AND($C4="C1",D4&lt;&gt;"")</formula>
    </cfRule>
    <cfRule type="expression" dxfId="81" priority="3">
      <formula>AND($C4="TC",D4&lt;&gt;"")</formula>
    </cfRule>
  </conditionalFormatting>
  <conditionalFormatting sqref="D74:AH126">
    <cfRule type="expression" dxfId="80" priority="8">
      <formula>WEEKDAY(D$3)=1</formula>
    </cfRule>
  </conditionalFormatting>
  <conditionalFormatting sqref="D75:AH126">
    <cfRule type="expression" dxfId="79" priority="5">
      <formula>AND($C75="C3",D75&lt;&gt;"")</formula>
    </cfRule>
    <cfRule type="expression" dxfId="78" priority="6">
      <formula>AND($C75="C1",D75&lt;&gt;"")</formula>
    </cfRule>
    <cfRule type="expression" dxfId="77" priority="7">
      <formula>AND($C75="TC",D75&lt;&gt;"")</formula>
    </cfRule>
  </conditionalFormatting>
  <conditionalFormatting sqref="V26">
    <cfRule type="expression" dxfId="76" priority="112">
      <formula>WEEKDAY(U$3)=1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037"/>
  <sheetViews>
    <sheetView topLeftCell="A10" workbookViewId="0">
      <selection activeCell="P20" sqref="P20"/>
    </sheetView>
  </sheetViews>
  <sheetFormatPr defaultColWidth="12.625" defaultRowHeight="14.25" x14ac:dyDescent="0.2"/>
  <cols>
    <col min="1" max="1" width="5" customWidth="1"/>
    <col min="2" max="2" width="23" customWidth="1"/>
    <col min="3" max="3" width="8.25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7.5" customWidth="1"/>
  </cols>
  <sheetData>
    <row r="1" spans="1:37" ht="44.25" customHeight="1" x14ac:dyDescent="0.2">
      <c r="A1" s="103" t="s">
        <v>0</v>
      </c>
      <c r="B1" s="104"/>
      <c r="C1" s="104"/>
      <c r="D1" s="102" t="s">
        <v>56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3"/>
      <c r="AI1" s="101" t="s">
        <v>2</v>
      </c>
      <c r="AJ1" s="98" t="s">
        <v>3</v>
      </c>
      <c r="AK1" s="88" t="s">
        <v>4</v>
      </c>
    </row>
    <row r="2" spans="1:37" ht="24.75" customHeight="1" x14ac:dyDescent="0.2">
      <c r="A2" s="100"/>
      <c r="B2" s="105"/>
      <c r="C2" s="105"/>
      <c r="D2" s="91">
        <v>46204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3"/>
      <c r="AI2" s="89"/>
      <c r="AJ2" s="99"/>
      <c r="AK2" s="89"/>
    </row>
    <row r="3" spans="1:37" ht="30.75" customHeight="1" x14ac:dyDescent="0.25">
      <c r="A3" s="2" t="s">
        <v>5</v>
      </c>
      <c r="B3" s="2" t="s">
        <v>6</v>
      </c>
      <c r="C3" s="3"/>
      <c r="D3" s="14">
        <v>46204</v>
      </c>
      <c r="E3" s="14">
        <v>46205</v>
      </c>
      <c r="F3" s="14">
        <f t="shared" ref="F3:AH3" si="0">+E3+1</f>
        <v>46206</v>
      </c>
      <c r="G3" s="14">
        <f t="shared" si="0"/>
        <v>46207</v>
      </c>
      <c r="H3" s="14">
        <f t="shared" si="0"/>
        <v>46208</v>
      </c>
      <c r="I3" s="14">
        <f t="shared" si="0"/>
        <v>46209</v>
      </c>
      <c r="J3" s="14">
        <f t="shared" si="0"/>
        <v>46210</v>
      </c>
      <c r="K3" s="14">
        <f t="shared" si="0"/>
        <v>46211</v>
      </c>
      <c r="L3" s="14">
        <f t="shared" si="0"/>
        <v>46212</v>
      </c>
      <c r="M3" s="14">
        <f t="shared" si="0"/>
        <v>46213</v>
      </c>
      <c r="N3" s="14">
        <f t="shared" si="0"/>
        <v>46214</v>
      </c>
      <c r="O3" s="14">
        <f t="shared" si="0"/>
        <v>46215</v>
      </c>
      <c r="P3" s="14">
        <f t="shared" si="0"/>
        <v>46216</v>
      </c>
      <c r="Q3" s="14">
        <f t="shared" si="0"/>
        <v>46217</v>
      </c>
      <c r="R3" s="14">
        <f t="shared" si="0"/>
        <v>46218</v>
      </c>
      <c r="S3" s="14">
        <f t="shared" si="0"/>
        <v>46219</v>
      </c>
      <c r="T3" s="14">
        <f t="shared" si="0"/>
        <v>46220</v>
      </c>
      <c r="U3" s="14">
        <f t="shared" si="0"/>
        <v>46221</v>
      </c>
      <c r="V3" s="14">
        <f t="shared" si="0"/>
        <v>46222</v>
      </c>
      <c r="W3" s="14">
        <f t="shared" si="0"/>
        <v>46223</v>
      </c>
      <c r="X3" s="14">
        <f t="shared" si="0"/>
        <v>46224</v>
      </c>
      <c r="Y3" s="14">
        <f t="shared" si="0"/>
        <v>46225</v>
      </c>
      <c r="Z3" s="14">
        <f t="shared" si="0"/>
        <v>46226</v>
      </c>
      <c r="AA3" s="14">
        <f t="shared" si="0"/>
        <v>46227</v>
      </c>
      <c r="AB3" s="14">
        <f t="shared" si="0"/>
        <v>46228</v>
      </c>
      <c r="AC3" s="14">
        <f t="shared" si="0"/>
        <v>46229</v>
      </c>
      <c r="AD3" s="14">
        <f t="shared" si="0"/>
        <v>46230</v>
      </c>
      <c r="AE3" s="14">
        <f t="shared" si="0"/>
        <v>46231</v>
      </c>
      <c r="AF3" s="14">
        <f t="shared" si="0"/>
        <v>46232</v>
      </c>
      <c r="AG3" s="14">
        <f t="shared" si="0"/>
        <v>46233</v>
      </c>
      <c r="AH3" s="14">
        <f t="shared" si="0"/>
        <v>46234</v>
      </c>
      <c r="AI3" s="90"/>
      <c r="AJ3" s="100"/>
      <c r="AK3" s="90"/>
    </row>
    <row r="4" spans="1:37" ht="13.5" customHeight="1" x14ac:dyDescent="0.2">
      <c r="A4" s="94">
        <v>1</v>
      </c>
      <c r="B4" s="95" t="s">
        <v>7</v>
      </c>
      <c r="C4" s="2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>
        <v>2</v>
      </c>
      <c r="Q4" s="8">
        <v>1.25</v>
      </c>
      <c r="R4" s="8"/>
      <c r="S4" s="8">
        <v>2</v>
      </c>
      <c r="T4" s="8">
        <v>2</v>
      </c>
      <c r="U4" s="8">
        <v>2</v>
      </c>
      <c r="V4" s="8"/>
      <c r="W4" s="8"/>
      <c r="X4" s="9"/>
      <c r="Y4" s="8"/>
      <c r="Z4" s="8"/>
      <c r="AA4" s="8"/>
      <c r="AB4" s="8"/>
      <c r="AC4" s="8"/>
      <c r="AD4" s="8"/>
      <c r="AE4" s="8">
        <v>2</v>
      </c>
      <c r="AF4" s="8">
        <v>2</v>
      </c>
      <c r="AG4" s="8">
        <v>1.25</v>
      </c>
      <c r="AH4" s="4">
        <v>2</v>
      </c>
      <c r="AI4" s="50">
        <f>0</f>
        <v>0</v>
      </c>
      <c r="AJ4" s="51">
        <f>SUM(D4:AH4)/8</f>
        <v>2.0625</v>
      </c>
      <c r="AK4" s="52">
        <f>AI4+AJ4</f>
        <v>2.0625</v>
      </c>
    </row>
    <row r="5" spans="1:37" ht="13.5" customHeight="1" x14ac:dyDescent="0.2">
      <c r="A5" s="89"/>
      <c r="B5" s="89"/>
      <c r="C5" s="2" t="s">
        <v>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 t="s">
        <v>10</v>
      </c>
      <c r="P5" s="8" t="s">
        <v>10</v>
      </c>
      <c r="Q5" s="8" t="s">
        <v>10</v>
      </c>
      <c r="R5" s="8" t="s">
        <v>10</v>
      </c>
      <c r="S5" s="8" t="s">
        <v>10</v>
      </c>
      <c r="T5" s="8" t="s">
        <v>10</v>
      </c>
      <c r="U5" s="8" t="s">
        <v>10</v>
      </c>
      <c r="V5" s="8" t="s">
        <v>15</v>
      </c>
      <c r="W5" s="8"/>
      <c r="X5" s="9"/>
      <c r="Y5" s="8"/>
      <c r="Z5" s="8"/>
      <c r="AA5" s="8"/>
      <c r="AB5" s="8"/>
      <c r="AC5" s="8"/>
      <c r="AD5" s="8"/>
      <c r="AE5" s="8"/>
      <c r="AF5" s="8"/>
      <c r="AG5" s="8"/>
      <c r="AH5" s="4"/>
      <c r="AI5" s="50">
        <f>COUNTIF(D5:AH5,"x")+COUNTIF(D5:AH5,"x-0,25")+COUNTIF(D5:AH5,"x-0,50")+COUNTIF(D5:AH5,"x-0.75")+COUNTIF(D5:AH5,"x-1")+COUNTIF(D5:AH5,"x-1,25")+COUNTIF(D5:AH5,"x-1,5")+COUNTIF(D5:AH5,"x-1,55")+COUNTIF(D5:AH5,"x-2")+COUNTIF(D5:AH5,"x/2")/2</f>
        <v>7.5</v>
      </c>
      <c r="AJ5" s="51">
        <f>0</f>
        <v>0</v>
      </c>
      <c r="AK5" s="52">
        <f>AI5+AJ5</f>
        <v>7.5</v>
      </c>
    </row>
    <row r="6" spans="1:37" ht="13.5" customHeight="1" x14ac:dyDescent="0.2">
      <c r="A6" s="89"/>
      <c r="B6" s="89"/>
      <c r="C6" s="2" t="s">
        <v>11</v>
      </c>
      <c r="D6" s="8"/>
      <c r="E6" s="8"/>
      <c r="F6" s="8"/>
      <c r="G6" s="8"/>
      <c r="H6" s="8" t="s">
        <v>10</v>
      </c>
      <c r="I6" s="8" t="s">
        <v>10</v>
      </c>
      <c r="J6" s="8" t="s">
        <v>15</v>
      </c>
      <c r="K6" s="8" t="s">
        <v>10</v>
      </c>
      <c r="L6" s="8" t="s">
        <v>10</v>
      </c>
      <c r="M6" s="8" t="s">
        <v>10</v>
      </c>
      <c r="N6" s="8" t="s">
        <v>10</v>
      </c>
      <c r="O6" s="8"/>
      <c r="P6" s="8"/>
      <c r="Q6" s="8"/>
      <c r="R6" s="8"/>
      <c r="S6" s="8"/>
      <c r="T6" s="8"/>
      <c r="U6" s="8"/>
      <c r="V6" s="8"/>
      <c r="W6" s="8"/>
      <c r="X6" s="9"/>
      <c r="Y6" s="8"/>
      <c r="Z6" s="8"/>
      <c r="AA6" s="8"/>
      <c r="AB6" s="8"/>
      <c r="AC6" s="8" t="s">
        <v>10</v>
      </c>
      <c r="AD6" s="8" t="s">
        <v>10</v>
      </c>
      <c r="AE6" s="8" t="s">
        <v>10</v>
      </c>
      <c r="AF6" s="8" t="s">
        <v>10</v>
      </c>
      <c r="AG6" s="8" t="s">
        <v>10</v>
      </c>
      <c r="AH6" s="4" t="s">
        <v>10</v>
      </c>
      <c r="AI6" s="50">
        <f>COUNTIF(D6:AH6,"x")+COUNTIF(D6:AH6,"x-0,25")+COUNTIF(D6:AH6,"x-0,50")+COUNTIF(D6:AH6,"x-0.75")+COUNTIF(D6:AH6,"x-1")+COUNTIF(D6:AH6,"x-1,25")+COUNTIF(D6:AH6,"x-1,5")+COUNTIF(D6:AH6,"x-1,55")+COUNTIF(D6:AH6,"x-2")+COUNTIF(D6:AH6,"x/2")/2</f>
        <v>12.5</v>
      </c>
      <c r="AJ6" s="51">
        <f>0</f>
        <v>0</v>
      </c>
      <c r="AK6" s="52">
        <f>AI6+AJ6</f>
        <v>12.5</v>
      </c>
    </row>
    <row r="7" spans="1:37" s="7" customFormat="1" ht="12.75" customHeight="1" x14ac:dyDescent="0.2">
      <c r="A7" s="90"/>
      <c r="B7" s="96"/>
      <c r="C7" s="2" t="s">
        <v>12</v>
      </c>
      <c r="D7" s="8" t="s">
        <v>10</v>
      </c>
      <c r="E7" s="8" t="s">
        <v>10</v>
      </c>
      <c r="F7" s="8" t="s">
        <v>10</v>
      </c>
      <c r="G7" s="8" t="s">
        <v>10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 t="s">
        <v>10</v>
      </c>
      <c r="X7" s="9" t="s">
        <v>10</v>
      </c>
      <c r="Y7" s="8" t="s">
        <v>10</v>
      </c>
      <c r="Z7" s="8" t="s">
        <v>10</v>
      </c>
      <c r="AA7" s="8" t="s">
        <v>10</v>
      </c>
      <c r="AB7" s="8" t="s">
        <v>10</v>
      </c>
      <c r="AC7" s="8"/>
      <c r="AD7" s="8"/>
      <c r="AE7" s="9"/>
      <c r="AF7" s="8"/>
      <c r="AG7" s="8"/>
      <c r="AH7" s="6"/>
      <c r="AI7" s="50">
        <f>COUNTIF(D7:AH7,"x")+COUNTIF(D7:AH7,"x-0,25")+COUNTIF(D7:AH7,"x-0,50")+COUNTIF(D7:AH7,"x-0.75")+COUNTIF(D7:AH7,"x-1")+COUNTIF(D7:AH7,"x-1,25")+COUNTIF(D7:AH7,"x-1,5")+COUNTIF(D7:AH7,"x-1,55")+COUNTIF(D7:AH7,"x-2")+COUNTIF(D7:AH7,"x/2")/2</f>
        <v>10</v>
      </c>
      <c r="AJ7" s="51">
        <f>0</f>
        <v>0</v>
      </c>
      <c r="AK7" s="52">
        <f>AI7+AJ7</f>
        <v>10</v>
      </c>
    </row>
    <row r="8" spans="1:37" s="7" customFormat="1" ht="13.5" customHeight="1" x14ac:dyDescent="0.2">
      <c r="A8" s="16"/>
      <c r="B8" s="17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/>
      <c r="Y8" s="19"/>
      <c r="Z8" s="19"/>
      <c r="AA8" s="19"/>
      <c r="AB8" s="19"/>
      <c r="AC8" s="19"/>
      <c r="AD8" s="19"/>
      <c r="AE8" s="20"/>
      <c r="AF8" s="19"/>
      <c r="AG8" s="19"/>
      <c r="AH8" s="20"/>
      <c r="AI8" s="53" t="str">
        <f>""</f>
        <v/>
      </c>
      <c r="AJ8" s="54" t="str">
        <f>""</f>
        <v/>
      </c>
      <c r="AK8" s="55" t="str">
        <f>""</f>
        <v/>
      </c>
    </row>
    <row r="9" spans="1:37" s="7" customFormat="1" ht="12.75" customHeight="1" x14ac:dyDescent="0.2">
      <c r="A9" s="94">
        <v>2</v>
      </c>
      <c r="B9" s="97" t="s">
        <v>13</v>
      </c>
      <c r="C9" s="2" t="s">
        <v>8</v>
      </c>
      <c r="D9" s="8">
        <v>2</v>
      </c>
      <c r="E9" s="8">
        <v>2</v>
      </c>
      <c r="F9" s="8">
        <v>2</v>
      </c>
      <c r="G9" s="8">
        <v>2</v>
      </c>
      <c r="H9" s="8"/>
      <c r="I9" s="8"/>
      <c r="J9" s="8">
        <v>2</v>
      </c>
      <c r="K9" s="8"/>
      <c r="L9" s="8">
        <v>2</v>
      </c>
      <c r="M9" s="8">
        <v>2</v>
      </c>
      <c r="N9" s="8"/>
      <c r="O9" s="8"/>
      <c r="P9" s="8"/>
      <c r="Q9" s="8">
        <v>3.75</v>
      </c>
      <c r="R9" s="8">
        <v>2</v>
      </c>
      <c r="S9" s="8">
        <v>2</v>
      </c>
      <c r="T9" s="8">
        <v>2</v>
      </c>
      <c r="U9" s="8">
        <v>2</v>
      </c>
      <c r="V9" s="8"/>
      <c r="W9" s="8"/>
      <c r="X9" s="9">
        <v>2</v>
      </c>
      <c r="Y9" s="8">
        <v>2</v>
      </c>
      <c r="Z9" s="8">
        <v>2</v>
      </c>
      <c r="AA9" s="8">
        <v>2</v>
      </c>
      <c r="AB9" s="8">
        <v>2</v>
      </c>
      <c r="AC9" s="8"/>
      <c r="AD9" s="8">
        <v>2</v>
      </c>
      <c r="AE9" s="9">
        <v>2</v>
      </c>
      <c r="AF9" s="8">
        <v>2</v>
      </c>
      <c r="AG9" s="8">
        <v>2</v>
      </c>
      <c r="AH9" s="6">
        <v>2</v>
      </c>
      <c r="AI9" s="50">
        <f>0</f>
        <v>0</v>
      </c>
      <c r="AJ9" s="51">
        <f>SUM(D9:AH9)/8</f>
        <v>5.71875</v>
      </c>
      <c r="AK9" s="52">
        <f>AI9+AJ9</f>
        <v>5.71875</v>
      </c>
    </row>
    <row r="10" spans="1:37" s="7" customFormat="1" ht="13.5" customHeight="1" x14ac:dyDescent="0.2">
      <c r="A10" s="89"/>
      <c r="B10" s="89"/>
      <c r="C10" s="2" t="s">
        <v>9</v>
      </c>
      <c r="D10" s="8" t="s">
        <v>10</v>
      </c>
      <c r="E10" s="8" t="s">
        <v>10</v>
      </c>
      <c r="F10" s="8" t="s">
        <v>10</v>
      </c>
      <c r="G10" s="8" t="s">
        <v>10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 t="s">
        <v>15</v>
      </c>
      <c r="W10" s="8" t="s">
        <v>10</v>
      </c>
      <c r="X10" s="9" t="s">
        <v>10</v>
      </c>
      <c r="Y10" s="8" t="s">
        <v>10</v>
      </c>
      <c r="Z10" s="8" t="s">
        <v>10</v>
      </c>
      <c r="AA10" s="8" t="s">
        <v>10</v>
      </c>
      <c r="AB10" s="8" t="s">
        <v>10</v>
      </c>
      <c r="AC10" s="8"/>
      <c r="AD10" s="8"/>
      <c r="AE10" s="9"/>
      <c r="AF10" s="8"/>
      <c r="AG10" s="8"/>
      <c r="AH10" s="6"/>
      <c r="AI10" s="50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10.5</v>
      </c>
      <c r="AJ10" s="51">
        <f>0</f>
        <v>0</v>
      </c>
      <c r="AK10" s="52">
        <f>AI10+AJ10</f>
        <v>10.5</v>
      </c>
    </row>
    <row r="11" spans="1:37" s="7" customFormat="1" ht="13.5" customHeight="1" x14ac:dyDescent="0.2">
      <c r="A11" s="89"/>
      <c r="B11" s="89"/>
      <c r="C11" s="2" t="s">
        <v>11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 t="s">
        <v>10</v>
      </c>
      <c r="P11" s="8" t="s">
        <v>10</v>
      </c>
      <c r="Q11" s="8" t="s">
        <v>10</v>
      </c>
      <c r="R11" s="8" t="s">
        <v>10</v>
      </c>
      <c r="S11" s="8" t="s">
        <v>10</v>
      </c>
      <c r="T11" s="8" t="s">
        <v>10</v>
      </c>
      <c r="U11" s="8" t="s">
        <v>10</v>
      </c>
      <c r="V11" s="8"/>
      <c r="W11" s="8"/>
      <c r="X11" s="9"/>
      <c r="Y11" s="8"/>
      <c r="Z11" s="8"/>
      <c r="AA11" s="8"/>
      <c r="AB11" s="8"/>
      <c r="AC11" s="8"/>
      <c r="AD11" s="8"/>
      <c r="AE11" s="9"/>
      <c r="AF11" s="8"/>
      <c r="AG11" s="8"/>
      <c r="AH11" s="6"/>
      <c r="AI11" s="50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7</v>
      </c>
      <c r="AJ11" s="51">
        <f>0</f>
        <v>0</v>
      </c>
      <c r="AK11" s="52">
        <f>AI11+AJ11</f>
        <v>7</v>
      </c>
    </row>
    <row r="12" spans="1:37" s="7" customFormat="1" ht="13.5" customHeight="1" x14ac:dyDescent="0.2">
      <c r="A12" s="90"/>
      <c r="B12" s="96"/>
      <c r="C12" s="2" t="s">
        <v>12</v>
      </c>
      <c r="D12" s="8"/>
      <c r="E12" s="8"/>
      <c r="F12" s="8"/>
      <c r="G12" s="8"/>
      <c r="H12" s="8" t="s">
        <v>10</v>
      </c>
      <c r="I12" s="8" t="s">
        <v>10</v>
      </c>
      <c r="J12" s="8" t="s">
        <v>10</v>
      </c>
      <c r="K12" s="8" t="s">
        <v>10</v>
      </c>
      <c r="L12" s="8" t="s">
        <v>10</v>
      </c>
      <c r="M12" s="8" t="s">
        <v>10</v>
      </c>
      <c r="N12" s="8" t="s">
        <v>10</v>
      </c>
      <c r="O12" s="8"/>
      <c r="P12" s="8"/>
      <c r="Q12" s="8"/>
      <c r="R12" s="8"/>
      <c r="S12" s="8"/>
      <c r="T12" s="8"/>
      <c r="U12" s="8"/>
      <c r="V12" s="8"/>
      <c r="W12" s="8"/>
      <c r="X12" s="9"/>
      <c r="Y12" s="8"/>
      <c r="Z12" s="8"/>
      <c r="AA12" s="8"/>
      <c r="AB12" s="8"/>
      <c r="AC12" s="8" t="s">
        <v>10</v>
      </c>
      <c r="AD12" s="8" t="s">
        <v>10</v>
      </c>
      <c r="AE12" s="9" t="s">
        <v>10</v>
      </c>
      <c r="AF12" s="8" t="s">
        <v>10</v>
      </c>
      <c r="AG12" s="8" t="s">
        <v>10</v>
      </c>
      <c r="AH12" s="6" t="s">
        <v>10</v>
      </c>
      <c r="AI12" s="50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13</v>
      </c>
      <c r="AJ12" s="51">
        <f>0</f>
        <v>0</v>
      </c>
      <c r="AK12" s="52">
        <f>AI12+AJ12</f>
        <v>13</v>
      </c>
    </row>
    <row r="13" spans="1:37" s="7" customFormat="1" ht="13.5" customHeight="1" x14ac:dyDescent="0.2">
      <c r="A13" s="16"/>
      <c r="B13" s="17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0"/>
      <c r="Y13" s="19"/>
      <c r="Z13" s="19"/>
      <c r="AA13" s="19"/>
      <c r="AB13" s="19"/>
      <c r="AC13" s="19"/>
      <c r="AD13" s="19"/>
      <c r="AE13" s="20"/>
      <c r="AF13" s="19"/>
      <c r="AG13" s="19"/>
      <c r="AH13" s="20"/>
      <c r="AI13" s="53" t="str">
        <f>""</f>
        <v/>
      </c>
      <c r="AJ13" s="54" t="str">
        <f>""</f>
        <v/>
      </c>
      <c r="AK13" s="55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" t="s">
        <v>8</v>
      </c>
      <c r="D14" s="8"/>
      <c r="E14" s="8"/>
      <c r="F14" s="8"/>
      <c r="G14" s="8"/>
      <c r="H14" s="8"/>
      <c r="I14" s="8"/>
      <c r="J14" s="8"/>
      <c r="K14" s="8">
        <v>1</v>
      </c>
      <c r="L14" s="1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8"/>
      <c r="Z14" s="8">
        <v>1</v>
      </c>
      <c r="AA14" s="8"/>
      <c r="AB14" s="8"/>
      <c r="AC14" s="8"/>
      <c r="AD14" s="8"/>
      <c r="AE14" s="9"/>
      <c r="AF14" s="8"/>
      <c r="AG14" s="8"/>
      <c r="AH14" s="6"/>
      <c r="AI14" s="50">
        <f>0</f>
        <v>0</v>
      </c>
      <c r="AJ14" s="51">
        <f>SUM(D14:AH14)/8</f>
        <v>0.25</v>
      </c>
      <c r="AK14" s="52">
        <f>AI14+AJ14</f>
        <v>0.25</v>
      </c>
    </row>
    <row r="15" spans="1:37" s="7" customFormat="1" ht="13.5" customHeight="1" x14ac:dyDescent="0.2">
      <c r="A15" s="89"/>
      <c r="B15" s="89"/>
      <c r="C15" s="2" t="s">
        <v>9</v>
      </c>
      <c r="D15" s="8" t="s">
        <v>10</v>
      </c>
      <c r="E15" s="8" t="s">
        <v>10</v>
      </c>
      <c r="F15" s="8" t="s">
        <v>10</v>
      </c>
      <c r="G15" s="8" t="s">
        <v>10</v>
      </c>
      <c r="H15" s="8"/>
      <c r="I15" s="8" t="s">
        <v>10</v>
      </c>
      <c r="J15" s="8" t="s">
        <v>10</v>
      </c>
      <c r="K15" s="8" t="s">
        <v>10</v>
      </c>
      <c r="L15" s="8" t="s">
        <v>10</v>
      </c>
      <c r="M15" s="8" t="s">
        <v>10</v>
      </c>
      <c r="N15" s="8" t="s">
        <v>10</v>
      </c>
      <c r="O15" s="8"/>
      <c r="P15" s="8" t="s">
        <v>10</v>
      </c>
      <c r="Q15" s="8" t="s">
        <v>10</v>
      </c>
      <c r="R15" s="8" t="s">
        <v>10</v>
      </c>
      <c r="S15" s="8" t="s">
        <v>10</v>
      </c>
      <c r="T15" s="8" t="s">
        <v>10</v>
      </c>
      <c r="U15" s="8" t="s">
        <v>10</v>
      </c>
      <c r="V15" s="8"/>
      <c r="W15" s="8" t="s">
        <v>15</v>
      </c>
      <c r="X15" s="9" t="s">
        <v>10</v>
      </c>
      <c r="Y15" s="8" t="s">
        <v>10</v>
      </c>
      <c r="Z15" s="8" t="s">
        <v>10</v>
      </c>
      <c r="AA15" s="8" t="s">
        <v>10</v>
      </c>
      <c r="AB15" s="8" t="s">
        <v>10</v>
      </c>
      <c r="AC15" s="8" t="s">
        <v>15</v>
      </c>
      <c r="AD15" s="8" t="s">
        <v>10</v>
      </c>
      <c r="AE15" s="9" t="s">
        <v>57</v>
      </c>
      <c r="AF15" s="8" t="s">
        <v>10</v>
      </c>
      <c r="AG15" s="8" t="s">
        <v>10</v>
      </c>
      <c r="AH15" s="6" t="s">
        <v>10</v>
      </c>
      <c r="AI15" s="50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27</v>
      </c>
      <c r="AJ15" s="51">
        <f>0</f>
        <v>0</v>
      </c>
      <c r="AK15" s="52">
        <f>AI15+AJ15</f>
        <v>27</v>
      </c>
    </row>
    <row r="16" spans="1:37" s="7" customFormat="1" ht="13.5" customHeight="1" x14ac:dyDescent="0.2">
      <c r="A16" s="89"/>
      <c r="B16" s="89"/>
      <c r="C16" s="2" t="s">
        <v>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8"/>
      <c r="Z16" s="8"/>
      <c r="AA16" s="8"/>
      <c r="AB16" s="8"/>
      <c r="AC16" s="8"/>
      <c r="AD16" s="8"/>
      <c r="AE16" s="9"/>
      <c r="AF16" s="8"/>
      <c r="AG16" s="8"/>
      <c r="AH16" s="6"/>
      <c r="AI16" s="50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51">
        <f>0</f>
        <v>0</v>
      </c>
      <c r="AK16" s="52">
        <f>AI16+AJ16</f>
        <v>0</v>
      </c>
    </row>
    <row r="17" spans="1:37" s="7" customFormat="1" ht="13.5" customHeight="1" x14ac:dyDescent="0.2">
      <c r="A17" s="90"/>
      <c r="B17" s="96"/>
      <c r="C17" s="2" t="s">
        <v>12</v>
      </c>
      <c r="D17" s="8"/>
      <c r="E17" s="8"/>
      <c r="F17" s="8"/>
      <c r="G17" s="8"/>
      <c r="H17" s="8"/>
      <c r="I17" s="8"/>
      <c r="J17" s="8"/>
      <c r="K17" s="8"/>
      <c r="L17" s="15"/>
      <c r="M17" s="8"/>
      <c r="N17" s="8"/>
      <c r="O17" s="8"/>
      <c r="P17" s="8"/>
      <c r="Q17" s="8"/>
      <c r="R17" s="8"/>
      <c r="S17" s="8"/>
      <c r="T17" s="8"/>
      <c r="U17" s="8"/>
      <c r="V17" s="8" t="s">
        <v>10</v>
      </c>
      <c r="W17" s="8"/>
      <c r="X17" s="9"/>
      <c r="Y17" s="8"/>
      <c r="Z17" s="8"/>
      <c r="AA17" s="8"/>
      <c r="AB17" s="8"/>
      <c r="AC17" s="8"/>
      <c r="AD17" s="8"/>
      <c r="AE17" s="9"/>
      <c r="AF17" s="8"/>
      <c r="AG17" s="8"/>
      <c r="AH17" s="6"/>
      <c r="AI17" s="50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1</v>
      </c>
      <c r="AJ17" s="51">
        <f>0</f>
        <v>0</v>
      </c>
      <c r="AK17" s="52">
        <f>AI17+AJ17</f>
        <v>1</v>
      </c>
    </row>
    <row r="18" spans="1:37" s="7" customFormat="1" ht="13.5" customHeight="1" x14ac:dyDescent="0.2">
      <c r="A18" s="16"/>
      <c r="B18" s="17"/>
      <c r="C18" s="18"/>
      <c r="D18" s="19"/>
      <c r="E18" s="19"/>
      <c r="F18" s="19"/>
      <c r="G18" s="19"/>
      <c r="H18" s="19"/>
      <c r="I18" s="19"/>
      <c r="J18" s="19"/>
      <c r="K18" s="19"/>
      <c r="L18" s="21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/>
      <c r="Y18" s="19"/>
      <c r="Z18" s="19"/>
      <c r="AA18" s="19"/>
      <c r="AB18" s="19"/>
      <c r="AC18" s="19"/>
      <c r="AD18" s="19"/>
      <c r="AE18" s="20"/>
      <c r="AF18" s="19"/>
      <c r="AG18" s="19"/>
      <c r="AH18" s="20"/>
      <c r="AI18" s="53" t="str">
        <f>""</f>
        <v/>
      </c>
      <c r="AJ18" s="54" t="str">
        <f>""</f>
        <v/>
      </c>
      <c r="AK18" s="55" t="str">
        <f>""</f>
        <v/>
      </c>
    </row>
    <row r="19" spans="1:37" s="7" customFormat="1" ht="13.5" customHeight="1" x14ac:dyDescent="0.2">
      <c r="A19" s="94">
        <v>4</v>
      </c>
      <c r="B19" s="97" t="s">
        <v>16</v>
      </c>
      <c r="C19" s="2" t="s">
        <v>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>
        <v>3.25</v>
      </c>
      <c r="R19" s="8"/>
      <c r="S19" s="8"/>
      <c r="T19" s="8"/>
      <c r="U19" s="8"/>
      <c r="V19" s="8"/>
      <c r="W19" s="8"/>
      <c r="X19" s="9"/>
      <c r="Y19" s="8"/>
      <c r="Z19" s="8"/>
      <c r="AA19" s="8"/>
      <c r="AB19" s="8"/>
      <c r="AC19" s="8"/>
      <c r="AD19" s="8"/>
      <c r="AE19" s="9"/>
      <c r="AF19" s="8"/>
      <c r="AG19" s="8"/>
      <c r="AH19" s="6"/>
      <c r="AI19" s="50">
        <f>0</f>
        <v>0</v>
      </c>
      <c r="AJ19" s="51">
        <f>SUM(D19:AH19)/8</f>
        <v>0.40625</v>
      </c>
      <c r="AK19" s="52">
        <f>AI19+AJ19</f>
        <v>0.40625</v>
      </c>
    </row>
    <row r="20" spans="1:37" s="7" customFormat="1" ht="13.5" customHeight="1" x14ac:dyDescent="0.2">
      <c r="A20" s="89"/>
      <c r="B20" s="89"/>
      <c r="C20" s="2" t="s">
        <v>9</v>
      </c>
      <c r="D20" s="8" t="s">
        <v>10</v>
      </c>
      <c r="E20" s="8" t="s">
        <v>10</v>
      </c>
      <c r="F20" s="8" t="s">
        <v>10</v>
      </c>
      <c r="G20" s="8" t="s">
        <v>10</v>
      </c>
      <c r="H20" s="8"/>
      <c r="I20" s="8">
        <v>0</v>
      </c>
      <c r="J20" s="8">
        <v>0</v>
      </c>
      <c r="K20" s="8">
        <v>0</v>
      </c>
      <c r="L20" s="8"/>
      <c r="M20" s="8"/>
      <c r="N20" s="8"/>
      <c r="O20" s="8" t="s">
        <v>10</v>
      </c>
      <c r="P20" s="8" t="s">
        <v>10</v>
      </c>
      <c r="Q20" s="8" t="s">
        <v>10</v>
      </c>
      <c r="R20" s="8" t="s">
        <v>10</v>
      </c>
      <c r="S20" s="8" t="s">
        <v>10</v>
      </c>
      <c r="T20" s="8" t="s">
        <v>15</v>
      </c>
      <c r="U20" s="8" t="s">
        <v>10</v>
      </c>
      <c r="V20" s="8"/>
      <c r="W20" s="8" t="s">
        <v>10</v>
      </c>
      <c r="X20" s="9" t="s">
        <v>10</v>
      </c>
      <c r="Y20" s="8" t="s">
        <v>10</v>
      </c>
      <c r="Z20" s="8" t="s">
        <v>10</v>
      </c>
      <c r="AA20" s="8" t="s">
        <v>10</v>
      </c>
      <c r="AB20" s="8" t="s">
        <v>10</v>
      </c>
      <c r="AC20" s="8" t="s">
        <v>10</v>
      </c>
      <c r="AD20" s="8"/>
      <c r="AE20" s="9"/>
      <c r="AF20" s="8"/>
      <c r="AG20" s="8"/>
      <c r="AH20" s="6"/>
      <c r="AI20" s="50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17.5</v>
      </c>
      <c r="AJ20" s="51">
        <f>0</f>
        <v>0</v>
      </c>
      <c r="AK20" s="52">
        <f>AI20+AJ20</f>
        <v>17.5</v>
      </c>
    </row>
    <row r="21" spans="1:37" s="7" customFormat="1" ht="13.5" customHeight="1" x14ac:dyDescent="0.2">
      <c r="A21" s="89"/>
      <c r="B21" s="89"/>
      <c r="C21" s="2" t="s">
        <v>11</v>
      </c>
      <c r="D21" s="8"/>
      <c r="E21" s="8"/>
      <c r="F21" s="8"/>
      <c r="G21" s="8"/>
      <c r="H21" s="8" t="s">
        <v>10</v>
      </c>
      <c r="I21" s="8"/>
      <c r="J21" s="8"/>
      <c r="K21" s="8"/>
      <c r="L21" s="8" t="s">
        <v>10</v>
      </c>
      <c r="M21" s="8" t="s">
        <v>10</v>
      </c>
      <c r="N21" s="8" t="s">
        <v>10</v>
      </c>
      <c r="O21" s="8"/>
      <c r="P21" s="8"/>
      <c r="Q21" s="8"/>
      <c r="R21" s="8"/>
      <c r="S21" s="8"/>
      <c r="T21" s="8"/>
      <c r="U21" s="8"/>
      <c r="V21" s="8"/>
      <c r="W21" s="8"/>
      <c r="X21" s="9"/>
      <c r="Y21" s="8"/>
      <c r="Z21" s="8"/>
      <c r="AA21" s="8"/>
      <c r="AB21" s="8"/>
      <c r="AC21" s="8"/>
      <c r="AD21" s="8" t="s">
        <v>10</v>
      </c>
      <c r="AE21" s="9" t="s">
        <v>10</v>
      </c>
      <c r="AF21" s="8" t="s">
        <v>10</v>
      </c>
      <c r="AG21" s="8" t="s">
        <v>10</v>
      </c>
      <c r="AH21" s="6" t="s">
        <v>10</v>
      </c>
      <c r="AI21" s="50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9</v>
      </c>
      <c r="AJ21" s="51">
        <f>0</f>
        <v>0</v>
      </c>
      <c r="AK21" s="52">
        <f>AI21+AJ21</f>
        <v>9</v>
      </c>
    </row>
    <row r="22" spans="1:37" s="7" customFormat="1" ht="13.5" customHeight="1" x14ac:dyDescent="0.2">
      <c r="A22" s="90"/>
      <c r="B22" s="96"/>
      <c r="C22" s="2" t="s">
        <v>12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8"/>
      <c r="Z22" s="8"/>
      <c r="AA22" s="8"/>
      <c r="AB22" s="8"/>
      <c r="AC22" s="8"/>
      <c r="AD22" s="8"/>
      <c r="AE22" s="9"/>
      <c r="AF22" s="8"/>
      <c r="AG22" s="8"/>
      <c r="AH22" s="6"/>
      <c r="AI22" s="50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51">
        <f>0</f>
        <v>0</v>
      </c>
      <c r="AK22" s="52">
        <f>AI22+AJ22</f>
        <v>0</v>
      </c>
    </row>
    <row r="23" spans="1:37" s="7" customFormat="1" ht="13.5" customHeight="1" x14ac:dyDescent="0.2">
      <c r="A23" s="16"/>
      <c r="B23" s="17"/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20"/>
      <c r="AF23" s="19"/>
      <c r="AG23" s="19"/>
      <c r="AH23" s="20"/>
      <c r="AI23" s="53" t="str">
        <f>""</f>
        <v/>
      </c>
      <c r="AJ23" s="54" t="str">
        <f>""</f>
        <v/>
      </c>
      <c r="AK23" s="55" t="str">
        <f>""</f>
        <v/>
      </c>
    </row>
    <row r="24" spans="1:37" s="7" customFormat="1" ht="13.5" customHeight="1" x14ac:dyDescent="0.2">
      <c r="A24" s="94">
        <v>5</v>
      </c>
      <c r="B24" s="97" t="s">
        <v>17</v>
      </c>
      <c r="C24" s="2" t="s">
        <v>8</v>
      </c>
      <c r="D24" s="8">
        <v>2</v>
      </c>
      <c r="E24" s="8">
        <v>2</v>
      </c>
      <c r="F24" s="8">
        <v>2</v>
      </c>
      <c r="G24" s="8">
        <v>2</v>
      </c>
      <c r="H24" s="8"/>
      <c r="I24" s="8"/>
      <c r="J24" s="8"/>
      <c r="K24" s="8"/>
      <c r="L24" s="8"/>
      <c r="M24" s="8">
        <v>2</v>
      </c>
      <c r="N24" s="8">
        <v>2</v>
      </c>
      <c r="O24" s="8"/>
      <c r="P24" s="8">
        <v>2</v>
      </c>
      <c r="Q24" s="8">
        <v>3.75</v>
      </c>
      <c r="R24" s="8">
        <v>2</v>
      </c>
      <c r="S24" s="8">
        <v>2</v>
      </c>
      <c r="T24" s="8">
        <v>2</v>
      </c>
      <c r="U24" s="8"/>
      <c r="V24" s="19"/>
      <c r="W24" s="8"/>
      <c r="X24" s="9">
        <v>2</v>
      </c>
      <c r="Y24" s="8">
        <v>2</v>
      </c>
      <c r="Z24" s="8">
        <v>2</v>
      </c>
      <c r="AA24" s="8">
        <v>2</v>
      </c>
      <c r="AB24" s="8">
        <v>2</v>
      </c>
      <c r="AC24" s="8"/>
      <c r="AD24" s="8">
        <v>2</v>
      </c>
      <c r="AE24" s="9">
        <v>2</v>
      </c>
      <c r="AF24" s="8">
        <v>2</v>
      </c>
      <c r="AG24" s="8">
        <v>2</v>
      </c>
      <c r="AH24" s="6">
        <v>2</v>
      </c>
      <c r="AI24" s="50">
        <f>0</f>
        <v>0</v>
      </c>
      <c r="AJ24" s="51">
        <f>SUM(D24:AH24)/8</f>
        <v>5.46875</v>
      </c>
      <c r="AK24" s="52">
        <f>AI24+AJ24</f>
        <v>5.46875</v>
      </c>
    </row>
    <row r="25" spans="1:37" s="7" customFormat="1" ht="13.5" customHeight="1" x14ac:dyDescent="0.2">
      <c r="A25" s="89"/>
      <c r="B25" s="89"/>
      <c r="C25" s="2" t="s">
        <v>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19" t="s">
        <v>15</v>
      </c>
      <c r="W25" s="8"/>
      <c r="X25" s="9"/>
      <c r="Y25" s="8"/>
      <c r="Z25" s="8"/>
      <c r="AA25" s="8"/>
      <c r="AB25" s="8"/>
      <c r="AC25" s="8"/>
      <c r="AD25" s="8"/>
      <c r="AE25" s="9"/>
      <c r="AF25" s="8"/>
      <c r="AG25" s="8"/>
      <c r="AH25" s="6"/>
      <c r="AI25" s="50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0.5</v>
      </c>
      <c r="AJ25" s="51">
        <f>0</f>
        <v>0</v>
      </c>
      <c r="AK25" s="52">
        <f>AI25+AJ25</f>
        <v>0.5</v>
      </c>
    </row>
    <row r="26" spans="1:37" s="7" customFormat="1" ht="13.5" customHeight="1" x14ac:dyDescent="0.2">
      <c r="A26" s="89"/>
      <c r="B26" s="89"/>
      <c r="C26" s="2" t="s">
        <v>11</v>
      </c>
      <c r="D26" s="8" t="s">
        <v>10</v>
      </c>
      <c r="E26" s="8" t="s">
        <v>10</v>
      </c>
      <c r="F26" s="8" t="s">
        <v>10</v>
      </c>
      <c r="G26" s="8" t="s">
        <v>10</v>
      </c>
      <c r="H26" s="8" t="s">
        <v>10</v>
      </c>
      <c r="I26" s="8" t="s">
        <v>10</v>
      </c>
      <c r="J26" s="8" t="s">
        <v>10</v>
      </c>
      <c r="K26" s="8" t="s">
        <v>10</v>
      </c>
      <c r="L26" s="8" t="s">
        <v>10</v>
      </c>
      <c r="M26" s="8" t="s">
        <v>10</v>
      </c>
      <c r="N26" s="8" t="s">
        <v>10</v>
      </c>
      <c r="O26" s="8" t="s">
        <v>10</v>
      </c>
      <c r="P26" s="8" t="s">
        <v>10</v>
      </c>
      <c r="Q26" s="8" t="s">
        <v>10</v>
      </c>
      <c r="R26" s="8" t="s">
        <v>10</v>
      </c>
      <c r="S26" s="8" t="s">
        <v>10</v>
      </c>
      <c r="T26" s="8" t="s">
        <v>10</v>
      </c>
      <c r="U26" s="24">
        <v>0</v>
      </c>
      <c r="V26" s="19"/>
      <c r="W26" s="8" t="s">
        <v>10</v>
      </c>
      <c r="X26" s="9" t="s">
        <v>10</v>
      </c>
      <c r="Y26" s="8" t="s">
        <v>10</v>
      </c>
      <c r="Z26" s="8" t="s">
        <v>10</v>
      </c>
      <c r="AA26" s="8" t="s">
        <v>10</v>
      </c>
      <c r="AB26" s="8" t="s">
        <v>10</v>
      </c>
      <c r="AC26" s="8" t="s">
        <v>10</v>
      </c>
      <c r="AD26" s="8" t="s">
        <v>10</v>
      </c>
      <c r="AE26" s="9" t="s">
        <v>10</v>
      </c>
      <c r="AF26" s="8" t="s">
        <v>10</v>
      </c>
      <c r="AG26" s="8" t="s">
        <v>10</v>
      </c>
      <c r="AH26" s="6" t="s">
        <v>10</v>
      </c>
      <c r="AI26" s="50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29</v>
      </c>
      <c r="AJ26" s="51">
        <f>0</f>
        <v>0</v>
      </c>
      <c r="AK26" s="52">
        <f>AI26+AJ26</f>
        <v>29</v>
      </c>
    </row>
    <row r="27" spans="1:37" s="7" customFormat="1" ht="13.5" customHeight="1" x14ac:dyDescent="0.2">
      <c r="A27" s="90"/>
      <c r="B27" s="96"/>
      <c r="C27" s="2" t="s">
        <v>12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9"/>
      <c r="W27" s="8"/>
      <c r="X27" s="9"/>
      <c r="Y27" s="8"/>
      <c r="Z27" s="8"/>
      <c r="AA27" s="8"/>
      <c r="AB27" s="8"/>
      <c r="AC27" s="8"/>
      <c r="AD27" s="8"/>
      <c r="AE27" s="9"/>
      <c r="AF27" s="8"/>
      <c r="AG27" s="8"/>
      <c r="AH27" s="6"/>
      <c r="AI27" s="50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51">
        <f>0</f>
        <v>0</v>
      </c>
      <c r="AK27" s="52">
        <f>AI27+AJ27</f>
        <v>0</v>
      </c>
    </row>
    <row r="28" spans="1:37" s="7" customFormat="1" ht="13.5" customHeight="1" x14ac:dyDescent="0.2">
      <c r="A28" s="16"/>
      <c r="B28" s="17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  <c r="Y28" s="19"/>
      <c r="Z28" s="19"/>
      <c r="AA28" s="19"/>
      <c r="AB28" s="19"/>
      <c r="AC28" s="19"/>
      <c r="AD28" s="19"/>
      <c r="AE28" s="20"/>
      <c r="AF28" s="19"/>
      <c r="AG28" s="19"/>
      <c r="AH28" s="20"/>
      <c r="AI28" s="53" t="str">
        <f>""</f>
        <v/>
      </c>
      <c r="AJ28" s="54" t="str">
        <f>""</f>
        <v/>
      </c>
      <c r="AK28" s="55" t="str">
        <f>""</f>
        <v/>
      </c>
    </row>
    <row r="29" spans="1:37" s="7" customFormat="1" ht="13.5" customHeight="1" x14ac:dyDescent="0.2">
      <c r="A29" s="94">
        <v>6</v>
      </c>
      <c r="B29" s="97" t="s">
        <v>18</v>
      </c>
      <c r="C29" s="2" t="s">
        <v>8</v>
      </c>
      <c r="D29" s="8">
        <v>2</v>
      </c>
      <c r="E29" s="8">
        <v>2</v>
      </c>
      <c r="F29" s="8">
        <v>2</v>
      </c>
      <c r="G29" s="8">
        <v>2</v>
      </c>
      <c r="H29" s="8"/>
      <c r="I29" s="8"/>
      <c r="J29" s="8"/>
      <c r="K29" s="8"/>
      <c r="L29" s="8"/>
      <c r="M29" s="8"/>
      <c r="N29" s="8"/>
      <c r="O29" s="8"/>
      <c r="P29" s="8">
        <v>2</v>
      </c>
      <c r="Q29" s="8">
        <v>2</v>
      </c>
      <c r="R29" s="8">
        <v>2</v>
      </c>
      <c r="S29" s="8">
        <v>2</v>
      </c>
      <c r="T29" s="8">
        <v>0.5</v>
      </c>
      <c r="U29" s="8">
        <v>2</v>
      </c>
      <c r="V29" s="19"/>
      <c r="W29" s="8"/>
      <c r="X29" s="9">
        <v>2</v>
      </c>
      <c r="Y29" s="8">
        <v>2</v>
      </c>
      <c r="Z29" s="8">
        <v>2</v>
      </c>
      <c r="AA29" s="8">
        <v>2</v>
      </c>
      <c r="AB29" s="8">
        <v>2</v>
      </c>
      <c r="AC29" s="8"/>
      <c r="AD29" s="8">
        <v>2</v>
      </c>
      <c r="AE29" s="9">
        <v>2</v>
      </c>
      <c r="AF29" s="8">
        <v>2</v>
      </c>
      <c r="AG29" s="8">
        <v>2</v>
      </c>
      <c r="AH29" s="6">
        <v>2</v>
      </c>
      <c r="AI29" s="50">
        <f>0</f>
        <v>0</v>
      </c>
      <c r="AJ29" s="51">
        <f>SUM(D29:AH29)/8</f>
        <v>4.8125</v>
      </c>
      <c r="AK29" s="52">
        <f>AI29+AJ29</f>
        <v>4.8125</v>
      </c>
    </row>
    <row r="30" spans="1:37" s="7" customFormat="1" ht="13.5" customHeight="1" x14ac:dyDescent="0.2">
      <c r="A30" s="89"/>
      <c r="B30" s="89"/>
      <c r="C30" s="2" t="s">
        <v>9</v>
      </c>
      <c r="D30" s="8"/>
      <c r="E30" s="8"/>
      <c r="F30" s="8"/>
      <c r="G30" s="8"/>
      <c r="H30" s="8" t="s">
        <v>10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/>
      <c r="P30" s="8"/>
      <c r="Q30" s="8"/>
      <c r="R30" s="8"/>
      <c r="S30" s="8"/>
      <c r="T30" s="8"/>
      <c r="U30" s="8"/>
      <c r="V30" s="8"/>
      <c r="W30" s="8"/>
      <c r="X30" s="9"/>
      <c r="Y30" s="8"/>
      <c r="Z30" s="8"/>
      <c r="AA30" s="8"/>
      <c r="AB30" s="8"/>
      <c r="AC30" s="8" t="s">
        <v>10</v>
      </c>
      <c r="AD30" s="8" t="s">
        <v>10</v>
      </c>
      <c r="AE30" s="9" t="s">
        <v>10</v>
      </c>
      <c r="AF30" s="8" t="s">
        <v>10</v>
      </c>
      <c r="AG30" s="8" t="s">
        <v>10</v>
      </c>
      <c r="AH30" s="6" t="s">
        <v>10</v>
      </c>
      <c r="AI30" s="50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7</v>
      </c>
      <c r="AJ30" s="51">
        <f>0</f>
        <v>0</v>
      </c>
      <c r="AK30" s="52">
        <f>AI30+AJ30</f>
        <v>7</v>
      </c>
    </row>
    <row r="31" spans="1:37" s="7" customFormat="1" ht="13.5" customHeight="1" x14ac:dyDescent="0.2">
      <c r="A31" s="89"/>
      <c r="B31" s="89"/>
      <c r="C31" s="2" t="s">
        <v>11</v>
      </c>
      <c r="D31" s="8"/>
      <c r="E31" s="8" t="s">
        <v>10</v>
      </c>
      <c r="F31" s="8" t="s">
        <v>10</v>
      </c>
      <c r="G31" s="8" t="s">
        <v>10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 t="s">
        <v>10</v>
      </c>
      <c r="U31" s="8"/>
      <c r="V31" s="8"/>
      <c r="W31" s="8" t="s">
        <v>10</v>
      </c>
      <c r="X31" s="9" t="s">
        <v>10</v>
      </c>
      <c r="Y31" s="8" t="s">
        <v>10</v>
      </c>
      <c r="Z31" s="8" t="s">
        <v>10</v>
      </c>
      <c r="AA31" s="8" t="s">
        <v>10</v>
      </c>
      <c r="AB31" s="8" t="s">
        <v>10</v>
      </c>
      <c r="AC31" s="8"/>
      <c r="AD31" s="8"/>
      <c r="AE31" s="9"/>
      <c r="AF31" s="8"/>
      <c r="AG31" s="8"/>
      <c r="AH31" s="6"/>
      <c r="AI31" s="50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10</v>
      </c>
      <c r="AJ31" s="51">
        <f>0</f>
        <v>0</v>
      </c>
      <c r="AK31" s="52">
        <f>AI31+AJ31</f>
        <v>10</v>
      </c>
    </row>
    <row r="32" spans="1:37" s="7" customFormat="1" ht="13.5" customHeight="1" x14ac:dyDescent="0.2">
      <c r="A32" s="90"/>
      <c r="B32" s="96"/>
      <c r="C32" s="2" t="s">
        <v>12</v>
      </c>
      <c r="D32" s="8" t="s">
        <v>10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 t="s">
        <v>10</v>
      </c>
      <c r="Q32" s="8" t="s">
        <v>10</v>
      </c>
      <c r="R32" s="8" t="s">
        <v>10</v>
      </c>
      <c r="S32" s="8" t="s">
        <v>10</v>
      </c>
      <c r="T32" s="8"/>
      <c r="U32" s="8" t="s">
        <v>10</v>
      </c>
      <c r="V32" s="8" t="s">
        <v>10</v>
      </c>
      <c r="W32" s="8"/>
      <c r="X32" s="9"/>
      <c r="Y32" s="8"/>
      <c r="Z32" s="8"/>
      <c r="AA32" s="8"/>
      <c r="AB32" s="8"/>
      <c r="AC32" s="8"/>
      <c r="AD32" s="8"/>
      <c r="AE32" s="9"/>
      <c r="AF32" s="8"/>
      <c r="AG32" s="8"/>
      <c r="AH32" s="6"/>
      <c r="AI32" s="50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7</v>
      </c>
      <c r="AJ32" s="51">
        <f>0</f>
        <v>0</v>
      </c>
      <c r="AK32" s="52">
        <f>AI32+AJ32</f>
        <v>7</v>
      </c>
    </row>
    <row r="33" spans="1:37" s="7" customFormat="1" ht="13.5" customHeight="1" x14ac:dyDescent="0.2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/>
      <c r="Y33" s="19"/>
      <c r="Z33" s="19"/>
      <c r="AA33" s="19"/>
      <c r="AB33" s="19"/>
      <c r="AC33" s="19"/>
      <c r="AD33" s="19"/>
      <c r="AE33" s="20"/>
      <c r="AF33" s="19"/>
      <c r="AG33" s="19"/>
      <c r="AH33" s="20"/>
      <c r="AI33" s="53" t="str">
        <f>""</f>
        <v/>
      </c>
      <c r="AJ33" s="54" t="str">
        <f>""</f>
        <v/>
      </c>
      <c r="AK33" s="55" t="str">
        <f>""</f>
        <v/>
      </c>
    </row>
    <row r="34" spans="1:37" s="7" customFormat="1" ht="13.5" customHeight="1" x14ac:dyDescent="0.2">
      <c r="A34" s="94">
        <v>7</v>
      </c>
      <c r="B34" s="97" t="s">
        <v>19</v>
      </c>
      <c r="C34" s="2" t="s">
        <v>8</v>
      </c>
      <c r="D34" s="8">
        <v>2</v>
      </c>
      <c r="E34" s="8">
        <v>2</v>
      </c>
      <c r="F34" s="8">
        <v>2</v>
      </c>
      <c r="G34" s="8">
        <v>2</v>
      </c>
      <c r="H34" s="8"/>
      <c r="I34" s="8"/>
      <c r="J34" s="8"/>
      <c r="K34" s="8"/>
      <c r="L34" s="8">
        <v>2</v>
      </c>
      <c r="M34" s="8"/>
      <c r="N34" s="8"/>
      <c r="O34" s="8"/>
      <c r="P34" s="8">
        <v>2</v>
      </c>
      <c r="Q34" s="8">
        <v>2</v>
      </c>
      <c r="R34" s="8">
        <v>2</v>
      </c>
      <c r="S34" s="8">
        <v>2</v>
      </c>
      <c r="T34" s="8">
        <v>3.75</v>
      </c>
      <c r="U34" s="8"/>
      <c r="V34" s="8"/>
      <c r="W34" s="8"/>
      <c r="X34" s="9">
        <v>2</v>
      </c>
      <c r="Y34" s="8">
        <v>2</v>
      </c>
      <c r="Z34" s="8">
        <v>2</v>
      </c>
      <c r="AA34" s="8">
        <v>2</v>
      </c>
      <c r="AB34" s="8">
        <v>2</v>
      </c>
      <c r="AC34" s="8"/>
      <c r="AD34" s="8"/>
      <c r="AE34" s="9">
        <v>2</v>
      </c>
      <c r="AF34" s="8">
        <v>2</v>
      </c>
      <c r="AG34" s="8"/>
      <c r="AH34" s="6"/>
      <c r="AI34" s="50">
        <f>0</f>
        <v>0</v>
      </c>
      <c r="AJ34" s="51">
        <f>SUM(D34:AH34)/8</f>
        <v>4.46875</v>
      </c>
      <c r="AK34" s="52">
        <f>AI34+AJ34</f>
        <v>4.46875</v>
      </c>
    </row>
    <row r="35" spans="1:37" s="7" customFormat="1" ht="13.5" customHeight="1" x14ac:dyDescent="0.2">
      <c r="A35" s="89"/>
      <c r="B35" s="89"/>
      <c r="C35" s="2" t="s">
        <v>9</v>
      </c>
      <c r="D35" s="8"/>
      <c r="E35" s="8"/>
      <c r="F35" s="8"/>
      <c r="G35" s="8"/>
      <c r="H35" s="8"/>
      <c r="I35" s="8" t="s">
        <v>10</v>
      </c>
      <c r="J35" s="8" t="s">
        <v>10</v>
      </c>
      <c r="K35" s="8" t="s">
        <v>10</v>
      </c>
      <c r="L35" s="8" t="s">
        <v>10</v>
      </c>
      <c r="M35" s="8" t="s">
        <v>10</v>
      </c>
      <c r="N35" s="8" t="s">
        <v>10</v>
      </c>
      <c r="O35" s="8"/>
      <c r="P35" s="8"/>
      <c r="Q35" s="8"/>
      <c r="R35" s="8"/>
      <c r="S35" s="8"/>
      <c r="T35" s="8"/>
      <c r="U35" s="8"/>
      <c r="V35" s="8"/>
      <c r="W35" s="8"/>
      <c r="X35" s="9"/>
      <c r="Y35" s="8"/>
      <c r="Z35" s="8"/>
      <c r="AA35" s="8"/>
      <c r="AB35" s="8"/>
      <c r="AC35" s="8" t="s">
        <v>10</v>
      </c>
      <c r="AD35" s="8" t="s">
        <v>10</v>
      </c>
      <c r="AE35" s="9" t="s">
        <v>10</v>
      </c>
      <c r="AF35" s="8" t="s">
        <v>10</v>
      </c>
      <c r="AG35" s="8" t="s">
        <v>10</v>
      </c>
      <c r="AH35" s="6" t="s">
        <v>10</v>
      </c>
      <c r="AI35" s="50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12</v>
      </c>
      <c r="AJ35" s="51">
        <f>0</f>
        <v>0</v>
      </c>
      <c r="AK35" s="52">
        <f>AI35+AJ35</f>
        <v>12</v>
      </c>
    </row>
    <row r="36" spans="1:37" s="7" customFormat="1" ht="13.5" customHeight="1" x14ac:dyDescent="0.2">
      <c r="A36" s="89"/>
      <c r="B36" s="89"/>
      <c r="C36" s="2" t="s">
        <v>11</v>
      </c>
      <c r="D36" s="8" t="s">
        <v>10</v>
      </c>
      <c r="E36" s="8" t="s">
        <v>10</v>
      </c>
      <c r="F36" s="8" t="s">
        <v>10</v>
      </c>
      <c r="G36" s="8" t="s">
        <v>10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 t="s">
        <v>10</v>
      </c>
      <c r="X36" s="9" t="s">
        <v>10</v>
      </c>
      <c r="Y36" s="8" t="s">
        <v>10</v>
      </c>
      <c r="Z36" s="8" t="s">
        <v>10</v>
      </c>
      <c r="AA36" s="8" t="s">
        <v>10</v>
      </c>
      <c r="AB36" s="8" t="s">
        <v>10</v>
      </c>
      <c r="AC36" s="8"/>
      <c r="AD36" s="8"/>
      <c r="AE36" s="9"/>
      <c r="AF36" s="8"/>
      <c r="AG36" s="8"/>
      <c r="AH36" s="6"/>
      <c r="AI36" s="50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10</v>
      </c>
      <c r="AJ36" s="51">
        <f>0</f>
        <v>0</v>
      </c>
      <c r="AK36" s="52">
        <f>AI36+AJ36</f>
        <v>10</v>
      </c>
    </row>
    <row r="37" spans="1:37" s="7" customFormat="1" ht="13.5" customHeight="1" x14ac:dyDescent="0.2">
      <c r="A37" s="90"/>
      <c r="B37" s="96"/>
      <c r="C37" s="2" t="s">
        <v>12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 t="s">
        <v>10</v>
      </c>
      <c r="P37" s="8" t="s">
        <v>10</v>
      </c>
      <c r="Q37" s="8" t="s">
        <v>10</v>
      </c>
      <c r="R37" s="8" t="s">
        <v>10</v>
      </c>
      <c r="S37" s="8" t="s">
        <v>10</v>
      </c>
      <c r="T37" s="8" t="s">
        <v>10</v>
      </c>
      <c r="U37" s="8">
        <v>0</v>
      </c>
      <c r="V37" s="8"/>
      <c r="W37" s="8"/>
      <c r="X37" s="9"/>
      <c r="Y37" s="8"/>
      <c r="Z37" s="8"/>
      <c r="AA37" s="8"/>
      <c r="AB37" s="8"/>
      <c r="AC37" s="8"/>
      <c r="AD37" s="8"/>
      <c r="AE37" s="9"/>
      <c r="AF37" s="8"/>
      <c r="AG37" s="8"/>
      <c r="AH37" s="6"/>
      <c r="AI37" s="50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6</v>
      </c>
      <c r="AJ37" s="51">
        <f>0</f>
        <v>0</v>
      </c>
      <c r="AK37" s="52">
        <f>AI37+AJ37</f>
        <v>6</v>
      </c>
    </row>
    <row r="38" spans="1:37" s="7" customFormat="1" ht="13.5" customHeight="1" x14ac:dyDescent="0.2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20"/>
      <c r="Y38" s="19"/>
      <c r="Z38" s="19"/>
      <c r="AA38" s="19"/>
      <c r="AB38" s="19"/>
      <c r="AC38" s="19"/>
      <c r="AD38" s="19"/>
      <c r="AE38" s="20"/>
      <c r="AF38" s="19"/>
      <c r="AG38" s="19"/>
      <c r="AH38" s="20"/>
      <c r="AI38" s="53" t="str">
        <f>""</f>
        <v/>
      </c>
      <c r="AJ38" s="54" t="str">
        <f>""</f>
        <v/>
      </c>
      <c r="AK38" s="55" t="str">
        <f>""</f>
        <v/>
      </c>
    </row>
    <row r="39" spans="1:37" s="7" customFormat="1" ht="13.5" customHeight="1" x14ac:dyDescent="0.2">
      <c r="A39" s="94">
        <v>8</v>
      </c>
      <c r="B39" s="97" t="s">
        <v>20</v>
      </c>
      <c r="C39" s="2" t="s">
        <v>8</v>
      </c>
      <c r="D39" s="8">
        <v>2</v>
      </c>
      <c r="E39" s="8"/>
      <c r="F39" s="8">
        <v>2</v>
      </c>
      <c r="G39" s="8">
        <v>2</v>
      </c>
      <c r="H39" s="8"/>
      <c r="I39" s="8"/>
      <c r="J39" s="8">
        <v>4</v>
      </c>
      <c r="K39" s="8">
        <v>4</v>
      </c>
      <c r="L39" s="8">
        <v>4</v>
      </c>
      <c r="M39" s="8">
        <v>2</v>
      </c>
      <c r="N39" s="8"/>
      <c r="O39" s="8"/>
      <c r="P39" s="8"/>
      <c r="Q39" s="8">
        <v>3.25</v>
      </c>
      <c r="R39" s="8"/>
      <c r="S39" s="8"/>
      <c r="T39" s="8"/>
      <c r="U39" s="8"/>
      <c r="V39" s="8"/>
      <c r="W39" s="6"/>
      <c r="X39" s="9"/>
      <c r="Y39" s="8"/>
      <c r="Z39" s="8"/>
      <c r="AA39" s="8"/>
      <c r="AB39" s="8"/>
      <c r="AC39" s="8"/>
      <c r="AD39" s="8">
        <v>2</v>
      </c>
      <c r="AE39" s="9">
        <v>2</v>
      </c>
      <c r="AF39" s="8"/>
      <c r="AG39" s="8">
        <v>2</v>
      </c>
      <c r="AH39" s="6"/>
      <c r="AI39" s="50">
        <f>0</f>
        <v>0</v>
      </c>
      <c r="AJ39" s="51">
        <f>SUM(D39:AH39)/8</f>
        <v>3.65625</v>
      </c>
      <c r="AK39" s="52">
        <f>AI39+AJ39</f>
        <v>3.65625</v>
      </c>
    </row>
    <row r="40" spans="1:37" s="7" customFormat="1" ht="13.5" customHeight="1" x14ac:dyDescent="0.2">
      <c r="A40" s="89"/>
      <c r="B40" s="89"/>
      <c r="C40" s="2" t="s">
        <v>9</v>
      </c>
      <c r="D40" s="8"/>
      <c r="E40" s="8"/>
      <c r="F40" s="8"/>
      <c r="G40" s="8"/>
      <c r="H40" s="8" t="s">
        <v>10</v>
      </c>
      <c r="I40" s="8" t="s">
        <v>10</v>
      </c>
      <c r="J40" s="8" t="s">
        <v>10</v>
      </c>
      <c r="K40" s="8" t="s">
        <v>10</v>
      </c>
      <c r="L40" s="8" t="s">
        <v>10</v>
      </c>
      <c r="M40" s="8" t="s">
        <v>10</v>
      </c>
      <c r="N40" s="8" t="s">
        <v>10</v>
      </c>
      <c r="O40" s="8" t="s">
        <v>10</v>
      </c>
      <c r="P40" s="8" t="s">
        <v>10</v>
      </c>
      <c r="Q40" s="8" t="s">
        <v>10</v>
      </c>
      <c r="R40" s="8" t="s">
        <v>10</v>
      </c>
      <c r="S40" s="8" t="s">
        <v>10</v>
      </c>
      <c r="T40" s="8" t="s">
        <v>10</v>
      </c>
      <c r="U40" s="8" t="s">
        <v>10</v>
      </c>
      <c r="V40" s="8"/>
      <c r="W40" s="6"/>
      <c r="X40" s="9"/>
      <c r="Y40" s="8"/>
      <c r="Z40" s="8"/>
      <c r="AA40" s="8"/>
      <c r="AB40" s="8"/>
      <c r="AC40" s="8" t="s">
        <v>10</v>
      </c>
      <c r="AD40" s="8" t="s">
        <v>10</v>
      </c>
      <c r="AE40" s="9" t="s">
        <v>10</v>
      </c>
      <c r="AF40" s="8" t="s">
        <v>10</v>
      </c>
      <c r="AG40" s="8" t="s">
        <v>10</v>
      </c>
      <c r="AH40" s="6" t="s">
        <v>10</v>
      </c>
      <c r="AI40" s="50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20</v>
      </c>
      <c r="AJ40" s="51">
        <f>0</f>
        <v>0</v>
      </c>
      <c r="AK40" s="52">
        <f>AI40+AJ40</f>
        <v>20</v>
      </c>
    </row>
    <row r="41" spans="1:37" s="7" customFormat="1" ht="13.5" customHeight="1" x14ac:dyDescent="0.2">
      <c r="A41" s="89"/>
      <c r="B41" s="89"/>
      <c r="C41" s="2" t="s">
        <v>11</v>
      </c>
      <c r="D41" s="8" t="s">
        <v>10</v>
      </c>
      <c r="E41" s="8">
        <v>0</v>
      </c>
      <c r="F41" s="8" t="s">
        <v>10</v>
      </c>
      <c r="G41" s="8" t="s">
        <v>10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6" t="s">
        <v>10</v>
      </c>
      <c r="X41" s="9" t="s">
        <v>10</v>
      </c>
      <c r="Y41" s="8" t="s">
        <v>10</v>
      </c>
      <c r="Z41" s="8" t="s">
        <v>10</v>
      </c>
      <c r="AA41" s="8" t="s">
        <v>10</v>
      </c>
      <c r="AB41" s="8" t="s">
        <v>10</v>
      </c>
      <c r="AC41" s="8"/>
      <c r="AD41" s="8"/>
      <c r="AE41" s="9"/>
      <c r="AF41" s="8"/>
      <c r="AG41" s="8"/>
      <c r="AH41" s="6"/>
      <c r="AI41" s="50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9</v>
      </c>
      <c r="AJ41" s="51">
        <f>0</f>
        <v>0</v>
      </c>
      <c r="AK41" s="52">
        <f>AI41+AJ41</f>
        <v>9</v>
      </c>
    </row>
    <row r="42" spans="1:37" s="7" customFormat="1" ht="13.5" customHeight="1" x14ac:dyDescent="0.2">
      <c r="A42" s="90"/>
      <c r="B42" s="96"/>
      <c r="C42" s="2" t="s">
        <v>12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6"/>
      <c r="X42" s="9"/>
      <c r="Y42" s="8"/>
      <c r="Z42" s="8"/>
      <c r="AA42" s="8"/>
      <c r="AB42" s="8"/>
      <c r="AC42" s="8"/>
      <c r="AD42" s="8"/>
      <c r="AE42" s="9"/>
      <c r="AF42" s="8"/>
      <c r="AG42" s="8"/>
      <c r="AH42" s="6"/>
      <c r="AI42" s="50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51">
        <f>0</f>
        <v>0</v>
      </c>
      <c r="AK42" s="52">
        <f>AI42+AJ42</f>
        <v>0</v>
      </c>
    </row>
    <row r="43" spans="1:37" s="7" customFormat="1" ht="13.5" customHeight="1" x14ac:dyDescent="0.2">
      <c r="A43" s="16"/>
      <c r="B43" s="17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20"/>
      <c r="Y43" s="19"/>
      <c r="Z43" s="19"/>
      <c r="AA43" s="19"/>
      <c r="AB43" s="19"/>
      <c r="AC43" s="19"/>
      <c r="AD43" s="19"/>
      <c r="AE43" s="20"/>
      <c r="AF43" s="19"/>
      <c r="AG43" s="19"/>
      <c r="AH43" s="20"/>
      <c r="AI43" s="53" t="str">
        <f>""</f>
        <v/>
      </c>
      <c r="AJ43" s="54" t="str">
        <f>""</f>
        <v/>
      </c>
      <c r="AK43" s="55" t="str">
        <f>""</f>
        <v/>
      </c>
    </row>
    <row r="44" spans="1:37" s="7" customFormat="1" ht="13.5" customHeight="1" x14ac:dyDescent="0.2">
      <c r="A44" s="94">
        <v>9</v>
      </c>
      <c r="B44" s="97" t="s">
        <v>21</v>
      </c>
      <c r="C44" s="2" t="s">
        <v>8</v>
      </c>
      <c r="D44" s="8">
        <v>2</v>
      </c>
      <c r="E44" s="8">
        <v>2</v>
      </c>
      <c r="F44" s="8">
        <v>2</v>
      </c>
      <c r="G44" s="8">
        <v>2</v>
      </c>
      <c r="H44" s="8"/>
      <c r="I44" s="8"/>
      <c r="J44" s="8"/>
      <c r="K44" s="8"/>
      <c r="L44" s="8"/>
      <c r="M44" s="8">
        <v>2</v>
      </c>
      <c r="N44" s="8">
        <v>2</v>
      </c>
      <c r="O44" s="8"/>
      <c r="P44" s="8"/>
      <c r="Q44" s="8">
        <v>2</v>
      </c>
      <c r="R44" s="8">
        <v>2</v>
      </c>
      <c r="S44" s="8">
        <v>2</v>
      </c>
      <c r="T44" s="8">
        <v>3.75</v>
      </c>
      <c r="U44" s="8">
        <v>2</v>
      </c>
      <c r="V44" s="8"/>
      <c r="W44" s="6"/>
      <c r="X44" s="9"/>
      <c r="Y44" s="8">
        <v>2</v>
      </c>
      <c r="Z44" s="8">
        <v>2</v>
      </c>
      <c r="AA44" s="8">
        <v>2</v>
      </c>
      <c r="AB44" s="8">
        <v>2</v>
      </c>
      <c r="AC44" s="8"/>
      <c r="AD44" s="8">
        <v>2</v>
      </c>
      <c r="AE44" s="9"/>
      <c r="AF44" s="8">
        <v>2</v>
      </c>
      <c r="AG44" s="8">
        <v>2</v>
      </c>
      <c r="AH44" s="6">
        <v>2</v>
      </c>
      <c r="AI44" s="50">
        <f>0</f>
        <v>0</v>
      </c>
      <c r="AJ44" s="51">
        <f>SUM(D44:AH44)/8</f>
        <v>4.96875</v>
      </c>
      <c r="AK44" s="52">
        <f>AI44+AJ44</f>
        <v>4.96875</v>
      </c>
    </row>
    <row r="45" spans="1:37" s="7" customFormat="1" ht="13.5" customHeight="1" x14ac:dyDescent="0.2">
      <c r="A45" s="89"/>
      <c r="B45" s="89"/>
      <c r="C45" s="2" t="s">
        <v>9</v>
      </c>
      <c r="D45" s="8"/>
      <c r="E45" s="8"/>
      <c r="F45" s="8"/>
      <c r="G45" s="8"/>
      <c r="H45" s="8" t="s">
        <v>10</v>
      </c>
      <c r="I45" s="8" t="s">
        <v>10</v>
      </c>
      <c r="J45" s="8" t="s">
        <v>10</v>
      </c>
      <c r="K45" s="8" t="s">
        <v>10</v>
      </c>
      <c r="L45" s="8" t="s">
        <v>10</v>
      </c>
      <c r="M45" s="8" t="s">
        <v>10</v>
      </c>
      <c r="N45" s="8" t="s">
        <v>10</v>
      </c>
      <c r="O45" s="8"/>
      <c r="P45" s="8"/>
      <c r="Q45" s="8"/>
      <c r="R45" s="8"/>
      <c r="S45" s="8"/>
      <c r="T45" s="8"/>
      <c r="U45" s="8"/>
      <c r="V45" s="8"/>
      <c r="W45" s="6"/>
      <c r="X45" s="9"/>
      <c r="Y45" s="8"/>
      <c r="Z45" s="8"/>
      <c r="AA45" s="8"/>
      <c r="AB45" s="8" t="s">
        <v>10</v>
      </c>
      <c r="AC45" s="8" t="s">
        <v>10</v>
      </c>
      <c r="AD45" s="8" t="s">
        <v>10</v>
      </c>
      <c r="AE45" s="9" t="s">
        <v>10</v>
      </c>
      <c r="AF45" s="8" t="s">
        <v>10</v>
      </c>
      <c r="AG45" s="8" t="s">
        <v>10</v>
      </c>
      <c r="AH45" s="6" t="s">
        <v>10</v>
      </c>
      <c r="AI45" s="50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14</v>
      </c>
      <c r="AJ45" s="51">
        <f>0</f>
        <v>0</v>
      </c>
      <c r="AK45" s="52">
        <f>AI45+AJ45</f>
        <v>14</v>
      </c>
    </row>
    <row r="46" spans="1:37" s="7" customFormat="1" ht="13.5" customHeight="1" x14ac:dyDescent="0.2">
      <c r="A46" s="89"/>
      <c r="B46" s="89"/>
      <c r="C46" s="2" t="s">
        <v>11</v>
      </c>
      <c r="D46" s="8" t="s">
        <v>10</v>
      </c>
      <c r="E46" s="8" t="s">
        <v>10</v>
      </c>
      <c r="F46" s="8" t="s">
        <v>10</v>
      </c>
      <c r="G46" s="8" t="s">
        <v>10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6" t="s">
        <v>10</v>
      </c>
      <c r="X46" s="9" t="s">
        <v>10</v>
      </c>
      <c r="Y46" s="8" t="s">
        <v>10</v>
      </c>
      <c r="Z46" s="8" t="s">
        <v>10</v>
      </c>
      <c r="AA46" s="8" t="s">
        <v>10</v>
      </c>
      <c r="AB46" s="8"/>
      <c r="AC46" s="8"/>
      <c r="AD46" s="8"/>
      <c r="AE46" s="9"/>
      <c r="AF46" s="8"/>
      <c r="AG46" s="8"/>
      <c r="AH46" s="6"/>
      <c r="AI46" s="50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9</v>
      </c>
      <c r="AJ46" s="51">
        <f>0</f>
        <v>0</v>
      </c>
      <c r="AK46" s="52">
        <f>AI46+AJ46</f>
        <v>9</v>
      </c>
    </row>
    <row r="47" spans="1:37" s="7" customFormat="1" ht="13.5" customHeight="1" x14ac:dyDescent="0.2">
      <c r="A47" s="90"/>
      <c r="B47" s="96"/>
      <c r="C47" s="2" t="s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 t="s">
        <v>10</v>
      </c>
      <c r="P47" s="8" t="s">
        <v>10</v>
      </c>
      <c r="Q47" s="8" t="s">
        <v>10</v>
      </c>
      <c r="R47" s="8" t="s">
        <v>10</v>
      </c>
      <c r="S47" s="8" t="s">
        <v>10</v>
      </c>
      <c r="T47" s="8" t="s">
        <v>10</v>
      </c>
      <c r="U47" s="8" t="s">
        <v>10</v>
      </c>
      <c r="V47" s="8"/>
      <c r="W47" s="6"/>
      <c r="X47" s="9"/>
      <c r="Y47" s="8"/>
      <c r="Z47" s="8"/>
      <c r="AA47" s="6"/>
      <c r="AB47" s="8"/>
      <c r="AC47" s="8"/>
      <c r="AD47" s="8"/>
      <c r="AE47" s="9"/>
      <c r="AF47" s="8"/>
      <c r="AG47" s="8"/>
      <c r="AH47" s="6"/>
      <c r="AI47" s="50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7</v>
      </c>
      <c r="AJ47" s="51">
        <f>0</f>
        <v>0</v>
      </c>
      <c r="AK47" s="52">
        <f>AI47+AJ47</f>
        <v>7</v>
      </c>
    </row>
    <row r="48" spans="1:37" s="7" customFormat="1" ht="13.5" customHeight="1" x14ac:dyDescent="0.2">
      <c r="A48" s="16"/>
      <c r="B48" s="17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X48" s="20"/>
      <c r="Y48" s="19"/>
      <c r="Z48" s="19"/>
      <c r="AA48" s="20"/>
      <c r="AB48" s="19"/>
      <c r="AC48" s="19"/>
      <c r="AD48" s="19"/>
      <c r="AE48" s="20"/>
      <c r="AF48" s="19"/>
      <c r="AG48" s="19"/>
      <c r="AH48" s="20"/>
      <c r="AI48" s="53" t="str">
        <f>""</f>
        <v/>
      </c>
      <c r="AJ48" s="54" t="str">
        <f>""</f>
        <v/>
      </c>
      <c r="AK48" s="55" t="str">
        <f>""</f>
        <v/>
      </c>
    </row>
    <row r="49" spans="1:44" s="7" customFormat="1" ht="13.5" customHeight="1" x14ac:dyDescent="0.2">
      <c r="A49" s="94">
        <v>10</v>
      </c>
      <c r="B49" s="97" t="s">
        <v>22</v>
      </c>
      <c r="C49" s="2" t="s">
        <v>8</v>
      </c>
      <c r="D49" s="8">
        <v>2</v>
      </c>
      <c r="E49" s="8">
        <v>2</v>
      </c>
      <c r="F49" s="8">
        <v>2</v>
      </c>
      <c r="G49" s="8"/>
      <c r="H49" s="8"/>
      <c r="I49" s="8"/>
      <c r="J49" s="8"/>
      <c r="K49" s="8"/>
      <c r="L49" s="8">
        <v>2</v>
      </c>
      <c r="M49" s="8">
        <v>2</v>
      </c>
      <c r="N49" s="8">
        <v>2</v>
      </c>
      <c r="O49" s="8"/>
      <c r="P49" s="8">
        <v>2</v>
      </c>
      <c r="Q49" s="8">
        <v>3.25</v>
      </c>
      <c r="R49" s="8">
        <v>2</v>
      </c>
      <c r="S49" s="8">
        <v>2</v>
      </c>
      <c r="T49" s="8">
        <v>2</v>
      </c>
      <c r="U49" s="8"/>
      <c r="V49" s="8"/>
      <c r="W49" s="6">
        <v>2</v>
      </c>
      <c r="X49" s="9"/>
      <c r="Y49" s="8">
        <v>2</v>
      </c>
      <c r="Z49" s="8">
        <v>2</v>
      </c>
      <c r="AA49" s="6">
        <v>2</v>
      </c>
      <c r="AB49" s="8"/>
      <c r="AC49" s="8"/>
      <c r="AD49" s="8">
        <v>2</v>
      </c>
      <c r="AE49" s="9">
        <v>2</v>
      </c>
      <c r="AF49" s="8">
        <v>2</v>
      </c>
      <c r="AG49" s="8">
        <v>2</v>
      </c>
      <c r="AH49" s="6">
        <v>2</v>
      </c>
      <c r="AI49" s="50">
        <f>0</f>
        <v>0</v>
      </c>
      <c r="AJ49" s="51">
        <f>SUM(D49:AH49)/8</f>
        <v>5.15625</v>
      </c>
      <c r="AK49" s="52">
        <f>AI49+AJ49</f>
        <v>5.15625</v>
      </c>
    </row>
    <row r="50" spans="1:44" s="7" customFormat="1" ht="13.5" customHeight="1" x14ac:dyDescent="0.2">
      <c r="A50" s="89"/>
      <c r="B50" s="89"/>
      <c r="C50" s="2" t="s">
        <v>9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 t="s">
        <v>10</v>
      </c>
      <c r="P50" s="8" t="s">
        <v>10</v>
      </c>
      <c r="Q50" s="8" t="s">
        <v>10</v>
      </c>
      <c r="R50" s="8" t="s">
        <v>10</v>
      </c>
      <c r="S50" s="8" t="s">
        <v>10</v>
      </c>
      <c r="T50" s="8" t="s">
        <v>10</v>
      </c>
      <c r="U50" s="8" t="s">
        <v>10</v>
      </c>
      <c r="V50" s="8"/>
      <c r="W50" s="6"/>
      <c r="X50" s="9"/>
      <c r="Y50" s="8"/>
      <c r="Z50" s="8"/>
      <c r="AA50" s="6"/>
      <c r="AB50" s="8"/>
      <c r="AC50" s="8"/>
      <c r="AD50" s="8"/>
      <c r="AE50" s="9"/>
      <c r="AF50" s="8"/>
      <c r="AG50" s="8"/>
      <c r="AH50" s="6"/>
      <c r="AI50" s="50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7</v>
      </c>
      <c r="AJ50" s="51">
        <f>0</f>
        <v>0</v>
      </c>
      <c r="AK50" s="52">
        <f>AI50+AJ50</f>
        <v>7</v>
      </c>
    </row>
    <row r="51" spans="1:44" s="7" customFormat="1" ht="13.5" customHeight="1" x14ac:dyDescent="0.2">
      <c r="A51" s="89"/>
      <c r="B51" s="89"/>
      <c r="C51" s="2" t="s">
        <v>11</v>
      </c>
      <c r="D51" s="8"/>
      <c r="E51" s="8"/>
      <c r="F51" s="8"/>
      <c r="G51" s="8"/>
      <c r="H51" s="8" t="s">
        <v>10</v>
      </c>
      <c r="I51" s="8" t="s">
        <v>15</v>
      </c>
      <c r="J51" s="8" t="s">
        <v>15</v>
      </c>
      <c r="K51" s="8" t="s">
        <v>10</v>
      </c>
      <c r="L51" s="8" t="s">
        <v>10</v>
      </c>
      <c r="M51" s="8" t="s">
        <v>10</v>
      </c>
      <c r="N51" s="8" t="s">
        <v>10</v>
      </c>
      <c r="O51" s="8"/>
      <c r="P51" s="8"/>
      <c r="Q51" s="8"/>
      <c r="R51" s="8"/>
      <c r="S51" s="8"/>
      <c r="T51" s="8"/>
      <c r="U51" s="8"/>
      <c r="V51" s="8"/>
      <c r="W51" s="6"/>
      <c r="X51" s="9"/>
      <c r="Y51" s="8"/>
      <c r="Z51" s="8"/>
      <c r="AA51" s="6"/>
      <c r="AB51" s="8"/>
      <c r="AC51" s="8" t="s">
        <v>10</v>
      </c>
      <c r="AD51" s="8" t="s">
        <v>10</v>
      </c>
      <c r="AE51" s="9" t="s">
        <v>10</v>
      </c>
      <c r="AF51" s="8" t="s">
        <v>10</v>
      </c>
      <c r="AG51" s="8" t="s">
        <v>10</v>
      </c>
      <c r="AH51" s="6" t="s">
        <v>10</v>
      </c>
      <c r="AI51" s="50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12</v>
      </c>
      <c r="AJ51" s="51">
        <f>0</f>
        <v>0</v>
      </c>
      <c r="AK51" s="52">
        <f>AI51+AJ51</f>
        <v>12</v>
      </c>
    </row>
    <row r="52" spans="1:44" s="7" customFormat="1" ht="13.5" customHeight="1" x14ac:dyDescent="0.2">
      <c r="A52" s="90"/>
      <c r="B52" s="96"/>
      <c r="C52" s="2" t="s">
        <v>12</v>
      </c>
      <c r="D52" s="8" t="s">
        <v>10</v>
      </c>
      <c r="E52" s="8" t="s">
        <v>10</v>
      </c>
      <c r="F52" s="8" t="s">
        <v>10</v>
      </c>
      <c r="G52" s="8" t="s">
        <v>10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6"/>
      <c r="W52" s="6" t="s">
        <v>10</v>
      </c>
      <c r="X52" s="9" t="s">
        <v>10</v>
      </c>
      <c r="Y52" s="8" t="s">
        <v>10</v>
      </c>
      <c r="Z52" s="8" t="s">
        <v>10</v>
      </c>
      <c r="AA52" s="6" t="s">
        <v>10</v>
      </c>
      <c r="AB52" s="8" t="s">
        <v>10</v>
      </c>
      <c r="AC52" s="8"/>
      <c r="AD52" s="8"/>
      <c r="AE52" s="9"/>
      <c r="AF52" s="8"/>
      <c r="AG52" s="8"/>
      <c r="AH52" s="6"/>
      <c r="AI52" s="50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10</v>
      </c>
      <c r="AJ52" s="51">
        <f>0</f>
        <v>0</v>
      </c>
      <c r="AK52" s="52">
        <f>AI52+AJ52</f>
        <v>10</v>
      </c>
    </row>
    <row r="53" spans="1:44" s="7" customFormat="1" ht="13.5" customHeight="1" x14ac:dyDescent="0.2">
      <c r="A53" s="16"/>
      <c r="B53" s="17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20"/>
      <c r="X53" s="20"/>
      <c r="Y53" s="19"/>
      <c r="Z53" s="19"/>
      <c r="AA53" s="20"/>
      <c r="AB53" s="19"/>
      <c r="AC53" s="19"/>
      <c r="AD53" s="19"/>
      <c r="AE53" s="20"/>
      <c r="AF53" s="19"/>
      <c r="AG53" s="19"/>
      <c r="AH53" s="20"/>
      <c r="AI53" s="53" t="str">
        <f>""</f>
        <v/>
      </c>
      <c r="AJ53" s="54" t="str">
        <f>""</f>
        <v/>
      </c>
      <c r="AK53" s="55" t="str">
        <f>""</f>
        <v/>
      </c>
    </row>
    <row r="54" spans="1:44" s="7" customFormat="1" ht="12" customHeight="1" x14ac:dyDescent="0.2">
      <c r="A54" s="94">
        <v>11</v>
      </c>
      <c r="B54" s="97" t="s">
        <v>23</v>
      </c>
      <c r="C54" s="2" t="s">
        <v>8</v>
      </c>
      <c r="D54" s="8">
        <v>2</v>
      </c>
      <c r="E54" s="8">
        <v>2</v>
      </c>
      <c r="F54" s="8">
        <v>2</v>
      </c>
      <c r="G54" s="8"/>
      <c r="H54" s="8"/>
      <c r="I54" s="8"/>
      <c r="J54" s="8"/>
      <c r="K54" s="8"/>
      <c r="L54" s="8">
        <v>2</v>
      </c>
      <c r="M54" s="8"/>
      <c r="N54" s="8"/>
      <c r="O54" s="8"/>
      <c r="P54" s="8">
        <v>2</v>
      </c>
      <c r="Q54" s="8">
        <v>3.75</v>
      </c>
      <c r="R54" s="8">
        <v>2</v>
      </c>
      <c r="S54" s="8">
        <v>2</v>
      </c>
      <c r="T54" s="8">
        <v>2</v>
      </c>
      <c r="U54" s="8">
        <v>2</v>
      </c>
      <c r="V54" s="8"/>
      <c r="W54" s="6"/>
      <c r="X54" s="9">
        <v>2</v>
      </c>
      <c r="Y54" s="8">
        <v>2</v>
      </c>
      <c r="Z54" s="8"/>
      <c r="AA54" s="8">
        <v>2</v>
      </c>
      <c r="AB54" s="8"/>
      <c r="AC54" s="8"/>
      <c r="AD54" s="8">
        <v>2</v>
      </c>
      <c r="AE54" s="9">
        <v>2</v>
      </c>
      <c r="AF54" s="8">
        <v>2</v>
      </c>
      <c r="AG54" s="8">
        <v>2</v>
      </c>
      <c r="AH54" s="6">
        <v>2</v>
      </c>
      <c r="AI54" s="50">
        <f>0</f>
        <v>0</v>
      </c>
      <c r="AJ54" s="51">
        <f>SUM(D54:AH54)/8</f>
        <v>4.71875</v>
      </c>
      <c r="AK54" s="52">
        <f>AI54+AJ54</f>
        <v>4.71875</v>
      </c>
      <c r="AR54" s="10"/>
    </row>
    <row r="55" spans="1:44" s="7" customFormat="1" ht="13.5" customHeight="1" x14ac:dyDescent="0.2">
      <c r="A55" s="89"/>
      <c r="B55" s="89"/>
      <c r="C55" s="2" t="s">
        <v>9</v>
      </c>
      <c r="D55" s="8" t="s">
        <v>10</v>
      </c>
      <c r="E55" s="8" t="s">
        <v>10</v>
      </c>
      <c r="F55" s="8" t="s">
        <v>10</v>
      </c>
      <c r="G55" s="8" t="s">
        <v>10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 t="s">
        <v>15</v>
      </c>
      <c r="W55" s="6" t="s">
        <v>10</v>
      </c>
      <c r="X55" s="9" t="s">
        <v>10</v>
      </c>
      <c r="Y55" s="8" t="s">
        <v>10</v>
      </c>
      <c r="Z55" s="8" t="s">
        <v>10</v>
      </c>
      <c r="AA55" s="8" t="s">
        <v>10</v>
      </c>
      <c r="AB55" s="8" t="s">
        <v>10</v>
      </c>
      <c r="AC55" s="8"/>
      <c r="AD55" s="8"/>
      <c r="AE55" s="9"/>
      <c r="AF55" s="8"/>
      <c r="AG55" s="8"/>
      <c r="AH55" s="6"/>
      <c r="AI55" s="50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10.5</v>
      </c>
      <c r="AJ55" s="51">
        <f>0</f>
        <v>0</v>
      </c>
      <c r="AK55" s="52">
        <f>AI55+AJ55</f>
        <v>10.5</v>
      </c>
      <c r="AR55" s="10"/>
    </row>
    <row r="56" spans="1:44" s="7" customFormat="1" ht="13.5" customHeight="1" x14ac:dyDescent="0.2">
      <c r="A56" s="89"/>
      <c r="B56" s="89"/>
      <c r="C56" s="2" t="s">
        <v>11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 t="s">
        <v>10</v>
      </c>
      <c r="P56" s="8" t="s">
        <v>10</v>
      </c>
      <c r="Q56" s="8" t="s">
        <v>10</v>
      </c>
      <c r="R56" s="8" t="s">
        <v>10</v>
      </c>
      <c r="S56" s="8" t="s">
        <v>10</v>
      </c>
      <c r="T56" s="8" t="s">
        <v>10</v>
      </c>
      <c r="U56" s="8" t="s">
        <v>10</v>
      </c>
      <c r="V56" s="8"/>
      <c r="W56" s="6"/>
      <c r="X56" s="9"/>
      <c r="Y56" s="8"/>
      <c r="Z56" s="8"/>
      <c r="AA56" s="8"/>
      <c r="AB56" s="8"/>
      <c r="AC56" s="8"/>
      <c r="AD56" s="8"/>
      <c r="AE56" s="9"/>
      <c r="AF56" s="8"/>
      <c r="AG56" s="8"/>
      <c r="AH56" s="6"/>
      <c r="AI56" s="50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7</v>
      </c>
      <c r="AJ56" s="51">
        <f>0</f>
        <v>0</v>
      </c>
      <c r="AK56" s="52">
        <f>AI56+AJ56</f>
        <v>7</v>
      </c>
      <c r="AR56" s="10"/>
    </row>
    <row r="57" spans="1:44" s="7" customFormat="1" ht="13.5" customHeight="1" x14ac:dyDescent="0.2">
      <c r="A57" s="90"/>
      <c r="B57" s="96"/>
      <c r="C57" s="2" t="s">
        <v>12</v>
      </c>
      <c r="D57" s="8"/>
      <c r="E57" s="8"/>
      <c r="F57" s="8"/>
      <c r="G57" s="8"/>
      <c r="H57" s="8" t="s">
        <v>10</v>
      </c>
      <c r="I57" s="8" t="s">
        <v>10</v>
      </c>
      <c r="J57" s="13" t="s">
        <v>10</v>
      </c>
      <c r="K57" s="13" t="s">
        <v>10</v>
      </c>
      <c r="L57" s="13" t="s">
        <v>10</v>
      </c>
      <c r="M57" s="8" t="s">
        <v>10</v>
      </c>
      <c r="N57" s="13" t="s">
        <v>10</v>
      </c>
      <c r="O57" s="13"/>
      <c r="P57" s="13"/>
      <c r="Q57" s="13"/>
      <c r="R57" s="8"/>
      <c r="S57" s="8"/>
      <c r="T57" s="8"/>
      <c r="U57" s="8"/>
      <c r="V57" s="6"/>
      <c r="W57" s="6"/>
      <c r="X57" s="9"/>
      <c r="Y57" s="8"/>
      <c r="Z57" s="8"/>
      <c r="AA57" s="8"/>
      <c r="AB57" s="8"/>
      <c r="AC57" s="8" t="s">
        <v>10</v>
      </c>
      <c r="AD57" s="8" t="s">
        <v>10</v>
      </c>
      <c r="AE57" s="9" t="s">
        <v>10</v>
      </c>
      <c r="AF57" s="8" t="s">
        <v>10</v>
      </c>
      <c r="AG57" s="8" t="s">
        <v>10</v>
      </c>
      <c r="AH57" s="6" t="s">
        <v>10</v>
      </c>
      <c r="AI57" s="50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13</v>
      </c>
      <c r="AJ57" s="51">
        <f>0</f>
        <v>0</v>
      </c>
      <c r="AK57" s="52">
        <f>AI57+AJ57</f>
        <v>13</v>
      </c>
    </row>
    <row r="58" spans="1:44" s="7" customFormat="1" ht="13.5" customHeight="1" x14ac:dyDescent="0.2">
      <c r="A58" s="16"/>
      <c r="B58" s="17"/>
      <c r="C58" s="18"/>
      <c r="D58" s="19"/>
      <c r="E58" s="19"/>
      <c r="F58" s="19"/>
      <c r="G58" s="19"/>
      <c r="H58" s="19"/>
      <c r="I58" s="19"/>
      <c r="J58" s="22"/>
      <c r="K58" s="22"/>
      <c r="L58" s="22"/>
      <c r="M58" s="19"/>
      <c r="N58" s="22"/>
      <c r="O58" s="22"/>
      <c r="P58" s="22"/>
      <c r="Q58" s="22"/>
      <c r="R58" s="19"/>
      <c r="S58" s="19"/>
      <c r="T58" s="19"/>
      <c r="U58" s="19"/>
      <c r="V58" s="20"/>
      <c r="W58" s="20"/>
      <c r="X58" s="20"/>
      <c r="Y58" s="19"/>
      <c r="Z58" s="19"/>
      <c r="AA58" s="19"/>
      <c r="AB58" s="19"/>
      <c r="AC58" s="19"/>
      <c r="AD58" s="19"/>
      <c r="AE58" s="20"/>
      <c r="AF58" s="19"/>
      <c r="AG58" s="19"/>
      <c r="AH58" s="20"/>
      <c r="AI58" s="53" t="str">
        <f>""</f>
        <v/>
      </c>
      <c r="AJ58" s="54" t="str">
        <f>""</f>
        <v/>
      </c>
      <c r="AK58" s="55" t="str">
        <f>""</f>
        <v/>
      </c>
    </row>
    <row r="59" spans="1:44" ht="13.5" customHeight="1" x14ac:dyDescent="0.2">
      <c r="A59" s="94">
        <v>12</v>
      </c>
      <c r="B59" s="88" t="s">
        <v>24</v>
      </c>
      <c r="C59" s="2" t="s">
        <v>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>
        <v>3.5</v>
      </c>
      <c r="R59" s="8"/>
      <c r="S59" s="8"/>
      <c r="T59" s="8"/>
      <c r="U59" s="8"/>
      <c r="V59" s="4"/>
      <c r="W59" s="6"/>
      <c r="X59" s="9"/>
      <c r="Y59" s="8"/>
      <c r="Z59" s="8"/>
      <c r="AA59" s="8">
        <v>-1.25</v>
      </c>
      <c r="AB59" s="8"/>
      <c r="AC59" s="8"/>
      <c r="AD59" s="8">
        <v>2</v>
      </c>
      <c r="AE59" s="9"/>
      <c r="AF59" s="8">
        <v>2</v>
      </c>
      <c r="AG59" s="8"/>
      <c r="AH59" s="4"/>
      <c r="AI59" s="50">
        <f>0</f>
        <v>0</v>
      </c>
      <c r="AJ59" s="51">
        <f>SUM(D59:AH59)/8</f>
        <v>0.78125</v>
      </c>
      <c r="AK59" s="52">
        <f>AI59+AJ59</f>
        <v>0.78125</v>
      </c>
    </row>
    <row r="60" spans="1:44" ht="13.5" customHeight="1" x14ac:dyDescent="0.2">
      <c r="A60" s="89"/>
      <c r="B60" s="89"/>
      <c r="C60" s="2" t="s">
        <v>9</v>
      </c>
      <c r="D60" s="8">
        <v>0</v>
      </c>
      <c r="E60" s="8" t="s">
        <v>10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4" t="s">
        <v>15</v>
      </c>
      <c r="W60" s="6" t="s">
        <v>10</v>
      </c>
      <c r="X60" s="9" t="s">
        <v>10</v>
      </c>
      <c r="Y60" s="8">
        <v>0</v>
      </c>
      <c r="Z60" s="8" t="s">
        <v>10</v>
      </c>
      <c r="AA60" s="8" t="s">
        <v>10</v>
      </c>
      <c r="AB60" s="8" t="s">
        <v>10</v>
      </c>
      <c r="AC60" s="8"/>
      <c r="AD60" s="8"/>
      <c r="AE60" s="9"/>
      <c r="AF60" s="8"/>
      <c r="AG60" s="8"/>
      <c r="AH60" s="4"/>
      <c r="AI60" s="50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6.5</v>
      </c>
      <c r="AJ60" s="51">
        <f>0</f>
        <v>0</v>
      </c>
      <c r="AK60" s="52">
        <f>AI60+AJ60</f>
        <v>6.5</v>
      </c>
    </row>
    <row r="61" spans="1:44" ht="13.5" customHeight="1" x14ac:dyDescent="0.2">
      <c r="A61" s="89"/>
      <c r="B61" s="89"/>
      <c r="C61" s="2" t="s">
        <v>11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 t="s">
        <v>15</v>
      </c>
      <c r="Q61" s="8"/>
      <c r="R61" s="8"/>
      <c r="S61" s="8"/>
      <c r="T61" s="8"/>
      <c r="U61" s="8"/>
      <c r="V61" s="4"/>
      <c r="W61" s="6"/>
      <c r="X61" s="9"/>
      <c r="Y61" s="8"/>
      <c r="Z61" s="8"/>
      <c r="AA61" s="8"/>
      <c r="AB61" s="8"/>
      <c r="AC61" s="8"/>
      <c r="AD61" s="8"/>
      <c r="AE61" s="9"/>
      <c r="AF61" s="8"/>
      <c r="AG61" s="8"/>
      <c r="AH61" s="4"/>
      <c r="AI61" s="50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0.5</v>
      </c>
      <c r="AJ61" s="51">
        <f>0</f>
        <v>0</v>
      </c>
      <c r="AK61" s="52">
        <f>AI61+AJ61</f>
        <v>0.5</v>
      </c>
    </row>
    <row r="62" spans="1:44" s="7" customFormat="1" ht="13.5" customHeight="1" x14ac:dyDescent="0.2">
      <c r="A62" s="90"/>
      <c r="B62" s="90"/>
      <c r="C62" s="2" t="s">
        <v>12</v>
      </c>
      <c r="D62" s="8"/>
      <c r="E62" s="8"/>
      <c r="F62" s="8" t="s">
        <v>10</v>
      </c>
      <c r="G62" s="8" t="s">
        <v>10</v>
      </c>
      <c r="H62" s="8" t="s">
        <v>50</v>
      </c>
      <c r="I62" s="8" t="s">
        <v>10</v>
      </c>
      <c r="J62" s="8" t="s">
        <v>10</v>
      </c>
      <c r="K62" s="8" t="s">
        <v>10</v>
      </c>
      <c r="L62" s="8" t="s">
        <v>10</v>
      </c>
      <c r="M62" s="8" t="s">
        <v>10</v>
      </c>
      <c r="N62" s="8" t="s">
        <v>10</v>
      </c>
      <c r="O62" s="8"/>
      <c r="P62" s="8"/>
      <c r="Q62" s="8" t="s">
        <v>10</v>
      </c>
      <c r="R62" s="8" t="s">
        <v>10</v>
      </c>
      <c r="S62" s="8" t="s">
        <v>10</v>
      </c>
      <c r="T62" s="8" t="s">
        <v>10</v>
      </c>
      <c r="U62" s="8" t="s">
        <v>10</v>
      </c>
      <c r="V62" s="6"/>
      <c r="W62" s="6"/>
      <c r="X62" s="9"/>
      <c r="Y62" s="8"/>
      <c r="Z62" s="8"/>
      <c r="AA62" s="8"/>
      <c r="AB62" s="8"/>
      <c r="AC62" s="8" t="s">
        <v>10</v>
      </c>
      <c r="AD62" s="8" t="s">
        <v>10</v>
      </c>
      <c r="AE62" s="9" t="s">
        <v>10</v>
      </c>
      <c r="AF62" s="8" t="s">
        <v>10</v>
      </c>
      <c r="AG62" s="8" t="s">
        <v>10</v>
      </c>
      <c r="AH62" s="6" t="s">
        <v>10</v>
      </c>
      <c r="AI62" s="50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20</v>
      </c>
      <c r="AJ62" s="51">
        <f>0</f>
        <v>0</v>
      </c>
      <c r="AK62" s="52">
        <f>AI62+AJ62</f>
        <v>20</v>
      </c>
    </row>
    <row r="63" spans="1:44" s="7" customFormat="1" ht="13.5" customHeight="1" x14ac:dyDescent="0.2">
      <c r="A63" s="16"/>
      <c r="B63" s="23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  <c r="W63" s="20"/>
      <c r="X63" s="20"/>
      <c r="Y63" s="19"/>
      <c r="Z63" s="19"/>
      <c r="AA63" s="19"/>
      <c r="AB63" s="19"/>
      <c r="AC63" s="19"/>
      <c r="AD63" s="19"/>
      <c r="AE63" s="20"/>
      <c r="AF63" s="19"/>
      <c r="AG63" s="19"/>
      <c r="AH63" s="20"/>
      <c r="AI63" s="53" t="str">
        <f>""</f>
        <v/>
      </c>
      <c r="AJ63" s="54" t="str">
        <f>""</f>
        <v/>
      </c>
      <c r="AK63" s="55" t="str">
        <f>""</f>
        <v/>
      </c>
    </row>
    <row r="64" spans="1:44" ht="13.5" customHeight="1" x14ac:dyDescent="0.2">
      <c r="A64" s="94">
        <v>13</v>
      </c>
      <c r="B64" s="94" t="s">
        <v>26</v>
      </c>
      <c r="C64" s="2" t="s">
        <v>8</v>
      </c>
      <c r="D64" s="8">
        <v>2</v>
      </c>
      <c r="E64" s="8">
        <v>2</v>
      </c>
      <c r="F64" s="8">
        <v>2</v>
      </c>
      <c r="G64" s="8"/>
      <c r="H64" s="8"/>
      <c r="I64" s="8"/>
      <c r="J64" s="8"/>
      <c r="K64" s="8"/>
      <c r="L64" s="8">
        <v>2</v>
      </c>
      <c r="M64" s="8">
        <v>2</v>
      </c>
      <c r="N64" s="8"/>
      <c r="O64" s="8"/>
      <c r="P64" s="8">
        <v>2</v>
      </c>
      <c r="Q64" s="8">
        <v>3</v>
      </c>
      <c r="R64" s="8">
        <v>2</v>
      </c>
      <c r="S64" s="8">
        <v>2</v>
      </c>
      <c r="T64" s="8">
        <v>2</v>
      </c>
      <c r="U64" s="8"/>
      <c r="V64" s="4"/>
      <c r="W64" s="6"/>
      <c r="X64" s="9">
        <v>2</v>
      </c>
      <c r="Y64" s="8">
        <v>2</v>
      </c>
      <c r="Z64" s="8">
        <v>2</v>
      </c>
      <c r="AA64" s="8">
        <v>2</v>
      </c>
      <c r="AB64" s="8">
        <v>2</v>
      </c>
      <c r="AC64" s="8"/>
      <c r="AD64" s="8">
        <v>2</v>
      </c>
      <c r="AE64" s="9"/>
      <c r="AF64" s="8">
        <v>2</v>
      </c>
      <c r="AG64" s="8">
        <v>2</v>
      </c>
      <c r="AH64" s="4">
        <v>2</v>
      </c>
      <c r="AI64" s="50">
        <f>0</f>
        <v>0</v>
      </c>
      <c r="AJ64" s="51">
        <f>SUM(D64:AH64)/8</f>
        <v>4.875</v>
      </c>
      <c r="AK64" s="52">
        <f>AI64+AJ64</f>
        <v>4.875</v>
      </c>
    </row>
    <row r="65" spans="1:37" ht="13.5" customHeight="1" x14ac:dyDescent="0.2">
      <c r="A65" s="89"/>
      <c r="B65" s="89"/>
      <c r="C65" s="2" t="s">
        <v>9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 t="s">
        <v>10</v>
      </c>
      <c r="P65" s="8" t="s">
        <v>10</v>
      </c>
      <c r="Q65" s="8" t="s">
        <v>10</v>
      </c>
      <c r="R65" s="8" t="s">
        <v>10</v>
      </c>
      <c r="S65" s="8" t="s">
        <v>10</v>
      </c>
      <c r="T65" s="8" t="s">
        <v>10</v>
      </c>
      <c r="U65" s="8" t="s">
        <v>10</v>
      </c>
      <c r="V65" s="4"/>
      <c r="W65" s="6"/>
      <c r="X65" s="9"/>
      <c r="Y65" s="8"/>
      <c r="Z65" s="8"/>
      <c r="AA65" s="8"/>
      <c r="AB65" s="8"/>
      <c r="AC65" s="8"/>
      <c r="AD65" s="8"/>
      <c r="AE65" s="9"/>
      <c r="AF65" s="8"/>
      <c r="AG65" s="8"/>
      <c r="AH65" s="4"/>
      <c r="AI65" s="50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7</v>
      </c>
      <c r="AJ65" s="51">
        <f>0</f>
        <v>0</v>
      </c>
      <c r="AK65" s="52">
        <f>AI65+AJ65</f>
        <v>7</v>
      </c>
    </row>
    <row r="66" spans="1:37" ht="12.75" customHeight="1" x14ac:dyDescent="0.2">
      <c r="A66" s="89"/>
      <c r="B66" s="89"/>
      <c r="C66" s="2" t="s">
        <v>11</v>
      </c>
      <c r="D66" s="8"/>
      <c r="E66" s="8"/>
      <c r="F66" s="8"/>
      <c r="G66" s="8"/>
      <c r="H66" s="8"/>
      <c r="I66" s="8">
        <v>0</v>
      </c>
      <c r="J66" s="8" t="s">
        <v>10</v>
      </c>
      <c r="K66" s="8" t="s">
        <v>10</v>
      </c>
      <c r="L66" s="8" t="s">
        <v>10</v>
      </c>
      <c r="M66" s="8" t="s">
        <v>10</v>
      </c>
      <c r="N66" s="8" t="s">
        <v>10</v>
      </c>
      <c r="O66" s="8"/>
      <c r="P66" s="8"/>
      <c r="Q66" s="8"/>
      <c r="R66" s="8"/>
      <c r="S66" s="8"/>
      <c r="T66" s="8"/>
      <c r="U66" s="8"/>
      <c r="V66" s="4"/>
      <c r="W66" s="6"/>
      <c r="X66" s="9"/>
      <c r="Y66" s="8"/>
      <c r="Z66" s="8"/>
      <c r="AA66" s="8"/>
      <c r="AB66" s="8"/>
      <c r="AC66" s="8"/>
      <c r="AD66" s="8" t="s">
        <v>10</v>
      </c>
      <c r="AE66" s="9" t="s">
        <v>10</v>
      </c>
      <c r="AF66" s="8" t="s">
        <v>10</v>
      </c>
      <c r="AG66" s="8" t="s">
        <v>10</v>
      </c>
      <c r="AH66" s="4" t="s">
        <v>10</v>
      </c>
      <c r="AI66" s="50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10</v>
      </c>
      <c r="AJ66" s="51">
        <f>0</f>
        <v>0</v>
      </c>
      <c r="AK66" s="52">
        <f>AI66+AJ66</f>
        <v>10</v>
      </c>
    </row>
    <row r="67" spans="1:37" s="7" customFormat="1" ht="13.5" customHeight="1" x14ac:dyDescent="0.2">
      <c r="A67" s="90"/>
      <c r="B67" s="90"/>
      <c r="C67" s="2" t="s">
        <v>12</v>
      </c>
      <c r="D67" s="8" t="s">
        <v>10</v>
      </c>
      <c r="E67" s="8" t="s">
        <v>10</v>
      </c>
      <c r="F67" s="8" t="s">
        <v>10</v>
      </c>
      <c r="G67" s="8" t="s">
        <v>10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6"/>
      <c r="W67" s="6" t="s">
        <v>10</v>
      </c>
      <c r="X67" s="9" t="s">
        <v>10</v>
      </c>
      <c r="Y67" s="8" t="s">
        <v>10</v>
      </c>
      <c r="Z67" s="8" t="s">
        <v>10</v>
      </c>
      <c r="AA67" s="6" t="s">
        <v>10</v>
      </c>
      <c r="AB67" s="8" t="s">
        <v>10</v>
      </c>
      <c r="AC67" s="8"/>
      <c r="AD67" s="8"/>
      <c r="AE67" s="9"/>
      <c r="AF67" s="8"/>
      <c r="AG67" s="8"/>
      <c r="AH67" s="6"/>
      <c r="AI67" s="50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10</v>
      </c>
      <c r="AJ67" s="51">
        <f>0</f>
        <v>0</v>
      </c>
      <c r="AK67" s="52">
        <f>AI67+AJ67</f>
        <v>10</v>
      </c>
    </row>
    <row r="68" spans="1:37" ht="20.25" customHeight="1" x14ac:dyDescent="0.2">
      <c r="A68" s="11" t="s">
        <v>27</v>
      </c>
      <c r="B68" s="11" t="s">
        <v>28</v>
      </c>
      <c r="AH68" s="12" t="s">
        <v>4</v>
      </c>
      <c r="AI68" s="52" t="str">
        <f>""</f>
        <v/>
      </c>
      <c r="AJ68" s="52" t="str">
        <f>""</f>
        <v/>
      </c>
      <c r="AK68" s="52" t="str">
        <f>""</f>
        <v/>
      </c>
    </row>
    <row r="69" spans="1:37" x14ac:dyDescent="0.2">
      <c r="A69" s="11"/>
      <c r="B69" s="11"/>
      <c r="AI69" s="45"/>
      <c r="AJ69" s="45"/>
      <c r="AK69" s="45"/>
    </row>
    <row r="70" spans="1:37" x14ac:dyDescent="0.2">
      <c r="AI70" s="45"/>
      <c r="AJ70" s="45"/>
      <c r="AK70" s="45"/>
    </row>
    <row r="71" spans="1:37" ht="14.25" customHeight="1" x14ac:dyDescent="0.2">
      <c r="AI71" s="45"/>
      <c r="AJ71" s="45"/>
      <c r="AK71" s="45"/>
    </row>
    <row r="72" spans="1:37" ht="14.25" customHeight="1" x14ac:dyDescent="0.2">
      <c r="A72" s="103"/>
      <c r="B72" s="104"/>
      <c r="C72" s="104"/>
      <c r="D72" s="10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106"/>
      <c r="AJ72" s="108"/>
      <c r="AK72" s="107"/>
    </row>
    <row r="73" spans="1:37" ht="14.25" customHeight="1" x14ac:dyDescent="0.2">
      <c r="A73" s="100"/>
      <c r="B73" s="105"/>
      <c r="C73" s="105"/>
      <c r="D73" s="91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3"/>
      <c r="AI73" s="89"/>
      <c r="AJ73" s="99"/>
      <c r="AK73" s="89"/>
    </row>
    <row r="74" spans="1:37" ht="14.25" customHeight="1" x14ac:dyDescent="0.25">
      <c r="A74" s="2"/>
      <c r="B74" s="2"/>
      <c r="C74" s="3"/>
      <c r="D74" s="14">
        <f t="shared" ref="D74:AH74" si="1">+C74+1</f>
        <v>1</v>
      </c>
      <c r="E74" s="14">
        <f t="shared" si="1"/>
        <v>2</v>
      </c>
      <c r="F74" s="14">
        <f t="shared" si="1"/>
        <v>3</v>
      </c>
      <c r="G74" s="14">
        <f t="shared" si="1"/>
        <v>4</v>
      </c>
      <c r="H74" s="14">
        <f t="shared" si="1"/>
        <v>5</v>
      </c>
      <c r="I74" s="14">
        <f t="shared" si="1"/>
        <v>6</v>
      </c>
      <c r="J74" s="14">
        <f t="shared" si="1"/>
        <v>7</v>
      </c>
      <c r="K74" s="14">
        <f t="shared" si="1"/>
        <v>8</v>
      </c>
      <c r="L74" s="14">
        <f t="shared" si="1"/>
        <v>9</v>
      </c>
      <c r="M74" s="14">
        <f t="shared" si="1"/>
        <v>10</v>
      </c>
      <c r="N74" s="14">
        <f t="shared" si="1"/>
        <v>11</v>
      </c>
      <c r="O74" s="14">
        <f t="shared" si="1"/>
        <v>12</v>
      </c>
      <c r="P74" s="14">
        <f t="shared" si="1"/>
        <v>13</v>
      </c>
      <c r="Q74" s="14">
        <f t="shared" si="1"/>
        <v>14</v>
      </c>
      <c r="R74" s="14">
        <f t="shared" si="1"/>
        <v>15</v>
      </c>
      <c r="S74" s="14">
        <f t="shared" si="1"/>
        <v>16</v>
      </c>
      <c r="T74" s="14">
        <f t="shared" si="1"/>
        <v>17</v>
      </c>
      <c r="U74" s="14">
        <f t="shared" si="1"/>
        <v>18</v>
      </c>
      <c r="V74" s="14">
        <f t="shared" si="1"/>
        <v>19</v>
      </c>
      <c r="W74" s="14">
        <f t="shared" si="1"/>
        <v>20</v>
      </c>
      <c r="X74" s="14">
        <f t="shared" si="1"/>
        <v>21</v>
      </c>
      <c r="Y74" s="14">
        <f t="shared" si="1"/>
        <v>22</v>
      </c>
      <c r="Z74" s="14">
        <f t="shared" si="1"/>
        <v>23</v>
      </c>
      <c r="AA74" s="14">
        <f t="shared" si="1"/>
        <v>24</v>
      </c>
      <c r="AB74" s="14">
        <f t="shared" si="1"/>
        <v>25</v>
      </c>
      <c r="AC74" s="14">
        <f t="shared" si="1"/>
        <v>26</v>
      </c>
      <c r="AD74" s="14">
        <f t="shared" si="1"/>
        <v>27</v>
      </c>
      <c r="AE74" s="14">
        <f t="shared" si="1"/>
        <v>28</v>
      </c>
      <c r="AF74" s="14">
        <f t="shared" si="1"/>
        <v>29</v>
      </c>
      <c r="AG74" s="14">
        <f t="shared" si="1"/>
        <v>30</v>
      </c>
      <c r="AH74" s="14">
        <f t="shared" si="1"/>
        <v>31</v>
      </c>
      <c r="AI74" s="90"/>
      <c r="AJ74" s="100"/>
      <c r="AK74" s="90"/>
    </row>
    <row r="75" spans="1:37" ht="14.25" customHeight="1" x14ac:dyDescent="0.2">
      <c r="A75" s="94"/>
      <c r="B75" s="95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ref="AJ75:AJ82" si="2">SUM(D75:AH75)/8</f>
        <v>0</v>
      </c>
      <c r="AK75" s="52">
        <f t="shared" ref="AK75:AK106" si="3">AI75+AJ75</f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2"/>
        <v>0</v>
      </c>
      <c r="AK76" s="52">
        <f t="shared" si="3"/>
        <v>0</v>
      </c>
    </row>
    <row r="77" spans="1:37" ht="14.25" customHeight="1" x14ac:dyDescent="0.2">
      <c r="A77" s="89"/>
      <c r="B77" s="89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8"/>
      <c r="AF77" s="8"/>
      <c r="AG77" s="8"/>
      <c r="AH77" s="4"/>
      <c r="AI77" s="50">
        <f>0</f>
        <v>0</v>
      </c>
      <c r="AJ77" s="51">
        <f t="shared" si="2"/>
        <v>0</v>
      </c>
      <c r="AK77" s="52">
        <f t="shared" si="3"/>
        <v>0</v>
      </c>
    </row>
    <row r="78" spans="1:37" ht="14.25" customHeight="1" x14ac:dyDescent="0.2">
      <c r="A78" s="90"/>
      <c r="B78" s="96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2"/>
        <v>0</v>
      </c>
      <c r="AK78" s="52">
        <f t="shared" si="3"/>
        <v>0</v>
      </c>
    </row>
    <row r="79" spans="1:37" ht="14.25" customHeight="1" x14ac:dyDescent="0.2">
      <c r="A79" s="94"/>
      <c r="B79" s="97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2"/>
        <v>0</v>
      </c>
      <c r="AK79" s="52">
        <f t="shared" si="3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2"/>
        <v>0</v>
      </c>
      <c r="AK80" s="52">
        <f t="shared" si="3"/>
        <v>0</v>
      </c>
    </row>
    <row r="81" spans="1:37" ht="14.25" customHeight="1" x14ac:dyDescent="0.2">
      <c r="A81" s="89"/>
      <c r="B81" s="89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2"/>
        <v>0</v>
      </c>
      <c r="AK81" s="52">
        <f t="shared" si="3"/>
        <v>0</v>
      </c>
    </row>
    <row r="82" spans="1:37" ht="14.25" customHeight="1" x14ac:dyDescent="0.2">
      <c r="A82" s="90"/>
      <c r="B82" s="96"/>
      <c r="C82" s="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>
        <f t="shared" si="2"/>
        <v>0</v>
      </c>
      <c r="AK82" s="52">
        <f t="shared" si="3"/>
        <v>0</v>
      </c>
    </row>
    <row r="83" spans="1:37" ht="14.25" customHeight="1" x14ac:dyDescent="0.2">
      <c r="A83" s="94"/>
      <c r="B83" s="97"/>
      <c r="C83" s="2"/>
      <c r="D83" s="8"/>
      <c r="E83" s="8"/>
      <c r="F83" s="8"/>
      <c r="G83" s="8"/>
      <c r="H83" s="8"/>
      <c r="I83" s="8"/>
      <c r="J83" s="8"/>
      <c r="K83" s="8"/>
      <c r="L83" s="1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/>
      <c r="AK83" s="52">
        <f t="shared" si="3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3"/>
        <v>0</v>
      </c>
    </row>
    <row r="85" spans="1:37" ht="14.25" customHeight="1" x14ac:dyDescent="0.2">
      <c r="A85" s="89"/>
      <c r="B85" s="89"/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3"/>
        <v>0</v>
      </c>
    </row>
    <row r="86" spans="1:37" ht="14.25" customHeight="1" x14ac:dyDescent="0.2">
      <c r="A86" s="90"/>
      <c r="B86" s="96"/>
      <c r="C86" s="2"/>
      <c r="D86" s="8"/>
      <c r="E86" s="8"/>
      <c r="F86" s="8"/>
      <c r="G86" s="8"/>
      <c r="H86" s="8"/>
      <c r="I86" s="8"/>
      <c r="J86" s="8"/>
      <c r="K86" s="8"/>
      <c r="L86" s="1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3"/>
        <v>0</v>
      </c>
    </row>
    <row r="87" spans="1:37" ht="14.25" customHeight="1" x14ac:dyDescent="0.2">
      <c r="A87" s="94"/>
      <c r="B87" s="97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3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3"/>
        <v>0</v>
      </c>
    </row>
    <row r="89" spans="1:37" ht="14.25" customHeight="1" x14ac:dyDescent="0.2">
      <c r="A89" s="89"/>
      <c r="B89" s="89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3"/>
        <v>0</v>
      </c>
    </row>
    <row r="90" spans="1:37" ht="14.25" customHeight="1" x14ac:dyDescent="0.2">
      <c r="A90" s="90"/>
      <c r="B90" s="96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3"/>
        <v>0</v>
      </c>
    </row>
    <row r="91" spans="1:37" ht="14.25" customHeight="1" x14ac:dyDescent="0.2">
      <c r="A91" s="94"/>
      <c r="B91" s="97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3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3"/>
        <v>0</v>
      </c>
    </row>
    <row r="93" spans="1:37" ht="14.25" customHeight="1" x14ac:dyDescent="0.2">
      <c r="A93" s="89"/>
      <c r="B93" s="89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3"/>
        <v>0</v>
      </c>
    </row>
    <row r="94" spans="1:37" ht="14.25" customHeight="1" x14ac:dyDescent="0.2">
      <c r="A94" s="90"/>
      <c r="B94" s="96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3"/>
        <v>0</v>
      </c>
    </row>
    <row r="95" spans="1:37" ht="14.25" customHeight="1" x14ac:dyDescent="0.2">
      <c r="A95" s="94"/>
      <c r="B95" s="97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3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3"/>
        <v>0</v>
      </c>
    </row>
    <row r="97" spans="1:37" ht="14.25" customHeight="1" x14ac:dyDescent="0.2">
      <c r="A97" s="89"/>
      <c r="B97" s="89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3"/>
        <v>0</v>
      </c>
    </row>
    <row r="98" spans="1:37" ht="14.25" customHeight="1" x14ac:dyDescent="0.2">
      <c r="A98" s="90"/>
      <c r="B98" s="96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3"/>
        <v>0</v>
      </c>
    </row>
    <row r="99" spans="1:37" ht="14.25" customHeight="1" x14ac:dyDescent="0.2">
      <c r="A99" s="94"/>
      <c r="B99" s="97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3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3"/>
        <v>0</v>
      </c>
    </row>
    <row r="101" spans="1:37" ht="14.25" customHeight="1" x14ac:dyDescent="0.2">
      <c r="A101" s="89"/>
      <c r="B101" s="89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3"/>
        <v>0</v>
      </c>
    </row>
    <row r="102" spans="1:37" ht="14.25" customHeight="1" x14ac:dyDescent="0.2">
      <c r="A102" s="90"/>
      <c r="B102" s="96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3"/>
        <v>0</v>
      </c>
    </row>
    <row r="103" spans="1:37" ht="14.25" customHeight="1" x14ac:dyDescent="0.2">
      <c r="A103" s="94"/>
      <c r="B103" s="97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3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3"/>
        <v>0</v>
      </c>
    </row>
    <row r="105" spans="1:37" ht="14.25" customHeight="1" x14ac:dyDescent="0.2">
      <c r="A105" s="89"/>
      <c r="B105" s="89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3"/>
        <v>0</v>
      </c>
    </row>
    <row r="106" spans="1:37" ht="14.25" customHeight="1" x14ac:dyDescent="0.2">
      <c r="A106" s="90"/>
      <c r="B106" s="96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si="3"/>
        <v>0</v>
      </c>
    </row>
    <row r="107" spans="1:37" ht="14.25" customHeight="1" x14ac:dyDescent="0.2">
      <c r="A107" s="94"/>
      <c r="B107" s="97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ref="AK107:AK126" si="4">AI107+AJ107</f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4"/>
        <v>0</v>
      </c>
    </row>
    <row r="109" spans="1:37" ht="14.25" customHeight="1" x14ac:dyDescent="0.2">
      <c r="A109" s="89"/>
      <c r="B109" s="89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8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4"/>
        <v>0</v>
      </c>
    </row>
    <row r="110" spans="1:37" ht="14.25" customHeight="1" x14ac:dyDescent="0.2">
      <c r="A110" s="90"/>
      <c r="B110" s="96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4"/>
        <v>0</v>
      </c>
    </row>
    <row r="111" spans="1:37" ht="14.25" customHeight="1" x14ac:dyDescent="0.2">
      <c r="A111" s="94"/>
      <c r="B111" s="97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4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4"/>
        <v>0</v>
      </c>
    </row>
    <row r="113" spans="1:37" ht="14.25" customHeight="1" x14ac:dyDescent="0.2">
      <c r="A113" s="89"/>
      <c r="B113" s="89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4"/>
        <v>0</v>
      </c>
    </row>
    <row r="114" spans="1:37" ht="14.25" customHeight="1" x14ac:dyDescent="0.2">
      <c r="A114" s="90"/>
      <c r="B114" s="96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6"/>
      <c r="W114" s="6"/>
      <c r="X114" s="9"/>
      <c r="Y114" s="8"/>
      <c r="Z114" s="8"/>
      <c r="AA114" s="6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4"/>
        <v>0</v>
      </c>
    </row>
    <row r="115" spans="1:37" ht="14.25" customHeight="1" x14ac:dyDescent="0.2">
      <c r="A115" s="94"/>
      <c r="B115" s="97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4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4"/>
        <v>0</v>
      </c>
    </row>
    <row r="117" spans="1:37" ht="14.25" customHeight="1" x14ac:dyDescent="0.2">
      <c r="A117" s="89"/>
      <c r="B117" s="89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4"/>
        <v>0</v>
      </c>
    </row>
    <row r="118" spans="1:37" ht="14.25" customHeight="1" x14ac:dyDescent="0.2">
      <c r="A118" s="90"/>
      <c r="B118" s="96"/>
      <c r="C118" s="2"/>
      <c r="D118" s="8"/>
      <c r="E118" s="8"/>
      <c r="F118" s="8"/>
      <c r="G118" s="8"/>
      <c r="H118" s="8"/>
      <c r="I118" s="8"/>
      <c r="J118" s="13"/>
      <c r="K118" s="13"/>
      <c r="L118" s="13"/>
      <c r="M118" s="8"/>
      <c r="N118" s="13"/>
      <c r="O118" s="13"/>
      <c r="P118" s="13"/>
      <c r="Q118" s="13"/>
      <c r="R118" s="8"/>
      <c r="S118" s="8"/>
      <c r="T118" s="8"/>
      <c r="U118" s="8"/>
      <c r="V118" s="6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6"/>
      <c r="AI118" s="50">
        <f>0</f>
        <v>0</v>
      </c>
      <c r="AJ118" s="51">
        <f>0</f>
        <v>0</v>
      </c>
      <c r="AK118" s="52">
        <f t="shared" si="4"/>
        <v>0</v>
      </c>
    </row>
    <row r="119" spans="1:37" ht="14.25" customHeight="1" x14ac:dyDescent="0.2">
      <c r="A119" s="94"/>
      <c r="B119" s="88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4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4"/>
        <v>0</v>
      </c>
    </row>
    <row r="121" spans="1:37" ht="14.25" customHeight="1" x14ac:dyDescent="0.2">
      <c r="A121" s="89"/>
      <c r="B121" s="89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4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4"/>
      <c r="AI121" s="50">
        <f>0</f>
        <v>0</v>
      </c>
      <c r="AJ121" s="51">
        <f>0</f>
        <v>0</v>
      </c>
      <c r="AK121" s="52">
        <f t="shared" si="4"/>
        <v>0</v>
      </c>
    </row>
    <row r="122" spans="1:37" ht="14.25" customHeight="1" x14ac:dyDescent="0.2">
      <c r="A122" s="90"/>
      <c r="B122" s="90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6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6"/>
      <c r="AI122" s="50">
        <f>0</f>
        <v>0</v>
      </c>
      <c r="AJ122" s="51">
        <f>0</f>
        <v>0</v>
      </c>
      <c r="AK122" s="52">
        <f t="shared" si="4"/>
        <v>0</v>
      </c>
    </row>
    <row r="123" spans="1:37" ht="14.25" customHeight="1" x14ac:dyDescent="0.2">
      <c r="A123" s="94"/>
      <c r="B123" s="94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4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4"/>
        <v>0</v>
      </c>
    </row>
    <row r="125" spans="1:37" ht="14.25" customHeight="1" x14ac:dyDescent="0.2">
      <c r="A125" s="89"/>
      <c r="B125" s="89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4"/>
      <c r="W125" s="6"/>
      <c r="X125" s="9"/>
      <c r="Y125" s="8"/>
      <c r="Z125" s="8"/>
      <c r="AA125" s="8"/>
      <c r="AB125" s="8"/>
      <c r="AC125" s="8"/>
      <c r="AD125" s="8"/>
      <c r="AE125" s="9"/>
      <c r="AF125" s="8"/>
      <c r="AG125" s="8"/>
      <c r="AH125" s="4"/>
      <c r="AI125" s="50">
        <f>0</f>
        <v>0</v>
      </c>
      <c r="AJ125" s="51">
        <f>0</f>
        <v>0</v>
      </c>
      <c r="AK125" s="52">
        <f t="shared" si="4"/>
        <v>0</v>
      </c>
    </row>
    <row r="126" spans="1:37" ht="14.25" customHeight="1" x14ac:dyDescent="0.2">
      <c r="A126" s="90"/>
      <c r="B126" s="90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6"/>
      <c r="W126" s="6"/>
      <c r="X126" s="9"/>
      <c r="Y126" s="8"/>
      <c r="Z126" s="8"/>
      <c r="AA126" s="6"/>
      <c r="AB126" s="8"/>
      <c r="AC126" s="8"/>
      <c r="AD126" s="8"/>
      <c r="AE126" s="9"/>
      <c r="AF126" s="8"/>
      <c r="AG126" s="8"/>
      <c r="AH126" s="6"/>
      <c r="AI126" s="50">
        <f>0</f>
        <v>0</v>
      </c>
      <c r="AJ126" s="51">
        <f>0</f>
        <v>0</v>
      </c>
      <c r="AK126" s="52">
        <f t="shared" si="4"/>
        <v>0</v>
      </c>
    </row>
    <row r="127" spans="1:37" x14ac:dyDescent="0.2">
      <c r="A127" s="11"/>
      <c r="B127" s="11"/>
      <c r="AH127" s="12"/>
      <c r="AI127" s="52"/>
      <c r="AJ127" s="52">
        <f>SUM(AJ75:AJ126)</f>
        <v>0</v>
      </c>
      <c r="AK127" s="52">
        <f>SUM(AK75:AK126)</f>
        <v>0</v>
      </c>
    </row>
    <row r="128" spans="1:37" x14ac:dyDescent="0.2">
      <c r="A128" s="11"/>
      <c r="B128" s="11"/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4.25" customHeight="1" x14ac:dyDescent="0.2">
      <c r="AI134" s="45"/>
      <c r="AJ134" s="45"/>
      <c r="AK134" s="45"/>
    </row>
    <row r="135" spans="35:37" ht="14.25" customHeight="1" x14ac:dyDescent="0.2">
      <c r="AI135" s="45"/>
      <c r="AJ135" s="45"/>
      <c r="AK135" s="45"/>
    </row>
    <row r="136" spans="35:37" ht="14.25" customHeight="1" x14ac:dyDescent="0.2">
      <c r="AI136" s="45"/>
      <c r="AJ136" s="45"/>
      <c r="AK136" s="45"/>
    </row>
    <row r="137" spans="35:37" ht="14.25" customHeight="1" x14ac:dyDescent="0.2">
      <c r="AI137" s="45"/>
      <c r="AJ137" s="45"/>
      <c r="AK137" s="45"/>
    </row>
    <row r="138" spans="35:37" ht="14.25" customHeight="1" x14ac:dyDescent="0.2">
      <c r="AI138" s="45"/>
      <c r="AJ138" s="45"/>
      <c r="AK138" s="45"/>
    </row>
    <row r="139" spans="35:37" ht="14.25" customHeight="1" x14ac:dyDescent="0.2">
      <c r="AI139" s="45"/>
      <c r="AJ139" s="45"/>
      <c r="AK139" s="45"/>
    </row>
    <row r="140" spans="35:37" ht="14.25" customHeight="1" x14ac:dyDescent="0.2">
      <c r="AI140" s="45"/>
      <c r="AJ140" s="45"/>
      <c r="AK140" s="45"/>
    </row>
    <row r="141" spans="35:37" ht="14.25" customHeight="1" x14ac:dyDescent="0.2">
      <c r="AI141" s="45"/>
      <c r="AJ141" s="45"/>
      <c r="AK141" s="45"/>
    </row>
    <row r="142" spans="35:37" ht="14.25" customHeight="1" x14ac:dyDescent="0.2">
      <c r="AI142" s="45"/>
      <c r="AJ142" s="45"/>
      <c r="AK142" s="45"/>
    </row>
    <row r="143" spans="35:37" ht="14.25" customHeight="1" x14ac:dyDescent="0.2">
      <c r="AI143" s="45"/>
      <c r="AJ143" s="45"/>
      <c r="AK143" s="45"/>
    </row>
    <row r="144" spans="35:37" ht="14.25" customHeight="1" x14ac:dyDescent="0.2">
      <c r="AI144" s="45"/>
      <c r="AJ144" s="45"/>
      <c r="AK144" s="45"/>
    </row>
    <row r="145" spans="35:37" ht="14.25" customHeight="1" x14ac:dyDescent="0.2">
      <c r="AI145" s="45"/>
      <c r="AJ145" s="45"/>
      <c r="AK145" s="45"/>
    </row>
    <row r="146" spans="35:37" ht="14.25" customHeight="1" x14ac:dyDescent="0.2">
      <c r="AI146" s="45"/>
      <c r="AJ146" s="45"/>
      <c r="AK146" s="45"/>
    </row>
    <row r="147" spans="35:37" ht="14.25" customHeight="1" x14ac:dyDescent="0.2">
      <c r="AI147" s="45"/>
      <c r="AJ147" s="45"/>
      <c r="AK147" s="45"/>
    </row>
    <row r="148" spans="35:37" ht="14.25" customHeight="1" x14ac:dyDescent="0.2">
      <c r="AI148" s="45"/>
      <c r="AJ148" s="45"/>
      <c r="AK148" s="45"/>
    </row>
    <row r="149" spans="35:37" ht="14.25" customHeight="1" x14ac:dyDescent="0.2">
      <c r="AI149" s="45"/>
      <c r="AJ149" s="45"/>
      <c r="AK149" s="45"/>
    </row>
    <row r="150" spans="35:37" ht="14.25" customHeight="1" x14ac:dyDescent="0.2">
      <c r="AI150" s="45"/>
      <c r="AJ150" s="45"/>
      <c r="AK150" s="45"/>
    </row>
    <row r="151" spans="35:37" ht="14.25" customHeight="1" x14ac:dyDescent="0.2">
      <c r="AI151" s="45"/>
      <c r="AJ151" s="45"/>
      <c r="AK151" s="45"/>
    </row>
    <row r="152" spans="35:37" ht="14.25" customHeight="1" x14ac:dyDescent="0.2">
      <c r="AI152" s="45"/>
      <c r="AJ152" s="45"/>
      <c r="AK152" s="45"/>
    </row>
    <row r="153" spans="35:37" ht="14.25" customHeight="1" x14ac:dyDescent="0.2">
      <c r="AI153" s="45"/>
      <c r="AJ153" s="45"/>
      <c r="AK153" s="45"/>
    </row>
    <row r="154" spans="35:37" ht="14.25" customHeight="1" x14ac:dyDescent="0.2">
      <c r="AI154" s="45"/>
      <c r="AJ154" s="45"/>
      <c r="AK154" s="45"/>
    </row>
    <row r="155" spans="35:37" ht="14.25" customHeight="1" x14ac:dyDescent="0.2">
      <c r="AI155" s="45"/>
      <c r="AJ155" s="45"/>
      <c r="AK155" s="45"/>
    </row>
    <row r="156" spans="35:37" ht="14.25" customHeight="1" x14ac:dyDescent="0.2">
      <c r="AI156" s="45"/>
      <c r="AJ156" s="45"/>
      <c r="AK156" s="45"/>
    </row>
    <row r="157" spans="35:37" ht="14.25" customHeight="1" x14ac:dyDescent="0.2">
      <c r="AI157" s="45"/>
      <c r="AJ157" s="45"/>
      <c r="AK157" s="45"/>
    </row>
    <row r="158" spans="35:37" ht="14.25" customHeight="1" x14ac:dyDescent="0.2">
      <c r="AI158" s="45"/>
      <c r="AJ158" s="45"/>
      <c r="AK158" s="45"/>
    </row>
    <row r="159" spans="35:37" ht="14.25" customHeight="1" x14ac:dyDescent="0.2">
      <c r="AI159" s="45"/>
      <c r="AJ159" s="45"/>
      <c r="AK159" s="45"/>
    </row>
    <row r="160" spans="35:37" ht="14.25" customHeight="1" x14ac:dyDescent="0.2">
      <c r="AI160" s="45"/>
      <c r="AJ160" s="45"/>
      <c r="AK160" s="45"/>
    </row>
    <row r="161" spans="35:37" ht="14.25" customHeight="1" x14ac:dyDescent="0.2">
      <c r="AI161" s="45"/>
      <c r="AJ161" s="45"/>
      <c r="AK161" s="45"/>
    </row>
    <row r="162" spans="35:37" ht="14.25" customHeight="1" x14ac:dyDescent="0.2">
      <c r="AI162" s="45"/>
      <c r="AJ162" s="45"/>
      <c r="AK162" s="45"/>
    </row>
    <row r="163" spans="35:37" ht="14.25" customHeight="1" x14ac:dyDescent="0.2">
      <c r="AI163" s="45"/>
      <c r="AJ163" s="45"/>
      <c r="AK163" s="45"/>
    </row>
    <row r="164" spans="35:37" ht="14.25" customHeight="1" x14ac:dyDescent="0.2">
      <c r="AI164" s="45"/>
      <c r="AJ164" s="45"/>
      <c r="AK164" s="45"/>
    </row>
    <row r="165" spans="35:37" ht="14.25" customHeight="1" x14ac:dyDescent="0.2">
      <c r="AI165" s="45"/>
      <c r="AJ165" s="45"/>
      <c r="AK165" s="45"/>
    </row>
    <row r="166" spans="35:37" ht="14.25" customHeight="1" x14ac:dyDescent="0.2">
      <c r="AI166" s="45"/>
      <c r="AJ166" s="45"/>
      <c r="AK166" s="45"/>
    </row>
    <row r="167" spans="35:37" ht="14.25" customHeight="1" x14ac:dyDescent="0.2">
      <c r="AI167" s="45"/>
      <c r="AJ167" s="45"/>
      <c r="AK167" s="45"/>
    </row>
    <row r="168" spans="35:37" ht="14.25" customHeight="1" x14ac:dyDescent="0.2">
      <c r="AI168" s="45"/>
      <c r="AJ168" s="45"/>
      <c r="AK168" s="45"/>
    </row>
    <row r="169" spans="35:37" ht="14.25" customHeight="1" x14ac:dyDescent="0.2">
      <c r="AI169" s="45"/>
      <c r="AJ169" s="45"/>
      <c r="AK169" s="45"/>
    </row>
    <row r="170" spans="35:37" ht="14.25" customHeight="1" x14ac:dyDescent="0.2">
      <c r="AI170" s="45"/>
      <c r="AJ170" s="45"/>
      <c r="AK170" s="45"/>
    </row>
    <row r="171" spans="35:37" ht="14.25" customHeight="1" x14ac:dyDescent="0.2">
      <c r="AI171" s="45"/>
      <c r="AJ171" s="45"/>
      <c r="AK171" s="45"/>
    </row>
    <row r="172" spans="35:37" ht="14.25" customHeight="1" x14ac:dyDescent="0.2">
      <c r="AI172" s="45"/>
      <c r="AJ172" s="45"/>
      <c r="AK172" s="45"/>
    </row>
    <row r="173" spans="35:37" ht="14.25" customHeight="1" x14ac:dyDescent="0.2">
      <c r="AI173" s="45"/>
      <c r="AJ173" s="45"/>
      <c r="AK173" s="45"/>
    </row>
    <row r="174" spans="35:37" ht="14.25" customHeight="1" x14ac:dyDescent="0.2">
      <c r="AI174" s="45"/>
      <c r="AJ174" s="45"/>
      <c r="AK174" s="45"/>
    </row>
    <row r="175" spans="35:37" ht="14.25" customHeight="1" x14ac:dyDescent="0.2">
      <c r="AI175" s="45"/>
      <c r="AJ175" s="45"/>
      <c r="AK175" s="45"/>
    </row>
    <row r="176" spans="35:37" ht="14.25" customHeight="1" x14ac:dyDescent="0.2">
      <c r="AI176" s="45"/>
      <c r="AJ176" s="45"/>
      <c r="AK176" s="45"/>
    </row>
    <row r="177" spans="35:37" ht="14.25" customHeight="1" x14ac:dyDescent="0.2">
      <c r="AI177" s="45"/>
      <c r="AJ177" s="45"/>
      <c r="AK177" s="45"/>
    </row>
    <row r="178" spans="35:37" ht="14.25" customHeight="1" x14ac:dyDescent="0.2">
      <c r="AI178" s="45"/>
      <c r="AJ178" s="45"/>
      <c r="AK178" s="45"/>
    </row>
    <row r="179" spans="35:37" ht="14.25" customHeight="1" x14ac:dyDescent="0.2">
      <c r="AI179" s="45"/>
      <c r="AJ179" s="45"/>
      <c r="AK179" s="45"/>
    </row>
    <row r="180" spans="35:37" ht="14.25" customHeight="1" x14ac:dyDescent="0.2">
      <c r="AI180" s="45"/>
      <c r="AJ180" s="45"/>
      <c r="AK180" s="45"/>
    </row>
    <row r="181" spans="35:37" ht="14.25" customHeight="1" x14ac:dyDescent="0.2">
      <c r="AI181" s="45"/>
      <c r="AJ181" s="45"/>
      <c r="AK181" s="45"/>
    </row>
    <row r="182" spans="35:37" ht="14.25" customHeight="1" x14ac:dyDescent="0.2">
      <c r="AI182" s="45"/>
      <c r="AJ182" s="45"/>
      <c r="AK182" s="45"/>
    </row>
    <row r="183" spans="35:37" ht="14.25" customHeight="1" x14ac:dyDescent="0.2">
      <c r="AI183" s="45"/>
      <c r="AJ183" s="45"/>
      <c r="AK183" s="45"/>
    </row>
    <row r="184" spans="35:37" ht="14.25" customHeight="1" x14ac:dyDescent="0.2">
      <c r="AI184" s="45"/>
      <c r="AJ184" s="45"/>
      <c r="AK184" s="45"/>
    </row>
    <row r="185" spans="35:37" ht="14.25" customHeight="1" x14ac:dyDescent="0.2">
      <c r="AI185" s="45"/>
      <c r="AJ185" s="45"/>
      <c r="AK185" s="45"/>
    </row>
    <row r="186" spans="35:37" ht="14.25" customHeight="1" x14ac:dyDescent="0.2">
      <c r="AI186" s="45"/>
      <c r="AJ186" s="45"/>
      <c r="AK186" s="45"/>
    </row>
    <row r="187" spans="35:37" ht="14.25" customHeight="1" x14ac:dyDescent="0.2">
      <c r="AI187" s="45"/>
      <c r="AJ187" s="45"/>
      <c r="AK187" s="45"/>
    </row>
    <row r="188" spans="35:37" ht="14.25" customHeight="1" x14ac:dyDescent="0.2">
      <c r="AI188" s="45"/>
      <c r="AJ188" s="45"/>
      <c r="AK188" s="45"/>
    </row>
    <row r="189" spans="35:37" ht="14.25" customHeight="1" x14ac:dyDescent="0.2">
      <c r="AI189" s="45"/>
      <c r="AJ189" s="45"/>
      <c r="AK189" s="45"/>
    </row>
    <row r="190" spans="35:37" ht="14.25" customHeight="1" x14ac:dyDescent="0.2">
      <c r="AI190" s="45"/>
      <c r="AJ190" s="45"/>
      <c r="AK190" s="45"/>
    </row>
    <row r="191" spans="35:37" ht="14.25" customHeight="1" x14ac:dyDescent="0.2">
      <c r="AI191" s="45"/>
      <c r="AJ191" s="45"/>
      <c r="AK191" s="45"/>
    </row>
    <row r="192" spans="35:37" ht="14.25" customHeight="1" x14ac:dyDescent="0.2">
      <c r="AI192" s="45"/>
      <c r="AJ192" s="45"/>
      <c r="AK192" s="45"/>
    </row>
    <row r="193" spans="4:37" ht="14.25" customHeight="1" x14ac:dyDescent="0.2">
      <c r="AI193" s="45"/>
      <c r="AJ193" s="45"/>
      <c r="AK193" s="45"/>
    </row>
    <row r="194" spans="4:37" ht="14.25" customHeight="1" x14ac:dyDescent="0.2">
      <c r="AI194" s="45"/>
      <c r="AJ194" s="45"/>
      <c r="AK194" s="45"/>
    </row>
    <row r="195" spans="4:37" ht="14.25" customHeight="1" x14ac:dyDescent="0.2">
      <c r="AI195" s="45"/>
      <c r="AJ195" s="45"/>
      <c r="AK195" s="45"/>
    </row>
    <row r="196" spans="4:37" ht="14.25" customHeight="1" x14ac:dyDescent="0.2">
      <c r="AI196" s="45"/>
      <c r="AJ196" s="45"/>
      <c r="AK196" s="45"/>
    </row>
    <row r="197" spans="4:37" ht="14.25" customHeight="1" x14ac:dyDescent="0.2">
      <c r="AI197" s="45"/>
      <c r="AJ197" s="45"/>
      <c r="AK197" s="45"/>
    </row>
    <row r="198" spans="4:37" ht="14.25" customHeight="1" x14ac:dyDescent="0.2">
      <c r="AI198" s="45"/>
      <c r="AJ198" s="45"/>
      <c r="AK198" s="45"/>
    </row>
    <row r="199" spans="4:37" ht="14.25" customHeight="1" x14ac:dyDescent="0.2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5"/>
      <c r="AJ199" s="45"/>
      <c r="AK199" s="45"/>
    </row>
    <row r="200" spans="4:37" ht="14.25" customHeight="1" x14ac:dyDescent="0.2"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4:37" ht="14.25" customHeight="1" x14ac:dyDescent="0.2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4:37" ht="14.25" customHeight="1" x14ac:dyDescent="0.2"/>
    <row r="203" spans="4:37" ht="14.25" customHeight="1" x14ac:dyDescent="0.2"/>
    <row r="204" spans="4:37" ht="14.25" customHeight="1" x14ac:dyDescent="0.2"/>
    <row r="205" spans="4:37" ht="14.25" customHeight="1" x14ac:dyDescent="0.2"/>
    <row r="206" spans="4:37" ht="14.25" customHeight="1" x14ac:dyDescent="0.2"/>
    <row r="207" spans="4:37" ht="14.25" customHeight="1" x14ac:dyDescent="0.2"/>
    <row r="208" spans="4:3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</sheetData>
  <mergeCells count="64">
    <mergeCell ref="A123:A126"/>
    <mergeCell ref="A72:C73"/>
    <mergeCell ref="B75:B78"/>
    <mergeCell ref="D72:AH72"/>
    <mergeCell ref="A79:A82"/>
    <mergeCell ref="A107:A110"/>
    <mergeCell ref="B123:B126"/>
    <mergeCell ref="A119:A122"/>
    <mergeCell ref="B119:B122"/>
    <mergeCell ref="B107:B110"/>
    <mergeCell ref="A95:A98"/>
    <mergeCell ref="B103:B106"/>
    <mergeCell ref="A91:A94"/>
    <mergeCell ref="B99:B102"/>
    <mergeCell ref="AI72:AI74"/>
    <mergeCell ref="B59:B62"/>
    <mergeCell ref="B115:B118"/>
    <mergeCell ref="AK72:AK74"/>
    <mergeCell ref="A87:A90"/>
    <mergeCell ref="A103:A106"/>
    <mergeCell ref="AJ72:AJ74"/>
    <mergeCell ref="B95:B98"/>
    <mergeCell ref="A115:A118"/>
    <mergeCell ref="B79:B82"/>
    <mergeCell ref="A83:A86"/>
    <mergeCell ref="B91:B94"/>
    <mergeCell ref="B111:B114"/>
    <mergeCell ref="A99:A102"/>
    <mergeCell ref="A111:A114"/>
    <mergeCell ref="A75:A78"/>
    <mergeCell ref="A4:A7"/>
    <mergeCell ref="A44:A47"/>
    <mergeCell ref="A54:A57"/>
    <mergeCell ref="A64:A67"/>
    <mergeCell ref="B19:B22"/>
    <mergeCell ref="A14:A17"/>
    <mergeCell ref="B39:B42"/>
    <mergeCell ref="A29:A32"/>
    <mergeCell ref="B24:B27"/>
    <mergeCell ref="A19:A22"/>
    <mergeCell ref="D1:AH1"/>
    <mergeCell ref="B87:B90"/>
    <mergeCell ref="B83:B86"/>
    <mergeCell ref="B34:B37"/>
    <mergeCell ref="B14:B17"/>
    <mergeCell ref="D73:AH73"/>
    <mergeCell ref="B49:B52"/>
    <mergeCell ref="A1:C2"/>
    <mergeCell ref="AK1:AK3"/>
    <mergeCell ref="D2:AH2"/>
    <mergeCell ref="A9:A12"/>
    <mergeCell ref="B4:B7"/>
    <mergeCell ref="B64:B67"/>
    <mergeCell ref="A34:A37"/>
    <mergeCell ref="A39:A42"/>
    <mergeCell ref="A59:A62"/>
    <mergeCell ref="A24:A27"/>
    <mergeCell ref="B54:B57"/>
    <mergeCell ref="A49:A52"/>
    <mergeCell ref="AJ1:AJ3"/>
    <mergeCell ref="B29:B32"/>
    <mergeCell ref="AI1:AI3"/>
    <mergeCell ref="B44:B47"/>
    <mergeCell ref="B9:B12"/>
  </mergeCells>
  <conditionalFormatting sqref="D3:AH23 D24:U25 V24:AH29 D26:T26 D27:U29 D30:AH67">
    <cfRule type="expression" dxfId="75" priority="4">
      <formula>WEEKDAY(D$3)=1</formula>
    </cfRule>
  </conditionalFormatting>
  <conditionalFormatting sqref="D4:AH23 D24:U25 V24:AH29 D26:T26 D27:U29 D30:AH67">
    <cfRule type="expression" dxfId="74" priority="1">
      <formula>AND($C4="C3",D4&lt;&gt;"")</formula>
    </cfRule>
    <cfRule type="expression" dxfId="73" priority="2">
      <formula>AND($C4="C1",D4&lt;&gt;"")</formula>
    </cfRule>
    <cfRule type="expression" dxfId="72" priority="3">
      <formula>AND($C4="TC",D4&lt;&gt;"")</formula>
    </cfRule>
  </conditionalFormatting>
  <conditionalFormatting sqref="D74:AH126">
    <cfRule type="expression" dxfId="71" priority="8">
      <formula>WEEKDAY(D$3)=1</formula>
    </cfRule>
  </conditionalFormatting>
  <conditionalFormatting sqref="D75:AH126">
    <cfRule type="expression" dxfId="70" priority="5">
      <formula>AND($C75="C3",D75&lt;&gt;"")</formula>
    </cfRule>
    <cfRule type="expression" dxfId="69" priority="6">
      <formula>AND($C75="C1",D75&lt;&gt;"")</formula>
    </cfRule>
    <cfRule type="expression" dxfId="68" priority="7">
      <formula>AND($C75="TC",D75&lt;&gt;"")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1037"/>
  <sheetViews>
    <sheetView tabSelected="1" topLeftCell="A31" workbookViewId="0">
      <selection activeCell="X16" sqref="X16"/>
    </sheetView>
  </sheetViews>
  <sheetFormatPr defaultColWidth="12.625" defaultRowHeight="14.25" x14ac:dyDescent="0.2"/>
  <cols>
    <col min="1" max="1" width="5" customWidth="1"/>
    <col min="2" max="2" width="23" customWidth="1"/>
    <col min="3" max="3" width="8.25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7.5" customWidth="1"/>
  </cols>
  <sheetData>
    <row r="1" spans="1:37" ht="44.25" customHeight="1" x14ac:dyDescent="0.2">
      <c r="A1" s="103" t="s">
        <v>0</v>
      </c>
      <c r="B1" s="104"/>
      <c r="C1" s="104"/>
      <c r="D1" s="102" t="s">
        <v>1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3"/>
      <c r="AI1" s="101" t="s">
        <v>2</v>
      </c>
      <c r="AJ1" s="98" t="s">
        <v>3</v>
      </c>
      <c r="AK1" s="88" t="s">
        <v>4</v>
      </c>
    </row>
    <row r="2" spans="1:37" ht="24.75" customHeight="1" x14ac:dyDescent="0.2">
      <c r="A2" s="100"/>
      <c r="B2" s="105"/>
      <c r="C2" s="105"/>
      <c r="D2" s="91">
        <v>46235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3"/>
      <c r="AI2" s="89"/>
      <c r="AJ2" s="99"/>
      <c r="AK2" s="89"/>
    </row>
    <row r="3" spans="1:37" ht="30.75" customHeight="1" x14ac:dyDescent="0.25">
      <c r="A3" s="2" t="s">
        <v>5</v>
      </c>
      <c r="B3" s="2" t="s">
        <v>6</v>
      </c>
      <c r="C3" s="3"/>
      <c r="D3" s="14">
        <v>46235</v>
      </c>
      <c r="E3" s="14">
        <v>46236</v>
      </c>
      <c r="F3" s="14">
        <f t="shared" ref="F3:AH3" si="0">+E3+1</f>
        <v>46237</v>
      </c>
      <c r="G3" s="14">
        <f t="shared" si="0"/>
        <v>46238</v>
      </c>
      <c r="H3" s="14">
        <f t="shared" si="0"/>
        <v>46239</v>
      </c>
      <c r="I3" s="14">
        <f t="shared" si="0"/>
        <v>46240</v>
      </c>
      <c r="J3" s="14">
        <f t="shared" si="0"/>
        <v>46241</v>
      </c>
      <c r="K3" s="14">
        <f t="shared" si="0"/>
        <v>46242</v>
      </c>
      <c r="L3" s="14">
        <f t="shared" si="0"/>
        <v>46243</v>
      </c>
      <c r="M3" s="14">
        <f t="shared" si="0"/>
        <v>46244</v>
      </c>
      <c r="N3" s="14">
        <f t="shared" si="0"/>
        <v>46245</v>
      </c>
      <c r="O3" s="14">
        <f t="shared" si="0"/>
        <v>46246</v>
      </c>
      <c r="P3" s="14">
        <f t="shared" si="0"/>
        <v>46247</v>
      </c>
      <c r="Q3" s="14">
        <f t="shared" si="0"/>
        <v>46248</v>
      </c>
      <c r="R3" s="14">
        <f t="shared" si="0"/>
        <v>46249</v>
      </c>
      <c r="S3" s="14">
        <f t="shared" si="0"/>
        <v>46250</v>
      </c>
      <c r="T3" s="14">
        <f t="shared" si="0"/>
        <v>46251</v>
      </c>
      <c r="U3" s="14">
        <f t="shared" si="0"/>
        <v>46252</v>
      </c>
      <c r="V3" s="14">
        <f t="shared" si="0"/>
        <v>46253</v>
      </c>
      <c r="W3" s="14">
        <f t="shared" si="0"/>
        <v>46254</v>
      </c>
      <c r="X3" s="14">
        <f t="shared" si="0"/>
        <v>46255</v>
      </c>
      <c r="Y3" s="14">
        <f t="shared" si="0"/>
        <v>46256</v>
      </c>
      <c r="Z3" s="14">
        <f t="shared" si="0"/>
        <v>46257</v>
      </c>
      <c r="AA3" s="14">
        <f t="shared" si="0"/>
        <v>46258</v>
      </c>
      <c r="AB3" s="14">
        <f t="shared" si="0"/>
        <v>46259</v>
      </c>
      <c r="AC3" s="14">
        <f t="shared" si="0"/>
        <v>46260</v>
      </c>
      <c r="AD3" s="14">
        <f t="shared" si="0"/>
        <v>46261</v>
      </c>
      <c r="AE3" s="14">
        <f t="shared" si="0"/>
        <v>46262</v>
      </c>
      <c r="AF3" s="14">
        <f t="shared" si="0"/>
        <v>46263</v>
      </c>
      <c r="AG3" s="14">
        <f t="shared" si="0"/>
        <v>46264</v>
      </c>
      <c r="AH3" s="14">
        <f t="shared" si="0"/>
        <v>46265</v>
      </c>
      <c r="AI3" s="90"/>
      <c r="AJ3" s="100"/>
      <c r="AK3" s="90"/>
    </row>
    <row r="4" spans="1:37" ht="13.5" customHeight="1" x14ac:dyDescent="0.2">
      <c r="A4" s="94">
        <v>1</v>
      </c>
      <c r="B4" s="95" t="s">
        <v>7</v>
      </c>
      <c r="C4" s="2" t="s">
        <v>8</v>
      </c>
      <c r="D4" s="8">
        <v>2</v>
      </c>
      <c r="E4" s="8"/>
      <c r="F4" s="8"/>
      <c r="G4" s="8">
        <v>2</v>
      </c>
      <c r="H4" s="8"/>
      <c r="I4" s="8"/>
      <c r="J4" s="8">
        <v>2</v>
      </c>
      <c r="K4" s="8">
        <v>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8"/>
      <c r="Z4" s="8"/>
      <c r="AA4" s="8"/>
      <c r="AB4" s="8"/>
      <c r="AC4" s="8"/>
      <c r="AD4" s="8"/>
      <c r="AE4" s="8"/>
      <c r="AF4" s="8"/>
      <c r="AG4" s="8"/>
      <c r="AH4" s="4"/>
      <c r="AI4" s="50">
        <f>0</f>
        <v>0</v>
      </c>
      <c r="AJ4" s="51">
        <f>SUM(D4:AH4)/8</f>
        <v>1</v>
      </c>
      <c r="AK4" s="52">
        <f>AI4+AJ4</f>
        <v>1</v>
      </c>
    </row>
    <row r="5" spans="1:37" ht="13.5" customHeight="1" x14ac:dyDescent="0.2">
      <c r="A5" s="89"/>
      <c r="B5" s="89"/>
      <c r="C5" s="2" t="s">
        <v>9</v>
      </c>
      <c r="D5" s="8" t="s">
        <v>10</v>
      </c>
      <c r="E5" s="8" t="s">
        <v>10</v>
      </c>
      <c r="F5" s="8" t="s">
        <v>10</v>
      </c>
      <c r="G5" s="8" t="s">
        <v>10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8"/>
      <c r="Z5" s="8"/>
      <c r="AA5" s="8"/>
      <c r="AB5" s="8"/>
      <c r="AC5" s="8"/>
      <c r="AD5" s="8"/>
      <c r="AE5" s="8"/>
      <c r="AF5" s="8"/>
      <c r="AG5" s="8"/>
      <c r="AH5" s="4"/>
      <c r="AI5" s="50">
        <f>COUNTIF(D5:AH5,"x")+COUNTIF(D5:AH5,"x-0,25")+COUNTIF(D5:AH5,"x-0,50")+COUNTIF(D5:AH5,"x-0.75")+COUNTIF(D5:AH5,"x-1")+COUNTIF(D5:AH5,"x-1,25")+COUNTIF(D5:AH5,"x-1,5")+COUNTIF(D5:AH5,"x-1,55")+COUNTIF(D5:AH5,"x-2")+COUNTIF(D5:AH5,"x/2")/2</f>
        <v>4</v>
      </c>
      <c r="AJ5" s="51">
        <f>0</f>
        <v>0</v>
      </c>
      <c r="AK5" s="52">
        <f>AI5+AJ5</f>
        <v>4</v>
      </c>
    </row>
    <row r="6" spans="1:37" ht="13.5" customHeight="1" x14ac:dyDescent="0.2">
      <c r="A6" s="89"/>
      <c r="B6" s="89"/>
      <c r="C6" s="2" t="s">
        <v>11</v>
      </c>
      <c r="D6" s="8"/>
      <c r="E6" s="8"/>
      <c r="F6" s="8"/>
      <c r="G6" s="8"/>
      <c r="H6" s="8" t="s">
        <v>10</v>
      </c>
      <c r="I6" s="8">
        <v>0</v>
      </c>
      <c r="J6" s="8" t="s">
        <v>10</v>
      </c>
      <c r="K6" s="87" t="s">
        <v>10</v>
      </c>
      <c r="L6" s="8"/>
      <c r="M6" s="8"/>
      <c r="N6" s="8"/>
      <c r="O6" s="8"/>
      <c r="P6" s="8"/>
      <c r="Q6" s="8"/>
      <c r="R6" s="8"/>
      <c r="S6" s="8"/>
      <c r="T6" s="87" t="s">
        <v>10</v>
      </c>
      <c r="U6" s="8" t="s">
        <v>10</v>
      </c>
      <c r="V6" s="87" t="s">
        <v>10</v>
      </c>
      <c r="W6" s="8"/>
      <c r="X6" s="9"/>
      <c r="Y6" s="8"/>
      <c r="Z6" s="8"/>
      <c r="AA6" s="8"/>
      <c r="AB6" s="8"/>
      <c r="AC6" s="8"/>
      <c r="AD6" s="8"/>
      <c r="AE6" s="8"/>
      <c r="AF6" s="8"/>
      <c r="AG6" s="8"/>
      <c r="AH6" s="4"/>
      <c r="AI6" s="50">
        <f>COUNTIF(D6:AH6,"x")+COUNTIF(D6:AH6,"x-0,25")+COUNTIF(D6:AH6,"x-0,50")+COUNTIF(D6:AH6,"x-0.75")+COUNTIF(D6:AH6,"x-1")+COUNTIF(D6:AH6,"x-1,25")+COUNTIF(D6:AH6,"x-1,5")+COUNTIF(D6:AH6,"x-1,55")+COUNTIF(D6:AH6,"x-2")+COUNTIF(D6:AH6,"x/2")/2</f>
        <v>6</v>
      </c>
      <c r="AJ6" s="51">
        <f>0</f>
        <v>0</v>
      </c>
      <c r="AK6" s="52">
        <f>AI6+AJ6</f>
        <v>6</v>
      </c>
    </row>
    <row r="7" spans="1:37" s="7" customFormat="1" ht="12.75" customHeight="1" x14ac:dyDescent="0.2">
      <c r="A7" s="90"/>
      <c r="B7" s="96"/>
      <c r="C7" s="2" t="s">
        <v>12</v>
      </c>
      <c r="D7" s="8"/>
      <c r="E7" s="8"/>
      <c r="F7" s="8"/>
      <c r="G7" s="8"/>
      <c r="H7" s="8"/>
      <c r="I7" s="8"/>
      <c r="J7" s="8"/>
      <c r="K7" s="8"/>
      <c r="L7" s="87" t="s">
        <v>10</v>
      </c>
      <c r="M7" s="87" t="s">
        <v>10</v>
      </c>
      <c r="N7" s="87" t="s">
        <v>10</v>
      </c>
      <c r="O7" s="87" t="s">
        <v>10</v>
      </c>
      <c r="P7" s="87" t="s">
        <v>10</v>
      </c>
      <c r="Q7" s="87" t="s">
        <v>10</v>
      </c>
      <c r="R7" s="87" t="s">
        <v>10</v>
      </c>
      <c r="S7" s="8"/>
      <c r="T7" s="8"/>
      <c r="U7" s="8"/>
      <c r="V7" s="8"/>
      <c r="W7" s="8"/>
      <c r="X7" s="9"/>
      <c r="Y7" s="8"/>
      <c r="Z7" s="8"/>
      <c r="AA7" s="8"/>
      <c r="AB7" s="8"/>
      <c r="AC7" s="8"/>
      <c r="AD7" s="8"/>
      <c r="AE7" s="9"/>
      <c r="AF7" s="8"/>
      <c r="AG7" s="8"/>
      <c r="AH7" s="6"/>
      <c r="AI7" s="50">
        <f>COUNTIF(D7:AH7,"x")+COUNTIF(D7:AH7,"x-0,25")+COUNTIF(D7:AH7,"x-0,50")+COUNTIF(D7:AH7,"x-0.75")+COUNTIF(D7:AH7,"x-1")+COUNTIF(D7:AH7,"x-1,25")+COUNTIF(D7:AH7,"x-1,5")+COUNTIF(D7:AH7,"x-1,55")+COUNTIF(D7:AH7,"x-2")+COUNTIF(D7:AH7,"x/2")/2</f>
        <v>7</v>
      </c>
      <c r="AJ7" s="51">
        <f>0</f>
        <v>0</v>
      </c>
      <c r="AK7" s="52">
        <f>AI7+AJ7</f>
        <v>7</v>
      </c>
    </row>
    <row r="8" spans="1:37" s="7" customFormat="1" ht="13.5" customHeight="1" x14ac:dyDescent="0.2">
      <c r="A8" s="16"/>
      <c r="B8" s="17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/>
      <c r="Y8" s="19"/>
      <c r="Z8" s="19"/>
      <c r="AA8" s="19"/>
      <c r="AB8" s="19"/>
      <c r="AC8" s="19"/>
      <c r="AD8" s="19"/>
      <c r="AE8" s="20"/>
      <c r="AF8" s="19"/>
      <c r="AG8" s="19"/>
      <c r="AH8" s="20"/>
      <c r="AI8" s="53" t="str">
        <f>""</f>
        <v/>
      </c>
      <c r="AJ8" s="54" t="str">
        <f>""</f>
        <v/>
      </c>
      <c r="AK8" s="55" t="str">
        <f>""</f>
        <v/>
      </c>
    </row>
    <row r="9" spans="1:37" s="7" customFormat="1" ht="12.75" customHeight="1" x14ac:dyDescent="0.2">
      <c r="A9" s="94">
        <v>2</v>
      </c>
      <c r="B9" s="97" t="s">
        <v>13</v>
      </c>
      <c r="C9" s="2" t="s">
        <v>8</v>
      </c>
      <c r="D9" s="8">
        <v>2</v>
      </c>
      <c r="E9" s="8"/>
      <c r="F9" s="8"/>
      <c r="G9" s="8">
        <v>2</v>
      </c>
      <c r="H9" s="8"/>
      <c r="I9" s="8">
        <v>2</v>
      </c>
      <c r="J9" s="8">
        <v>2</v>
      </c>
      <c r="K9" s="8">
        <v>2</v>
      </c>
      <c r="L9" s="8"/>
      <c r="M9" s="8">
        <v>2</v>
      </c>
      <c r="N9" s="8">
        <v>2</v>
      </c>
      <c r="O9" s="8">
        <v>2</v>
      </c>
      <c r="P9" s="8">
        <v>2</v>
      </c>
      <c r="Q9" s="8">
        <v>2</v>
      </c>
      <c r="R9" s="8">
        <v>2</v>
      </c>
      <c r="S9" s="8"/>
      <c r="T9" s="8">
        <v>2</v>
      </c>
      <c r="U9" s="8">
        <v>2</v>
      </c>
      <c r="V9" s="8">
        <v>2</v>
      </c>
      <c r="W9" s="8"/>
      <c r="X9" s="9"/>
      <c r="Y9" s="8"/>
      <c r="Z9" s="8"/>
      <c r="AA9" s="8"/>
      <c r="AB9" s="8"/>
      <c r="AC9" s="8"/>
      <c r="AD9" s="8"/>
      <c r="AE9" s="9"/>
      <c r="AF9" s="8"/>
      <c r="AG9" s="8"/>
      <c r="AH9" s="6"/>
      <c r="AI9" s="50">
        <f>0</f>
        <v>0</v>
      </c>
      <c r="AJ9" s="51">
        <f>SUM(D9:AH9)/8</f>
        <v>3.5</v>
      </c>
      <c r="AK9" s="52">
        <f>AI9+AJ9</f>
        <v>3.5</v>
      </c>
    </row>
    <row r="10" spans="1:37" s="7" customFormat="1" ht="13.5" customHeight="1" x14ac:dyDescent="0.2">
      <c r="A10" s="89"/>
      <c r="B10" s="89"/>
      <c r="C10" s="2" t="s">
        <v>9</v>
      </c>
      <c r="D10" s="8"/>
      <c r="E10" s="8"/>
      <c r="F10" s="8"/>
      <c r="G10" s="8"/>
      <c r="H10" s="8"/>
      <c r="I10" s="8"/>
      <c r="J10" s="8"/>
      <c r="K10" s="8"/>
      <c r="L10" s="87" t="s">
        <v>10</v>
      </c>
      <c r="M10" s="87" t="s">
        <v>10</v>
      </c>
      <c r="N10" s="87" t="s">
        <v>10</v>
      </c>
      <c r="O10" s="87" t="s">
        <v>10</v>
      </c>
      <c r="P10" s="87" t="s">
        <v>10</v>
      </c>
      <c r="Q10" s="87" t="s">
        <v>10</v>
      </c>
      <c r="R10" s="87" t="s">
        <v>10</v>
      </c>
      <c r="S10" s="8"/>
      <c r="T10" s="8"/>
      <c r="U10" s="8"/>
      <c r="V10" s="8"/>
      <c r="W10" s="8"/>
      <c r="X10" s="9"/>
      <c r="Y10" s="8"/>
      <c r="Z10" s="8"/>
      <c r="AA10" s="8"/>
      <c r="AB10" s="8"/>
      <c r="AC10" s="8"/>
      <c r="AD10" s="8"/>
      <c r="AE10" s="9"/>
      <c r="AF10" s="8"/>
      <c r="AG10" s="8"/>
      <c r="AH10" s="6"/>
      <c r="AI10" s="50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7</v>
      </c>
      <c r="AJ10" s="51">
        <f>0</f>
        <v>0</v>
      </c>
      <c r="AK10" s="52">
        <f>AI10+AJ10</f>
        <v>7</v>
      </c>
    </row>
    <row r="11" spans="1:37" s="7" customFormat="1" ht="13.5" customHeight="1" x14ac:dyDescent="0.2">
      <c r="A11" s="89"/>
      <c r="B11" s="89"/>
      <c r="C11" s="2" t="s">
        <v>11</v>
      </c>
      <c r="D11" s="8"/>
      <c r="E11" s="8" t="s">
        <v>10</v>
      </c>
      <c r="F11" s="8" t="s">
        <v>10</v>
      </c>
      <c r="G11" s="8" t="s">
        <v>10</v>
      </c>
      <c r="H11" s="8" t="s">
        <v>10</v>
      </c>
      <c r="I11" s="8" t="s">
        <v>10</v>
      </c>
      <c r="J11" s="8" t="s">
        <v>10</v>
      </c>
      <c r="K11" s="87" t="s">
        <v>10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8"/>
      <c r="Z11" s="8"/>
      <c r="AA11" s="8"/>
      <c r="AB11" s="8"/>
      <c r="AC11" s="8"/>
      <c r="AD11" s="8"/>
      <c r="AE11" s="9"/>
      <c r="AF11" s="8"/>
      <c r="AG11" s="8"/>
      <c r="AH11" s="6"/>
      <c r="AI11" s="50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7</v>
      </c>
      <c r="AJ11" s="51">
        <f>0</f>
        <v>0</v>
      </c>
      <c r="AK11" s="52">
        <f>AI11+AJ11</f>
        <v>7</v>
      </c>
    </row>
    <row r="12" spans="1:37" s="7" customFormat="1" ht="13.5" customHeight="1" x14ac:dyDescent="0.2">
      <c r="A12" s="90"/>
      <c r="B12" s="96"/>
      <c r="C12" s="2" t="s">
        <v>12</v>
      </c>
      <c r="D12" s="8" t="s">
        <v>10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7" t="s">
        <v>10</v>
      </c>
      <c r="T12" s="87" t="s">
        <v>10</v>
      </c>
      <c r="U12" s="8" t="s">
        <v>10</v>
      </c>
      <c r="V12" s="87" t="s">
        <v>10</v>
      </c>
      <c r="W12" s="8"/>
      <c r="X12" s="9"/>
      <c r="Y12" s="8"/>
      <c r="Z12" s="8"/>
      <c r="AA12" s="8"/>
      <c r="AB12" s="8"/>
      <c r="AC12" s="8"/>
      <c r="AD12" s="8"/>
      <c r="AE12" s="9"/>
      <c r="AF12" s="8"/>
      <c r="AG12" s="8"/>
      <c r="AH12" s="6"/>
      <c r="AI12" s="50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5</v>
      </c>
      <c r="AJ12" s="51">
        <f>0</f>
        <v>0</v>
      </c>
      <c r="AK12" s="52">
        <f>AI12+AJ12</f>
        <v>5</v>
      </c>
    </row>
    <row r="13" spans="1:37" s="7" customFormat="1" ht="13.5" customHeight="1" x14ac:dyDescent="0.2">
      <c r="A13" s="16"/>
      <c r="B13" s="17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0"/>
      <c r="Y13" s="19"/>
      <c r="Z13" s="19"/>
      <c r="AA13" s="19"/>
      <c r="AB13" s="19"/>
      <c r="AC13" s="19"/>
      <c r="AD13" s="19"/>
      <c r="AE13" s="20"/>
      <c r="AF13" s="19"/>
      <c r="AG13" s="19"/>
      <c r="AH13" s="20"/>
      <c r="AI13" s="53" t="str">
        <f>""</f>
        <v/>
      </c>
      <c r="AJ13" s="54" t="str">
        <f>""</f>
        <v/>
      </c>
      <c r="AK13" s="55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" t="s">
        <v>8</v>
      </c>
      <c r="D14" s="8"/>
      <c r="E14" s="8"/>
      <c r="F14" s="8"/>
      <c r="G14" s="8"/>
      <c r="H14" s="8"/>
      <c r="I14" s="8"/>
      <c r="J14" s="8"/>
      <c r="K14" s="8">
        <v>1</v>
      </c>
      <c r="L14" s="1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8"/>
      <c r="Z14" s="8"/>
      <c r="AA14" s="8"/>
      <c r="AB14" s="8"/>
      <c r="AC14" s="8"/>
      <c r="AD14" s="8"/>
      <c r="AE14" s="9"/>
      <c r="AF14" s="8"/>
      <c r="AG14" s="8"/>
      <c r="AH14" s="6"/>
      <c r="AI14" s="50">
        <f>0</f>
        <v>0</v>
      </c>
      <c r="AJ14" s="51">
        <f>SUM(D14:AH14)/8</f>
        <v>0.125</v>
      </c>
      <c r="AK14" s="52">
        <f>AI14+AJ14</f>
        <v>0.125</v>
      </c>
    </row>
    <row r="15" spans="1:37" s="7" customFormat="1" ht="13.5" customHeight="1" x14ac:dyDescent="0.2">
      <c r="A15" s="89"/>
      <c r="B15" s="89"/>
      <c r="C15" s="2" t="s">
        <v>9</v>
      </c>
      <c r="D15" s="8" t="s">
        <v>10</v>
      </c>
      <c r="E15" s="8" t="s">
        <v>15</v>
      </c>
      <c r="F15" s="8" t="s">
        <v>10</v>
      </c>
      <c r="G15" s="8" t="s">
        <v>10</v>
      </c>
      <c r="H15" s="8" t="s">
        <v>10</v>
      </c>
      <c r="I15" s="8" t="s">
        <v>10</v>
      </c>
      <c r="J15" s="8" t="s">
        <v>10</v>
      </c>
      <c r="K15" s="87" t="s">
        <v>10</v>
      </c>
      <c r="L15" s="87" t="s">
        <v>10</v>
      </c>
      <c r="M15" s="87" t="s">
        <v>10</v>
      </c>
      <c r="N15" s="87" t="s">
        <v>10</v>
      </c>
      <c r="O15" s="87" t="s">
        <v>10</v>
      </c>
      <c r="P15" s="87" t="s">
        <v>10</v>
      </c>
      <c r="Q15" s="87" t="s">
        <v>10</v>
      </c>
      <c r="R15" s="87" t="s">
        <v>10</v>
      </c>
      <c r="S15" s="87" t="s">
        <v>10</v>
      </c>
      <c r="T15" s="87" t="s">
        <v>10</v>
      </c>
      <c r="U15" s="8" t="s">
        <v>10</v>
      </c>
      <c r="V15" s="87" t="s">
        <v>10</v>
      </c>
      <c r="W15" s="8"/>
      <c r="X15" s="9"/>
      <c r="Y15" s="8"/>
      <c r="Z15" s="8"/>
      <c r="AA15" s="8"/>
      <c r="AB15" s="8"/>
      <c r="AC15" s="8"/>
      <c r="AD15" s="8"/>
      <c r="AE15" s="9"/>
      <c r="AF15" s="8"/>
      <c r="AG15" s="8"/>
      <c r="AH15" s="6"/>
      <c r="AI15" s="50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18.5</v>
      </c>
      <c r="AJ15" s="51">
        <f>0</f>
        <v>0</v>
      </c>
      <c r="AK15" s="52">
        <f>AI15+AJ15</f>
        <v>18.5</v>
      </c>
    </row>
    <row r="16" spans="1:37" s="7" customFormat="1" ht="13.5" customHeight="1" x14ac:dyDescent="0.2">
      <c r="A16" s="89"/>
      <c r="B16" s="89"/>
      <c r="C16" s="2" t="s">
        <v>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8"/>
      <c r="Z16" s="8"/>
      <c r="AA16" s="8"/>
      <c r="AB16" s="8"/>
      <c r="AC16" s="8"/>
      <c r="AD16" s="8"/>
      <c r="AE16" s="9"/>
      <c r="AF16" s="8"/>
      <c r="AG16" s="8"/>
      <c r="AH16" s="6"/>
      <c r="AI16" s="50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51">
        <f>0</f>
        <v>0</v>
      </c>
      <c r="AK16" s="52">
        <f>AI16+AJ16</f>
        <v>0</v>
      </c>
    </row>
    <row r="17" spans="1:37" s="7" customFormat="1" ht="13.5" customHeight="1" x14ac:dyDescent="0.2">
      <c r="A17" s="90"/>
      <c r="B17" s="96"/>
      <c r="C17" s="2" t="s">
        <v>12</v>
      </c>
      <c r="D17" s="8"/>
      <c r="E17" s="8"/>
      <c r="F17" s="8"/>
      <c r="G17" s="8"/>
      <c r="H17" s="8"/>
      <c r="I17" s="8"/>
      <c r="J17" s="8"/>
      <c r="K17" s="8"/>
      <c r="L17" s="15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8"/>
      <c r="Z17" s="8"/>
      <c r="AA17" s="8"/>
      <c r="AB17" s="8"/>
      <c r="AC17" s="8"/>
      <c r="AD17" s="8"/>
      <c r="AE17" s="9"/>
      <c r="AF17" s="8"/>
      <c r="AG17" s="8"/>
      <c r="AH17" s="6"/>
      <c r="AI17" s="50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51">
        <f>0</f>
        <v>0</v>
      </c>
      <c r="AK17" s="52">
        <f>AI17+AJ17</f>
        <v>0</v>
      </c>
    </row>
    <row r="18" spans="1:37" s="7" customFormat="1" ht="13.5" customHeight="1" x14ac:dyDescent="0.2">
      <c r="A18" s="16"/>
      <c r="B18" s="17"/>
      <c r="C18" s="18"/>
      <c r="D18" s="19"/>
      <c r="E18" s="19"/>
      <c r="F18" s="19"/>
      <c r="G18" s="19"/>
      <c r="H18" s="19"/>
      <c r="I18" s="19"/>
      <c r="J18" s="19"/>
      <c r="K18" s="19"/>
      <c r="L18" s="21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/>
      <c r="Y18" s="19"/>
      <c r="Z18" s="19"/>
      <c r="AA18" s="19"/>
      <c r="AB18" s="19"/>
      <c r="AC18" s="19"/>
      <c r="AD18" s="19"/>
      <c r="AE18" s="20"/>
      <c r="AF18" s="19"/>
      <c r="AG18" s="19"/>
      <c r="AH18" s="20"/>
      <c r="AI18" s="53" t="str">
        <f>""</f>
        <v/>
      </c>
      <c r="AJ18" s="54" t="str">
        <f>""</f>
        <v/>
      </c>
      <c r="AK18" s="55" t="str">
        <f>""</f>
        <v/>
      </c>
    </row>
    <row r="19" spans="1:37" s="7" customFormat="1" ht="13.5" customHeight="1" x14ac:dyDescent="0.2">
      <c r="A19" s="94">
        <v>4</v>
      </c>
      <c r="B19" s="97" t="s">
        <v>16</v>
      </c>
      <c r="C19" s="2" t="s">
        <v>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8"/>
      <c r="Z19" s="8"/>
      <c r="AA19" s="8"/>
      <c r="AB19" s="8"/>
      <c r="AC19" s="8"/>
      <c r="AD19" s="8"/>
      <c r="AE19" s="9"/>
      <c r="AF19" s="8"/>
      <c r="AG19" s="8"/>
      <c r="AH19" s="6"/>
      <c r="AI19" s="50">
        <f>0</f>
        <v>0</v>
      </c>
      <c r="AJ19" s="51">
        <f>SUM(D19:AH19)/8</f>
        <v>0</v>
      </c>
      <c r="AK19" s="52">
        <f>AI19+AJ19</f>
        <v>0</v>
      </c>
    </row>
    <row r="20" spans="1:37" s="7" customFormat="1" ht="13.5" customHeight="1" x14ac:dyDescent="0.2">
      <c r="A20" s="89"/>
      <c r="B20" s="89"/>
      <c r="C20" s="2" t="s">
        <v>9</v>
      </c>
      <c r="D20" s="8"/>
      <c r="E20" s="8" t="s">
        <v>10</v>
      </c>
      <c r="F20" s="8" t="s">
        <v>10</v>
      </c>
      <c r="G20" s="8" t="s">
        <v>10</v>
      </c>
      <c r="H20" s="8"/>
      <c r="I20" s="8" t="s">
        <v>10</v>
      </c>
      <c r="J20" s="8" t="s">
        <v>10</v>
      </c>
      <c r="K20" s="87" t="s">
        <v>10</v>
      </c>
      <c r="L20" s="8"/>
      <c r="M20" s="87" t="s">
        <v>10</v>
      </c>
      <c r="N20" s="87" t="s">
        <v>10</v>
      </c>
      <c r="O20" s="87" t="s">
        <v>10</v>
      </c>
      <c r="P20" s="87" t="s">
        <v>10</v>
      </c>
      <c r="Q20" s="87">
        <v>0</v>
      </c>
      <c r="R20" s="87" t="s">
        <v>10</v>
      </c>
      <c r="S20" s="8"/>
      <c r="T20" s="87"/>
      <c r="U20" s="8"/>
      <c r="V20" s="87"/>
      <c r="W20" s="8"/>
      <c r="X20" s="9"/>
      <c r="Y20" s="8"/>
      <c r="Z20" s="8"/>
      <c r="AA20" s="8"/>
      <c r="AB20" s="8"/>
      <c r="AC20" s="8"/>
      <c r="AD20" s="8"/>
      <c r="AE20" s="9"/>
      <c r="AF20" s="8"/>
      <c r="AG20" s="8"/>
      <c r="AH20" s="6"/>
      <c r="AI20" s="50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11</v>
      </c>
      <c r="AJ20" s="51">
        <f>0</f>
        <v>0</v>
      </c>
      <c r="AK20" s="52">
        <f>AI20+AJ20</f>
        <v>11</v>
      </c>
    </row>
    <row r="21" spans="1:37" s="7" customFormat="1" ht="13.5" customHeight="1" x14ac:dyDescent="0.2">
      <c r="A21" s="89"/>
      <c r="B21" s="89"/>
      <c r="C21" s="2" t="s">
        <v>11</v>
      </c>
      <c r="D21" s="8" t="s">
        <v>10</v>
      </c>
      <c r="E21" s="8"/>
      <c r="F21" s="8"/>
      <c r="G21" s="8"/>
      <c r="H21" s="8" t="s">
        <v>10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7"/>
      <c r="T21" s="87" t="s">
        <v>10</v>
      </c>
      <c r="U21" s="8" t="s">
        <v>10</v>
      </c>
      <c r="V21" s="87">
        <v>0</v>
      </c>
      <c r="W21" s="8"/>
      <c r="X21" s="9"/>
      <c r="Y21" s="8"/>
      <c r="Z21" s="8"/>
      <c r="AA21" s="8"/>
      <c r="AB21" s="8"/>
      <c r="AC21" s="8"/>
      <c r="AD21" s="8"/>
      <c r="AE21" s="9"/>
      <c r="AF21" s="8"/>
      <c r="AG21" s="8"/>
      <c r="AH21" s="6"/>
      <c r="AI21" s="50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4</v>
      </c>
      <c r="AJ21" s="51">
        <f>0</f>
        <v>0</v>
      </c>
      <c r="AK21" s="52">
        <f>AI21+AJ21</f>
        <v>4</v>
      </c>
    </row>
    <row r="22" spans="1:37" s="7" customFormat="1" ht="13.5" customHeight="1" x14ac:dyDescent="0.2">
      <c r="A22" s="90"/>
      <c r="B22" s="96"/>
      <c r="C22" s="2" t="s">
        <v>12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8"/>
      <c r="Z22" s="8"/>
      <c r="AA22" s="8"/>
      <c r="AB22" s="8"/>
      <c r="AC22" s="8"/>
      <c r="AD22" s="8"/>
      <c r="AE22" s="9"/>
      <c r="AF22" s="8"/>
      <c r="AG22" s="8"/>
      <c r="AH22" s="6"/>
      <c r="AI22" s="50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51">
        <f>0</f>
        <v>0</v>
      </c>
      <c r="AK22" s="52">
        <f>AI22+AJ22</f>
        <v>0</v>
      </c>
    </row>
    <row r="23" spans="1:37" s="7" customFormat="1" ht="13.5" customHeight="1" x14ac:dyDescent="0.2">
      <c r="A23" s="16"/>
      <c r="B23" s="17"/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20"/>
      <c r="AF23" s="19"/>
      <c r="AG23" s="19"/>
      <c r="AH23" s="20"/>
      <c r="AI23" s="53" t="str">
        <f>""</f>
        <v/>
      </c>
      <c r="AJ23" s="54" t="str">
        <f>""</f>
        <v/>
      </c>
      <c r="AK23" s="55" t="str">
        <f>""</f>
        <v/>
      </c>
    </row>
    <row r="24" spans="1:37" s="7" customFormat="1" ht="13.5" customHeight="1" x14ac:dyDescent="0.2">
      <c r="A24" s="94">
        <v>5</v>
      </c>
      <c r="B24" s="97" t="s">
        <v>17</v>
      </c>
      <c r="C24" s="2" t="s">
        <v>8</v>
      </c>
      <c r="D24" s="8"/>
      <c r="E24" s="8"/>
      <c r="F24" s="8"/>
      <c r="G24" s="8">
        <v>2</v>
      </c>
      <c r="H24" s="8">
        <v>2</v>
      </c>
      <c r="I24" s="8">
        <v>2</v>
      </c>
      <c r="J24" s="8">
        <v>2</v>
      </c>
      <c r="K24" s="8">
        <v>2</v>
      </c>
      <c r="L24" s="8"/>
      <c r="M24" s="8">
        <v>2</v>
      </c>
      <c r="N24" s="8">
        <v>2</v>
      </c>
      <c r="O24" s="8">
        <v>2</v>
      </c>
      <c r="P24" s="8">
        <v>2</v>
      </c>
      <c r="Q24" s="8">
        <v>2</v>
      </c>
      <c r="R24" s="8">
        <v>2</v>
      </c>
      <c r="S24" s="8"/>
      <c r="T24" s="8"/>
      <c r="U24" s="8">
        <v>2</v>
      </c>
      <c r="V24" s="8">
        <v>2</v>
      </c>
      <c r="W24" s="8"/>
      <c r="X24" s="8"/>
      <c r="Y24" s="8"/>
      <c r="Z24" s="8"/>
      <c r="AA24" s="8"/>
      <c r="AB24" s="8"/>
      <c r="AC24" s="8"/>
      <c r="AD24" s="8"/>
      <c r="AE24" s="9"/>
      <c r="AF24" s="8"/>
      <c r="AG24" s="8"/>
      <c r="AH24" s="6"/>
      <c r="AI24" s="50">
        <f>0</f>
        <v>0</v>
      </c>
      <c r="AJ24" s="51">
        <f>SUM(D24:AH24)/8</f>
        <v>3.25</v>
      </c>
      <c r="AK24" s="52">
        <f>AI24+AJ24</f>
        <v>3.25</v>
      </c>
    </row>
    <row r="25" spans="1:37" s="7" customFormat="1" ht="13.5" customHeight="1" x14ac:dyDescent="0.2">
      <c r="A25" s="89"/>
      <c r="B25" s="89"/>
      <c r="C25" s="2" t="s">
        <v>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9"/>
      <c r="AF25" s="8"/>
      <c r="AG25" s="8"/>
      <c r="AH25" s="6"/>
      <c r="AI25" s="50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0</v>
      </c>
      <c r="AJ25" s="51">
        <f>0</f>
        <v>0</v>
      </c>
      <c r="AK25" s="52">
        <f>AI25+AJ25</f>
        <v>0</v>
      </c>
    </row>
    <row r="26" spans="1:37" s="7" customFormat="1" ht="13.5" customHeight="1" x14ac:dyDescent="0.2">
      <c r="A26" s="89"/>
      <c r="B26" s="89"/>
      <c r="C26" s="2" t="s">
        <v>11</v>
      </c>
      <c r="D26" s="8" t="s">
        <v>10</v>
      </c>
      <c r="E26" s="8"/>
      <c r="F26" s="8" t="s">
        <v>10</v>
      </c>
      <c r="G26" s="8" t="s">
        <v>10</v>
      </c>
      <c r="H26" s="8" t="s">
        <v>10</v>
      </c>
      <c r="I26" s="8" t="s">
        <v>10</v>
      </c>
      <c r="J26" s="8" t="s">
        <v>10</v>
      </c>
      <c r="K26" s="87" t="s">
        <v>10</v>
      </c>
      <c r="L26" s="87" t="s">
        <v>10</v>
      </c>
      <c r="M26" s="87" t="s">
        <v>10</v>
      </c>
      <c r="N26" s="87" t="s">
        <v>10</v>
      </c>
      <c r="O26" s="87" t="s">
        <v>10</v>
      </c>
      <c r="P26" s="87" t="s">
        <v>10</v>
      </c>
      <c r="Q26" s="87" t="s">
        <v>10</v>
      </c>
      <c r="R26" s="87" t="s">
        <v>10</v>
      </c>
      <c r="S26" s="87" t="s">
        <v>10</v>
      </c>
      <c r="T26" s="87" t="s">
        <v>10</v>
      </c>
      <c r="U26" s="24" t="s">
        <v>10</v>
      </c>
      <c r="V26" s="87" t="s">
        <v>10</v>
      </c>
      <c r="W26" s="24"/>
      <c r="X26" s="8"/>
      <c r="Y26" s="8"/>
      <c r="Z26" s="8"/>
      <c r="AA26" s="8"/>
      <c r="AB26" s="8"/>
      <c r="AC26" s="8"/>
      <c r="AD26" s="8"/>
      <c r="AE26" s="9"/>
      <c r="AF26" s="8"/>
      <c r="AG26" s="8"/>
      <c r="AH26" s="6"/>
      <c r="AI26" s="50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18</v>
      </c>
      <c r="AJ26" s="51">
        <f>0</f>
        <v>0</v>
      </c>
      <c r="AK26" s="52">
        <f>AI26+AJ26</f>
        <v>18</v>
      </c>
    </row>
    <row r="27" spans="1:37" s="7" customFormat="1" ht="13.5" customHeight="1" x14ac:dyDescent="0.2">
      <c r="A27" s="90"/>
      <c r="B27" s="96"/>
      <c r="C27" s="2" t="s">
        <v>12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9"/>
      <c r="AF27" s="8"/>
      <c r="AG27" s="8"/>
      <c r="AH27" s="6"/>
      <c r="AI27" s="50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51">
        <f>0</f>
        <v>0</v>
      </c>
      <c r="AK27" s="52">
        <f>AI27+AJ27</f>
        <v>0</v>
      </c>
    </row>
    <row r="28" spans="1:37" s="7" customFormat="1" ht="13.5" customHeight="1" x14ac:dyDescent="0.2">
      <c r="A28" s="16"/>
      <c r="B28" s="17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  <c r="Y28" s="19"/>
      <c r="Z28" s="19"/>
      <c r="AA28" s="19"/>
      <c r="AB28" s="19"/>
      <c r="AC28" s="19"/>
      <c r="AD28" s="19"/>
      <c r="AE28" s="20"/>
      <c r="AF28" s="19"/>
      <c r="AG28" s="19"/>
      <c r="AH28" s="20"/>
      <c r="AI28" s="53" t="str">
        <f>""</f>
        <v/>
      </c>
      <c r="AJ28" s="54" t="str">
        <f>""</f>
        <v/>
      </c>
      <c r="AK28" s="55" t="str">
        <f>""</f>
        <v/>
      </c>
    </row>
    <row r="29" spans="1:37" s="7" customFormat="1" ht="13.5" customHeight="1" x14ac:dyDescent="0.2">
      <c r="A29" s="94">
        <v>6</v>
      </c>
      <c r="B29" s="97" t="s">
        <v>18</v>
      </c>
      <c r="C29" s="2" t="s">
        <v>8</v>
      </c>
      <c r="D29" s="8">
        <v>2</v>
      </c>
      <c r="E29" s="8"/>
      <c r="F29" s="8">
        <v>2</v>
      </c>
      <c r="G29" s="8">
        <v>2</v>
      </c>
      <c r="H29" s="8">
        <v>2</v>
      </c>
      <c r="I29" s="8">
        <v>2</v>
      </c>
      <c r="J29" s="8">
        <v>2</v>
      </c>
      <c r="K29" s="8">
        <v>2</v>
      </c>
      <c r="L29" s="8"/>
      <c r="M29" s="8">
        <v>2</v>
      </c>
      <c r="N29" s="8">
        <v>2</v>
      </c>
      <c r="O29" s="8">
        <v>2</v>
      </c>
      <c r="P29" s="8">
        <v>2</v>
      </c>
      <c r="Q29" s="8">
        <v>2</v>
      </c>
      <c r="R29" s="8">
        <v>2</v>
      </c>
      <c r="S29" s="8"/>
      <c r="T29" s="8">
        <v>2</v>
      </c>
      <c r="U29" s="8">
        <v>2</v>
      </c>
      <c r="V29" s="8">
        <v>2</v>
      </c>
      <c r="W29" s="8"/>
      <c r="X29" s="8"/>
      <c r="Y29" s="8"/>
      <c r="Z29" s="8"/>
      <c r="AA29" s="8"/>
      <c r="AB29" s="8"/>
      <c r="AC29" s="8"/>
      <c r="AD29" s="8"/>
      <c r="AE29" s="9"/>
      <c r="AF29" s="8"/>
      <c r="AG29" s="8"/>
      <c r="AH29" s="6"/>
      <c r="AI29" s="50">
        <f>0</f>
        <v>0</v>
      </c>
      <c r="AJ29" s="51">
        <f>SUM(D29:AH29)/8</f>
        <v>4</v>
      </c>
      <c r="AK29" s="52">
        <f>AI29+AJ29</f>
        <v>4</v>
      </c>
    </row>
    <row r="30" spans="1:37" s="7" customFormat="1" ht="13.5" customHeight="1" x14ac:dyDescent="0.2">
      <c r="A30" s="89"/>
      <c r="B30" s="89"/>
      <c r="C30" s="2" t="s">
        <v>9</v>
      </c>
      <c r="D30" s="8" t="s">
        <v>10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7" t="s">
        <v>10</v>
      </c>
      <c r="T30" s="87" t="s">
        <v>10</v>
      </c>
      <c r="U30" s="8" t="s">
        <v>10</v>
      </c>
      <c r="V30" s="87" t="s">
        <v>10</v>
      </c>
      <c r="W30" s="8"/>
      <c r="X30" s="9"/>
      <c r="Y30" s="8"/>
      <c r="Z30" s="8"/>
      <c r="AA30" s="8"/>
      <c r="AB30" s="8"/>
      <c r="AC30" s="8"/>
      <c r="AD30" s="8"/>
      <c r="AE30" s="9"/>
      <c r="AF30" s="8"/>
      <c r="AG30" s="8"/>
      <c r="AH30" s="6"/>
      <c r="AI30" s="50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5</v>
      </c>
      <c r="AJ30" s="51">
        <f>0</f>
        <v>0</v>
      </c>
      <c r="AK30" s="52">
        <f>AI30+AJ30</f>
        <v>5</v>
      </c>
    </row>
    <row r="31" spans="1:37" s="7" customFormat="1" ht="13.5" customHeight="1" x14ac:dyDescent="0.2">
      <c r="A31" s="89"/>
      <c r="B31" s="89"/>
      <c r="C31" s="2" t="s">
        <v>11</v>
      </c>
      <c r="D31" s="8"/>
      <c r="E31" s="8"/>
      <c r="F31" s="8"/>
      <c r="G31" s="8"/>
      <c r="H31" s="8"/>
      <c r="I31" s="8"/>
      <c r="J31" s="8"/>
      <c r="K31" s="8"/>
      <c r="L31" s="87" t="s">
        <v>10</v>
      </c>
      <c r="M31" s="87" t="s">
        <v>10</v>
      </c>
      <c r="N31" s="87" t="s">
        <v>10</v>
      </c>
      <c r="O31" s="87" t="s">
        <v>10</v>
      </c>
      <c r="P31" s="87" t="s">
        <v>10</v>
      </c>
      <c r="Q31" s="87" t="s">
        <v>10</v>
      </c>
      <c r="R31" s="87" t="s">
        <v>10</v>
      </c>
      <c r="S31" s="8"/>
      <c r="T31" s="8"/>
      <c r="U31" s="8"/>
      <c r="V31" s="8"/>
      <c r="W31" s="8"/>
      <c r="X31" s="9"/>
      <c r="Y31" s="8"/>
      <c r="Z31" s="8"/>
      <c r="AA31" s="8"/>
      <c r="AB31" s="8"/>
      <c r="AC31" s="8"/>
      <c r="AD31" s="8"/>
      <c r="AE31" s="9"/>
      <c r="AF31" s="8"/>
      <c r="AG31" s="8"/>
      <c r="AH31" s="6"/>
      <c r="AI31" s="50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7</v>
      </c>
      <c r="AJ31" s="51">
        <f>0</f>
        <v>0</v>
      </c>
      <c r="AK31" s="52">
        <f>AI31+AJ31</f>
        <v>7</v>
      </c>
    </row>
    <row r="32" spans="1:37" s="7" customFormat="1" ht="13.5" customHeight="1" x14ac:dyDescent="0.2">
      <c r="A32" s="90"/>
      <c r="B32" s="96"/>
      <c r="C32" s="2" t="s">
        <v>12</v>
      </c>
      <c r="D32" s="8"/>
      <c r="E32" s="8" t="s">
        <v>10</v>
      </c>
      <c r="F32" s="8" t="s">
        <v>10</v>
      </c>
      <c r="G32" s="8" t="s">
        <v>10</v>
      </c>
      <c r="H32" s="8" t="s">
        <v>10</v>
      </c>
      <c r="I32" s="8" t="s">
        <v>10</v>
      </c>
      <c r="J32" s="8" t="s">
        <v>10</v>
      </c>
      <c r="K32" s="87" t="s">
        <v>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8"/>
      <c r="Z32" s="8"/>
      <c r="AA32" s="8"/>
      <c r="AB32" s="8"/>
      <c r="AC32" s="8"/>
      <c r="AD32" s="8"/>
      <c r="AE32" s="9"/>
      <c r="AF32" s="8"/>
      <c r="AG32" s="8"/>
      <c r="AH32" s="6"/>
      <c r="AI32" s="50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7</v>
      </c>
      <c r="AJ32" s="51">
        <f>0</f>
        <v>0</v>
      </c>
      <c r="AK32" s="52">
        <f>AI32+AJ32</f>
        <v>7</v>
      </c>
    </row>
    <row r="33" spans="1:37" s="7" customFormat="1" ht="13.5" customHeight="1" x14ac:dyDescent="0.2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/>
      <c r="Y33" s="19"/>
      <c r="Z33" s="19"/>
      <c r="AA33" s="19"/>
      <c r="AB33" s="19"/>
      <c r="AC33" s="19"/>
      <c r="AD33" s="19"/>
      <c r="AE33" s="20"/>
      <c r="AF33" s="19"/>
      <c r="AG33" s="19"/>
      <c r="AH33" s="20"/>
      <c r="AI33" s="53" t="str">
        <f>""</f>
        <v/>
      </c>
      <c r="AJ33" s="54" t="str">
        <f>""</f>
        <v/>
      </c>
      <c r="AK33" s="55" t="str">
        <f>""</f>
        <v/>
      </c>
    </row>
    <row r="34" spans="1:37" s="7" customFormat="1" ht="13.5" customHeight="1" x14ac:dyDescent="0.2">
      <c r="A34" s="94">
        <v>7</v>
      </c>
      <c r="B34" s="97" t="s">
        <v>19</v>
      </c>
      <c r="C34" s="2" t="s">
        <v>8</v>
      </c>
      <c r="D34" s="8"/>
      <c r="E34" s="8"/>
      <c r="F34" s="8">
        <v>2</v>
      </c>
      <c r="G34" s="8">
        <v>2</v>
      </c>
      <c r="H34" s="8">
        <v>2</v>
      </c>
      <c r="I34" s="8">
        <v>2</v>
      </c>
      <c r="J34" s="8">
        <v>2</v>
      </c>
      <c r="K34" s="8">
        <v>2</v>
      </c>
      <c r="L34" s="8"/>
      <c r="M34" s="8"/>
      <c r="N34" s="8">
        <v>2</v>
      </c>
      <c r="O34" s="8">
        <v>2</v>
      </c>
      <c r="P34" s="8">
        <v>2</v>
      </c>
      <c r="Q34" s="8">
        <v>2</v>
      </c>
      <c r="R34" s="8">
        <v>2</v>
      </c>
      <c r="S34" s="8"/>
      <c r="T34" s="8"/>
      <c r="U34" s="8"/>
      <c r="V34" s="8"/>
      <c r="W34" s="8"/>
      <c r="X34" s="9"/>
      <c r="Y34" s="8"/>
      <c r="Z34" s="8"/>
      <c r="AA34" s="8"/>
      <c r="AB34" s="8"/>
      <c r="AC34" s="8"/>
      <c r="AD34" s="8"/>
      <c r="AE34" s="9"/>
      <c r="AF34" s="8"/>
      <c r="AG34" s="8"/>
      <c r="AH34" s="6"/>
      <c r="AI34" s="50">
        <f>0</f>
        <v>0</v>
      </c>
      <c r="AJ34" s="51">
        <f>SUM(D34:AH34)/8</f>
        <v>2.75</v>
      </c>
      <c r="AK34" s="52">
        <f>AI34+AJ34</f>
        <v>2.75</v>
      </c>
    </row>
    <row r="35" spans="1:37" s="7" customFormat="1" ht="13.5" customHeight="1" x14ac:dyDescent="0.2">
      <c r="A35" s="89"/>
      <c r="B35" s="89"/>
      <c r="C35" s="2" t="s">
        <v>9</v>
      </c>
      <c r="D35" s="8" t="s">
        <v>10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7" t="s">
        <v>10</v>
      </c>
      <c r="T35" s="87" t="s">
        <v>10</v>
      </c>
      <c r="U35" s="8"/>
      <c r="V35" s="87" t="s">
        <v>10</v>
      </c>
      <c r="W35" s="8"/>
      <c r="X35" s="9"/>
      <c r="Y35" s="8"/>
      <c r="Z35" s="8"/>
      <c r="AA35" s="8"/>
      <c r="AB35" s="8"/>
      <c r="AC35" s="8"/>
      <c r="AD35" s="8"/>
      <c r="AE35" s="9"/>
      <c r="AF35" s="8"/>
      <c r="AG35" s="8"/>
      <c r="AH35" s="6"/>
      <c r="AI35" s="50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4</v>
      </c>
      <c r="AJ35" s="51">
        <f>0</f>
        <v>0</v>
      </c>
      <c r="AK35" s="52">
        <f>AI35+AJ35</f>
        <v>4</v>
      </c>
    </row>
    <row r="36" spans="1:37" s="7" customFormat="1" ht="13.5" customHeight="1" x14ac:dyDescent="0.2">
      <c r="A36" s="89"/>
      <c r="B36" s="89"/>
      <c r="C36" s="2" t="s">
        <v>11</v>
      </c>
      <c r="D36" s="8"/>
      <c r="E36" s="8"/>
      <c r="F36" s="8"/>
      <c r="G36" s="8"/>
      <c r="H36" s="8"/>
      <c r="I36" s="8"/>
      <c r="J36" s="8"/>
      <c r="K36" s="8"/>
      <c r="L36" s="8"/>
      <c r="M36" s="87" t="s">
        <v>10</v>
      </c>
      <c r="N36" s="87" t="s">
        <v>10</v>
      </c>
      <c r="O36" s="87" t="s">
        <v>10</v>
      </c>
      <c r="P36" s="87" t="s">
        <v>10</v>
      </c>
      <c r="Q36" s="87" t="s">
        <v>10</v>
      </c>
      <c r="R36" s="87" t="s">
        <v>10</v>
      </c>
      <c r="S36" s="8"/>
      <c r="T36" s="8"/>
      <c r="U36" s="8"/>
      <c r="V36" s="8"/>
      <c r="W36" s="8"/>
      <c r="X36" s="9"/>
      <c r="Y36" s="8"/>
      <c r="Z36" s="8"/>
      <c r="AA36" s="8"/>
      <c r="AB36" s="8"/>
      <c r="AC36" s="8"/>
      <c r="AD36" s="8"/>
      <c r="AE36" s="9"/>
      <c r="AF36" s="8"/>
      <c r="AG36" s="8"/>
      <c r="AH36" s="6"/>
      <c r="AI36" s="50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6</v>
      </c>
      <c r="AJ36" s="51">
        <f>0</f>
        <v>0</v>
      </c>
      <c r="AK36" s="52">
        <f>AI36+AJ36</f>
        <v>6</v>
      </c>
    </row>
    <row r="37" spans="1:37" s="7" customFormat="1" ht="13.5" customHeight="1" x14ac:dyDescent="0.2">
      <c r="A37" s="90"/>
      <c r="B37" s="96"/>
      <c r="C37" s="2" t="s">
        <v>12</v>
      </c>
      <c r="D37" s="8"/>
      <c r="E37" s="8"/>
      <c r="F37" s="8" t="s">
        <v>10</v>
      </c>
      <c r="G37" s="8" t="s">
        <v>10</v>
      </c>
      <c r="H37" s="8" t="s">
        <v>10</v>
      </c>
      <c r="I37" s="8" t="s">
        <v>10</v>
      </c>
      <c r="J37" s="8" t="s">
        <v>10</v>
      </c>
      <c r="K37" s="87" t="s">
        <v>10</v>
      </c>
      <c r="L37" s="8"/>
      <c r="M37" s="87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8"/>
      <c r="Z37" s="8"/>
      <c r="AA37" s="8"/>
      <c r="AB37" s="8"/>
      <c r="AC37" s="8"/>
      <c r="AD37" s="8"/>
      <c r="AE37" s="9"/>
      <c r="AF37" s="8"/>
      <c r="AG37" s="8"/>
      <c r="AH37" s="6"/>
      <c r="AI37" s="50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6</v>
      </c>
      <c r="AJ37" s="51">
        <f>0</f>
        <v>0</v>
      </c>
      <c r="AK37" s="52">
        <f>AI37+AJ37</f>
        <v>6</v>
      </c>
    </row>
    <row r="38" spans="1:37" s="7" customFormat="1" ht="13.5" customHeight="1" x14ac:dyDescent="0.2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20"/>
      <c r="Y38" s="19"/>
      <c r="Z38" s="19"/>
      <c r="AA38" s="19"/>
      <c r="AB38" s="19"/>
      <c r="AC38" s="19"/>
      <c r="AD38" s="19"/>
      <c r="AE38" s="20"/>
      <c r="AF38" s="19"/>
      <c r="AG38" s="19"/>
      <c r="AH38" s="20"/>
      <c r="AI38" s="53" t="str">
        <f>""</f>
        <v/>
      </c>
      <c r="AJ38" s="54" t="str">
        <f>""</f>
        <v/>
      </c>
      <c r="AK38" s="55" t="str">
        <f>""</f>
        <v/>
      </c>
    </row>
    <row r="39" spans="1:37" s="7" customFormat="1" ht="13.5" customHeight="1" x14ac:dyDescent="0.2">
      <c r="A39" s="94">
        <v>8</v>
      </c>
      <c r="B39" s="97" t="s">
        <v>20</v>
      </c>
      <c r="C39" s="2" t="s">
        <v>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>
        <v>2</v>
      </c>
      <c r="U39" s="8">
        <v>2</v>
      </c>
      <c r="V39" s="8"/>
      <c r="W39" s="6"/>
      <c r="X39" s="9"/>
      <c r="Y39" s="8"/>
      <c r="Z39" s="8"/>
      <c r="AA39" s="8"/>
      <c r="AB39" s="8"/>
      <c r="AC39" s="8"/>
      <c r="AD39" s="8"/>
      <c r="AE39" s="9"/>
      <c r="AF39" s="8"/>
      <c r="AG39" s="8"/>
      <c r="AH39" s="6"/>
      <c r="AI39" s="50">
        <f>0</f>
        <v>0</v>
      </c>
      <c r="AJ39" s="51">
        <f>SUM(D39:AH39)/8</f>
        <v>0.5</v>
      </c>
      <c r="AK39" s="52">
        <f>AI39+AJ39</f>
        <v>0.5</v>
      </c>
    </row>
    <row r="40" spans="1:37" s="7" customFormat="1" ht="13.5" customHeight="1" x14ac:dyDescent="0.2">
      <c r="A40" s="89"/>
      <c r="B40" s="89"/>
      <c r="C40" s="2" t="s">
        <v>9</v>
      </c>
      <c r="D40" s="8" t="s">
        <v>10</v>
      </c>
      <c r="E40" s="8" t="s">
        <v>10</v>
      </c>
      <c r="F40" s="8" t="s">
        <v>10</v>
      </c>
      <c r="G40" s="8" t="s">
        <v>10</v>
      </c>
      <c r="H40" s="8" t="s">
        <v>10</v>
      </c>
      <c r="I40" s="8" t="s">
        <v>10</v>
      </c>
      <c r="J40" s="8" t="s">
        <v>10</v>
      </c>
      <c r="K40" s="87" t="s">
        <v>10</v>
      </c>
      <c r="L40" s="8"/>
      <c r="M40" s="8"/>
      <c r="N40" s="8"/>
      <c r="O40" s="8"/>
      <c r="P40" s="8"/>
      <c r="Q40" s="8"/>
      <c r="R40" s="8"/>
      <c r="S40" s="87" t="s">
        <v>10</v>
      </c>
      <c r="U40" s="8"/>
      <c r="W40" s="6"/>
      <c r="X40" s="9"/>
      <c r="Y40" s="8"/>
      <c r="Z40" s="8"/>
      <c r="AA40" s="8"/>
      <c r="AB40" s="8"/>
      <c r="AC40" s="8"/>
      <c r="AD40" s="8"/>
      <c r="AE40" s="9"/>
      <c r="AF40" s="8"/>
      <c r="AG40" s="8"/>
      <c r="AH40" s="6"/>
      <c r="AI40" s="50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9</v>
      </c>
      <c r="AJ40" s="51">
        <f>0</f>
        <v>0</v>
      </c>
      <c r="AK40" s="52">
        <f>AI40+AJ40</f>
        <v>9</v>
      </c>
    </row>
    <row r="41" spans="1:37" s="7" customFormat="1" ht="13.5" customHeight="1" x14ac:dyDescent="0.2">
      <c r="A41" s="89"/>
      <c r="B41" s="89"/>
      <c r="C41" s="2" t="s">
        <v>11</v>
      </c>
      <c r="D41" s="8"/>
      <c r="E41" s="8"/>
      <c r="F41" s="8"/>
      <c r="G41" s="8"/>
      <c r="H41" s="8"/>
      <c r="I41" s="8"/>
      <c r="J41" s="8"/>
      <c r="K41" s="8"/>
      <c r="L41" s="8"/>
      <c r="M41" s="87" t="s">
        <v>10</v>
      </c>
      <c r="N41" s="87" t="s">
        <v>10</v>
      </c>
      <c r="O41" s="87" t="s">
        <v>10</v>
      </c>
      <c r="P41" s="87" t="s">
        <v>10</v>
      </c>
      <c r="Q41" s="87" t="s">
        <v>10</v>
      </c>
      <c r="R41" s="87" t="s">
        <v>10</v>
      </c>
      <c r="S41" s="8"/>
      <c r="T41" s="8" t="s">
        <v>10</v>
      </c>
      <c r="U41" s="87" t="s">
        <v>10</v>
      </c>
      <c r="V41" s="8" t="s">
        <v>10</v>
      </c>
      <c r="W41" s="6"/>
      <c r="X41" s="9"/>
      <c r="Y41" s="8"/>
      <c r="Z41" s="8"/>
      <c r="AA41" s="8"/>
      <c r="AB41" s="8"/>
      <c r="AC41" s="8"/>
      <c r="AD41" s="8"/>
      <c r="AE41" s="9"/>
      <c r="AF41" s="8"/>
      <c r="AG41" s="8"/>
      <c r="AH41" s="6"/>
      <c r="AI41" s="50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9</v>
      </c>
      <c r="AJ41" s="51">
        <f>0</f>
        <v>0</v>
      </c>
      <c r="AK41" s="52">
        <f>AI41+AJ41</f>
        <v>9</v>
      </c>
    </row>
    <row r="42" spans="1:37" s="7" customFormat="1" ht="13.5" customHeight="1" x14ac:dyDescent="0.2">
      <c r="A42" s="90"/>
      <c r="B42" s="96"/>
      <c r="C42" s="2" t="s">
        <v>12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6"/>
      <c r="X42" s="9"/>
      <c r="Y42" s="8"/>
      <c r="Z42" s="8"/>
      <c r="AA42" s="8"/>
      <c r="AB42" s="8"/>
      <c r="AC42" s="8"/>
      <c r="AD42" s="8"/>
      <c r="AE42" s="9"/>
      <c r="AF42" s="8"/>
      <c r="AG42" s="8"/>
      <c r="AH42" s="6"/>
      <c r="AI42" s="50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51">
        <f>0</f>
        <v>0</v>
      </c>
      <c r="AK42" s="52">
        <f>AI42+AJ42</f>
        <v>0</v>
      </c>
    </row>
    <row r="43" spans="1:37" s="7" customFormat="1" ht="13.5" customHeight="1" x14ac:dyDescent="0.2">
      <c r="A43" s="16"/>
      <c r="B43" s="17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20"/>
      <c r="Y43" s="19"/>
      <c r="Z43" s="19"/>
      <c r="AA43" s="19"/>
      <c r="AB43" s="19"/>
      <c r="AC43" s="19"/>
      <c r="AD43" s="19"/>
      <c r="AE43" s="20"/>
      <c r="AF43" s="19"/>
      <c r="AG43" s="19"/>
      <c r="AH43" s="20"/>
      <c r="AI43" s="53" t="str">
        <f>""</f>
        <v/>
      </c>
      <c r="AJ43" s="54" t="str">
        <f>""</f>
        <v/>
      </c>
      <c r="AK43" s="55" t="str">
        <f>""</f>
        <v/>
      </c>
    </row>
    <row r="44" spans="1:37" s="7" customFormat="1" ht="13.5" customHeight="1" x14ac:dyDescent="0.2">
      <c r="A44" s="94">
        <v>9</v>
      </c>
      <c r="B44" s="97" t="s">
        <v>21</v>
      </c>
      <c r="C44" s="2" t="s">
        <v>8</v>
      </c>
      <c r="D44" s="8">
        <v>2</v>
      </c>
      <c r="E44" s="8"/>
      <c r="F44" s="8">
        <v>2</v>
      </c>
      <c r="G44" s="8">
        <v>2</v>
      </c>
      <c r="H44" s="8">
        <v>2</v>
      </c>
      <c r="I44" s="8">
        <v>2</v>
      </c>
      <c r="J44" s="8">
        <v>2</v>
      </c>
      <c r="K44" s="8">
        <v>2</v>
      </c>
      <c r="L44" s="8"/>
      <c r="M44" s="8"/>
      <c r="N44" s="8"/>
      <c r="O44" s="8"/>
      <c r="P44" s="8"/>
      <c r="Q44" s="8"/>
      <c r="R44" s="8"/>
      <c r="S44" s="8"/>
      <c r="T44" s="8">
        <v>2</v>
      </c>
      <c r="U44" s="8">
        <v>2</v>
      </c>
      <c r="V44" s="8">
        <v>2</v>
      </c>
      <c r="W44" s="6"/>
      <c r="X44" s="9"/>
      <c r="Y44" s="8"/>
      <c r="Z44" s="8"/>
      <c r="AA44" s="8"/>
      <c r="AB44" s="8"/>
      <c r="AC44" s="8"/>
      <c r="AD44" s="8"/>
      <c r="AE44" s="9"/>
      <c r="AF44" s="8"/>
      <c r="AG44" s="8"/>
      <c r="AH44" s="6"/>
      <c r="AI44" s="50">
        <f>0</f>
        <v>0</v>
      </c>
      <c r="AJ44" s="51">
        <f>SUM(D44:AH44)/8</f>
        <v>2.5</v>
      </c>
      <c r="AK44" s="52">
        <f>AI44+AJ44</f>
        <v>2.5</v>
      </c>
    </row>
    <row r="45" spans="1:37" s="7" customFormat="1" ht="13.5" customHeight="1" x14ac:dyDescent="0.2">
      <c r="A45" s="89"/>
      <c r="B45" s="89"/>
      <c r="C45" s="2" t="s">
        <v>9</v>
      </c>
      <c r="D45" s="8" t="s">
        <v>10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7" t="s">
        <v>10</v>
      </c>
      <c r="T45" s="87" t="s">
        <v>10</v>
      </c>
      <c r="U45" s="8" t="s">
        <v>10</v>
      </c>
      <c r="V45" s="87" t="s">
        <v>10</v>
      </c>
      <c r="W45" s="6"/>
      <c r="X45" s="9"/>
      <c r="Y45" s="8"/>
      <c r="Z45" s="8"/>
      <c r="AA45" s="8"/>
      <c r="AB45" s="8"/>
      <c r="AC45" s="8"/>
      <c r="AD45" s="8"/>
      <c r="AE45" s="9"/>
      <c r="AF45" s="8"/>
      <c r="AG45" s="8"/>
      <c r="AH45" s="6"/>
      <c r="AI45" s="50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5</v>
      </c>
      <c r="AJ45" s="51">
        <f>0</f>
        <v>0</v>
      </c>
      <c r="AK45" s="52">
        <f>AI45+AJ45</f>
        <v>5</v>
      </c>
    </row>
    <row r="46" spans="1:37" s="7" customFormat="1" ht="13.5" customHeight="1" x14ac:dyDescent="0.2">
      <c r="A46" s="89"/>
      <c r="B46" s="89"/>
      <c r="C46" s="2" t="s">
        <v>11</v>
      </c>
      <c r="D46" s="8"/>
      <c r="E46" s="8"/>
      <c r="F46" s="8"/>
      <c r="G46" s="8"/>
      <c r="H46" s="8"/>
      <c r="I46" s="8"/>
      <c r="J46" s="8"/>
      <c r="K46" s="8"/>
      <c r="L46" s="8"/>
      <c r="M46" s="87" t="s">
        <v>10</v>
      </c>
      <c r="N46" s="87" t="s">
        <v>10</v>
      </c>
      <c r="O46" s="87" t="s">
        <v>10</v>
      </c>
      <c r="P46" s="87" t="s">
        <v>10</v>
      </c>
      <c r="Q46" s="8"/>
      <c r="R46" s="87" t="s">
        <v>10</v>
      </c>
      <c r="S46" s="8"/>
      <c r="T46" s="8"/>
      <c r="U46" s="8"/>
      <c r="V46" s="8"/>
      <c r="W46" s="6"/>
      <c r="X46" s="9"/>
      <c r="Y46" s="8"/>
      <c r="Z46" s="8"/>
      <c r="AA46" s="8"/>
      <c r="AB46" s="8"/>
      <c r="AC46" s="8"/>
      <c r="AD46" s="8"/>
      <c r="AE46" s="9"/>
      <c r="AF46" s="8"/>
      <c r="AG46" s="8"/>
      <c r="AH46" s="6"/>
      <c r="AI46" s="50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5</v>
      </c>
      <c r="AJ46" s="51">
        <f>0</f>
        <v>0</v>
      </c>
      <c r="AK46" s="52">
        <f>AI46+AJ46</f>
        <v>5</v>
      </c>
    </row>
    <row r="47" spans="1:37" s="7" customFormat="1" ht="13.5" customHeight="1" x14ac:dyDescent="0.2">
      <c r="A47" s="90"/>
      <c r="B47" s="96"/>
      <c r="C47" s="2" t="s">
        <v>12</v>
      </c>
      <c r="D47" s="8"/>
      <c r="E47" s="8" t="s">
        <v>10</v>
      </c>
      <c r="F47" s="8" t="s">
        <v>10</v>
      </c>
      <c r="G47" s="8" t="s">
        <v>10</v>
      </c>
      <c r="H47" s="8" t="s">
        <v>10</v>
      </c>
      <c r="I47" s="8" t="s">
        <v>10</v>
      </c>
      <c r="J47" s="8" t="s">
        <v>10</v>
      </c>
      <c r="K47" s="87" t="s">
        <v>10</v>
      </c>
      <c r="L47" s="8"/>
      <c r="M47" s="8"/>
      <c r="N47" s="8"/>
      <c r="O47" s="8"/>
      <c r="P47" s="87"/>
      <c r="Q47" s="87" t="s">
        <v>10</v>
      </c>
      <c r="R47" s="8"/>
      <c r="S47" s="8"/>
      <c r="T47" s="8"/>
      <c r="U47" s="8"/>
      <c r="V47" s="8"/>
      <c r="W47" s="6"/>
      <c r="X47" s="9"/>
      <c r="Y47" s="8"/>
      <c r="Z47" s="8"/>
      <c r="AA47" s="6"/>
      <c r="AB47" s="8"/>
      <c r="AC47" s="8"/>
      <c r="AD47" s="8"/>
      <c r="AE47" s="9"/>
      <c r="AF47" s="8"/>
      <c r="AG47" s="8"/>
      <c r="AH47" s="6"/>
      <c r="AI47" s="50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8</v>
      </c>
      <c r="AJ47" s="51">
        <f>0</f>
        <v>0</v>
      </c>
      <c r="AK47" s="52">
        <f>AI47+AJ47</f>
        <v>8</v>
      </c>
    </row>
    <row r="48" spans="1:37" s="7" customFormat="1" ht="13.5" customHeight="1" x14ac:dyDescent="0.2">
      <c r="A48" s="16"/>
      <c r="B48" s="17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X48" s="20"/>
      <c r="Y48" s="19"/>
      <c r="Z48" s="19"/>
      <c r="AA48" s="20"/>
      <c r="AB48" s="19"/>
      <c r="AC48" s="19"/>
      <c r="AD48" s="19"/>
      <c r="AE48" s="20"/>
      <c r="AF48" s="19"/>
      <c r="AG48" s="19"/>
      <c r="AH48" s="20"/>
      <c r="AI48" s="53" t="str">
        <f>""</f>
        <v/>
      </c>
      <c r="AJ48" s="54" t="str">
        <f>""</f>
        <v/>
      </c>
      <c r="AK48" s="55" t="str">
        <f>""</f>
        <v/>
      </c>
    </row>
    <row r="49" spans="1:44" s="7" customFormat="1" ht="13.5" customHeight="1" x14ac:dyDescent="0.2">
      <c r="A49" s="94">
        <v>10</v>
      </c>
      <c r="B49" s="97" t="s">
        <v>22</v>
      </c>
      <c r="C49" s="2" t="s">
        <v>8</v>
      </c>
      <c r="D49" s="8">
        <v>2</v>
      </c>
      <c r="E49" s="8"/>
      <c r="F49" s="8">
        <v>2</v>
      </c>
      <c r="G49" s="8">
        <v>2</v>
      </c>
      <c r="H49" s="8">
        <v>2</v>
      </c>
      <c r="I49" s="8">
        <v>2</v>
      </c>
      <c r="J49" s="8">
        <v>2</v>
      </c>
      <c r="K49" s="8"/>
      <c r="L49" s="8"/>
      <c r="M49" s="8"/>
      <c r="N49" s="8">
        <v>2</v>
      </c>
      <c r="O49" s="8">
        <v>2</v>
      </c>
      <c r="P49" s="8"/>
      <c r="Q49" s="8">
        <v>2</v>
      </c>
      <c r="R49" s="8"/>
      <c r="S49" s="8"/>
      <c r="T49" s="8">
        <v>2</v>
      </c>
      <c r="U49" s="8">
        <v>2</v>
      </c>
      <c r="V49" s="8">
        <v>2</v>
      </c>
      <c r="W49" s="6"/>
      <c r="X49" s="9"/>
      <c r="Y49" s="8"/>
      <c r="Z49" s="8"/>
      <c r="AA49" s="6"/>
      <c r="AB49" s="8"/>
      <c r="AC49" s="8"/>
      <c r="AD49" s="8"/>
      <c r="AE49" s="9"/>
      <c r="AF49" s="8"/>
      <c r="AG49" s="8"/>
      <c r="AH49" s="6"/>
      <c r="AI49" s="50">
        <f>0</f>
        <v>0</v>
      </c>
      <c r="AJ49" s="51">
        <f>SUM(D49:AH49)/8</f>
        <v>3</v>
      </c>
      <c r="AK49" s="52">
        <f>AI49+AJ49</f>
        <v>3</v>
      </c>
    </row>
    <row r="50" spans="1:44" s="7" customFormat="1" ht="13.5" customHeight="1" x14ac:dyDescent="0.2">
      <c r="A50" s="89"/>
      <c r="B50" s="89"/>
      <c r="C50" s="2" t="s">
        <v>9</v>
      </c>
      <c r="D50" s="8"/>
      <c r="E50" s="8" t="s">
        <v>10</v>
      </c>
      <c r="F50" s="8" t="s">
        <v>10</v>
      </c>
      <c r="G50" s="8" t="s">
        <v>10</v>
      </c>
      <c r="H50" s="8" t="s">
        <v>10</v>
      </c>
      <c r="I50" s="8" t="s">
        <v>10</v>
      </c>
      <c r="J50" s="8" t="s">
        <v>10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6"/>
      <c r="X50" s="9"/>
      <c r="Y50" s="8"/>
      <c r="Z50" s="8"/>
      <c r="AA50" s="6"/>
      <c r="AB50" s="8"/>
      <c r="AC50" s="8"/>
      <c r="AD50" s="8"/>
      <c r="AE50" s="9"/>
      <c r="AF50" s="8"/>
      <c r="AG50" s="8"/>
      <c r="AH50" s="6"/>
      <c r="AI50" s="50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6</v>
      </c>
      <c r="AJ50" s="51">
        <f>0</f>
        <v>0</v>
      </c>
      <c r="AK50" s="52">
        <f>AI50+AJ50</f>
        <v>6</v>
      </c>
    </row>
    <row r="51" spans="1:44" s="7" customFormat="1" ht="13.5" customHeight="1" x14ac:dyDescent="0.2">
      <c r="A51" s="89"/>
      <c r="B51" s="89"/>
      <c r="C51" s="2" t="s">
        <v>11</v>
      </c>
      <c r="D51" s="8" t="s">
        <v>10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7" t="s">
        <v>10</v>
      </c>
      <c r="T51" s="87" t="s">
        <v>10</v>
      </c>
      <c r="U51" s="8" t="s">
        <v>10</v>
      </c>
      <c r="V51" s="87" t="s">
        <v>10</v>
      </c>
      <c r="W51" s="6"/>
      <c r="X51" s="9"/>
      <c r="Y51" s="8"/>
      <c r="Z51" s="8"/>
      <c r="AA51" s="6"/>
      <c r="AB51" s="8"/>
      <c r="AC51" s="8"/>
      <c r="AD51" s="8"/>
      <c r="AE51" s="9"/>
      <c r="AF51" s="8"/>
      <c r="AG51" s="8"/>
      <c r="AH51" s="6"/>
      <c r="AI51" s="50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5</v>
      </c>
      <c r="AJ51" s="51">
        <f>0</f>
        <v>0</v>
      </c>
      <c r="AK51" s="52">
        <f>AI51+AJ51</f>
        <v>5</v>
      </c>
    </row>
    <row r="52" spans="1:44" s="7" customFormat="1" ht="13.5" customHeight="1" x14ac:dyDescent="0.2">
      <c r="A52" s="90"/>
      <c r="B52" s="96"/>
      <c r="C52" s="2" t="s">
        <v>12</v>
      </c>
      <c r="D52" s="8"/>
      <c r="E52" s="8"/>
      <c r="F52" s="8"/>
      <c r="G52" s="8"/>
      <c r="H52" s="8"/>
      <c r="I52" s="8"/>
      <c r="J52" s="8"/>
      <c r="K52" s="8"/>
      <c r="L52" s="87" t="s">
        <v>10</v>
      </c>
      <c r="M52" s="87" t="s">
        <v>10</v>
      </c>
      <c r="N52" s="87" t="s">
        <v>10</v>
      </c>
      <c r="O52" s="87" t="s">
        <v>10</v>
      </c>
      <c r="P52" s="87" t="s">
        <v>10</v>
      </c>
      <c r="Q52" s="87" t="s">
        <v>10</v>
      </c>
      <c r="R52" s="87" t="s">
        <v>10</v>
      </c>
      <c r="S52" s="8"/>
      <c r="T52" s="8"/>
      <c r="U52" s="8"/>
      <c r="V52" s="8"/>
      <c r="W52" s="6"/>
      <c r="X52" s="9"/>
      <c r="Y52" s="8"/>
      <c r="Z52" s="8"/>
      <c r="AA52" s="6"/>
      <c r="AB52" s="8"/>
      <c r="AC52" s="8"/>
      <c r="AD52" s="8"/>
      <c r="AE52" s="9"/>
      <c r="AF52" s="8"/>
      <c r="AG52" s="8"/>
      <c r="AH52" s="6"/>
      <c r="AI52" s="50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7</v>
      </c>
      <c r="AJ52" s="51">
        <f>0</f>
        <v>0</v>
      </c>
      <c r="AK52" s="52">
        <f>AI52+AJ52</f>
        <v>7</v>
      </c>
    </row>
    <row r="53" spans="1:44" s="7" customFormat="1" ht="13.5" customHeight="1" x14ac:dyDescent="0.2">
      <c r="A53" s="16"/>
      <c r="B53" s="17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20"/>
      <c r="X53" s="20"/>
      <c r="Y53" s="19"/>
      <c r="Z53" s="19"/>
      <c r="AA53" s="20"/>
      <c r="AB53" s="19"/>
      <c r="AC53" s="19"/>
      <c r="AD53" s="19"/>
      <c r="AE53" s="20"/>
      <c r="AF53" s="19"/>
      <c r="AG53" s="19"/>
      <c r="AH53" s="20"/>
      <c r="AI53" s="53" t="str">
        <f>""</f>
        <v/>
      </c>
      <c r="AJ53" s="54" t="str">
        <f>""</f>
        <v/>
      </c>
      <c r="AK53" s="55" t="str">
        <f>""</f>
        <v/>
      </c>
    </row>
    <row r="54" spans="1:44" s="7" customFormat="1" ht="12" customHeight="1" x14ac:dyDescent="0.2">
      <c r="A54" s="94">
        <v>11</v>
      </c>
      <c r="B54" s="97" t="s">
        <v>23</v>
      </c>
      <c r="C54" s="2" t="s">
        <v>8</v>
      </c>
      <c r="D54" s="8">
        <v>2</v>
      </c>
      <c r="E54" s="8"/>
      <c r="F54" s="8"/>
      <c r="G54" s="8">
        <v>2</v>
      </c>
      <c r="H54" s="8">
        <v>2</v>
      </c>
      <c r="I54" s="8">
        <v>2</v>
      </c>
      <c r="J54" s="8">
        <v>2</v>
      </c>
      <c r="K54" s="8">
        <v>2</v>
      </c>
      <c r="L54" s="8"/>
      <c r="M54" s="8">
        <v>2</v>
      </c>
      <c r="N54" s="8">
        <v>2</v>
      </c>
      <c r="O54" s="8">
        <v>2</v>
      </c>
      <c r="P54" s="8">
        <v>2</v>
      </c>
      <c r="Q54" s="8">
        <v>2</v>
      </c>
      <c r="R54" s="8">
        <v>2</v>
      </c>
      <c r="S54" s="8"/>
      <c r="T54" s="8">
        <v>2</v>
      </c>
      <c r="U54" s="8">
        <v>2</v>
      </c>
      <c r="V54" s="8">
        <v>2</v>
      </c>
      <c r="W54" s="6"/>
      <c r="X54" s="9"/>
      <c r="Y54" s="8"/>
      <c r="Z54" s="8"/>
      <c r="AA54" s="8"/>
      <c r="AB54" s="8"/>
      <c r="AC54" s="8"/>
      <c r="AD54" s="8"/>
      <c r="AE54" s="9"/>
      <c r="AF54" s="8"/>
      <c r="AG54" s="8"/>
      <c r="AH54" s="6"/>
      <c r="AI54" s="50">
        <f>0</f>
        <v>0</v>
      </c>
      <c r="AJ54" s="51">
        <f>SUM(D54:AH54)/8</f>
        <v>3.75</v>
      </c>
      <c r="AK54" s="52">
        <f>AI54+AJ54</f>
        <v>3.75</v>
      </c>
      <c r="AR54" s="10"/>
    </row>
    <row r="55" spans="1:44" s="7" customFormat="1" ht="13.5" customHeight="1" x14ac:dyDescent="0.2">
      <c r="A55" s="89"/>
      <c r="B55" s="89"/>
      <c r="C55" s="2" t="s">
        <v>9</v>
      </c>
      <c r="D55" s="8"/>
      <c r="E55" s="8"/>
      <c r="F55" s="8"/>
      <c r="G55" s="8"/>
      <c r="H55" s="8"/>
      <c r="I55" s="8"/>
      <c r="J55" s="8"/>
      <c r="K55" s="8"/>
      <c r="L55" s="8"/>
      <c r="M55" s="87" t="s">
        <v>10</v>
      </c>
      <c r="N55" s="87" t="s">
        <v>10</v>
      </c>
      <c r="O55" s="87" t="s">
        <v>10</v>
      </c>
      <c r="P55" s="87" t="s">
        <v>10</v>
      </c>
      <c r="Q55" s="87" t="s">
        <v>10</v>
      </c>
      <c r="R55" s="87" t="s">
        <v>10</v>
      </c>
      <c r="S55" s="8"/>
      <c r="T55" s="8"/>
      <c r="U55" s="8"/>
      <c r="V55" s="8"/>
      <c r="W55" s="6"/>
      <c r="X55" s="9"/>
      <c r="Y55" s="8"/>
      <c r="Z55" s="8"/>
      <c r="AA55" s="8"/>
      <c r="AB55" s="8"/>
      <c r="AC55" s="8"/>
      <c r="AD55" s="8"/>
      <c r="AE55" s="9"/>
      <c r="AF55" s="8"/>
      <c r="AG55" s="8"/>
      <c r="AH55" s="6"/>
      <c r="AI55" s="50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6</v>
      </c>
      <c r="AJ55" s="51">
        <f>0</f>
        <v>0</v>
      </c>
      <c r="AK55" s="52">
        <f>AI55+AJ55</f>
        <v>6</v>
      </c>
      <c r="AR55" s="10"/>
    </row>
    <row r="56" spans="1:44" s="7" customFormat="1" ht="13.5" customHeight="1" x14ac:dyDescent="0.2">
      <c r="A56" s="89"/>
      <c r="B56" s="89"/>
      <c r="C56" s="2" t="s">
        <v>11</v>
      </c>
      <c r="D56" s="8"/>
      <c r="E56" s="8" t="s">
        <v>10</v>
      </c>
      <c r="F56" s="8" t="s">
        <v>10</v>
      </c>
      <c r="G56" s="8" t="s">
        <v>10</v>
      </c>
      <c r="H56" s="8" t="s">
        <v>10</v>
      </c>
      <c r="I56" s="8" t="s">
        <v>10</v>
      </c>
      <c r="J56" s="8" t="s">
        <v>10</v>
      </c>
      <c r="K56" s="87" t="s">
        <v>10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6"/>
      <c r="X56" s="9"/>
      <c r="Y56" s="8"/>
      <c r="Z56" s="8"/>
      <c r="AA56" s="8"/>
      <c r="AB56" s="8"/>
      <c r="AC56" s="8"/>
      <c r="AD56" s="8"/>
      <c r="AE56" s="9"/>
      <c r="AF56" s="8"/>
      <c r="AG56" s="8"/>
      <c r="AH56" s="6"/>
      <c r="AI56" s="50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7</v>
      </c>
      <c r="AJ56" s="51">
        <f>0</f>
        <v>0</v>
      </c>
      <c r="AK56" s="52">
        <f>AI56+AJ56</f>
        <v>7</v>
      </c>
      <c r="AR56" s="10"/>
    </row>
    <row r="57" spans="1:44" s="7" customFormat="1" ht="13.5" customHeight="1" x14ac:dyDescent="0.2">
      <c r="A57" s="90"/>
      <c r="B57" s="96"/>
      <c r="C57" s="2" t="s">
        <v>12</v>
      </c>
      <c r="D57" s="8" t="s">
        <v>10</v>
      </c>
      <c r="E57" s="8"/>
      <c r="F57" s="8"/>
      <c r="G57" s="8"/>
      <c r="H57" s="8"/>
      <c r="I57" s="8"/>
      <c r="J57" s="13"/>
      <c r="K57" s="13"/>
      <c r="L57" s="13"/>
      <c r="M57" s="8"/>
      <c r="N57" s="13"/>
      <c r="O57" s="13"/>
      <c r="P57" s="13"/>
      <c r="Q57" s="13"/>
      <c r="R57" s="8"/>
      <c r="S57" s="87" t="s">
        <v>10</v>
      </c>
      <c r="T57" s="87" t="s">
        <v>10</v>
      </c>
      <c r="U57" s="8" t="s">
        <v>10</v>
      </c>
      <c r="V57" s="87" t="s">
        <v>10</v>
      </c>
      <c r="W57" s="6"/>
      <c r="X57" s="9"/>
      <c r="Y57" s="8"/>
      <c r="Z57" s="8"/>
      <c r="AA57" s="8"/>
      <c r="AB57" s="8"/>
      <c r="AC57" s="8"/>
      <c r="AD57" s="8"/>
      <c r="AE57" s="9"/>
      <c r="AF57" s="8"/>
      <c r="AG57" s="8"/>
      <c r="AH57" s="6"/>
      <c r="AI57" s="50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5</v>
      </c>
      <c r="AJ57" s="51">
        <f>0</f>
        <v>0</v>
      </c>
      <c r="AK57" s="52">
        <f>AI57+AJ57</f>
        <v>5</v>
      </c>
    </row>
    <row r="58" spans="1:44" s="7" customFormat="1" ht="13.5" customHeight="1" x14ac:dyDescent="0.2">
      <c r="A58" s="16"/>
      <c r="B58" s="17"/>
      <c r="C58" s="18"/>
      <c r="D58" s="19"/>
      <c r="E58" s="19"/>
      <c r="F58" s="19"/>
      <c r="G58" s="19"/>
      <c r="H58" s="19"/>
      <c r="I58" s="19"/>
      <c r="J58" s="22"/>
      <c r="K58" s="22"/>
      <c r="L58" s="22"/>
      <c r="M58" s="19"/>
      <c r="N58" s="22"/>
      <c r="O58" s="22"/>
      <c r="P58" s="22"/>
      <c r="Q58" s="22"/>
      <c r="R58" s="19"/>
      <c r="S58" s="19"/>
      <c r="T58" s="19"/>
      <c r="U58" s="19"/>
      <c r="V58" s="19"/>
      <c r="W58" s="20"/>
      <c r="X58" s="20"/>
      <c r="Y58" s="19"/>
      <c r="Z58" s="19"/>
      <c r="AA58" s="19"/>
      <c r="AB58" s="19"/>
      <c r="AC58" s="19"/>
      <c r="AD58" s="19"/>
      <c r="AE58" s="20"/>
      <c r="AF58" s="19"/>
      <c r="AG58" s="19"/>
      <c r="AH58" s="20"/>
      <c r="AI58" s="53" t="str">
        <f>""</f>
        <v/>
      </c>
      <c r="AJ58" s="54" t="str">
        <f>""</f>
        <v/>
      </c>
      <c r="AK58" s="55" t="str">
        <f>""</f>
        <v/>
      </c>
    </row>
    <row r="59" spans="1:44" ht="13.5" customHeight="1" x14ac:dyDescent="0.2">
      <c r="A59" s="94">
        <v>12</v>
      </c>
      <c r="B59" s="88" t="s">
        <v>24</v>
      </c>
      <c r="C59" s="2" t="s">
        <v>8</v>
      </c>
      <c r="D59" s="8"/>
      <c r="E59" s="8"/>
      <c r="F59" s="8"/>
      <c r="G59" s="8">
        <v>2</v>
      </c>
      <c r="H59" s="8"/>
      <c r="I59" s="8"/>
      <c r="J59" s="8"/>
      <c r="K59" s="8"/>
      <c r="L59" s="8"/>
      <c r="M59" s="8"/>
      <c r="N59" s="8">
        <v>2</v>
      </c>
      <c r="O59" s="8"/>
      <c r="P59" s="8">
        <v>2</v>
      </c>
      <c r="Q59" s="8">
        <v>2</v>
      </c>
      <c r="R59" s="8">
        <v>2</v>
      </c>
      <c r="S59" s="8"/>
      <c r="T59" s="8"/>
      <c r="U59" s="8"/>
      <c r="V59" s="8"/>
      <c r="W59" s="6"/>
      <c r="X59" s="9"/>
      <c r="Y59" s="8"/>
      <c r="Z59" s="8"/>
      <c r="AA59" s="8"/>
      <c r="AB59" s="8"/>
      <c r="AC59" s="8"/>
      <c r="AD59" s="8"/>
      <c r="AE59" s="9"/>
      <c r="AF59" s="8"/>
      <c r="AG59" s="8"/>
      <c r="AH59" s="4"/>
      <c r="AI59" s="50">
        <f>0</f>
        <v>0</v>
      </c>
      <c r="AJ59" s="51">
        <f>SUM(D59:AH59)/8</f>
        <v>1.25</v>
      </c>
      <c r="AK59" s="52">
        <f>AI59+AJ59</f>
        <v>1.25</v>
      </c>
    </row>
    <row r="60" spans="1:44" ht="13.5" customHeight="1" x14ac:dyDescent="0.2">
      <c r="A60" s="89"/>
      <c r="B60" s="89"/>
      <c r="C60" s="2" t="s">
        <v>9</v>
      </c>
      <c r="D60" s="8"/>
      <c r="E60" s="8"/>
      <c r="F60" s="8"/>
      <c r="G60" s="8"/>
      <c r="H60" s="8" t="s">
        <v>10</v>
      </c>
      <c r="I60" s="8" t="s">
        <v>10</v>
      </c>
      <c r="J60" s="8" t="s">
        <v>10</v>
      </c>
      <c r="K60" s="87" t="s">
        <v>15</v>
      </c>
      <c r="L60" s="87" t="s">
        <v>10</v>
      </c>
      <c r="M60" s="87" t="s">
        <v>10</v>
      </c>
      <c r="N60" s="8"/>
      <c r="O60" s="87" t="s">
        <v>25</v>
      </c>
      <c r="P60" s="87" t="s">
        <v>10</v>
      </c>
      <c r="Q60" s="87" t="s">
        <v>10</v>
      </c>
      <c r="R60" s="87" t="s">
        <v>10</v>
      </c>
      <c r="S60" s="8"/>
      <c r="T60" s="8"/>
      <c r="U60" s="8"/>
      <c r="V60" s="8"/>
      <c r="W60" s="6"/>
      <c r="X60" s="9"/>
      <c r="Y60" s="8"/>
      <c r="Z60" s="8"/>
      <c r="AA60" s="8"/>
      <c r="AB60" s="8"/>
      <c r="AC60" s="8"/>
      <c r="AD60" s="8"/>
      <c r="AE60" s="9"/>
      <c r="AF60" s="8"/>
      <c r="AG60" s="8"/>
      <c r="AH60" s="4"/>
      <c r="AI60" s="50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8.5</v>
      </c>
      <c r="AJ60" s="51">
        <f>0</f>
        <v>0</v>
      </c>
      <c r="AK60" s="52">
        <f>AI60+AJ60</f>
        <v>8.5</v>
      </c>
    </row>
    <row r="61" spans="1:44" ht="13.5" customHeight="1" x14ac:dyDescent="0.2">
      <c r="A61" s="89"/>
      <c r="B61" s="89"/>
      <c r="C61" s="2" t="s">
        <v>11</v>
      </c>
      <c r="D61" s="8"/>
      <c r="E61" s="8"/>
      <c r="F61" s="8" t="s">
        <v>10</v>
      </c>
      <c r="G61" s="8" t="s">
        <v>10</v>
      </c>
      <c r="H61" s="8"/>
      <c r="I61" s="8"/>
      <c r="J61" s="8"/>
      <c r="K61" s="8"/>
      <c r="L61" s="8"/>
      <c r="M61" s="8"/>
      <c r="N61" s="87" t="s">
        <v>10</v>
      </c>
      <c r="O61" s="87" t="s">
        <v>10</v>
      </c>
      <c r="P61" s="8"/>
      <c r="Q61" s="8"/>
      <c r="R61" s="8"/>
      <c r="S61" s="8"/>
      <c r="T61" s="8"/>
      <c r="U61" s="8"/>
      <c r="V61" s="8"/>
      <c r="W61" s="6"/>
      <c r="X61" s="9"/>
      <c r="Y61" s="8"/>
      <c r="Z61" s="8"/>
      <c r="AA61" s="8"/>
      <c r="AB61" s="8"/>
      <c r="AC61" s="8"/>
      <c r="AD61" s="8"/>
      <c r="AE61" s="9"/>
      <c r="AF61" s="8"/>
      <c r="AG61" s="8"/>
      <c r="AH61" s="4"/>
      <c r="AI61" s="50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4</v>
      </c>
      <c r="AJ61" s="51">
        <f>0</f>
        <v>0</v>
      </c>
      <c r="AK61" s="52">
        <f>AI61+AJ61</f>
        <v>4</v>
      </c>
    </row>
    <row r="62" spans="1:44" s="7" customFormat="1" ht="13.5" customHeight="1" x14ac:dyDescent="0.2">
      <c r="A62" s="90"/>
      <c r="B62" s="90"/>
      <c r="C62" s="2" t="s">
        <v>12</v>
      </c>
      <c r="D62" s="8" t="s">
        <v>10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 t="s">
        <v>10</v>
      </c>
      <c r="T62" s="87" t="s">
        <v>10</v>
      </c>
      <c r="U62" s="8" t="s">
        <v>10</v>
      </c>
      <c r="V62" s="87" t="s">
        <v>10</v>
      </c>
      <c r="W62" s="6"/>
      <c r="X62" s="9"/>
      <c r="Y62" s="8"/>
      <c r="Z62" s="8"/>
      <c r="AA62" s="8"/>
      <c r="AB62" s="8"/>
      <c r="AC62" s="8"/>
      <c r="AD62" s="8"/>
      <c r="AE62" s="9"/>
      <c r="AF62" s="8"/>
      <c r="AG62" s="8"/>
      <c r="AH62" s="6"/>
      <c r="AI62" s="50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5</v>
      </c>
      <c r="AJ62" s="51">
        <f>0</f>
        <v>0</v>
      </c>
      <c r="AK62" s="52">
        <f>AI62+AJ62</f>
        <v>5</v>
      </c>
    </row>
    <row r="63" spans="1:44" s="7" customFormat="1" ht="13.5" customHeight="1" x14ac:dyDescent="0.2">
      <c r="A63" s="16"/>
      <c r="B63" s="23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20"/>
      <c r="X63" s="20"/>
      <c r="Y63" s="19"/>
      <c r="Z63" s="19"/>
      <c r="AA63" s="19"/>
      <c r="AB63" s="19"/>
      <c r="AC63" s="19"/>
      <c r="AD63" s="19"/>
      <c r="AE63" s="20"/>
      <c r="AF63" s="19"/>
      <c r="AG63" s="19"/>
      <c r="AH63" s="20"/>
      <c r="AI63" s="53" t="str">
        <f>""</f>
        <v/>
      </c>
      <c r="AJ63" s="54" t="str">
        <f>""</f>
        <v/>
      </c>
      <c r="AK63" s="55" t="str">
        <f>""</f>
        <v/>
      </c>
    </row>
    <row r="64" spans="1:44" ht="13.5" customHeight="1" x14ac:dyDescent="0.2">
      <c r="A64" s="94">
        <v>13</v>
      </c>
      <c r="B64" s="94" t="s">
        <v>26</v>
      </c>
      <c r="C64" s="2" t="s">
        <v>8</v>
      </c>
      <c r="D64" s="8">
        <v>2</v>
      </c>
      <c r="E64" s="8"/>
      <c r="F64" s="8"/>
      <c r="G64" s="8">
        <v>2</v>
      </c>
      <c r="H64" s="8">
        <v>2</v>
      </c>
      <c r="I64" s="8">
        <v>2</v>
      </c>
      <c r="J64" s="8">
        <v>2</v>
      </c>
      <c r="K64" s="8">
        <v>2</v>
      </c>
      <c r="L64" s="8"/>
      <c r="M64" s="8">
        <v>2</v>
      </c>
      <c r="N64" s="8">
        <v>2</v>
      </c>
      <c r="O64" s="8">
        <v>2</v>
      </c>
      <c r="P64" s="8">
        <v>2</v>
      </c>
      <c r="Q64" s="8">
        <v>2</v>
      </c>
      <c r="R64" s="8">
        <v>2</v>
      </c>
      <c r="S64" s="8"/>
      <c r="T64" s="8">
        <v>2</v>
      </c>
      <c r="U64" s="8">
        <v>2</v>
      </c>
      <c r="V64" s="8"/>
      <c r="W64" s="6"/>
      <c r="X64" s="9"/>
      <c r="Y64" s="8"/>
      <c r="Z64" s="8"/>
      <c r="AA64" s="8"/>
      <c r="AB64" s="8"/>
      <c r="AC64" s="8"/>
      <c r="AD64" s="8"/>
      <c r="AE64" s="9"/>
      <c r="AF64" s="8"/>
      <c r="AG64" s="8"/>
      <c r="AH64" s="4"/>
      <c r="AI64" s="50">
        <f>0</f>
        <v>0</v>
      </c>
      <c r="AJ64" s="51">
        <f>SUM(D64:AH64)/8</f>
        <v>3.5</v>
      </c>
      <c r="AK64" s="52">
        <f>AI64+AJ64</f>
        <v>3.5</v>
      </c>
    </row>
    <row r="65" spans="1:37" ht="13.5" customHeight="1" x14ac:dyDescent="0.2">
      <c r="A65" s="89"/>
      <c r="B65" s="89"/>
      <c r="C65" s="2" t="s">
        <v>9</v>
      </c>
      <c r="D65" s="8"/>
      <c r="E65" s="8" t="s">
        <v>10</v>
      </c>
      <c r="F65" s="8" t="s">
        <v>10</v>
      </c>
      <c r="G65" s="8" t="s">
        <v>10</v>
      </c>
      <c r="H65" s="8" t="s">
        <v>10</v>
      </c>
      <c r="I65" s="8" t="s">
        <v>10</v>
      </c>
      <c r="J65" s="8" t="s">
        <v>10</v>
      </c>
      <c r="K65" s="87" t="s">
        <v>10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6"/>
      <c r="X65" s="9"/>
      <c r="Y65" s="8"/>
      <c r="Z65" s="8"/>
      <c r="AA65" s="8"/>
      <c r="AB65" s="8"/>
      <c r="AC65" s="8"/>
      <c r="AD65" s="8"/>
      <c r="AE65" s="9"/>
      <c r="AF65" s="8"/>
      <c r="AG65" s="8"/>
      <c r="AH65" s="4"/>
      <c r="AI65" s="50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7</v>
      </c>
      <c r="AJ65" s="51">
        <f>0</f>
        <v>0</v>
      </c>
      <c r="AK65" s="52">
        <f>AI65+AJ65</f>
        <v>7</v>
      </c>
    </row>
    <row r="66" spans="1:37" ht="12.75" customHeight="1" x14ac:dyDescent="0.2">
      <c r="A66" s="89"/>
      <c r="B66" s="89"/>
      <c r="C66" s="2" t="s">
        <v>11</v>
      </c>
      <c r="D66" s="8" t="s">
        <v>10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7" t="s">
        <v>10</v>
      </c>
      <c r="T66" s="87" t="s">
        <v>10</v>
      </c>
      <c r="U66" s="8" t="s">
        <v>10</v>
      </c>
      <c r="V66" s="87" t="s">
        <v>10</v>
      </c>
      <c r="W66" s="6"/>
      <c r="X66" s="9"/>
      <c r="Y66" s="8"/>
      <c r="Z66" s="8"/>
      <c r="AA66" s="8"/>
      <c r="AB66" s="8"/>
      <c r="AC66" s="8"/>
      <c r="AD66" s="8"/>
      <c r="AE66" s="9"/>
      <c r="AF66" s="8"/>
      <c r="AG66" s="8"/>
      <c r="AH66" s="4"/>
      <c r="AI66" s="50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5</v>
      </c>
      <c r="AJ66" s="51">
        <f>0</f>
        <v>0</v>
      </c>
      <c r="AK66" s="52">
        <f>AI66+AJ66</f>
        <v>5</v>
      </c>
    </row>
    <row r="67" spans="1:37" s="7" customFormat="1" ht="13.5" customHeight="1" x14ac:dyDescent="0.2">
      <c r="A67" s="90"/>
      <c r="B67" s="90"/>
      <c r="C67" s="2" t="s">
        <v>12</v>
      </c>
      <c r="D67" s="8"/>
      <c r="E67" s="8"/>
      <c r="F67" s="8"/>
      <c r="G67" s="8"/>
      <c r="H67" s="8"/>
      <c r="I67" s="8"/>
      <c r="J67" s="8"/>
      <c r="K67" s="8"/>
      <c r="L67" s="8"/>
      <c r="M67" s="87" t="s">
        <v>10</v>
      </c>
      <c r="N67" s="87" t="s">
        <v>10</v>
      </c>
      <c r="O67" s="87" t="s">
        <v>10</v>
      </c>
      <c r="P67" s="87" t="s">
        <v>10</v>
      </c>
      <c r="Q67" s="87" t="s">
        <v>10</v>
      </c>
      <c r="R67" s="87" t="s">
        <v>10</v>
      </c>
      <c r="S67" s="8"/>
      <c r="T67" s="8"/>
      <c r="U67" s="8"/>
      <c r="V67" s="8"/>
      <c r="W67" s="6"/>
      <c r="X67" s="9"/>
      <c r="Y67" s="8"/>
      <c r="Z67" s="8"/>
      <c r="AA67" s="6"/>
      <c r="AB67" s="8"/>
      <c r="AC67" s="8"/>
      <c r="AD67" s="8"/>
      <c r="AE67" s="9"/>
      <c r="AF67" s="8"/>
      <c r="AG67" s="8"/>
      <c r="AH67" s="6"/>
      <c r="AI67" s="50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6</v>
      </c>
      <c r="AJ67" s="51">
        <f>0</f>
        <v>0</v>
      </c>
      <c r="AK67" s="52">
        <f>AI67+AJ67</f>
        <v>6</v>
      </c>
    </row>
    <row r="68" spans="1:37" ht="20.25" customHeight="1" x14ac:dyDescent="0.2">
      <c r="A68" s="11" t="s">
        <v>27</v>
      </c>
      <c r="B68" s="11" t="s">
        <v>28</v>
      </c>
      <c r="AH68" s="12" t="s">
        <v>4</v>
      </c>
      <c r="AI68" s="52" t="str">
        <f>""</f>
        <v/>
      </c>
      <c r="AJ68" s="52" t="str">
        <f>""</f>
        <v/>
      </c>
      <c r="AK68" s="52" t="str">
        <f>""</f>
        <v/>
      </c>
    </row>
    <row r="69" spans="1:37" x14ac:dyDescent="0.2">
      <c r="A69" s="11"/>
      <c r="B69" s="11"/>
      <c r="AI69" s="45"/>
      <c r="AJ69" s="45"/>
      <c r="AK69" s="45"/>
    </row>
    <row r="70" spans="1:37" x14ac:dyDescent="0.2">
      <c r="AI70" s="45"/>
      <c r="AJ70" s="45"/>
      <c r="AK70" s="45"/>
    </row>
    <row r="71" spans="1:37" ht="14.25" customHeight="1" x14ac:dyDescent="0.2">
      <c r="AI71" s="45"/>
      <c r="AJ71" s="45"/>
      <c r="AK71" s="45"/>
    </row>
    <row r="72" spans="1:37" ht="14.25" customHeight="1" x14ac:dyDescent="0.2">
      <c r="A72" s="103"/>
      <c r="B72" s="104"/>
      <c r="C72" s="104"/>
      <c r="D72" s="10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106"/>
      <c r="AJ72" s="108"/>
      <c r="AK72" s="107"/>
    </row>
    <row r="73" spans="1:37" ht="14.25" customHeight="1" x14ac:dyDescent="0.2">
      <c r="A73" s="100"/>
      <c r="B73" s="105"/>
      <c r="C73" s="105"/>
      <c r="D73" s="91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3"/>
      <c r="AI73" s="89"/>
      <c r="AJ73" s="99"/>
      <c r="AK73" s="89"/>
    </row>
    <row r="74" spans="1:37" ht="14.25" customHeight="1" x14ac:dyDescent="0.25">
      <c r="A74" s="2"/>
      <c r="B74" s="2"/>
      <c r="C74" s="3"/>
      <c r="D74" s="14"/>
      <c r="E74" s="14"/>
      <c r="F74" s="14">
        <f t="shared" ref="F74:AH74" si="1">+E74+1</f>
        <v>1</v>
      </c>
      <c r="G74" s="14">
        <f t="shared" si="1"/>
        <v>2</v>
      </c>
      <c r="H74" s="14">
        <f t="shared" si="1"/>
        <v>3</v>
      </c>
      <c r="I74" s="14">
        <f t="shared" si="1"/>
        <v>4</v>
      </c>
      <c r="J74" s="14">
        <f t="shared" si="1"/>
        <v>5</v>
      </c>
      <c r="K74" s="14">
        <f t="shared" si="1"/>
        <v>6</v>
      </c>
      <c r="L74" s="14">
        <f t="shared" si="1"/>
        <v>7</v>
      </c>
      <c r="M74" s="14">
        <f t="shared" si="1"/>
        <v>8</v>
      </c>
      <c r="N74" s="14">
        <f t="shared" si="1"/>
        <v>9</v>
      </c>
      <c r="O74" s="14">
        <f t="shared" si="1"/>
        <v>10</v>
      </c>
      <c r="P74" s="14">
        <f t="shared" si="1"/>
        <v>11</v>
      </c>
      <c r="Q74" s="14">
        <f t="shared" si="1"/>
        <v>12</v>
      </c>
      <c r="R74" s="14">
        <f t="shared" si="1"/>
        <v>13</v>
      </c>
      <c r="S74" s="14">
        <f t="shared" si="1"/>
        <v>14</v>
      </c>
      <c r="T74" s="14">
        <f t="shared" si="1"/>
        <v>15</v>
      </c>
      <c r="U74" s="14">
        <f t="shared" si="1"/>
        <v>16</v>
      </c>
      <c r="V74" s="14">
        <f t="shared" si="1"/>
        <v>17</v>
      </c>
      <c r="W74" s="14">
        <f t="shared" si="1"/>
        <v>18</v>
      </c>
      <c r="X74" s="14">
        <f t="shared" si="1"/>
        <v>19</v>
      </c>
      <c r="Y74" s="14">
        <f t="shared" si="1"/>
        <v>20</v>
      </c>
      <c r="Z74" s="14">
        <f t="shared" si="1"/>
        <v>21</v>
      </c>
      <c r="AA74" s="14">
        <f t="shared" si="1"/>
        <v>22</v>
      </c>
      <c r="AB74" s="14">
        <f t="shared" si="1"/>
        <v>23</v>
      </c>
      <c r="AC74" s="14">
        <f t="shared" si="1"/>
        <v>24</v>
      </c>
      <c r="AD74" s="14">
        <f t="shared" si="1"/>
        <v>25</v>
      </c>
      <c r="AE74" s="14">
        <f t="shared" si="1"/>
        <v>26</v>
      </c>
      <c r="AF74" s="14">
        <f t="shared" si="1"/>
        <v>27</v>
      </c>
      <c r="AG74" s="14">
        <f t="shared" si="1"/>
        <v>28</v>
      </c>
      <c r="AH74" s="14">
        <f t="shared" si="1"/>
        <v>29</v>
      </c>
      <c r="AI74" s="90"/>
      <c r="AJ74" s="100"/>
      <c r="AK74" s="90"/>
    </row>
    <row r="75" spans="1:37" ht="14.25" customHeight="1" x14ac:dyDescent="0.2">
      <c r="A75" s="94"/>
      <c r="B75" s="95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ref="AJ75:AJ82" si="2">SUM(D75:AH75)/8</f>
        <v>0</v>
      </c>
      <c r="AK75" s="52">
        <f t="shared" ref="AK75:AK106" si="3">AI75+AJ75</f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2"/>
        <v>0</v>
      </c>
      <c r="AK76" s="52">
        <f t="shared" si="3"/>
        <v>0</v>
      </c>
    </row>
    <row r="77" spans="1:37" ht="14.25" customHeight="1" x14ac:dyDescent="0.2">
      <c r="A77" s="89"/>
      <c r="B77" s="89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8"/>
      <c r="AF77" s="8"/>
      <c r="AG77" s="8"/>
      <c r="AH77" s="4"/>
      <c r="AI77" s="50">
        <f>0</f>
        <v>0</v>
      </c>
      <c r="AJ77" s="51">
        <f t="shared" si="2"/>
        <v>0</v>
      </c>
      <c r="AK77" s="52">
        <f t="shared" si="3"/>
        <v>0</v>
      </c>
    </row>
    <row r="78" spans="1:37" ht="14.25" customHeight="1" x14ac:dyDescent="0.2">
      <c r="A78" s="90"/>
      <c r="B78" s="96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2"/>
        <v>0</v>
      </c>
      <c r="AK78" s="52">
        <f t="shared" si="3"/>
        <v>0</v>
      </c>
    </row>
    <row r="79" spans="1:37" ht="14.25" customHeight="1" x14ac:dyDescent="0.2">
      <c r="A79" s="94"/>
      <c r="B79" s="97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2"/>
        <v>0</v>
      </c>
      <c r="AK79" s="52">
        <f t="shared" si="3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2"/>
        <v>0</v>
      </c>
      <c r="AK80" s="52">
        <f t="shared" si="3"/>
        <v>0</v>
      </c>
    </row>
    <row r="81" spans="1:37" ht="14.25" customHeight="1" x14ac:dyDescent="0.2">
      <c r="A81" s="89"/>
      <c r="B81" s="89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2"/>
        <v>0</v>
      </c>
      <c r="AK81" s="52">
        <f t="shared" si="3"/>
        <v>0</v>
      </c>
    </row>
    <row r="82" spans="1:37" ht="14.25" customHeight="1" x14ac:dyDescent="0.2">
      <c r="A82" s="90"/>
      <c r="B82" s="96"/>
      <c r="C82" s="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>
        <f t="shared" si="2"/>
        <v>0</v>
      </c>
      <c r="AK82" s="52">
        <f t="shared" si="3"/>
        <v>0</v>
      </c>
    </row>
    <row r="83" spans="1:37" ht="14.25" customHeight="1" x14ac:dyDescent="0.2">
      <c r="A83" s="94"/>
      <c r="B83" s="97"/>
      <c r="C83" s="2"/>
      <c r="D83" s="8"/>
      <c r="E83" s="8"/>
      <c r="F83" s="8"/>
      <c r="G83" s="8"/>
      <c r="H83" s="8"/>
      <c r="I83" s="8"/>
      <c r="J83" s="8"/>
      <c r="K83" s="8"/>
      <c r="L83" s="1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/>
      <c r="AK83" s="52">
        <f t="shared" si="3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3"/>
        <v>0</v>
      </c>
    </row>
    <row r="85" spans="1:37" ht="14.25" customHeight="1" x14ac:dyDescent="0.2">
      <c r="A85" s="89"/>
      <c r="B85" s="89"/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3"/>
        <v>0</v>
      </c>
    </row>
    <row r="86" spans="1:37" ht="14.25" customHeight="1" x14ac:dyDescent="0.2">
      <c r="A86" s="90"/>
      <c r="B86" s="96"/>
      <c r="C86" s="2"/>
      <c r="D86" s="8"/>
      <c r="E86" s="8"/>
      <c r="F86" s="8"/>
      <c r="G86" s="8"/>
      <c r="H86" s="8"/>
      <c r="I86" s="8"/>
      <c r="J86" s="8"/>
      <c r="K86" s="8"/>
      <c r="L86" s="1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3"/>
        <v>0</v>
      </c>
    </row>
    <row r="87" spans="1:37" ht="14.25" customHeight="1" x14ac:dyDescent="0.2">
      <c r="A87" s="94"/>
      <c r="B87" s="97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3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3"/>
        <v>0</v>
      </c>
    </row>
    <row r="89" spans="1:37" ht="14.25" customHeight="1" x14ac:dyDescent="0.2">
      <c r="A89" s="89"/>
      <c r="B89" s="89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3"/>
        <v>0</v>
      </c>
    </row>
    <row r="90" spans="1:37" ht="14.25" customHeight="1" x14ac:dyDescent="0.2">
      <c r="A90" s="90"/>
      <c r="B90" s="96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3"/>
        <v>0</v>
      </c>
    </row>
    <row r="91" spans="1:37" ht="14.25" customHeight="1" x14ac:dyDescent="0.2">
      <c r="A91" s="94"/>
      <c r="B91" s="97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3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3"/>
        <v>0</v>
      </c>
    </row>
    <row r="93" spans="1:37" ht="14.25" customHeight="1" x14ac:dyDescent="0.2">
      <c r="A93" s="89"/>
      <c r="B93" s="89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3"/>
        <v>0</v>
      </c>
    </row>
    <row r="94" spans="1:37" ht="14.25" customHeight="1" x14ac:dyDescent="0.2">
      <c r="A94" s="90"/>
      <c r="B94" s="96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3"/>
        <v>0</v>
      </c>
    </row>
    <row r="95" spans="1:37" ht="14.25" customHeight="1" x14ac:dyDescent="0.2">
      <c r="A95" s="94"/>
      <c r="B95" s="97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3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3"/>
        <v>0</v>
      </c>
    </row>
    <row r="97" spans="1:37" ht="14.25" customHeight="1" x14ac:dyDescent="0.2">
      <c r="A97" s="89"/>
      <c r="B97" s="89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3"/>
        <v>0</v>
      </c>
    </row>
    <row r="98" spans="1:37" ht="14.25" customHeight="1" x14ac:dyDescent="0.2">
      <c r="A98" s="90"/>
      <c r="B98" s="96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3"/>
        <v>0</v>
      </c>
    </row>
    <row r="99" spans="1:37" ht="14.25" customHeight="1" x14ac:dyDescent="0.2">
      <c r="A99" s="94"/>
      <c r="B99" s="97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3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3"/>
        <v>0</v>
      </c>
    </row>
    <row r="101" spans="1:37" ht="14.25" customHeight="1" x14ac:dyDescent="0.2">
      <c r="A101" s="89"/>
      <c r="B101" s="89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3"/>
        <v>0</v>
      </c>
    </row>
    <row r="102" spans="1:37" ht="14.25" customHeight="1" x14ac:dyDescent="0.2">
      <c r="A102" s="90"/>
      <c r="B102" s="96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3"/>
        <v>0</v>
      </c>
    </row>
    <row r="103" spans="1:37" ht="14.25" customHeight="1" x14ac:dyDescent="0.2">
      <c r="A103" s="94"/>
      <c r="B103" s="97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3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3"/>
        <v>0</v>
      </c>
    </row>
    <row r="105" spans="1:37" ht="14.25" customHeight="1" x14ac:dyDescent="0.2">
      <c r="A105" s="89"/>
      <c r="B105" s="89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3"/>
        <v>0</v>
      </c>
    </row>
    <row r="106" spans="1:37" ht="14.25" customHeight="1" x14ac:dyDescent="0.2">
      <c r="A106" s="90"/>
      <c r="B106" s="96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si="3"/>
        <v>0</v>
      </c>
    </row>
    <row r="107" spans="1:37" ht="14.25" customHeight="1" x14ac:dyDescent="0.2">
      <c r="A107" s="94"/>
      <c r="B107" s="97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ref="AK107:AK126" si="4">AI107+AJ107</f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4"/>
        <v>0</v>
      </c>
    </row>
    <row r="109" spans="1:37" ht="14.25" customHeight="1" x14ac:dyDescent="0.2">
      <c r="A109" s="89"/>
      <c r="B109" s="89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8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4"/>
        <v>0</v>
      </c>
    </row>
    <row r="110" spans="1:37" ht="14.25" customHeight="1" x14ac:dyDescent="0.2">
      <c r="A110" s="90"/>
      <c r="B110" s="96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4"/>
        <v>0</v>
      </c>
    </row>
    <row r="111" spans="1:37" ht="14.25" customHeight="1" x14ac:dyDescent="0.2">
      <c r="A111" s="94"/>
      <c r="B111" s="97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4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4"/>
        <v>0</v>
      </c>
    </row>
    <row r="113" spans="1:37" ht="14.25" customHeight="1" x14ac:dyDescent="0.2">
      <c r="A113" s="89"/>
      <c r="B113" s="89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4"/>
        <v>0</v>
      </c>
    </row>
    <row r="114" spans="1:37" ht="14.25" customHeight="1" x14ac:dyDescent="0.2">
      <c r="A114" s="90"/>
      <c r="B114" s="96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6"/>
      <c r="W114" s="6"/>
      <c r="X114" s="9"/>
      <c r="Y114" s="8"/>
      <c r="Z114" s="8"/>
      <c r="AA114" s="6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4"/>
        <v>0</v>
      </c>
    </row>
    <row r="115" spans="1:37" ht="14.25" customHeight="1" x14ac:dyDescent="0.2">
      <c r="A115" s="94"/>
      <c r="B115" s="97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4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4"/>
        <v>0</v>
      </c>
    </row>
    <row r="117" spans="1:37" ht="14.25" customHeight="1" x14ac:dyDescent="0.2">
      <c r="A117" s="89"/>
      <c r="B117" s="89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4"/>
        <v>0</v>
      </c>
    </row>
    <row r="118" spans="1:37" ht="14.25" customHeight="1" x14ac:dyDescent="0.2">
      <c r="A118" s="90"/>
      <c r="B118" s="96"/>
      <c r="C118" s="2"/>
      <c r="D118" s="8"/>
      <c r="E118" s="8"/>
      <c r="F118" s="8"/>
      <c r="G118" s="8"/>
      <c r="H118" s="8"/>
      <c r="I118" s="8"/>
      <c r="J118" s="13"/>
      <c r="K118" s="13"/>
      <c r="L118" s="13"/>
      <c r="M118" s="8"/>
      <c r="N118" s="13"/>
      <c r="O118" s="13"/>
      <c r="P118" s="13"/>
      <c r="Q118" s="13"/>
      <c r="R118" s="8"/>
      <c r="S118" s="8"/>
      <c r="T118" s="8"/>
      <c r="U118" s="8"/>
      <c r="V118" s="6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6"/>
      <c r="AI118" s="50">
        <f>0</f>
        <v>0</v>
      </c>
      <c r="AJ118" s="51">
        <f>0</f>
        <v>0</v>
      </c>
      <c r="AK118" s="52">
        <f t="shared" si="4"/>
        <v>0</v>
      </c>
    </row>
    <row r="119" spans="1:37" ht="14.25" customHeight="1" x14ac:dyDescent="0.2">
      <c r="A119" s="94"/>
      <c r="B119" s="88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4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4"/>
        <v>0</v>
      </c>
    </row>
    <row r="121" spans="1:37" ht="14.25" customHeight="1" x14ac:dyDescent="0.2">
      <c r="A121" s="89"/>
      <c r="B121" s="89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4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4"/>
      <c r="AI121" s="50">
        <f>0</f>
        <v>0</v>
      </c>
      <c r="AJ121" s="51">
        <f>0</f>
        <v>0</v>
      </c>
      <c r="AK121" s="52">
        <f t="shared" si="4"/>
        <v>0</v>
      </c>
    </row>
    <row r="122" spans="1:37" ht="14.25" customHeight="1" x14ac:dyDescent="0.2">
      <c r="A122" s="90"/>
      <c r="B122" s="90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6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6"/>
      <c r="AI122" s="50">
        <f>0</f>
        <v>0</v>
      </c>
      <c r="AJ122" s="51">
        <f>0</f>
        <v>0</v>
      </c>
      <c r="AK122" s="52">
        <f t="shared" si="4"/>
        <v>0</v>
      </c>
    </row>
    <row r="123" spans="1:37" ht="14.25" customHeight="1" x14ac:dyDescent="0.2">
      <c r="A123" s="94"/>
      <c r="B123" s="94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4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4"/>
        <v>0</v>
      </c>
    </row>
    <row r="125" spans="1:37" ht="14.25" customHeight="1" x14ac:dyDescent="0.2">
      <c r="A125" s="89"/>
      <c r="B125" s="89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4"/>
      <c r="W125" s="6"/>
      <c r="X125" s="9"/>
      <c r="Y125" s="8"/>
      <c r="Z125" s="8"/>
      <c r="AA125" s="8"/>
      <c r="AB125" s="8"/>
      <c r="AC125" s="8"/>
      <c r="AD125" s="8"/>
      <c r="AE125" s="9"/>
      <c r="AF125" s="8"/>
      <c r="AG125" s="8"/>
      <c r="AH125" s="4"/>
      <c r="AI125" s="50">
        <f>0</f>
        <v>0</v>
      </c>
      <c r="AJ125" s="51">
        <f>0</f>
        <v>0</v>
      </c>
      <c r="AK125" s="52">
        <f t="shared" si="4"/>
        <v>0</v>
      </c>
    </row>
    <row r="126" spans="1:37" ht="14.25" customHeight="1" x14ac:dyDescent="0.2">
      <c r="A126" s="90"/>
      <c r="B126" s="90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6"/>
      <c r="W126" s="6"/>
      <c r="X126" s="9"/>
      <c r="Y126" s="8"/>
      <c r="Z126" s="8"/>
      <c r="AA126" s="6"/>
      <c r="AB126" s="8"/>
      <c r="AC126" s="8"/>
      <c r="AD126" s="8"/>
      <c r="AE126" s="9"/>
      <c r="AF126" s="8"/>
      <c r="AG126" s="8"/>
      <c r="AH126" s="6"/>
      <c r="AI126" s="50">
        <f>0</f>
        <v>0</v>
      </c>
      <c r="AJ126" s="51">
        <f>0</f>
        <v>0</v>
      </c>
      <c r="AK126" s="52">
        <f t="shared" si="4"/>
        <v>0</v>
      </c>
    </row>
    <row r="127" spans="1:37" x14ac:dyDescent="0.2">
      <c r="A127" s="11"/>
      <c r="B127" s="11"/>
      <c r="AH127" s="12"/>
      <c r="AI127" s="52"/>
      <c r="AJ127" s="52">
        <f>SUM(AJ75:AJ126)</f>
        <v>0</v>
      </c>
      <c r="AK127" s="52">
        <f>SUM(AK75:AK126)</f>
        <v>0</v>
      </c>
    </row>
    <row r="128" spans="1:37" x14ac:dyDescent="0.2">
      <c r="A128" s="11"/>
      <c r="B128" s="11"/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4.25" customHeight="1" x14ac:dyDescent="0.2">
      <c r="AI134" s="45"/>
      <c r="AJ134" s="45"/>
      <c r="AK134" s="45"/>
    </row>
    <row r="135" spans="35:37" ht="14.25" customHeight="1" x14ac:dyDescent="0.2">
      <c r="AI135" s="45"/>
      <c r="AJ135" s="45"/>
      <c r="AK135" s="45"/>
    </row>
    <row r="136" spans="35:37" ht="14.25" customHeight="1" x14ac:dyDescent="0.2">
      <c r="AI136" s="45"/>
      <c r="AJ136" s="45"/>
      <c r="AK136" s="45"/>
    </row>
    <row r="137" spans="35:37" ht="14.25" customHeight="1" x14ac:dyDescent="0.2">
      <c r="AI137" s="45"/>
      <c r="AJ137" s="45"/>
      <c r="AK137" s="45"/>
    </row>
    <row r="138" spans="35:37" ht="14.25" customHeight="1" x14ac:dyDescent="0.2">
      <c r="AI138" s="45"/>
      <c r="AJ138" s="45"/>
      <c r="AK138" s="45"/>
    </row>
    <row r="139" spans="35:37" ht="14.25" customHeight="1" x14ac:dyDescent="0.2">
      <c r="AI139" s="45"/>
      <c r="AJ139" s="45"/>
      <c r="AK139" s="45"/>
    </row>
    <row r="140" spans="35:37" ht="14.25" customHeight="1" x14ac:dyDescent="0.2">
      <c r="AI140" s="45"/>
      <c r="AJ140" s="45"/>
      <c r="AK140" s="45"/>
    </row>
    <row r="141" spans="35:37" ht="14.25" customHeight="1" x14ac:dyDescent="0.2">
      <c r="AI141" s="45"/>
      <c r="AJ141" s="45"/>
      <c r="AK141" s="45"/>
    </row>
    <row r="142" spans="35:37" ht="14.25" customHeight="1" x14ac:dyDescent="0.2">
      <c r="AI142" s="45"/>
      <c r="AJ142" s="45"/>
      <c r="AK142" s="45"/>
    </row>
    <row r="143" spans="35:37" ht="14.25" customHeight="1" x14ac:dyDescent="0.2">
      <c r="AI143" s="45"/>
      <c r="AJ143" s="45"/>
      <c r="AK143" s="45"/>
    </row>
    <row r="144" spans="35:37" ht="14.25" customHeight="1" x14ac:dyDescent="0.2">
      <c r="AI144" s="45"/>
      <c r="AJ144" s="45"/>
      <c r="AK144" s="45"/>
    </row>
    <row r="145" spans="35:37" ht="14.25" customHeight="1" x14ac:dyDescent="0.2">
      <c r="AI145" s="45"/>
      <c r="AJ145" s="45"/>
      <c r="AK145" s="45"/>
    </row>
    <row r="146" spans="35:37" ht="14.25" customHeight="1" x14ac:dyDescent="0.2">
      <c r="AI146" s="45"/>
      <c r="AJ146" s="45"/>
      <c r="AK146" s="45"/>
    </row>
    <row r="147" spans="35:37" ht="14.25" customHeight="1" x14ac:dyDescent="0.2">
      <c r="AI147" s="45"/>
      <c r="AJ147" s="45"/>
      <c r="AK147" s="45"/>
    </row>
    <row r="148" spans="35:37" ht="14.25" customHeight="1" x14ac:dyDescent="0.2">
      <c r="AI148" s="45"/>
      <c r="AJ148" s="45"/>
      <c r="AK148" s="45"/>
    </row>
    <row r="149" spans="35:37" ht="14.25" customHeight="1" x14ac:dyDescent="0.2">
      <c r="AI149" s="45"/>
      <c r="AJ149" s="45"/>
      <c r="AK149" s="45"/>
    </row>
    <row r="150" spans="35:37" ht="14.25" customHeight="1" x14ac:dyDescent="0.2">
      <c r="AI150" s="45"/>
      <c r="AJ150" s="45"/>
      <c r="AK150" s="45"/>
    </row>
    <row r="151" spans="35:37" ht="14.25" customHeight="1" x14ac:dyDescent="0.2">
      <c r="AI151" s="45"/>
      <c r="AJ151" s="45"/>
      <c r="AK151" s="45"/>
    </row>
    <row r="152" spans="35:37" ht="14.25" customHeight="1" x14ac:dyDescent="0.2">
      <c r="AI152" s="45"/>
      <c r="AJ152" s="45"/>
      <c r="AK152" s="45"/>
    </row>
    <row r="153" spans="35:37" ht="14.25" customHeight="1" x14ac:dyDescent="0.2">
      <c r="AI153" s="45"/>
      <c r="AJ153" s="45"/>
      <c r="AK153" s="45"/>
    </row>
    <row r="154" spans="35:37" ht="14.25" customHeight="1" x14ac:dyDescent="0.2">
      <c r="AI154" s="45"/>
      <c r="AJ154" s="45"/>
      <c r="AK154" s="45"/>
    </row>
    <row r="155" spans="35:37" ht="14.25" customHeight="1" x14ac:dyDescent="0.2">
      <c r="AI155" s="45"/>
      <c r="AJ155" s="45"/>
      <c r="AK155" s="45"/>
    </row>
    <row r="156" spans="35:37" ht="14.25" customHeight="1" x14ac:dyDescent="0.2">
      <c r="AI156" s="45"/>
      <c r="AJ156" s="45"/>
      <c r="AK156" s="45"/>
    </row>
    <row r="157" spans="35:37" ht="14.25" customHeight="1" x14ac:dyDescent="0.2">
      <c r="AI157" s="45"/>
      <c r="AJ157" s="45"/>
      <c r="AK157" s="45"/>
    </row>
    <row r="158" spans="35:37" ht="14.25" customHeight="1" x14ac:dyDescent="0.2">
      <c r="AI158" s="45"/>
      <c r="AJ158" s="45"/>
      <c r="AK158" s="45"/>
    </row>
    <row r="159" spans="35:37" ht="14.25" customHeight="1" x14ac:dyDescent="0.2">
      <c r="AI159" s="45"/>
      <c r="AJ159" s="45"/>
      <c r="AK159" s="45"/>
    </row>
    <row r="160" spans="35:37" ht="14.25" customHeight="1" x14ac:dyDescent="0.2">
      <c r="AI160" s="45"/>
      <c r="AJ160" s="45"/>
      <c r="AK160" s="45"/>
    </row>
    <row r="161" spans="35:37" ht="14.25" customHeight="1" x14ac:dyDescent="0.2">
      <c r="AI161" s="45"/>
      <c r="AJ161" s="45"/>
      <c r="AK161" s="45"/>
    </row>
    <row r="162" spans="35:37" ht="14.25" customHeight="1" x14ac:dyDescent="0.2">
      <c r="AI162" s="45"/>
      <c r="AJ162" s="45"/>
      <c r="AK162" s="45"/>
    </row>
    <row r="163" spans="35:37" ht="14.25" customHeight="1" x14ac:dyDescent="0.2">
      <c r="AI163" s="45"/>
      <c r="AJ163" s="45"/>
      <c r="AK163" s="45"/>
    </row>
    <row r="164" spans="35:37" ht="14.25" customHeight="1" x14ac:dyDescent="0.2">
      <c r="AI164" s="45"/>
      <c r="AJ164" s="45"/>
      <c r="AK164" s="45"/>
    </row>
    <row r="165" spans="35:37" ht="14.25" customHeight="1" x14ac:dyDescent="0.2">
      <c r="AI165" s="45"/>
      <c r="AJ165" s="45"/>
      <c r="AK165" s="45"/>
    </row>
    <row r="166" spans="35:37" ht="14.25" customHeight="1" x14ac:dyDescent="0.2">
      <c r="AI166" s="45"/>
      <c r="AJ166" s="45"/>
      <c r="AK166" s="45"/>
    </row>
    <row r="167" spans="35:37" ht="14.25" customHeight="1" x14ac:dyDescent="0.2">
      <c r="AI167" s="45"/>
      <c r="AJ167" s="45"/>
      <c r="AK167" s="45"/>
    </row>
    <row r="168" spans="35:37" ht="14.25" customHeight="1" x14ac:dyDescent="0.2">
      <c r="AI168" s="45"/>
      <c r="AJ168" s="45"/>
      <c r="AK168" s="45"/>
    </row>
    <row r="169" spans="35:37" ht="14.25" customHeight="1" x14ac:dyDescent="0.2">
      <c r="AI169" s="45"/>
      <c r="AJ169" s="45"/>
      <c r="AK169" s="45"/>
    </row>
    <row r="170" spans="35:37" ht="14.25" customHeight="1" x14ac:dyDescent="0.2">
      <c r="AI170" s="45"/>
      <c r="AJ170" s="45"/>
      <c r="AK170" s="45"/>
    </row>
    <row r="171" spans="35:37" ht="14.25" customHeight="1" x14ac:dyDescent="0.2">
      <c r="AI171" s="45"/>
      <c r="AJ171" s="45"/>
      <c r="AK171" s="45"/>
    </row>
    <row r="172" spans="35:37" ht="14.25" customHeight="1" x14ac:dyDescent="0.2">
      <c r="AI172" s="45"/>
      <c r="AJ172" s="45"/>
      <c r="AK172" s="45"/>
    </row>
    <row r="173" spans="35:37" ht="14.25" customHeight="1" x14ac:dyDescent="0.2">
      <c r="AI173" s="45"/>
      <c r="AJ173" s="45"/>
      <c r="AK173" s="45"/>
    </row>
    <row r="174" spans="35:37" ht="14.25" customHeight="1" x14ac:dyDescent="0.2">
      <c r="AI174" s="45"/>
      <c r="AJ174" s="45"/>
      <c r="AK174" s="45"/>
    </row>
    <row r="175" spans="35:37" ht="14.25" customHeight="1" x14ac:dyDescent="0.2">
      <c r="AI175" s="45"/>
      <c r="AJ175" s="45"/>
      <c r="AK175" s="45"/>
    </row>
    <row r="176" spans="35:37" ht="14.25" customHeight="1" x14ac:dyDescent="0.2">
      <c r="AI176" s="45"/>
      <c r="AJ176" s="45"/>
      <c r="AK176" s="45"/>
    </row>
    <row r="177" spans="35:37" ht="14.25" customHeight="1" x14ac:dyDescent="0.2">
      <c r="AI177" s="45"/>
      <c r="AJ177" s="45"/>
      <c r="AK177" s="45"/>
    </row>
    <row r="178" spans="35:37" ht="14.25" customHeight="1" x14ac:dyDescent="0.2">
      <c r="AI178" s="45"/>
      <c r="AJ178" s="45"/>
      <c r="AK178" s="45"/>
    </row>
    <row r="179" spans="35:37" ht="14.25" customHeight="1" x14ac:dyDescent="0.2">
      <c r="AI179" s="45"/>
      <c r="AJ179" s="45"/>
      <c r="AK179" s="45"/>
    </row>
    <row r="180" spans="35:37" ht="14.25" customHeight="1" x14ac:dyDescent="0.2">
      <c r="AI180" s="45"/>
      <c r="AJ180" s="45"/>
      <c r="AK180" s="45"/>
    </row>
    <row r="181" spans="35:37" ht="14.25" customHeight="1" x14ac:dyDescent="0.2">
      <c r="AI181" s="45"/>
      <c r="AJ181" s="45"/>
      <c r="AK181" s="45"/>
    </row>
    <row r="182" spans="35:37" ht="14.25" customHeight="1" x14ac:dyDescent="0.2">
      <c r="AI182" s="45"/>
      <c r="AJ182" s="45"/>
      <c r="AK182" s="45"/>
    </row>
    <row r="183" spans="35:37" ht="14.25" customHeight="1" x14ac:dyDescent="0.2">
      <c r="AI183" s="45"/>
      <c r="AJ183" s="45"/>
      <c r="AK183" s="45"/>
    </row>
    <row r="184" spans="35:37" ht="14.25" customHeight="1" x14ac:dyDescent="0.2">
      <c r="AI184" s="45"/>
      <c r="AJ184" s="45"/>
      <c r="AK184" s="45"/>
    </row>
    <row r="185" spans="35:37" ht="14.25" customHeight="1" x14ac:dyDescent="0.2">
      <c r="AI185" s="45"/>
      <c r="AJ185" s="45"/>
      <c r="AK185" s="45"/>
    </row>
    <row r="186" spans="35:37" ht="14.25" customHeight="1" x14ac:dyDescent="0.2">
      <c r="AI186" s="45"/>
      <c r="AJ186" s="45"/>
      <c r="AK186" s="45"/>
    </row>
    <row r="187" spans="35:37" ht="14.25" customHeight="1" x14ac:dyDescent="0.2">
      <c r="AI187" s="45"/>
      <c r="AJ187" s="45"/>
      <c r="AK187" s="45"/>
    </row>
    <row r="188" spans="35:37" ht="14.25" customHeight="1" x14ac:dyDescent="0.2">
      <c r="AI188" s="45"/>
      <c r="AJ188" s="45"/>
      <c r="AK188" s="45"/>
    </row>
    <row r="189" spans="35:37" ht="14.25" customHeight="1" x14ac:dyDescent="0.2">
      <c r="AI189" s="45"/>
      <c r="AJ189" s="45"/>
      <c r="AK189" s="45"/>
    </row>
    <row r="190" spans="35:37" ht="14.25" customHeight="1" x14ac:dyDescent="0.2">
      <c r="AI190" s="45"/>
      <c r="AJ190" s="45"/>
      <c r="AK190" s="45"/>
    </row>
    <row r="191" spans="35:37" ht="14.25" customHeight="1" x14ac:dyDescent="0.2">
      <c r="AI191" s="45"/>
      <c r="AJ191" s="45"/>
      <c r="AK191" s="45"/>
    </row>
    <row r="192" spans="35:37" ht="14.25" customHeight="1" x14ac:dyDescent="0.2">
      <c r="AI192" s="45"/>
      <c r="AJ192" s="45"/>
      <c r="AK192" s="45"/>
    </row>
    <row r="193" spans="4:37" ht="14.25" customHeight="1" x14ac:dyDescent="0.2">
      <c r="AI193" s="45"/>
      <c r="AJ193" s="45"/>
      <c r="AK193" s="45"/>
    </row>
    <row r="194" spans="4:37" ht="14.25" customHeight="1" x14ac:dyDescent="0.2">
      <c r="AI194" s="45"/>
      <c r="AJ194" s="45"/>
      <c r="AK194" s="45"/>
    </row>
    <row r="195" spans="4:37" ht="14.25" customHeight="1" x14ac:dyDescent="0.2">
      <c r="AI195" s="45"/>
      <c r="AJ195" s="45"/>
      <c r="AK195" s="45"/>
    </row>
    <row r="196" spans="4:37" ht="14.25" customHeight="1" x14ac:dyDescent="0.2">
      <c r="AI196" s="45"/>
      <c r="AJ196" s="45"/>
      <c r="AK196" s="45"/>
    </row>
    <row r="197" spans="4:37" ht="14.25" customHeight="1" x14ac:dyDescent="0.2">
      <c r="AI197" s="45"/>
      <c r="AJ197" s="45"/>
      <c r="AK197" s="45"/>
    </row>
    <row r="198" spans="4:37" ht="14.25" customHeight="1" x14ac:dyDescent="0.2">
      <c r="AI198" s="45"/>
      <c r="AJ198" s="45"/>
      <c r="AK198" s="45"/>
    </row>
    <row r="199" spans="4:37" ht="14.25" customHeight="1" x14ac:dyDescent="0.2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5"/>
      <c r="AJ199" s="45"/>
      <c r="AK199" s="45"/>
    </row>
    <row r="200" spans="4:37" ht="14.25" customHeight="1" x14ac:dyDescent="0.2"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4:37" ht="14.25" customHeight="1" x14ac:dyDescent="0.2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4:37" ht="14.25" customHeight="1" x14ac:dyDescent="0.2"/>
    <row r="203" spans="4:37" ht="14.25" customHeight="1" x14ac:dyDescent="0.2"/>
    <row r="204" spans="4:37" ht="14.25" customHeight="1" x14ac:dyDescent="0.2"/>
    <row r="205" spans="4:37" ht="14.25" customHeight="1" x14ac:dyDescent="0.2"/>
    <row r="206" spans="4:37" ht="14.25" customHeight="1" x14ac:dyDescent="0.2"/>
    <row r="207" spans="4:37" ht="14.25" customHeight="1" x14ac:dyDescent="0.2"/>
    <row r="208" spans="4:3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</sheetData>
  <mergeCells count="64">
    <mergeCell ref="A123:A126"/>
    <mergeCell ref="A72:C73"/>
    <mergeCell ref="B75:B78"/>
    <mergeCell ref="D72:AH72"/>
    <mergeCell ref="A79:A82"/>
    <mergeCell ref="A107:A110"/>
    <mergeCell ref="B123:B126"/>
    <mergeCell ref="A119:A122"/>
    <mergeCell ref="B119:B122"/>
    <mergeCell ref="B107:B110"/>
    <mergeCell ref="A95:A98"/>
    <mergeCell ref="B103:B106"/>
    <mergeCell ref="A91:A94"/>
    <mergeCell ref="B99:B102"/>
    <mergeCell ref="AI72:AI74"/>
    <mergeCell ref="B59:B62"/>
    <mergeCell ref="B115:B118"/>
    <mergeCell ref="AK72:AK74"/>
    <mergeCell ref="A87:A90"/>
    <mergeCell ref="A103:A106"/>
    <mergeCell ref="AJ72:AJ74"/>
    <mergeCell ref="B95:B98"/>
    <mergeCell ref="A115:A118"/>
    <mergeCell ref="B79:B82"/>
    <mergeCell ref="A83:A86"/>
    <mergeCell ref="B91:B94"/>
    <mergeCell ref="B111:B114"/>
    <mergeCell ref="A99:A102"/>
    <mergeCell ref="A111:A114"/>
    <mergeCell ref="A75:A78"/>
    <mergeCell ref="A4:A7"/>
    <mergeCell ref="A44:A47"/>
    <mergeCell ref="A54:A57"/>
    <mergeCell ref="A64:A67"/>
    <mergeCell ref="B19:B22"/>
    <mergeCell ref="A14:A17"/>
    <mergeCell ref="B39:B42"/>
    <mergeCell ref="A29:A32"/>
    <mergeCell ref="B24:B27"/>
    <mergeCell ref="A19:A22"/>
    <mergeCell ref="D1:AH1"/>
    <mergeCell ref="B87:B90"/>
    <mergeCell ref="B83:B86"/>
    <mergeCell ref="B34:B37"/>
    <mergeCell ref="B14:B17"/>
    <mergeCell ref="D73:AH73"/>
    <mergeCell ref="B49:B52"/>
    <mergeCell ref="A1:C2"/>
    <mergeCell ref="AK1:AK3"/>
    <mergeCell ref="D2:AH2"/>
    <mergeCell ref="A9:A12"/>
    <mergeCell ref="B4:B7"/>
    <mergeCell ref="B64:B67"/>
    <mergeCell ref="A34:A37"/>
    <mergeCell ref="A39:A42"/>
    <mergeCell ref="A59:A62"/>
    <mergeCell ref="A24:A27"/>
    <mergeCell ref="B54:B57"/>
    <mergeCell ref="A49:A52"/>
    <mergeCell ref="AJ1:AJ3"/>
    <mergeCell ref="B29:B32"/>
    <mergeCell ref="AI1:AI3"/>
    <mergeCell ref="B44:B47"/>
    <mergeCell ref="B9:B12"/>
  </mergeCells>
  <conditionalFormatting sqref="D3:AH5 X24:X26 Y24:AH27 D26:T26 W27:X27 D27:U39 D40:S40 U40 D41:T41 D42:U67 W28:AH67 W24:W25 D6:U25 W6:AH23 V6:V39 V41:V67">
    <cfRule type="expression" dxfId="67" priority="4">
      <formula>WEEKDAY(D$3)=1</formula>
    </cfRule>
  </conditionalFormatting>
  <conditionalFormatting sqref="D4:AH5 X24:X26 Y24:AH27 D26:T26 W27:X27 D27:U39 D40:S40 U40 D41:T41 D42:U67 W28:AH67 W24:W25 D6:U25 W6:AH23 V6:V39 V41:V67">
    <cfRule type="expression" dxfId="66" priority="1">
      <formula>AND($C4="C3",D4&lt;&gt;"")</formula>
    </cfRule>
    <cfRule type="expression" dxfId="65" priority="2">
      <formula>AND($C4="C1",D4&lt;&gt;"")</formula>
    </cfRule>
    <cfRule type="expression" dxfId="64" priority="3">
      <formula>AND($C4="TC",D4&lt;&gt;"")</formula>
    </cfRule>
  </conditionalFormatting>
  <conditionalFormatting sqref="D74:AH126">
    <cfRule type="expression" dxfId="63" priority="8">
      <formula>WEEKDAY(D$3)=1</formula>
    </cfRule>
  </conditionalFormatting>
  <conditionalFormatting sqref="D75:AH126">
    <cfRule type="expression" dxfId="62" priority="5">
      <formula>AND($C75="C3",D75&lt;&gt;"")</formula>
    </cfRule>
    <cfRule type="expression" dxfId="61" priority="6">
      <formula>AND($C75="C1",D75&lt;&gt;"")</formula>
    </cfRule>
    <cfRule type="expression" dxfId="60" priority="7">
      <formula>AND($C75="TC",D75&lt;&gt;"")</formula>
    </cfRule>
  </conditionalFormatting>
  <conditionalFormatting sqref="U41">
    <cfRule type="expression" dxfId="59" priority="204">
      <formula>WEEKDAY(T$3)=1</formula>
    </cfRule>
    <cfRule type="expression" dxfId="58" priority="208">
      <formula>AND($C40="C3",U41&lt;&gt;"")</formula>
    </cfRule>
    <cfRule type="expression" dxfId="57" priority="209">
      <formula>AND($C40="C1",U41&lt;&gt;"")</formula>
    </cfRule>
    <cfRule type="expression" dxfId="56" priority="210">
      <formula>AND($C40="TC",U41&lt;&gt;"")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1037"/>
  <sheetViews>
    <sheetView workbookViewId="0">
      <selection activeCell="M24" sqref="M24"/>
    </sheetView>
  </sheetViews>
  <sheetFormatPr defaultColWidth="12.625" defaultRowHeight="14.25" x14ac:dyDescent="0.2"/>
  <cols>
    <col min="1" max="1" width="5" customWidth="1"/>
    <col min="2" max="2" width="23" customWidth="1"/>
    <col min="3" max="3" width="8.25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7.5" customWidth="1"/>
  </cols>
  <sheetData>
    <row r="1" spans="1:37" ht="44.25" customHeight="1" x14ac:dyDescent="0.2">
      <c r="A1" s="103" t="s">
        <v>0</v>
      </c>
      <c r="B1" s="104"/>
      <c r="C1" s="104"/>
      <c r="D1" s="102" t="s">
        <v>58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3"/>
      <c r="AI1" s="101" t="s">
        <v>2</v>
      </c>
      <c r="AJ1" s="98" t="s">
        <v>3</v>
      </c>
      <c r="AK1" s="88" t="s">
        <v>4</v>
      </c>
    </row>
    <row r="2" spans="1:37" ht="24.75" customHeight="1" x14ac:dyDescent="0.2">
      <c r="A2" s="100"/>
      <c r="B2" s="105"/>
      <c r="C2" s="105"/>
      <c r="D2" s="91">
        <v>46266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3"/>
      <c r="AI2" s="89"/>
      <c r="AJ2" s="99"/>
      <c r="AK2" s="89"/>
    </row>
    <row r="3" spans="1:37" ht="30.75" customHeight="1" x14ac:dyDescent="0.25">
      <c r="A3" s="2" t="s">
        <v>5</v>
      </c>
      <c r="B3" s="2" t="s">
        <v>6</v>
      </c>
      <c r="C3" s="3"/>
      <c r="D3" s="14">
        <v>46266</v>
      </c>
      <c r="E3" s="14">
        <v>46267</v>
      </c>
      <c r="F3" s="14">
        <f t="shared" ref="F3:AH3" si="0">+E3+1</f>
        <v>46268</v>
      </c>
      <c r="G3" s="14">
        <f t="shared" si="0"/>
        <v>46269</v>
      </c>
      <c r="H3" s="14">
        <f t="shared" si="0"/>
        <v>46270</v>
      </c>
      <c r="I3" s="14">
        <f t="shared" si="0"/>
        <v>46271</v>
      </c>
      <c r="J3" s="14">
        <f t="shared" si="0"/>
        <v>46272</v>
      </c>
      <c r="K3" s="14">
        <f t="shared" si="0"/>
        <v>46273</v>
      </c>
      <c r="L3" s="14">
        <f t="shared" si="0"/>
        <v>46274</v>
      </c>
      <c r="M3" s="14">
        <f t="shared" si="0"/>
        <v>46275</v>
      </c>
      <c r="N3" s="14">
        <f t="shared" si="0"/>
        <v>46276</v>
      </c>
      <c r="O3" s="14">
        <f t="shared" si="0"/>
        <v>46277</v>
      </c>
      <c r="P3" s="14">
        <f t="shared" si="0"/>
        <v>46278</v>
      </c>
      <c r="Q3" s="14">
        <f t="shared" si="0"/>
        <v>46279</v>
      </c>
      <c r="R3" s="14">
        <f t="shared" si="0"/>
        <v>46280</v>
      </c>
      <c r="S3" s="14">
        <f t="shared" si="0"/>
        <v>46281</v>
      </c>
      <c r="T3" s="14">
        <f t="shared" si="0"/>
        <v>46282</v>
      </c>
      <c r="U3" s="14">
        <f t="shared" si="0"/>
        <v>46283</v>
      </c>
      <c r="V3" s="14">
        <f t="shared" si="0"/>
        <v>46284</v>
      </c>
      <c r="W3" s="14">
        <f t="shared" si="0"/>
        <v>46285</v>
      </c>
      <c r="X3" s="14">
        <f t="shared" si="0"/>
        <v>46286</v>
      </c>
      <c r="Y3" s="14">
        <f t="shared" si="0"/>
        <v>46287</v>
      </c>
      <c r="Z3" s="14">
        <f t="shared" si="0"/>
        <v>46288</v>
      </c>
      <c r="AA3" s="14">
        <f t="shared" si="0"/>
        <v>46289</v>
      </c>
      <c r="AB3" s="14">
        <f t="shared" si="0"/>
        <v>46290</v>
      </c>
      <c r="AC3" s="14">
        <f t="shared" si="0"/>
        <v>46291</v>
      </c>
      <c r="AD3" s="14">
        <f t="shared" si="0"/>
        <v>46292</v>
      </c>
      <c r="AE3" s="14">
        <f t="shared" si="0"/>
        <v>46293</v>
      </c>
      <c r="AF3" s="14">
        <f t="shared" si="0"/>
        <v>46294</v>
      </c>
      <c r="AG3" s="14">
        <f t="shared" si="0"/>
        <v>46295</v>
      </c>
      <c r="AH3" s="14">
        <f t="shared" si="0"/>
        <v>46296</v>
      </c>
      <c r="AI3" s="90"/>
      <c r="AJ3" s="100"/>
      <c r="AK3" s="90"/>
    </row>
    <row r="4" spans="1:37" ht="13.5" customHeight="1" x14ac:dyDescent="0.2">
      <c r="A4" s="94">
        <v>1</v>
      </c>
      <c r="B4" s="95" t="s">
        <v>7</v>
      </c>
      <c r="C4" s="2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8"/>
      <c r="Z4" s="8"/>
      <c r="AA4" s="8"/>
      <c r="AB4" s="8"/>
      <c r="AC4" s="8"/>
      <c r="AD4" s="8"/>
      <c r="AE4" s="8"/>
      <c r="AF4" s="8"/>
      <c r="AG4" s="8"/>
      <c r="AH4" s="4"/>
      <c r="AI4" s="50">
        <f>0</f>
        <v>0</v>
      </c>
      <c r="AJ4" s="51">
        <f>SUM(D4:AH4)/8</f>
        <v>0</v>
      </c>
      <c r="AK4" s="52">
        <f>AI4+AJ4</f>
        <v>0</v>
      </c>
    </row>
    <row r="5" spans="1:37" ht="13.5" customHeight="1" x14ac:dyDescent="0.2">
      <c r="A5" s="89"/>
      <c r="B5" s="89"/>
      <c r="C5" s="2" t="s">
        <v>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8"/>
      <c r="Z5" s="8"/>
      <c r="AA5" s="8"/>
      <c r="AB5" s="8"/>
      <c r="AC5" s="8"/>
      <c r="AD5" s="8"/>
      <c r="AE5" s="8"/>
      <c r="AF5" s="8"/>
      <c r="AG5" s="8"/>
      <c r="AH5" s="4"/>
      <c r="AI5" s="50">
        <f>COUNTIF(D5:AH5,"x")+COUNTIF(D5:AH5,"x-0,25")+COUNTIF(D5:AH5,"x-0,50")+COUNTIF(D5:AH5,"x-0.75")+COUNTIF(D5:AH5,"x-1")+COUNTIF(D5:AH5,"x-1,25")+COUNTIF(D5:AH5,"x-1,5")+COUNTIF(D5:AH5,"x-1,55")+COUNTIF(D5:AH5,"x-2")+COUNTIF(D5:AH5,"x/2")/2</f>
        <v>0</v>
      </c>
      <c r="AJ5" s="51">
        <f>0</f>
        <v>0</v>
      </c>
      <c r="AK5" s="52">
        <f>AI5+AJ5</f>
        <v>0</v>
      </c>
    </row>
    <row r="6" spans="1:37" ht="13.5" customHeight="1" x14ac:dyDescent="0.2">
      <c r="A6" s="89"/>
      <c r="B6" s="89"/>
      <c r="C6" s="2" t="s">
        <v>11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8"/>
      <c r="Z6" s="8"/>
      <c r="AA6" s="8"/>
      <c r="AB6" s="8"/>
      <c r="AC6" s="8"/>
      <c r="AD6" s="8"/>
      <c r="AE6" s="8"/>
      <c r="AF6" s="8"/>
      <c r="AG6" s="8"/>
      <c r="AH6" s="4"/>
      <c r="AI6" s="50">
        <f>COUNTIF(D6:AH6,"x")+COUNTIF(D6:AH6,"x-0,25")+COUNTIF(D6:AH6,"x-0,50")+COUNTIF(D6:AH6,"x-0.75")+COUNTIF(D6:AH6,"x-1")+COUNTIF(D6:AH6,"x-1,25")+COUNTIF(D6:AH6,"x-1,5")+COUNTIF(D6:AH6,"x-1,55")+COUNTIF(D6:AH6,"x-2")+COUNTIF(D6:AH6,"x/2")/2</f>
        <v>0</v>
      </c>
      <c r="AJ6" s="51">
        <f>0</f>
        <v>0</v>
      </c>
      <c r="AK6" s="52">
        <f>AI6+AJ6</f>
        <v>0</v>
      </c>
    </row>
    <row r="7" spans="1:37" s="7" customFormat="1" ht="12.75" customHeight="1" x14ac:dyDescent="0.2">
      <c r="A7" s="90"/>
      <c r="B7" s="96"/>
      <c r="C7" s="2" t="s">
        <v>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8"/>
      <c r="Z7" s="8"/>
      <c r="AA7" s="8"/>
      <c r="AB7" s="8"/>
      <c r="AC7" s="8"/>
      <c r="AD7" s="8"/>
      <c r="AE7" s="9"/>
      <c r="AF7" s="8"/>
      <c r="AG7" s="8"/>
      <c r="AH7" s="6"/>
      <c r="AI7" s="50">
        <f>COUNTIF(D7:AH7,"x")+COUNTIF(D7:AH7,"x-0,25")+COUNTIF(D7:AH7,"x-0,50")+COUNTIF(D7:AH7,"x-0.75")+COUNTIF(D7:AH7,"x-1")+COUNTIF(D7:AH7,"x-1,25")+COUNTIF(D7:AH7,"x-1,5")+COUNTIF(D7:AH7,"x-1,55")+COUNTIF(D7:AH7,"x-2")+COUNTIF(D7:AH7,"x/2")/2</f>
        <v>0</v>
      </c>
      <c r="AJ7" s="51">
        <f>0</f>
        <v>0</v>
      </c>
      <c r="AK7" s="52">
        <f>AI7+AJ7</f>
        <v>0</v>
      </c>
    </row>
    <row r="8" spans="1:37" s="7" customFormat="1" ht="13.5" customHeight="1" x14ac:dyDescent="0.2">
      <c r="A8" s="16"/>
      <c r="B8" s="17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/>
      <c r="Y8" s="19"/>
      <c r="Z8" s="19"/>
      <c r="AA8" s="19"/>
      <c r="AB8" s="19"/>
      <c r="AC8" s="19"/>
      <c r="AD8" s="19"/>
      <c r="AE8" s="20"/>
      <c r="AF8" s="19"/>
      <c r="AG8" s="19"/>
      <c r="AH8" s="20"/>
      <c r="AI8" s="53" t="str">
        <f>""</f>
        <v/>
      </c>
      <c r="AJ8" s="54" t="str">
        <f>""</f>
        <v/>
      </c>
      <c r="AK8" s="55" t="str">
        <f>""</f>
        <v/>
      </c>
    </row>
    <row r="9" spans="1:37" s="7" customFormat="1" ht="12.75" customHeight="1" x14ac:dyDescent="0.2">
      <c r="A9" s="94">
        <v>2</v>
      </c>
      <c r="B9" s="97" t="s">
        <v>13</v>
      </c>
      <c r="C9" s="2" t="s">
        <v>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8"/>
      <c r="Z9" s="8"/>
      <c r="AA9" s="8"/>
      <c r="AB9" s="8"/>
      <c r="AC9" s="8"/>
      <c r="AD9" s="8"/>
      <c r="AE9" s="9"/>
      <c r="AF9" s="8"/>
      <c r="AG9" s="8"/>
      <c r="AH9" s="6"/>
      <c r="AI9" s="50">
        <f>0</f>
        <v>0</v>
      </c>
      <c r="AJ9" s="51">
        <f>SUM(D9:AH9)/8</f>
        <v>0</v>
      </c>
      <c r="AK9" s="52">
        <f>AI9+AJ9</f>
        <v>0</v>
      </c>
    </row>
    <row r="10" spans="1:37" s="7" customFormat="1" ht="13.5" customHeight="1" x14ac:dyDescent="0.2">
      <c r="A10" s="89"/>
      <c r="B10" s="89"/>
      <c r="C10" s="2" t="s">
        <v>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8"/>
      <c r="Z10" s="8"/>
      <c r="AA10" s="8"/>
      <c r="AB10" s="8"/>
      <c r="AC10" s="8"/>
      <c r="AD10" s="8"/>
      <c r="AE10" s="9"/>
      <c r="AF10" s="8"/>
      <c r="AG10" s="8"/>
      <c r="AH10" s="6"/>
      <c r="AI10" s="50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0</v>
      </c>
      <c r="AJ10" s="51">
        <f>0</f>
        <v>0</v>
      </c>
      <c r="AK10" s="52">
        <f>AI10+AJ10</f>
        <v>0</v>
      </c>
    </row>
    <row r="11" spans="1:37" s="7" customFormat="1" ht="13.5" customHeight="1" x14ac:dyDescent="0.2">
      <c r="A11" s="89"/>
      <c r="B11" s="89"/>
      <c r="C11" s="2" t="s">
        <v>11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8"/>
      <c r="Z11" s="8"/>
      <c r="AA11" s="8"/>
      <c r="AB11" s="8"/>
      <c r="AC11" s="8"/>
      <c r="AD11" s="8"/>
      <c r="AE11" s="9"/>
      <c r="AF11" s="8"/>
      <c r="AG11" s="8"/>
      <c r="AH11" s="6"/>
      <c r="AI11" s="50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0</v>
      </c>
      <c r="AJ11" s="51">
        <f>0</f>
        <v>0</v>
      </c>
      <c r="AK11" s="52">
        <f>AI11+AJ11</f>
        <v>0</v>
      </c>
    </row>
    <row r="12" spans="1:37" s="7" customFormat="1" ht="13.5" customHeight="1" x14ac:dyDescent="0.2">
      <c r="A12" s="90"/>
      <c r="B12" s="96"/>
      <c r="C12" s="2" t="s">
        <v>12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8"/>
      <c r="Z12" s="8"/>
      <c r="AA12" s="8"/>
      <c r="AB12" s="8"/>
      <c r="AC12" s="8"/>
      <c r="AD12" s="8"/>
      <c r="AE12" s="9"/>
      <c r="AF12" s="8"/>
      <c r="AG12" s="8"/>
      <c r="AH12" s="6"/>
      <c r="AI12" s="50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0</v>
      </c>
      <c r="AJ12" s="51">
        <f>0</f>
        <v>0</v>
      </c>
      <c r="AK12" s="52">
        <f>AI12+AJ12</f>
        <v>0</v>
      </c>
    </row>
    <row r="13" spans="1:37" s="7" customFormat="1" ht="13.5" customHeight="1" x14ac:dyDescent="0.2">
      <c r="A13" s="16"/>
      <c r="B13" s="17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0"/>
      <c r="Y13" s="19"/>
      <c r="Z13" s="19"/>
      <c r="AA13" s="19"/>
      <c r="AB13" s="19"/>
      <c r="AC13" s="19"/>
      <c r="AD13" s="19"/>
      <c r="AE13" s="20"/>
      <c r="AF13" s="19"/>
      <c r="AG13" s="19"/>
      <c r="AH13" s="20"/>
      <c r="AI13" s="53" t="str">
        <f>""</f>
        <v/>
      </c>
      <c r="AJ13" s="54" t="str">
        <f>""</f>
        <v/>
      </c>
      <c r="AK13" s="55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" t="s">
        <v>8</v>
      </c>
      <c r="D14" s="8"/>
      <c r="E14" s="8"/>
      <c r="F14" s="8"/>
      <c r="G14" s="8"/>
      <c r="H14" s="8"/>
      <c r="I14" s="8"/>
      <c r="J14" s="8"/>
      <c r="K14" s="8"/>
      <c r="L14" s="1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8"/>
      <c r="Z14" s="8"/>
      <c r="AA14" s="8"/>
      <c r="AB14" s="8"/>
      <c r="AC14" s="8"/>
      <c r="AD14" s="8"/>
      <c r="AE14" s="9"/>
      <c r="AF14" s="8"/>
      <c r="AG14" s="8"/>
      <c r="AH14" s="6"/>
      <c r="AI14" s="50">
        <f>0</f>
        <v>0</v>
      </c>
      <c r="AJ14" s="51">
        <f>SUM(D14:AH14)/8</f>
        <v>0</v>
      </c>
      <c r="AK14" s="52">
        <f>AI14+AJ14</f>
        <v>0</v>
      </c>
    </row>
    <row r="15" spans="1:37" s="7" customFormat="1" ht="13.5" customHeight="1" x14ac:dyDescent="0.2">
      <c r="A15" s="89"/>
      <c r="B15" s="89"/>
      <c r="C15" s="2" t="s">
        <v>9</v>
      </c>
      <c r="D15" s="8"/>
      <c r="E15" s="8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8"/>
      <c r="Z15" s="8"/>
      <c r="AA15" s="8"/>
      <c r="AB15" s="8"/>
      <c r="AC15" s="8"/>
      <c r="AD15" s="8"/>
      <c r="AE15" s="9"/>
      <c r="AF15" s="8"/>
      <c r="AG15" s="8"/>
      <c r="AH15" s="6"/>
      <c r="AI15" s="50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0</v>
      </c>
      <c r="AJ15" s="51">
        <f>0</f>
        <v>0</v>
      </c>
      <c r="AK15" s="52">
        <f>AI15+AJ15</f>
        <v>0</v>
      </c>
    </row>
    <row r="16" spans="1:37" s="7" customFormat="1" ht="13.5" customHeight="1" x14ac:dyDescent="0.2">
      <c r="A16" s="89"/>
      <c r="B16" s="89"/>
      <c r="C16" s="2" t="s">
        <v>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8"/>
      <c r="Z16" s="8"/>
      <c r="AA16" s="8"/>
      <c r="AB16" s="8"/>
      <c r="AC16" s="8"/>
      <c r="AD16" s="8"/>
      <c r="AE16" s="9"/>
      <c r="AF16" s="8"/>
      <c r="AG16" s="8"/>
      <c r="AH16" s="6"/>
      <c r="AI16" s="50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51">
        <f>0</f>
        <v>0</v>
      </c>
      <c r="AK16" s="52">
        <f>AI16+AJ16</f>
        <v>0</v>
      </c>
    </row>
    <row r="17" spans="1:37" s="7" customFormat="1" ht="13.5" customHeight="1" x14ac:dyDescent="0.2">
      <c r="A17" s="90"/>
      <c r="B17" s="96"/>
      <c r="C17" s="2" t="s">
        <v>12</v>
      </c>
      <c r="D17" s="8"/>
      <c r="E17" s="8"/>
      <c r="F17" s="8"/>
      <c r="G17" s="8"/>
      <c r="H17" s="8"/>
      <c r="I17" s="8"/>
      <c r="J17" s="8"/>
      <c r="K17" s="8"/>
      <c r="L17" s="15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8"/>
      <c r="Z17" s="8"/>
      <c r="AA17" s="8"/>
      <c r="AB17" s="8"/>
      <c r="AC17" s="8"/>
      <c r="AD17" s="8"/>
      <c r="AE17" s="9"/>
      <c r="AF17" s="8"/>
      <c r="AG17" s="8"/>
      <c r="AH17" s="6"/>
      <c r="AI17" s="50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51">
        <f>0</f>
        <v>0</v>
      </c>
      <c r="AK17" s="52">
        <f>AI17+AJ17</f>
        <v>0</v>
      </c>
    </row>
    <row r="18" spans="1:37" s="7" customFormat="1" ht="13.5" customHeight="1" x14ac:dyDescent="0.2">
      <c r="A18" s="16"/>
      <c r="B18" s="17"/>
      <c r="C18" s="18"/>
      <c r="D18" s="19"/>
      <c r="E18" s="19"/>
      <c r="F18" s="19"/>
      <c r="G18" s="19"/>
      <c r="H18" s="19"/>
      <c r="I18" s="19"/>
      <c r="J18" s="19"/>
      <c r="K18" s="19"/>
      <c r="L18" s="21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/>
      <c r="Y18" s="19"/>
      <c r="Z18" s="19"/>
      <c r="AA18" s="19"/>
      <c r="AB18" s="19"/>
      <c r="AC18" s="19"/>
      <c r="AD18" s="19"/>
      <c r="AE18" s="20"/>
      <c r="AF18" s="19"/>
      <c r="AG18" s="19"/>
      <c r="AH18" s="20"/>
      <c r="AI18" s="53" t="str">
        <f>""</f>
        <v/>
      </c>
      <c r="AJ18" s="54" t="str">
        <f>""</f>
        <v/>
      </c>
      <c r="AK18" s="55" t="str">
        <f>""</f>
        <v/>
      </c>
    </row>
    <row r="19" spans="1:37" s="7" customFormat="1" ht="13.5" customHeight="1" x14ac:dyDescent="0.2">
      <c r="A19" s="94">
        <v>4</v>
      </c>
      <c r="B19" s="97" t="s">
        <v>16</v>
      </c>
      <c r="C19" s="2" t="s">
        <v>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8"/>
      <c r="Z19" s="8"/>
      <c r="AA19" s="8"/>
      <c r="AB19" s="8"/>
      <c r="AC19" s="8"/>
      <c r="AD19" s="8"/>
      <c r="AE19" s="9"/>
      <c r="AF19" s="8"/>
      <c r="AG19" s="8"/>
      <c r="AH19" s="6"/>
      <c r="AI19" s="50">
        <f>0</f>
        <v>0</v>
      </c>
      <c r="AJ19" s="51">
        <f>SUM(D19:AH19)/8</f>
        <v>0</v>
      </c>
      <c r="AK19" s="52">
        <f>AI19+AJ19</f>
        <v>0</v>
      </c>
    </row>
    <row r="20" spans="1:37" s="7" customFormat="1" ht="13.5" customHeight="1" x14ac:dyDescent="0.2">
      <c r="A20" s="89"/>
      <c r="B20" s="89"/>
      <c r="C20" s="2" t="s">
        <v>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8"/>
      <c r="Z20" s="8"/>
      <c r="AA20" s="8"/>
      <c r="AB20" s="8"/>
      <c r="AC20" s="8"/>
      <c r="AD20" s="8"/>
      <c r="AE20" s="9"/>
      <c r="AF20" s="8"/>
      <c r="AG20" s="8"/>
      <c r="AH20" s="6"/>
      <c r="AI20" s="50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0</v>
      </c>
      <c r="AJ20" s="51">
        <f>0</f>
        <v>0</v>
      </c>
      <c r="AK20" s="52">
        <f>AI20+AJ20</f>
        <v>0</v>
      </c>
    </row>
    <row r="21" spans="1:37" s="7" customFormat="1" ht="13.5" customHeight="1" x14ac:dyDescent="0.2">
      <c r="A21" s="89"/>
      <c r="B21" s="89"/>
      <c r="C21" s="2" t="s">
        <v>11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8"/>
      <c r="Z21" s="8"/>
      <c r="AA21" s="8"/>
      <c r="AB21" s="8"/>
      <c r="AC21" s="8"/>
      <c r="AD21" s="8"/>
      <c r="AE21" s="9"/>
      <c r="AF21" s="8"/>
      <c r="AG21" s="8"/>
      <c r="AH21" s="6"/>
      <c r="AI21" s="50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0</v>
      </c>
      <c r="AJ21" s="51">
        <f>0</f>
        <v>0</v>
      </c>
      <c r="AK21" s="52">
        <f>AI21+AJ21</f>
        <v>0</v>
      </c>
    </row>
    <row r="22" spans="1:37" s="7" customFormat="1" ht="13.5" customHeight="1" x14ac:dyDescent="0.2">
      <c r="A22" s="90"/>
      <c r="B22" s="96"/>
      <c r="C22" s="2" t="s">
        <v>12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8"/>
      <c r="Z22" s="8"/>
      <c r="AA22" s="8"/>
      <c r="AB22" s="8"/>
      <c r="AC22" s="8"/>
      <c r="AD22" s="8"/>
      <c r="AE22" s="9"/>
      <c r="AF22" s="8"/>
      <c r="AG22" s="8"/>
      <c r="AH22" s="6"/>
      <c r="AI22" s="50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51">
        <f>0</f>
        <v>0</v>
      </c>
      <c r="AK22" s="52">
        <f>AI22+AJ22</f>
        <v>0</v>
      </c>
    </row>
    <row r="23" spans="1:37" s="7" customFormat="1" ht="13.5" customHeight="1" x14ac:dyDescent="0.2">
      <c r="A23" s="16"/>
      <c r="B23" s="17"/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20"/>
      <c r="AF23" s="19"/>
      <c r="AG23" s="19"/>
      <c r="AH23" s="20"/>
      <c r="AI23" s="53" t="str">
        <f>""</f>
        <v/>
      </c>
      <c r="AJ23" s="54" t="str">
        <f>""</f>
        <v/>
      </c>
      <c r="AK23" s="55" t="str">
        <f>""</f>
        <v/>
      </c>
    </row>
    <row r="24" spans="1:37" s="7" customFormat="1" ht="13.5" customHeight="1" x14ac:dyDescent="0.2">
      <c r="A24" s="94">
        <v>5</v>
      </c>
      <c r="B24" s="97" t="s">
        <v>17</v>
      </c>
      <c r="C24" s="2" t="s">
        <v>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9"/>
      <c r="AF24" s="8"/>
      <c r="AG24" s="8"/>
      <c r="AH24" s="6"/>
      <c r="AI24" s="50">
        <f>0</f>
        <v>0</v>
      </c>
      <c r="AJ24" s="51">
        <f>SUM(D24:AH24)/8</f>
        <v>0</v>
      </c>
      <c r="AK24" s="52">
        <f>AI24+AJ24</f>
        <v>0</v>
      </c>
    </row>
    <row r="25" spans="1:37" s="7" customFormat="1" ht="13.5" customHeight="1" x14ac:dyDescent="0.2">
      <c r="A25" s="89"/>
      <c r="B25" s="89"/>
      <c r="C25" s="2" t="s">
        <v>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9"/>
      <c r="AF25" s="8"/>
      <c r="AG25" s="8"/>
      <c r="AH25" s="6"/>
      <c r="AI25" s="50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0</v>
      </c>
      <c r="AJ25" s="51">
        <f>0</f>
        <v>0</v>
      </c>
      <c r="AK25" s="52">
        <f>AI25+AJ25</f>
        <v>0</v>
      </c>
    </row>
    <row r="26" spans="1:37" s="7" customFormat="1" ht="13.5" customHeight="1" x14ac:dyDescent="0.2">
      <c r="A26" s="89"/>
      <c r="B26" s="89"/>
      <c r="C26" s="2" t="s">
        <v>11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24"/>
      <c r="V26" s="8"/>
      <c r="W26" s="24"/>
      <c r="X26" s="8"/>
      <c r="Y26" s="8"/>
      <c r="Z26" s="8"/>
      <c r="AA26" s="8"/>
      <c r="AB26" s="8"/>
      <c r="AC26" s="8"/>
      <c r="AD26" s="8"/>
      <c r="AE26" s="9"/>
      <c r="AF26" s="8"/>
      <c r="AG26" s="8"/>
      <c r="AH26" s="6"/>
      <c r="AI26" s="50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0</v>
      </c>
      <c r="AJ26" s="51">
        <f>0</f>
        <v>0</v>
      </c>
      <c r="AK26" s="52">
        <f>AI26+AJ26</f>
        <v>0</v>
      </c>
    </row>
    <row r="27" spans="1:37" s="7" customFormat="1" ht="13.5" customHeight="1" x14ac:dyDescent="0.2">
      <c r="A27" s="90"/>
      <c r="B27" s="96"/>
      <c r="C27" s="2" t="s">
        <v>12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9"/>
      <c r="AF27" s="8"/>
      <c r="AG27" s="8"/>
      <c r="AH27" s="6"/>
      <c r="AI27" s="50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51">
        <f>0</f>
        <v>0</v>
      </c>
      <c r="AK27" s="52">
        <f>AI27+AJ27</f>
        <v>0</v>
      </c>
    </row>
    <row r="28" spans="1:37" s="7" customFormat="1" ht="13.5" customHeight="1" x14ac:dyDescent="0.2">
      <c r="A28" s="16"/>
      <c r="B28" s="17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  <c r="Y28" s="19"/>
      <c r="Z28" s="19"/>
      <c r="AA28" s="19"/>
      <c r="AB28" s="19"/>
      <c r="AC28" s="19"/>
      <c r="AD28" s="19"/>
      <c r="AE28" s="20"/>
      <c r="AF28" s="19"/>
      <c r="AG28" s="19"/>
      <c r="AH28" s="20"/>
      <c r="AI28" s="53" t="str">
        <f>""</f>
        <v/>
      </c>
      <c r="AJ28" s="54" t="str">
        <f>""</f>
        <v/>
      </c>
      <c r="AK28" s="55" t="str">
        <f>""</f>
        <v/>
      </c>
    </row>
    <row r="29" spans="1:37" s="7" customFormat="1" ht="13.5" customHeight="1" x14ac:dyDescent="0.2">
      <c r="A29" s="94">
        <v>6</v>
      </c>
      <c r="B29" s="97" t="s">
        <v>18</v>
      </c>
      <c r="C29" s="2" t="s">
        <v>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9"/>
      <c r="AF29" s="8"/>
      <c r="AG29" s="8"/>
      <c r="AH29" s="6"/>
      <c r="AI29" s="50">
        <f>0</f>
        <v>0</v>
      </c>
      <c r="AJ29" s="51">
        <f>SUM(D29:AH29)/8</f>
        <v>0</v>
      </c>
      <c r="AK29" s="52">
        <f>AI29+AJ29</f>
        <v>0</v>
      </c>
    </row>
    <row r="30" spans="1:37" s="7" customFormat="1" ht="13.5" customHeight="1" x14ac:dyDescent="0.2">
      <c r="A30" s="89"/>
      <c r="B30" s="89"/>
      <c r="C30" s="2" t="s">
        <v>9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8"/>
      <c r="Z30" s="8"/>
      <c r="AA30" s="8"/>
      <c r="AB30" s="8"/>
      <c r="AC30" s="8"/>
      <c r="AD30" s="8"/>
      <c r="AE30" s="9"/>
      <c r="AF30" s="8"/>
      <c r="AG30" s="8"/>
      <c r="AH30" s="6"/>
      <c r="AI30" s="50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0</v>
      </c>
      <c r="AJ30" s="51">
        <f>0</f>
        <v>0</v>
      </c>
      <c r="AK30" s="52">
        <f>AI30+AJ30</f>
        <v>0</v>
      </c>
    </row>
    <row r="31" spans="1:37" s="7" customFormat="1" ht="13.5" customHeight="1" x14ac:dyDescent="0.2">
      <c r="A31" s="89"/>
      <c r="B31" s="89"/>
      <c r="C31" s="2" t="s">
        <v>11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8"/>
      <c r="Z31" s="8"/>
      <c r="AA31" s="8"/>
      <c r="AB31" s="8"/>
      <c r="AC31" s="8"/>
      <c r="AD31" s="8"/>
      <c r="AE31" s="9"/>
      <c r="AF31" s="8"/>
      <c r="AG31" s="8"/>
      <c r="AH31" s="6"/>
      <c r="AI31" s="50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0</v>
      </c>
      <c r="AJ31" s="51">
        <f>0</f>
        <v>0</v>
      </c>
      <c r="AK31" s="52">
        <f>AI31+AJ31</f>
        <v>0</v>
      </c>
    </row>
    <row r="32" spans="1:37" s="7" customFormat="1" ht="13.5" customHeight="1" x14ac:dyDescent="0.2">
      <c r="A32" s="90"/>
      <c r="B32" s="96"/>
      <c r="C32" s="2" t="s">
        <v>12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8"/>
      <c r="Z32" s="8"/>
      <c r="AA32" s="8"/>
      <c r="AB32" s="8"/>
      <c r="AC32" s="8"/>
      <c r="AD32" s="8"/>
      <c r="AE32" s="9"/>
      <c r="AF32" s="8"/>
      <c r="AG32" s="8"/>
      <c r="AH32" s="6"/>
      <c r="AI32" s="50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0</v>
      </c>
      <c r="AJ32" s="51">
        <f>0</f>
        <v>0</v>
      </c>
      <c r="AK32" s="52">
        <f>AI32+AJ32</f>
        <v>0</v>
      </c>
    </row>
    <row r="33" spans="1:37" s="7" customFormat="1" ht="13.5" customHeight="1" x14ac:dyDescent="0.2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/>
      <c r="Y33" s="19"/>
      <c r="Z33" s="19"/>
      <c r="AA33" s="19"/>
      <c r="AB33" s="19"/>
      <c r="AC33" s="19"/>
      <c r="AD33" s="19"/>
      <c r="AE33" s="20"/>
      <c r="AF33" s="19"/>
      <c r="AG33" s="19"/>
      <c r="AH33" s="20"/>
      <c r="AI33" s="53" t="str">
        <f>""</f>
        <v/>
      </c>
      <c r="AJ33" s="54" t="str">
        <f>""</f>
        <v/>
      </c>
      <c r="AK33" s="55" t="str">
        <f>""</f>
        <v/>
      </c>
    </row>
    <row r="34" spans="1:37" s="7" customFormat="1" ht="13.5" customHeight="1" x14ac:dyDescent="0.2">
      <c r="A34" s="94">
        <v>7</v>
      </c>
      <c r="B34" s="97" t="s">
        <v>19</v>
      </c>
      <c r="C34" s="2" t="s">
        <v>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8"/>
      <c r="Z34" s="8"/>
      <c r="AA34" s="8"/>
      <c r="AB34" s="8"/>
      <c r="AC34" s="8"/>
      <c r="AD34" s="8"/>
      <c r="AE34" s="9"/>
      <c r="AF34" s="8"/>
      <c r="AG34" s="8"/>
      <c r="AH34" s="6"/>
      <c r="AI34" s="50">
        <f>0</f>
        <v>0</v>
      </c>
      <c r="AJ34" s="51">
        <f>SUM(D34:AH34)/8</f>
        <v>0</v>
      </c>
      <c r="AK34" s="52">
        <f>AI34+AJ34</f>
        <v>0</v>
      </c>
    </row>
    <row r="35" spans="1:37" s="7" customFormat="1" ht="13.5" customHeight="1" x14ac:dyDescent="0.2">
      <c r="A35" s="89"/>
      <c r="B35" s="89"/>
      <c r="C35" s="2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8"/>
      <c r="Z35" s="8"/>
      <c r="AA35" s="8"/>
      <c r="AB35" s="8"/>
      <c r="AC35" s="8"/>
      <c r="AD35" s="8"/>
      <c r="AE35" s="9"/>
      <c r="AF35" s="8"/>
      <c r="AG35" s="8"/>
      <c r="AH35" s="6"/>
      <c r="AI35" s="50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0</v>
      </c>
      <c r="AJ35" s="51">
        <f>0</f>
        <v>0</v>
      </c>
      <c r="AK35" s="52">
        <f>AI35+AJ35</f>
        <v>0</v>
      </c>
    </row>
    <row r="36" spans="1:37" s="7" customFormat="1" ht="13.5" customHeight="1" x14ac:dyDescent="0.2">
      <c r="A36" s="89"/>
      <c r="B36" s="89"/>
      <c r="C36" s="2" t="s">
        <v>11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8"/>
      <c r="Z36" s="8"/>
      <c r="AA36" s="8"/>
      <c r="AB36" s="8"/>
      <c r="AC36" s="8"/>
      <c r="AD36" s="8"/>
      <c r="AE36" s="9"/>
      <c r="AF36" s="8"/>
      <c r="AG36" s="8"/>
      <c r="AH36" s="6"/>
      <c r="AI36" s="50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0</v>
      </c>
      <c r="AJ36" s="51">
        <f>0</f>
        <v>0</v>
      </c>
      <c r="AK36" s="52">
        <f>AI36+AJ36</f>
        <v>0</v>
      </c>
    </row>
    <row r="37" spans="1:37" s="7" customFormat="1" ht="13.5" customHeight="1" x14ac:dyDescent="0.2">
      <c r="A37" s="90"/>
      <c r="B37" s="96"/>
      <c r="C37" s="2" t="s">
        <v>12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8"/>
      <c r="Z37" s="8"/>
      <c r="AA37" s="8"/>
      <c r="AB37" s="8"/>
      <c r="AC37" s="8"/>
      <c r="AD37" s="8"/>
      <c r="AE37" s="9"/>
      <c r="AF37" s="8"/>
      <c r="AG37" s="8"/>
      <c r="AH37" s="6"/>
      <c r="AI37" s="50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0</v>
      </c>
      <c r="AJ37" s="51">
        <f>0</f>
        <v>0</v>
      </c>
      <c r="AK37" s="52">
        <f>AI37+AJ37</f>
        <v>0</v>
      </c>
    </row>
    <row r="38" spans="1:37" s="7" customFormat="1" ht="13.5" customHeight="1" x14ac:dyDescent="0.2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20"/>
      <c r="Y38" s="19"/>
      <c r="Z38" s="19"/>
      <c r="AA38" s="19"/>
      <c r="AB38" s="19"/>
      <c r="AC38" s="19"/>
      <c r="AD38" s="19"/>
      <c r="AE38" s="20"/>
      <c r="AF38" s="19"/>
      <c r="AG38" s="19"/>
      <c r="AH38" s="20"/>
      <c r="AI38" s="53" t="str">
        <f>""</f>
        <v/>
      </c>
      <c r="AJ38" s="54" t="str">
        <f>""</f>
        <v/>
      </c>
      <c r="AK38" s="55" t="str">
        <f>""</f>
        <v/>
      </c>
    </row>
    <row r="39" spans="1:37" s="7" customFormat="1" ht="13.5" customHeight="1" x14ac:dyDescent="0.2">
      <c r="A39" s="94">
        <v>8</v>
      </c>
      <c r="B39" s="97" t="s">
        <v>20</v>
      </c>
      <c r="C39" s="2" t="s">
        <v>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6"/>
      <c r="X39" s="9"/>
      <c r="Y39" s="8"/>
      <c r="Z39" s="8"/>
      <c r="AA39" s="8"/>
      <c r="AB39" s="8"/>
      <c r="AC39" s="8"/>
      <c r="AD39" s="8"/>
      <c r="AE39" s="9"/>
      <c r="AF39" s="8"/>
      <c r="AG39" s="8"/>
      <c r="AH39" s="6"/>
      <c r="AI39" s="50">
        <f>0</f>
        <v>0</v>
      </c>
      <c r="AJ39" s="51">
        <f>SUM(D39:AH39)/8</f>
        <v>0</v>
      </c>
      <c r="AK39" s="52">
        <f>AI39+AJ39</f>
        <v>0</v>
      </c>
    </row>
    <row r="40" spans="1:37" s="7" customFormat="1" ht="13.5" customHeight="1" x14ac:dyDescent="0.2">
      <c r="A40" s="89"/>
      <c r="B40" s="89"/>
      <c r="C40" s="2" t="s">
        <v>9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6"/>
      <c r="X40" s="9"/>
      <c r="Y40" s="8"/>
      <c r="Z40" s="8"/>
      <c r="AA40" s="8"/>
      <c r="AB40" s="8"/>
      <c r="AC40" s="8"/>
      <c r="AD40" s="8"/>
      <c r="AE40" s="9"/>
      <c r="AF40" s="8"/>
      <c r="AG40" s="8"/>
      <c r="AH40" s="6"/>
      <c r="AI40" s="50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0</v>
      </c>
      <c r="AJ40" s="51">
        <f>0</f>
        <v>0</v>
      </c>
      <c r="AK40" s="52">
        <f>AI40+AJ40</f>
        <v>0</v>
      </c>
    </row>
    <row r="41" spans="1:37" s="7" customFormat="1" ht="13.5" customHeight="1" x14ac:dyDescent="0.2">
      <c r="A41" s="89"/>
      <c r="B41" s="89"/>
      <c r="C41" s="2" t="s">
        <v>11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6"/>
      <c r="X41" s="9"/>
      <c r="Y41" s="8"/>
      <c r="Z41" s="8"/>
      <c r="AA41" s="8"/>
      <c r="AB41" s="8"/>
      <c r="AC41" s="8"/>
      <c r="AD41" s="8"/>
      <c r="AE41" s="9"/>
      <c r="AF41" s="8"/>
      <c r="AG41" s="8"/>
      <c r="AH41" s="6"/>
      <c r="AI41" s="50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0</v>
      </c>
      <c r="AJ41" s="51">
        <f>0</f>
        <v>0</v>
      </c>
      <c r="AK41" s="52">
        <f>AI41+AJ41</f>
        <v>0</v>
      </c>
    </row>
    <row r="42" spans="1:37" s="7" customFormat="1" ht="13.5" customHeight="1" x14ac:dyDescent="0.2">
      <c r="A42" s="90"/>
      <c r="B42" s="96"/>
      <c r="C42" s="2" t="s">
        <v>12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6"/>
      <c r="X42" s="9"/>
      <c r="Y42" s="8"/>
      <c r="Z42" s="8"/>
      <c r="AA42" s="8"/>
      <c r="AB42" s="8"/>
      <c r="AC42" s="8"/>
      <c r="AD42" s="8"/>
      <c r="AE42" s="9"/>
      <c r="AF42" s="8"/>
      <c r="AG42" s="8"/>
      <c r="AH42" s="6"/>
      <c r="AI42" s="50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51">
        <f>0</f>
        <v>0</v>
      </c>
      <c r="AK42" s="52">
        <f>AI42+AJ42</f>
        <v>0</v>
      </c>
    </row>
    <row r="43" spans="1:37" s="7" customFormat="1" ht="13.5" customHeight="1" x14ac:dyDescent="0.2">
      <c r="A43" s="16"/>
      <c r="B43" s="17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20"/>
      <c r="Y43" s="19"/>
      <c r="Z43" s="19"/>
      <c r="AA43" s="19"/>
      <c r="AB43" s="19"/>
      <c r="AC43" s="19"/>
      <c r="AD43" s="19"/>
      <c r="AE43" s="20"/>
      <c r="AF43" s="19"/>
      <c r="AG43" s="19"/>
      <c r="AH43" s="20"/>
      <c r="AI43" s="53" t="str">
        <f>""</f>
        <v/>
      </c>
      <c r="AJ43" s="54" t="str">
        <f>""</f>
        <v/>
      </c>
      <c r="AK43" s="55" t="str">
        <f>""</f>
        <v/>
      </c>
    </row>
    <row r="44" spans="1:37" s="7" customFormat="1" ht="13.5" customHeight="1" x14ac:dyDescent="0.2">
      <c r="A44" s="94">
        <v>9</v>
      </c>
      <c r="B44" s="97" t="s">
        <v>21</v>
      </c>
      <c r="C44" s="2" t="s">
        <v>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6"/>
      <c r="X44" s="9"/>
      <c r="Y44" s="8"/>
      <c r="Z44" s="8"/>
      <c r="AA44" s="8"/>
      <c r="AB44" s="8"/>
      <c r="AC44" s="8"/>
      <c r="AD44" s="8"/>
      <c r="AE44" s="9"/>
      <c r="AF44" s="8"/>
      <c r="AG44" s="8"/>
      <c r="AH44" s="6"/>
      <c r="AI44" s="50">
        <f>0</f>
        <v>0</v>
      </c>
      <c r="AJ44" s="51">
        <f>SUM(D44:AH44)/8</f>
        <v>0</v>
      </c>
      <c r="AK44" s="52">
        <f>AI44+AJ44</f>
        <v>0</v>
      </c>
    </row>
    <row r="45" spans="1:37" s="7" customFormat="1" ht="13.5" customHeight="1" x14ac:dyDescent="0.2">
      <c r="A45" s="89"/>
      <c r="B45" s="89"/>
      <c r="C45" s="2" t="s">
        <v>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6"/>
      <c r="X45" s="9"/>
      <c r="Y45" s="8"/>
      <c r="Z45" s="8"/>
      <c r="AA45" s="8"/>
      <c r="AB45" s="8"/>
      <c r="AC45" s="8"/>
      <c r="AD45" s="8"/>
      <c r="AE45" s="9"/>
      <c r="AF45" s="8"/>
      <c r="AG45" s="8"/>
      <c r="AH45" s="6"/>
      <c r="AI45" s="50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0</v>
      </c>
      <c r="AJ45" s="51">
        <f>0</f>
        <v>0</v>
      </c>
      <c r="AK45" s="52">
        <f>AI45+AJ45</f>
        <v>0</v>
      </c>
    </row>
    <row r="46" spans="1:37" s="7" customFormat="1" ht="13.5" customHeight="1" x14ac:dyDescent="0.2">
      <c r="A46" s="89"/>
      <c r="B46" s="89"/>
      <c r="C46" s="2" t="s">
        <v>11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6"/>
      <c r="X46" s="9"/>
      <c r="Y46" s="8"/>
      <c r="Z46" s="8"/>
      <c r="AA46" s="8"/>
      <c r="AB46" s="8"/>
      <c r="AC46" s="8"/>
      <c r="AD46" s="8"/>
      <c r="AE46" s="9"/>
      <c r="AF46" s="8"/>
      <c r="AG46" s="8"/>
      <c r="AH46" s="6"/>
      <c r="AI46" s="50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0</v>
      </c>
      <c r="AJ46" s="51">
        <f>0</f>
        <v>0</v>
      </c>
      <c r="AK46" s="52">
        <f>AI46+AJ46</f>
        <v>0</v>
      </c>
    </row>
    <row r="47" spans="1:37" s="7" customFormat="1" ht="13.5" customHeight="1" x14ac:dyDescent="0.2">
      <c r="A47" s="90"/>
      <c r="B47" s="96"/>
      <c r="C47" s="2" t="s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6"/>
      <c r="X47" s="9"/>
      <c r="Y47" s="8"/>
      <c r="Z47" s="8"/>
      <c r="AA47" s="6"/>
      <c r="AB47" s="8"/>
      <c r="AC47" s="8"/>
      <c r="AD47" s="8"/>
      <c r="AE47" s="9"/>
      <c r="AF47" s="8"/>
      <c r="AG47" s="8"/>
      <c r="AH47" s="6"/>
      <c r="AI47" s="50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0</v>
      </c>
      <c r="AJ47" s="51">
        <f>0</f>
        <v>0</v>
      </c>
      <c r="AK47" s="52">
        <f>AI47+AJ47</f>
        <v>0</v>
      </c>
    </row>
    <row r="48" spans="1:37" s="7" customFormat="1" ht="13.5" customHeight="1" x14ac:dyDescent="0.2">
      <c r="A48" s="16"/>
      <c r="B48" s="17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X48" s="20"/>
      <c r="Y48" s="19"/>
      <c r="Z48" s="19"/>
      <c r="AA48" s="20"/>
      <c r="AB48" s="19"/>
      <c r="AC48" s="19"/>
      <c r="AD48" s="19"/>
      <c r="AE48" s="20"/>
      <c r="AF48" s="19"/>
      <c r="AG48" s="19"/>
      <c r="AH48" s="20"/>
      <c r="AI48" s="53" t="str">
        <f>""</f>
        <v/>
      </c>
      <c r="AJ48" s="54" t="str">
        <f>""</f>
        <v/>
      </c>
      <c r="AK48" s="55" t="str">
        <f>""</f>
        <v/>
      </c>
    </row>
    <row r="49" spans="1:44" s="7" customFormat="1" ht="13.5" customHeight="1" x14ac:dyDescent="0.2">
      <c r="A49" s="94">
        <v>10</v>
      </c>
      <c r="B49" s="97" t="s">
        <v>22</v>
      </c>
      <c r="C49" s="2" t="s">
        <v>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6"/>
      <c r="X49" s="9"/>
      <c r="Y49" s="8"/>
      <c r="Z49" s="8"/>
      <c r="AA49" s="6"/>
      <c r="AB49" s="8"/>
      <c r="AC49" s="8"/>
      <c r="AD49" s="8"/>
      <c r="AE49" s="9"/>
      <c r="AF49" s="8"/>
      <c r="AG49" s="8"/>
      <c r="AH49" s="6"/>
      <c r="AI49" s="50">
        <f>0</f>
        <v>0</v>
      </c>
      <c r="AJ49" s="51">
        <f>SUM(D49:AH49)/8</f>
        <v>0</v>
      </c>
      <c r="AK49" s="52">
        <f>AI49+AJ49</f>
        <v>0</v>
      </c>
    </row>
    <row r="50" spans="1:44" s="7" customFormat="1" ht="13.5" customHeight="1" x14ac:dyDescent="0.2">
      <c r="A50" s="89"/>
      <c r="B50" s="89"/>
      <c r="C50" s="2" t="s">
        <v>9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6"/>
      <c r="X50" s="9"/>
      <c r="Y50" s="8"/>
      <c r="Z50" s="8"/>
      <c r="AA50" s="6"/>
      <c r="AB50" s="8"/>
      <c r="AC50" s="8"/>
      <c r="AD50" s="8"/>
      <c r="AE50" s="9"/>
      <c r="AF50" s="8"/>
      <c r="AG50" s="8"/>
      <c r="AH50" s="6"/>
      <c r="AI50" s="50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0</v>
      </c>
      <c r="AJ50" s="51">
        <f>0</f>
        <v>0</v>
      </c>
      <c r="AK50" s="52">
        <f>AI50+AJ50</f>
        <v>0</v>
      </c>
    </row>
    <row r="51" spans="1:44" s="7" customFormat="1" ht="13.5" customHeight="1" x14ac:dyDescent="0.2">
      <c r="A51" s="89"/>
      <c r="B51" s="89"/>
      <c r="C51" s="2" t="s">
        <v>11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6"/>
      <c r="X51" s="9"/>
      <c r="Y51" s="8"/>
      <c r="Z51" s="8"/>
      <c r="AA51" s="6"/>
      <c r="AB51" s="8"/>
      <c r="AC51" s="8"/>
      <c r="AD51" s="8"/>
      <c r="AE51" s="9"/>
      <c r="AF51" s="8"/>
      <c r="AG51" s="8"/>
      <c r="AH51" s="6"/>
      <c r="AI51" s="50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0</v>
      </c>
      <c r="AJ51" s="51">
        <f>0</f>
        <v>0</v>
      </c>
      <c r="AK51" s="52">
        <f>AI51+AJ51</f>
        <v>0</v>
      </c>
    </row>
    <row r="52" spans="1:44" s="7" customFormat="1" ht="13.5" customHeight="1" x14ac:dyDescent="0.2">
      <c r="A52" s="90"/>
      <c r="B52" s="96"/>
      <c r="C52" s="2" t="s">
        <v>12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6"/>
      <c r="W52" s="6"/>
      <c r="X52" s="9"/>
      <c r="Y52" s="8"/>
      <c r="Z52" s="8"/>
      <c r="AA52" s="6"/>
      <c r="AB52" s="8"/>
      <c r="AC52" s="8"/>
      <c r="AD52" s="8"/>
      <c r="AE52" s="9"/>
      <c r="AF52" s="8"/>
      <c r="AG52" s="8"/>
      <c r="AH52" s="6"/>
      <c r="AI52" s="50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0</v>
      </c>
      <c r="AJ52" s="51">
        <f>0</f>
        <v>0</v>
      </c>
      <c r="AK52" s="52">
        <f>AI52+AJ52</f>
        <v>0</v>
      </c>
    </row>
    <row r="53" spans="1:44" s="7" customFormat="1" ht="13.5" customHeight="1" x14ac:dyDescent="0.2">
      <c r="A53" s="16"/>
      <c r="B53" s="17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20"/>
      <c r="X53" s="20"/>
      <c r="Y53" s="19"/>
      <c r="Z53" s="19"/>
      <c r="AA53" s="20"/>
      <c r="AB53" s="19"/>
      <c r="AC53" s="19"/>
      <c r="AD53" s="19"/>
      <c r="AE53" s="20"/>
      <c r="AF53" s="19"/>
      <c r="AG53" s="19"/>
      <c r="AH53" s="20"/>
      <c r="AI53" s="53" t="str">
        <f>""</f>
        <v/>
      </c>
      <c r="AJ53" s="54" t="str">
        <f>""</f>
        <v/>
      </c>
      <c r="AK53" s="55" t="str">
        <f>""</f>
        <v/>
      </c>
    </row>
    <row r="54" spans="1:44" s="7" customFormat="1" ht="12" customHeight="1" x14ac:dyDescent="0.2">
      <c r="A54" s="94">
        <v>11</v>
      </c>
      <c r="B54" s="97" t="s">
        <v>23</v>
      </c>
      <c r="C54" s="2" t="s">
        <v>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6"/>
      <c r="X54" s="9"/>
      <c r="Y54" s="8"/>
      <c r="Z54" s="8"/>
      <c r="AA54" s="8"/>
      <c r="AB54" s="8"/>
      <c r="AC54" s="8"/>
      <c r="AD54" s="8"/>
      <c r="AE54" s="9"/>
      <c r="AF54" s="8"/>
      <c r="AG54" s="8"/>
      <c r="AH54" s="6"/>
      <c r="AI54" s="50">
        <f>0</f>
        <v>0</v>
      </c>
      <c r="AJ54" s="51">
        <f>SUM(D54:AH54)/8</f>
        <v>0</v>
      </c>
      <c r="AK54" s="52">
        <f>AI54+AJ54</f>
        <v>0</v>
      </c>
      <c r="AR54" s="10"/>
    </row>
    <row r="55" spans="1:44" s="7" customFormat="1" ht="13.5" customHeight="1" x14ac:dyDescent="0.2">
      <c r="A55" s="89"/>
      <c r="B55" s="89"/>
      <c r="C55" s="2" t="s">
        <v>9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6"/>
      <c r="X55" s="9"/>
      <c r="Y55" s="8"/>
      <c r="Z55" s="8"/>
      <c r="AA55" s="8"/>
      <c r="AB55" s="8"/>
      <c r="AC55" s="8"/>
      <c r="AD55" s="8"/>
      <c r="AE55" s="9"/>
      <c r="AF55" s="8"/>
      <c r="AG55" s="8"/>
      <c r="AH55" s="6"/>
      <c r="AI55" s="50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0</v>
      </c>
      <c r="AJ55" s="51">
        <f>0</f>
        <v>0</v>
      </c>
      <c r="AK55" s="52">
        <f>AI55+AJ55</f>
        <v>0</v>
      </c>
      <c r="AR55" s="10"/>
    </row>
    <row r="56" spans="1:44" s="7" customFormat="1" ht="13.5" customHeight="1" x14ac:dyDescent="0.2">
      <c r="A56" s="89"/>
      <c r="B56" s="89"/>
      <c r="C56" s="2" t="s">
        <v>11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6"/>
      <c r="X56" s="9"/>
      <c r="Y56" s="8"/>
      <c r="Z56" s="8"/>
      <c r="AA56" s="8"/>
      <c r="AB56" s="8"/>
      <c r="AC56" s="8"/>
      <c r="AD56" s="8"/>
      <c r="AE56" s="9"/>
      <c r="AF56" s="8"/>
      <c r="AG56" s="8"/>
      <c r="AH56" s="6"/>
      <c r="AI56" s="50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0</v>
      </c>
      <c r="AJ56" s="51">
        <f>0</f>
        <v>0</v>
      </c>
      <c r="AK56" s="52">
        <f>AI56+AJ56</f>
        <v>0</v>
      </c>
      <c r="AR56" s="10"/>
    </row>
    <row r="57" spans="1:44" s="7" customFormat="1" ht="13.5" customHeight="1" x14ac:dyDescent="0.2">
      <c r="A57" s="90"/>
      <c r="B57" s="96"/>
      <c r="C57" s="2" t="s">
        <v>12</v>
      </c>
      <c r="D57" s="8"/>
      <c r="E57" s="8"/>
      <c r="F57" s="8"/>
      <c r="G57" s="8"/>
      <c r="H57" s="8"/>
      <c r="I57" s="8"/>
      <c r="J57" s="13"/>
      <c r="K57" s="13"/>
      <c r="L57" s="13"/>
      <c r="M57" s="8"/>
      <c r="N57" s="13"/>
      <c r="O57" s="13"/>
      <c r="P57" s="13"/>
      <c r="Q57" s="13"/>
      <c r="R57" s="8"/>
      <c r="S57" s="8"/>
      <c r="T57" s="8"/>
      <c r="U57" s="8"/>
      <c r="V57" s="6"/>
      <c r="W57" s="6"/>
      <c r="X57" s="9"/>
      <c r="Y57" s="8"/>
      <c r="Z57" s="8"/>
      <c r="AA57" s="8"/>
      <c r="AB57" s="8"/>
      <c r="AC57" s="8"/>
      <c r="AD57" s="8"/>
      <c r="AE57" s="9"/>
      <c r="AF57" s="8"/>
      <c r="AG57" s="8"/>
      <c r="AH57" s="6"/>
      <c r="AI57" s="50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0</v>
      </c>
      <c r="AJ57" s="51">
        <f>0</f>
        <v>0</v>
      </c>
      <c r="AK57" s="52">
        <f>AI57+AJ57</f>
        <v>0</v>
      </c>
    </row>
    <row r="58" spans="1:44" s="7" customFormat="1" ht="13.5" customHeight="1" x14ac:dyDescent="0.2">
      <c r="A58" s="16"/>
      <c r="B58" s="17"/>
      <c r="C58" s="18"/>
      <c r="D58" s="19"/>
      <c r="E58" s="19"/>
      <c r="F58" s="19"/>
      <c r="G58" s="19"/>
      <c r="H58" s="19"/>
      <c r="I58" s="19"/>
      <c r="J58" s="22"/>
      <c r="K58" s="22"/>
      <c r="L58" s="22"/>
      <c r="M58" s="19"/>
      <c r="N58" s="22"/>
      <c r="O58" s="22"/>
      <c r="P58" s="22"/>
      <c r="Q58" s="22"/>
      <c r="R58" s="19"/>
      <c r="S58" s="19"/>
      <c r="T58" s="19"/>
      <c r="U58" s="19"/>
      <c r="V58" s="20"/>
      <c r="W58" s="20"/>
      <c r="X58" s="20" t="s">
        <v>59</v>
      </c>
      <c r="Y58" s="19"/>
      <c r="Z58" s="19"/>
      <c r="AA58" s="19"/>
      <c r="AB58" s="19"/>
      <c r="AC58" s="19"/>
      <c r="AD58" s="19"/>
      <c r="AE58" s="20"/>
      <c r="AF58" s="19"/>
      <c r="AG58" s="19"/>
      <c r="AH58" s="20"/>
      <c r="AI58" s="53" t="str">
        <f>""</f>
        <v/>
      </c>
      <c r="AJ58" s="54" t="str">
        <f>""</f>
        <v/>
      </c>
      <c r="AK58" s="55" t="str">
        <f>""</f>
        <v/>
      </c>
    </row>
    <row r="59" spans="1:44" ht="13.5" customHeight="1" x14ac:dyDescent="0.2">
      <c r="A59" s="94">
        <v>12</v>
      </c>
      <c r="B59" s="88" t="s">
        <v>24</v>
      </c>
      <c r="C59" s="2" t="s">
        <v>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"/>
      <c r="W59" s="6"/>
      <c r="X59" s="9"/>
      <c r="Y59" s="8"/>
      <c r="Z59" s="8"/>
      <c r="AA59" s="8"/>
      <c r="AB59" s="8"/>
      <c r="AC59" s="8"/>
      <c r="AD59" s="8"/>
      <c r="AE59" s="9"/>
      <c r="AF59" s="8"/>
      <c r="AG59" s="8"/>
      <c r="AH59" s="4"/>
      <c r="AI59" s="50">
        <f>0</f>
        <v>0</v>
      </c>
      <c r="AJ59" s="51">
        <f>SUM(D59:AH59)/8</f>
        <v>0</v>
      </c>
      <c r="AK59" s="52">
        <f>AI59+AJ59</f>
        <v>0</v>
      </c>
    </row>
    <row r="60" spans="1:44" ht="13.5" customHeight="1" x14ac:dyDescent="0.2">
      <c r="A60" s="89"/>
      <c r="B60" s="89"/>
      <c r="C60" s="2" t="s">
        <v>9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4"/>
      <c r="W60" s="6"/>
      <c r="X60" s="9"/>
      <c r="Y60" s="8"/>
      <c r="Z60" s="8"/>
      <c r="AA60" s="8"/>
      <c r="AB60" s="8"/>
      <c r="AC60" s="8"/>
      <c r="AD60" s="8"/>
      <c r="AE60" s="9"/>
      <c r="AF60" s="8"/>
      <c r="AG60" s="8"/>
      <c r="AH60" s="4"/>
      <c r="AI60" s="50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0</v>
      </c>
      <c r="AJ60" s="51">
        <f>0</f>
        <v>0</v>
      </c>
      <c r="AK60" s="52">
        <f>AI60+AJ60</f>
        <v>0</v>
      </c>
    </row>
    <row r="61" spans="1:44" ht="13.5" customHeight="1" x14ac:dyDescent="0.2">
      <c r="A61" s="89"/>
      <c r="B61" s="89"/>
      <c r="C61" s="2" t="s">
        <v>11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"/>
      <c r="W61" s="6"/>
      <c r="X61" s="9"/>
      <c r="Y61" s="8"/>
      <c r="Z61" s="8"/>
      <c r="AA61" s="8"/>
      <c r="AB61" s="8"/>
      <c r="AC61" s="8"/>
      <c r="AD61" s="8"/>
      <c r="AE61" s="9"/>
      <c r="AF61" s="8"/>
      <c r="AG61" s="8"/>
      <c r="AH61" s="4"/>
      <c r="AI61" s="50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0</v>
      </c>
      <c r="AJ61" s="51">
        <f>0</f>
        <v>0</v>
      </c>
      <c r="AK61" s="52">
        <f>AI61+AJ61</f>
        <v>0</v>
      </c>
    </row>
    <row r="62" spans="1:44" s="7" customFormat="1" ht="13.5" customHeight="1" x14ac:dyDescent="0.2">
      <c r="A62" s="90"/>
      <c r="B62" s="90"/>
      <c r="C62" s="2" t="s">
        <v>12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6"/>
      <c r="W62" s="6"/>
      <c r="X62" s="9"/>
      <c r="Y62" s="8"/>
      <c r="Z62" s="8"/>
      <c r="AA62" s="8"/>
      <c r="AB62" s="8"/>
      <c r="AC62" s="8"/>
      <c r="AD62" s="8"/>
      <c r="AE62" s="9"/>
      <c r="AF62" s="8"/>
      <c r="AG62" s="8"/>
      <c r="AH62" s="6"/>
      <c r="AI62" s="50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0</v>
      </c>
      <c r="AJ62" s="51">
        <f>0</f>
        <v>0</v>
      </c>
      <c r="AK62" s="52">
        <f>AI62+AJ62</f>
        <v>0</v>
      </c>
    </row>
    <row r="63" spans="1:44" s="7" customFormat="1" ht="13.5" customHeight="1" x14ac:dyDescent="0.2">
      <c r="A63" s="16"/>
      <c r="B63" s="23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  <c r="W63" s="20"/>
      <c r="X63" s="20"/>
      <c r="Y63" s="19"/>
      <c r="Z63" s="19"/>
      <c r="AA63" s="19"/>
      <c r="AB63" s="19"/>
      <c r="AC63" s="19"/>
      <c r="AD63" s="19"/>
      <c r="AE63" s="20"/>
      <c r="AF63" s="19"/>
      <c r="AG63" s="19"/>
      <c r="AH63" s="20"/>
      <c r="AI63" s="53" t="str">
        <f>""</f>
        <v/>
      </c>
      <c r="AJ63" s="54" t="str">
        <f>""</f>
        <v/>
      </c>
      <c r="AK63" s="55" t="str">
        <f>""</f>
        <v/>
      </c>
    </row>
    <row r="64" spans="1:44" ht="13.5" customHeight="1" x14ac:dyDescent="0.2">
      <c r="A64" s="94">
        <v>13</v>
      </c>
      <c r="B64" s="94" t="s">
        <v>26</v>
      </c>
      <c r="C64" s="2" t="s">
        <v>8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4"/>
      <c r="W64" s="6"/>
      <c r="X64" s="9"/>
      <c r="Y64" s="8"/>
      <c r="Z64" s="8"/>
      <c r="AA64" s="8"/>
      <c r="AB64" s="8"/>
      <c r="AC64" s="8"/>
      <c r="AD64" s="8"/>
      <c r="AE64" s="9"/>
      <c r="AF64" s="8"/>
      <c r="AG64" s="8"/>
      <c r="AH64" s="4"/>
      <c r="AI64" s="50">
        <f>0</f>
        <v>0</v>
      </c>
      <c r="AJ64" s="51">
        <f>SUM(D64:AH64)/8</f>
        <v>0</v>
      </c>
      <c r="AK64" s="52">
        <f>AI64+AJ64</f>
        <v>0</v>
      </c>
    </row>
    <row r="65" spans="1:37" ht="13.5" customHeight="1" x14ac:dyDescent="0.2">
      <c r="A65" s="89"/>
      <c r="B65" s="89"/>
      <c r="C65" s="2" t="s">
        <v>9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"/>
      <c r="W65" s="6"/>
      <c r="X65" s="9"/>
      <c r="Y65" s="8"/>
      <c r="Z65" s="8"/>
      <c r="AA65" s="8"/>
      <c r="AB65" s="8"/>
      <c r="AC65" s="8"/>
      <c r="AD65" s="8"/>
      <c r="AE65" s="9"/>
      <c r="AF65" s="8"/>
      <c r="AG65" s="8"/>
      <c r="AH65" s="4"/>
      <c r="AI65" s="50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0</v>
      </c>
      <c r="AJ65" s="51">
        <f>0</f>
        <v>0</v>
      </c>
      <c r="AK65" s="52">
        <f>AI65+AJ65</f>
        <v>0</v>
      </c>
    </row>
    <row r="66" spans="1:37" ht="12.75" customHeight="1" x14ac:dyDescent="0.2">
      <c r="A66" s="89"/>
      <c r="B66" s="89"/>
      <c r="C66" s="2" t="s">
        <v>11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4"/>
      <c r="W66" s="6"/>
      <c r="X66" s="9"/>
      <c r="Y66" s="8"/>
      <c r="Z66" s="8"/>
      <c r="AA66" s="8"/>
      <c r="AB66" s="8"/>
      <c r="AC66" s="8"/>
      <c r="AD66" s="8"/>
      <c r="AE66" s="9"/>
      <c r="AF66" s="8"/>
      <c r="AG66" s="8"/>
      <c r="AH66" s="4"/>
      <c r="AI66" s="50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0</v>
      </c>
      <c r="AJ66" s="51">
        <f>0</f>
        <v>0</v>
      </c>
      <c r="AK66" s="52">
        <f>AI66+AJ66</f>
        <v>0</v>
      </c>
    </row>
    <row r="67" spans="1:37" s="7" customFormat="1" ht="13.5" customHeight="1" x14ac:dyDescent="0.2">
      <c r="A67" s="90"/>
      <c r="B67" s="90"/>
      <c r="C67" s="2" t="s">
        <v>12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6"/>
      <c r="W67" s="6"/>
      <c r="X67" s="9"/>
      <c r="Y67" s="8"/>
      <c r="Z67" s="8"/>
      <c r="AA67" s="6"/>
      <c r="AB67" s="8"/>
      <c r="AC67" s="8"/>
      <c r="AD67" s="8"/>
      <c r="AE67" s="9"/>
      <c r="AF67" s="8"/>
      <c r="AG67" s="8"/>
      <c r="AH67" s="6"/>
      <c r="AI67" s="50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0</v>
      </c>
      <c r="AJ67" s="51">
        <f>0</f>
        <v>0</v>
      </c>
      <c r="AK67" s="52">
        <f>AI67+AJ67</f>
        <v>0</v>
      </c>
    </row>
    <row r="68" spans="1:37" ht="20.25" customHeight="1" x14ac:dyDescent="0.2">
      <c r="A68" s="11" t="s">
        <v>27</v>
      </c>
      <c r="B68" s="11" t="s">
        <v>28</v>
      </c>
      <c r="AH68" s="12" t="s">
        <v>4</v>
      </c>
      <c r="AI68" s="52" t="str">
        <f>""</f>
        <v/>
      </c>
      <c r="AJ68" s="52" t="str">
        <f>""</f>
        <v/>
      </c>
      <c r="AK68" s="52" t="str">
        <f>""</f>
        <v/>
      </c>
    </row>
    <row r="69" spans="1:37" x14ac:dyDescent="0.2">
      <c r="A69" s="11"/>
      <c r="B69" s="11"/>
      <c r="AI69" s="45"/>
      <c r="AJ69" s="45"/>
      <c r="AK69" s="45"/>
    </row>
    <row r="70" spans="1:37" x14ac:dyDescent="0.2">
      <c r="AI70" s="45"/>
      <c r="AJ70" s="45"/>
      <c r="AK70" s="45"/>
    </row>
    <row r="71" spans="1:37" ht="14.25" customHeight="1" x14ac:dyDescent="0.2">
      <c r="AI71" s="45"/>
      <c r="AJ71" s="45"/>
      <c r="AK71" s="45"/>
    </row>
    <row r="72" spans="1:37" ht="14.25" customHeight="1" x14ac:dyDescent="0.2">
      <c r="A72" s="103"/>
      <c r="B72" s="104"/>
      <c r="C72" s="104"/>
      <c r="D72" s="10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106"/>
      <c r="AJ72" s="108"/>
      <c r="AK72" s="107"/>
    </row>
    <row r="73" spans="1:37" ht="14.25" customHeight="1" x14ac:dyDescent="0.2">
      <c r="A73" s="100"/>
      <c r="B73" s="105"/>
      <c r="C73" s="105"/>
      <c r="D73" s="91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3"/>
      <c r="AI73" s="89"/>
      <c r="AJ73" s="99"/>
      <c r="AK73" s="89"/>
    </row>
    <row r="74" spans="1:37" ht="14.25" customHeight="1" x14ac:dyDescent="0.25">
      <c r="A74" s="2"/>
      <c r="B74" s="2"/>
      <c r="C74" s="3"/>
      <c r="D74" s="14">
        <f t="shared" ref="D74:AH74" si="1">+C74+1</f>
        <v>1</v>
      </c>
      <c r="E74" s="14">
        <f t="shared" si="1"/>
        <v>2</v>
      </c>
      <c r="F74" s="14">
        <f t="shared" si="1"/>
        <v>3</v>
      </c>
      <c r="G74" s="14">
        <f t="shared" si="1"/>
        <v>4</v>
      </c>
      <c r="H74" s="14">
        <f t="shared" si="1"/>
        <v>5</v>
      </c>
      <c r="I74" s="14">
        <f t="shared" si="1"/>
        <v>6</v>
      </c>
      <c r="J74" s="14">
        <f t="shared" si="1"/>
        <v>7</v>
      </c>
      <c r="K74" s="14">
        <f t="shared" si="1"/>
        <v>8</v>
      </c>
      <c r="L74" s="14">
        <f t="shared" si="1"/>
        <v>9</v>
      </c>
      <c r="M74" s="14">
        <f t="shared" si="1"/>
        <v>10</v>
      </c>
      <c r="N74" s="14">
        <f t="shared" si="1"/>
        <v>11</v>
      </c>
      <c r="O74" s="14">
        <f t="shared" si="1"/>
        <v>12</v>
      </c>
      <c r="P74" s="14">
        <f t="shared" si="1"/>
        <v>13</v>
      </c>
      <c r="Q74" s="14">
        <f t="shared" si="1"/>
        <v>14</v>
      </c>
      <c r="R74" s="14">
        <f t="shared" si="1"/>
        <v>15</v>
      </c>
      <c r="S74" s="14">
        <f t="shared" si="1"/>
        <v>16</v>
      </c>
      <c r="T74" s="14">
        <f t="shared" si="1"/>
        <v>17</v>
      </c>
      <c r="U74" s="14">
        <f t="shared" si="1"/>
        <v>18</v>
      </c>
      <c r="V74" s="14">
        <f t="shared" si="1"/>
        <v>19</v>
      </c>
      <c r="W74" s="14">
        <f t="shared" si="1"/>
        <v>20</v>
      </c>
      <c r="X74" s="14">
        <f t="shared" si="1"/>
        <v>21</v>
      </c>
      <c r="Y74" s="14">
        <f t="shared" si="1"/>
        <v>22</v>
      </c>
      <c r="Z74" s="14">
        <f t="shared" si="1"/>
        <v>23</v>
      </c>
      <c r="AA74" s="14">
        <f t="shared" si="1"/>
        <v>24</v>
      </c>
      <c r="AB74" s="14">
        <f t="shared" si="1"/>
        <v>25</v>
      </c>
      <c r="AC74" s="14">
        <f t="shared" si="1"/>
        <v>26</v>
      </c>
      <c r="AD74" s="14">
        <f t="shared" si="1"/>
        <v>27</v>
      </c>
      <c r="AE74" s="14">
        <f t="shared" si="1"/>
        <v>28</v>
      </c>
      <c r="AF74" s="14">
        <f t="shared" si="1"/>
        <v>29</v>
      </c>
      <c r="AG74" s="14">
        <f t="shared" si="1"/>
        <v>30</v>
      </c>
      <c r="AH74" s="14">
        <f t="shared" si="1"/>
        <v>31</v>
      </c>
      <c r="AI74" s="90"/>
      <c r="AJ74" s="100"/>
      <c r="AK74" s="90"/>
    </row>
    <row r="75" spans="1:37" ht="14.25" customHeight="1" x14ac:dyDescent="0.2">
      <c r="A75" s="94"/>
      <c r="B75" s="95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ref="AJ75:AJ82" si="2">SUM(D75:AH75)/8</f>
        <v>0</v>
      </c>
      <c r="AK75" s="52">
        <f t="shared" ref="AK75:AK106" si="3">AI75+AJ75</f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2"/>
        <v>0</v>
      </c>
      <c r="AK76" s="52">
        <f t="shared" si="3"/>
        <v>0</v>
      </c>
    </row>
    <row r="77" spans="1:37" ht="14.25" customHeight="1" x14ac:dyDescent="0.2">
      <c r="A77" s="89"/>
      <c r="B77" s="89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8"/>
      <c r="AF77" s="8"/>
      <c r="AG77" s="8"/>
      <c r="AH77" s="4"/>
      <c r="AI77" s="50">
        <f>0</f>
        <v>0</v>
      </c>
      <c r="AJ77" s="51">
        <f t="shared" si="2"/>
        <v>0</v>
      </c>
      <c r="AK77" s="52">
        <f t="shared" si="3"/>
        <v>0</v>
      </c>
    </row>
    <row r="78" spans="1:37" ht="14.25" customHeight="1" x14ac:dyDescent="0.2">
      <c r="A78" s="90"/>
      <c r="B78" s="96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2"/>
        <v>0</v>
      </c>
      <c r="AK78" s="52">
        <f t="shared" si="3"/>
        <v>0</v>
      </c>
    </row>
    <row r="79" spans="1:37" ht="14.25" customHeight="1" x14ac:dyDescent="0.2">
      <c r="A79" s="94"/>
      <c r="B79" s="97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2"/>
        <v>0</v>
      </c>
      <c r="AK79" s="52">
        <f t="shared" si="3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2"/>
        <v>0</v>
      </c>
      <c r="AK80" s="52">
        <f t="shared" si="3"/>
        <v>0</v>
      </c>
    </row>
    <row r="81" spans="1:37" ht="14.25" customHeight="1" x14ac:dyDescent="0.2">
      <c r="A81" s="89"/>
      <c r="B81" s="89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2"/>
        <v>0</v>
      </c>
      <c r="AK81" s="52">
        <f t="shared" si="3"/>
        <v>0</v>
      </c>
    </row>
    <row r="82" spans="1:37" ht="14.25" customHeight="1" x14ac:dyDescent="0.2">
      <c r="A82" s="90"/>
      <c r="B82" s="96"/>
      <c r="C82" s="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>
        <f t="shared" si="2"/>
        <v>0</v>
      </c>
      <c r="AK82" s="52">
        <f t="shared" si="3"/>
        <v>0</v>
      </c>
    </row>
    <row r="83" spans="1:37" ht="14.25" customHeight="1" x14ac:dyDescent="0.2">
      <c r="A83" s="94"/>
      <c r="B83" s="97"/>
      <c r="C83" s="2"/>
      <c r="D83" s="8"/>
      <c r="E83" s="8"/>
      <c r="F83" s="8"/>
      <c r="G83" s="8"/>
      <c r="H83" s="8"/>
      <c r="I83" s="8"/>
      <c r="J83" s="8"/>
      <c r="K83" s="8"/>
      <c r="L83" s="1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/>
      <c r="AK83" s="52">
        <f t="shared" si="3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3"/>
        <v>0</v>
      </c>
    </row>
    <row r="85" spans="1:37" ht="14.25" customHeight="1" x14ac:dyDescent="0.2">
      <c r="A85" s="89"/>
      <c r="B85" s="89"/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3"/>
        <v>0</v>
      </c>
    </row>
    <row r="86" spans="1:37" ht="14.25" customHeight="1" x14ac:dyDescent="0.2">
      <c r="A86" s="90"/>
      <c r="B86" s="96"/>
      <c r="C86" s="2"/>
      <c r="D86" s="8"/>
      <c r="E86" s="8"/>
      <c r="F86" s="8"/>
      <c r="G86" s="8"/>
      <c r="H86" s="8"/>
      <c r="I86" s="8"/>
      <c r="J86" s="8"/>
      <c r="K86" s="8"/>
      <c r="L86" s="1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3"/>
        <v>0</v>
      </c>
    </row>
    <row r="87" spans="1:37" ht="14.25" customHeight="1" x14ac:dyDescent="0.2">
      <c r="A87" s="94"/>
      <c r="B87" s="97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3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3"/>
        <v>0</v>
      </c>
    </row>
    <row r="89" spans="1:37" ht="14.25" customHeight="1" x14ac:dyDescent="0.2">
      <c r="A89" s="89"/>
      <c r="B89" s="89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3"/>
        <v>0</v>
      </c>
    </row>
    <row r="90" spans="1:37" ht="14.25" customHeight="1" x14ac:dyDescent="0.2">
      <c r="A90" s="90"/>
      <c r="B90" s="96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3"/>
        <v>0</v>
      </c>
    </row>
    <row r="91" spans="1:37" ht="14.25" customHeight="1" x14ac:dyDescent="0.2">
      <c r="A91" s="94"/>
      <c r="B91" s="97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3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3"/>
        <v>0</v>
      </c>
    </row>
    <row r="93" spans="1:37" ht="14.25" customHeight="1" x14ac:dyDescent="0.2">
      <c r="A93" s="89"/>
      <c r="B93" s="89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3"/>
        <v>0</v>
      </c>
    </row>
    <row r="94" spans="1:37" ht="14.25" customHeight="1" x14ac:dyDescent="0.2">
      <c r="A94" s="90"/>
      <c r="B94" s="96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3"/>
        <v>0</v>
      </c>
    </row>
    <row r="95" spans="1:37" ht="14.25" customHeight="1" x14ac:dyDescent="0.2">
      <c r="A95" s="94"/>
      <c r="B95" s="97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3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3"/>
        <v>0</v>
      </c>
    </row>
    <row r="97" spans="1:37" ht="14.25" customHeight="1" x14ac:dyDescent="0.2">
      <c r="A97" s="89"/>
      <c r="B97" s="89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3"/>
        <v>0</v>
      </c>
    </row>
    <row r="98" spans="1:37" ht="14.25" customHeight="1" x14ac:dyDescent="0.2">
      <c r="A98" s="90"/>
      <c r="B98" s="96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3"/>
        <v>0</v>
      </c>
    </row>
    <row r="99" spans="1:37" ht="14.25" customHeight="1" x14ac:dyDescent="0.2">
      <c r="A99" s="94"/>
      <c r="B99" s="97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3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3"/>
        <v>0</v>
      </c>
    </row>
    <row r="101" spans="1:37" ht="14.25" customHeight="1" x14ac:dyDescent="0.2">
      <c r="A101" s="89"/>
      <c r="B101" s="89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3"/>
        <v>0</v>
      </c>
    </row>
    <row r="102" spans="1:37" ht="14.25" customHeight="1" x14ac:dyDescent="0.2">
      <c r="A102" s="90"/>
      <c r="B102" s="96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3"/>
        <v>0</v>
      </c>
    </row>
    <row r="103" spans="1:37" ht="14.25" customHeight="1" x14ac:dyDescent="0.2">
      <c r="A103" s="94"/>
      <c r="B103" s="97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3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3"/>
        <v>0</v>
      </c>
    </row>
    <row r="105" spans="1:37" ht="14.25" customHeight="1" x14ac:dyDescent="0.2">
      <c r="A105" s="89"/>
      <c r="B105" s="89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3"/>
        <v>0</v>
      </c>
    </row>
    <row r="106" spans="1:37" ht="14.25" customHeight="1" x14ac:dyDescent="0.2">
      <c r="A106" s="90"/>
      <c r="B106" s="96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si="3"/>
        <v>0</v>
      </c>
    </row>
    <row r="107" spans="1:37" ht="14.25" customHeight="1" x14ac:dyDescent="0.2">
      <c r="A107" s="94"/>
      <c r="B107" s="97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ref="AK107:AK126" si="4">AI107+AJ107</f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4"/>
        <v>0</v>
      </c>
    </row>
    <row r="109" spans="1:37" ht="14.25" customHeight="1" x14ac:dyDescent="0.2">
      <c r="A109" s="89"/>
      <c r="B109" s="89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8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4"/>
        <v>0</v>
      </c>
    </row>
    <row r="110" spans="1:37" ht="14.25" customHeight="1" x14ac:dyDescent="0.2">
      <c r="A110" s="90"/>
      <c r="B110" s="96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4"/>
        <v>0</v>
      </c>
    </row>
    <row r="111" spans="1:37" ht="14.25" customHeight="1" x14ac:dyDescent="0.2">
      <c r="A111" s="94"/>
      <c r="B111" s="97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4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4"/>
        <v>0</v>
      </c>
    </row>
    <row r="113" spans="1:37" ht="14.25" customHeight="1" x14ac:dyDescent="0.2">
      <c r="A113" s="89"/>
      <c r="B113" s="89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4"/>
        <v>0</v>
      </c>
    </row>
    <row r="114" spans="1:37" ht="14.25" customHeight="1" x14ac:dyDescent="0.2">
      <c r="A114" s="90"/>
      <c r="B114" s="96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6"/>
      <c r="W114" s="6"/>
      <c r="X114" s="9"/>
      <c r="Y114" s="8"/>
      <c r="Z114" s="8"/>
      <c r="AA114" s="6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4"/>
        <v>0</v>
      </c>
    </row>
    <row r="115" spans="1:37" ht="14.25" customHeight="1" x14ac:dyDescent="0.2">
      <c r="A115" s="94"/>
      <c r="B115" s="97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4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4"/>
        <v>0</v>
      </c>
    </row>
    <row r="117" spans="1:37" ht="14.25" customHeight="1" x14ac:dyDescent="0.2">
      <c r="A117" s="89"/>
      <c r="B117" s="89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4"/>
        <v>0</v>
      </c>
    </row>
    <row r="118" spans="1:37" ht="14.25" customHeight="1" x14ac:dyDescent="0.2">
      <c r="A118" s="90"/>
      <c r="B118" s="96"/>
      <c r="C118" s="2"/>
      <c r="D118" s="8"/>
      <c r="E118" s="8"/>
      <c r="F118" s="8"/>
      <c r="G118" s="8"/>
      <c r="H118" s="8"/>
      <c r="I118" s="8"/>
      <c r="J118" s="13"/>
      <c r="K118" s="13"/>
      <c r="L118" s="13"/>
      <c r="M118" s="8"/>
      <c r="N118" s="13"/>
      <c r="O118" s="13"/>
      <c r="P118" s="13"/>
      <c r="Q118" s="13"/>
      <c r="R118" s="8"/>
      <c r="S118" s="8"/>
      <c r="T118" s="8"/>
      <c r="U118" s="8"/>
      <c r="V118" s="6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6"/>
      <c r="AI118" s="50">
        <f>0</f>
        <v>0</v>
      </c>
      <c r="AJ118" s="51">
        <f>0</f>
        <v>0</v>
      </c>
      <c r="AK118" s="52">
        <f t="shared" si="4"/>
        <v>0</v>
      </c>
    </row>
    <row r="119" spans="1:37" ht="14.25" customHeight="1" x14ac:dyDescent="0.2">
      <c r="A119" s="94"/>
      <c r="B119" s="88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4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4"/>
        <v>0</v>
      </c>
    </row>
    <row r="121" spans="1:37" ht="14.25" customHeight="1" x14ac:dyDescent="0.2">
      <c r="A121" s="89"/>
      <c r="B121" s="89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4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4"/>
      <c r="AI121" s="50">
        <f>0</f>
        <v>0</v>
      </c>
      <c r="AJ121" s="51">
        <f>0</f>
        <v>0</v>
      </c>
      <c r="AK121" s="52">
        <f t="shared" si="4"/>
        <v>0</v>
      </c>
    </row>
    <row r="122" spans="1:37" ht="14.25" customHeight="1" x14ac:dyDescent="0.2">
      <c r="A122" s="90"/>
      <c r="B122" s="90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6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6"/>
      <c r="AI122" s="50">
        <f>0</f>
        <v>0</v>
      </c>
      <c r="AJ122" s="51">
        <f>0</f>
        <v>0</v>
      </c>
      <c r="AK122" s="52">
        <f t="shared" si="4"/>
        <v>0</v>
      </c>
    </row>
    <row r="123" spans="1:37" ht="14.25" customHeight="1" x14ac:dyDescent="0.2">
      <c r="A123" s="94"/>
      <c r="B123" s="94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4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4"/>
        <v>0</v>
      </c>
    </row>
    <row r="125" spans="1:37" ht="14.25" customHeight="1" x14ac:dyDescent="0.2">
      <c r="A125" s="89"/>
      <c r="B125" s="89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4"/>
      <c r="W125" s="6"/>
      <c r="X125" s="9"/>
      <c r="Y125" s="8"/>
      <c r="Z125" s="8"/>
      <c r="AA125" s="8"/>
      <c r="AB125" s="8"/>
      <c r="AC125" s="8"/>
      <c r="AD125" s="8"/>
      <c r="AE125" s="9"/>
      <c r="AF125" s="8"/>
      <c r="AG125" s="8"/>
      <c r="AH125" s="4"/>
      <c r="AI125" s="50">
        <f>0</f>
        <v>0</v>
      </c>
      <c r="AJ125" s="51">
        <f>0</f>
        <v>0</v>
      </c>
      <c r="AK125" s="52">
        <f t="shared" si="4"/>
        <v>0</v>
      </c>
    </row>
    <row r="126" spans="1:37" ht="14.25" customHeight="1" x14ac:dyDescent="0.2">
      <c r="A126" s="90"/>
      <c r="B126" s="90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6"/>
      <c r="W126" s="6"/>
      <c r="X126" s="9"/>
      <c r="Y126" s="8"/>
      <c r="Z126" s="8"/>
      <c r="AA126" s="6"/>
      <c r="AB126" s="8"/>
      <c r="AC126" s="8"/>
      <c r="AD126" s="8"/>
      <c r="AE126" s="9"/>
      <c r="AF126" s="8"/>
      <c r="AG126" s="8"/>
      <c r="AH126" s="6"/>
      <c r="AI126" s="50">
        <f>0</f>
        <v>0</v>
      </c>
      <c r="AJ126" s="51">
        <f>0</f>
        <v>0</v>
      </c>
      <c r="AK126" s="52">
        <f t="shared" si="4"/>
        <v>0</v>
      </c>
    </row>
    <row r="127" spans="1:37" x14ac:dyDescent="0.2">
      <c r="A127" s="11"/>
      <c r="B127" s="11"/>
      <c r="AH127" s="12"/>
      <c r="AI127" s="52"/>
      <c r="AJ127" s="52">
        <f>SUM(AJ75:AJ126)</f>
        <v>0</v>
      </c>
      <c r="AK127" s="52">
        <f>SUM(AK75:AK126)</f>
        <v>0</v>
      </c>
    </row>
    <row r="128" spans="1:37" x14ac:dyDescent="0.2">
      <c r="A128" s="11"/>
      <c r="B128" s="11"/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4.25" customHeight="1" x14ac:dyDescent="0.2">
      <c r="AI134" s="45"/>
      <c r="AJ134" s="45"/>
      <c r="AK134" s="45"/>
    </row>
    <row r="135" spans="35:37" ht="14.25" customHeight="1" x14ac:dyDescent="0.2">
      <c r="AI135" s="45"/>
      <c r="AJ135" s="45"/>
      <c r="AK135" s="45"/>
    </row>
    <row r="136" spans="35:37" ht="14.25" customHeight="1" x14ac:dyDescent="0.2">
      <c r="AI136" s="45"/>
      <c r="AJ136" s="45"/>
      <c r="AK136" s="45"/>
    </row>
    <row r="137" spans="35:37" ht="14.25" customHeight="1" x14ac:dyDescent="0.2">
      <c r="AI137" s="45"/>
      <c r="AJ137" s="45"/>
      <c r="AK137" s="45"/>
    </row>
    <row r="138" spans="35:37" ht="14.25" customHeight="1" x14ac:dyDescent="0.2">
      <c r="AI138" s="45"/>
      <c r="AJ138" s="45"/>
      <c r="AK138" s="45"/>
    </row>
    <row r="139" spans="35:37" ht="14.25" customHeight="1" x14ac:dyDescent="0.2">
      <c r="AI139" s="45"/>
      <c r="AJ139" s="45"/>
      <c r="AK139" s="45"/>
    </row>
    <row r="140" spans="35:37" ht="14.25" customHeight="1" x14ac:dyDescent="0.2">
      <c r="AI140" s="45"/>
      <c r="AJ140" s="45"/>
      <c r="AK140" s="45"/>
    </row>
    <row r="141" spans="35:37" ht="14.25" customHeight="1" x14ac:dyDescent="0.2">
      <c r="AI141" s="45"/>
      <c r="AJ141" s="45"/>
      <c r="AK141" s="45"/>
    </row>
    <row r="142" spans="35:37" ht="14.25" customHeight="1" x14ac:dyDescent="0.2">
      <c r="AI142" s="45"/>
      <c r="AJ142" s="45"/>
      <c r="AK142" s="45"/>
    </row>
    <row r="143" spans="35:37" ht="14.25" customHeight="1" x14ac:dyDescent="0.2">
      <c r="AI143" s="45"/>
      <c r="AJ143" s="45"/>
      <c r="AK143" s="45"/>
    </row>
    <row r="144" spans="35:37" ht="14.25" customHeight="1" x14ac:dyDescent="0.2">
      <c r="AI144" s="45"/>
      <c r="AJ144" s="45"/>
      <c r="AK144" s="45"/>
    </row>
    <row r="145" spans="35:37" ht="14.25" customHeight="1" x14ac:dyDescent="0.2">
      <c r="AI145" s="45"/>
      <c r="AJ145" s="45"/>
      <c r="AK145" s="45"/>
    </row>
    <row r="146" spans="35:37" ht="14.25" customHeight="1" x14ac:dyDescent="0.2">
      <c r="AI146" s="45"/>
      <c r="AJ146" s="45"/>
      <c r="AK146" s="45"/>
    </row>
    <row r="147" spans="35:37" ht="14.25" customHeight="1" x14ac:dyDescent="0.2">
      <c r="AI147" s="45"/>
      <c r="AJ147" s="45"/>
      <c r="AK147" s="45"/>
    </row>
    <row r="148" spans="35:37" ht="14.25" customHeight="1" x14ac:dyDescent="0.2">
      <c r="AI148" s="45"/>
      <c r="AJ148" s="45"/>
      <c r="AK148" s="45"/>
    </row>
    <row r="149" spans="35:37" ht="14.25" customHeight="1" x14ac:dyDescent="0.2">
      <c r="AI149" s="45"/>
      <c r="AJ149" s="45"/>
      <c r="AK149" s="45"/>
    </row>
    <row r="150" spans="35:37" ht="14.25" customHeight="1" x14ac:dyDescent="0.2">
      <c r="AI150" s="45"/>
      <c r="AJ150" s="45"/>
      <c r="AK150" s="45"/>
    </row>
    <row r="151" spans="35:37" ht="14.25" customHeight="1" x14ac:dyDescent="0.2">
      <c r="AI151" s="45"/>
      <c r="AJ151" s="45"/>
      <c r="AK151" s="45"/>
    </row>
    <row r="152" spans="35:37" ht="14.25" customHeight="1" x14ac:dyDescent="0.2">
      <c r="AI152" s="45"/>
      <c r="AJ152" s="45"/>
      <c r="AK152" s="45"/>
    </row>
    <row r="153" spans="35:37" ht="14.25" customHeight="1" x14ac:dyDescent="0.2">
      <c r="AI153" s="45"/>
      <c r="AJ153" s="45"/>
      <c r="AK153" s="45"/>
    </row>
    <row r="154" spans="35:37" ht="14.25" customHeight="1" x14ac:dyDescent="0.2">
      <c r="AI154" s="45"/>
      <c r="AJ154" s="45"/>
      <c r="AK154" s="45"/>
    </row>
    <row r="155" spans="35:37" ht="14.25" customHeight="1" x14ac:dyDescent="0.2">
      <c r="AI155" s="45"/>
      <c r="AJ155" s="45"/>
      <c r="AK155" s="45"/>
    </row>
    <row r="156" spans="35:37" ht="14.25" customHeight="1" x14ac:dyDescent="0.2">
      <c r="AI156" s="45"/>
      <c r="AJ156" s="45"/>
      <c r="AK156" s="45"/>
    </row>
    <row r="157" spans="35:37" ht="14.25" customHeight="1" x14ac:dyDescent="0.2">
      <c r="AI157" s="45"/>
      <c r="AJ157" s="45"/>
      <c r="AK157" s="45"/>
    </row>
    <row r="158" spans="35:37" ht="14.25" customHeight="1" x14ac:dyDescent="0.2">
      <c r="AI158" s="45"/>
      <c r="AJ158" s="45"/>
      <c r="AK158" s="45"/>
    </row>
    <row r="159" spans="35:37" ht="14.25" customHeight="1" x14ac:dyDescent="0.2">
      <c r="AI159" s="45"/>
      <c r="AJ159" s="45"/>
      <c r="AK159" s="45"/>
    </row>
    <row r="160" spans="35:37" ht="14.25" customHeight="1" x14ac:dyDescent="0.2">
      <c r="AI160" s="45"/>
      <c r="AJ160" s="45"/>
      <c r="AK160" s="45"/>
    </row>
    <row r="161" spans="35:37" ht="14.25" customHeight="1" x14ac:dyDescent="0.2">
      <c r="AI161" s="45"/>
      <c r="AJ161" s="45"/>
      <c r="AK161" s="45"/>
    </row>
    <row r="162" spans="35:37" ht="14.25" customHeight="1" x14ac:dyDescent="0.2">
      <c r="AI162" s="45"/>
      <c r="AJ162" s="45"/>
      <c r="AK162" s="45"/>
    </row>
    <row r="163" spans="35:37" ht="14.25" customHeight="1" x14ac:dyDescent="0.2">
      <c r="AI163" s="45"/>
      <c r="AJ163" s="45"/>
      <c r="AK163" s="45"/>
    </row>
    <row r="164" spans="35:37" ht="14.25" customHeight="1" x14ac:dyDescent="0.2">
      <c r="AI164" s="45"/>
      <c r="AJ164" s="45"/>
      <c r="AK164" s="45"/>
    </row>
    <row r="165" spans="35:37" ht="14.25" customHeight="1" x14ac:dyDescent="0.2">
      <c r="AI165" s="45"/>
      <c r="AJ165" s="45"/>
      <c r="AK165" s="45"/>
    </row>
    <row r="166" spans="35:37" ht="14.25" customHeight="1" x14ac:dyDescent="0.2">
      <c r="AI166" s="45"/>
      <c r="AJ166" s="45"/>
      <c r="AK166" s="45"/>
    </row>
    <row r="167" spans="35:37" ht="14.25" customHeight="1" x14ac:dyDescent="0.2">
      <c r="AI167" s="45"/>
      <c r="AJ167" s="45"/>
      <c r="AK167" s="45"/>
    </row>
    <row r="168" spans="35:37" ht="14.25" customHeight="1" x14ac:dyDescent="0.2">
      <c r="AI168" s="45"/>
      <c r="AJ168" s="45"/>
      <c r="AK168" s="45"/>
    </row>
    <row r="169" spans="35:37" ht="14.25" customHeight="1" x14ac:dyDescent="0.2">
      <c r="AI169" s="45"/>
      <c r="AJ169" s="45"/>
      <c r="AK169" s="45"/>
    </row>
    <row r="170" spans="35:37" ht="14.25" customHeight="1" x14ac:dyDescent="0.2">
      <c r="AI170" s="45"/>
      <c r="AJ170" s="45"/>
      <c r="AK170" s="45"/>
    </row>
    <row r="171" spans="35:37" ht="14.25" customHeight="1" x14ac:dyDescent="0.2">
      <c r="AI171" s="45"/>
      <c r="AJ171" s="45"/>
      <c r="AK171" s="45"/>
    </row>
    <row r="172" spans="35:37" ht="14.25" customHeight="1" x14ac:dyDescent="0.2">
      <c r="AI172" s="45"/>
      <c r="AJ172" s="45"/>
      <c r="AK172" s="45"/>
    </row>
    <row r="173" spans="35:37" ht="14.25" customHeight="1" x14ac:dyDescent="0.2">
      <c r="AI173" s="45"/>
      <c r="AJ173" s="45"/>
      <c r="AK173" s="45"/>
    </row>
    <row r="174" spans="35:37" ht="14.25" customHeight="1" x14ac:dyDescent="0.2">
      <c r="AI174" s="45"/>
      <c r="AJ174" s="45"/>
      <c r="AK174" s="45"/>
    </row>
    <row r="175" spans="35:37" ht="14.25" customHeight="1" x14ac:dyDescent="0.2">
      <c r="AI175" s="45"/>
      <c r="AJ175" s="45"/>
      <c r="AK175" s="45"/>
    </row>
    <row r="176" spans="35:37" ht="14.25" customHeight="1" x14ac:dyDescent="0.2">
      <c r="AI176" s="45"/>
      <c r="AJ176" s="45"/>
      <c r="AK176" s="45"/>
    </row>
    <row r="177" spans="35:37" ht="14.25" customHeight="1" x14ac:dyDescent="0.2">
      <c r="AI177" s="45"/>
      <c r="AJ177" s="45"/>
      <c r="AK177" s="45"/>
    </row>
    <row r="178" spans="35:37" ht="14.25" customHeight="1" x14ac:dyDescent="0.2">
      <c r="AI178" s="45"/>
      <c r="AJ178" s="45"/>
      <c r="AK178" s="45"/>
    </row>
    <row r="179" spans="35:37" ht="14.25" customHeight="1" x14ac:dyDescent="0.2">
      <c r="AI179" s="45"/>
      <c r="AJ179" s="45"/>
      <c r="AK179" s="45"/>
    </row>
    <row r="180" spans="35:37" ht="14.25" customHeight="1" x14ac:dyDescent="0.2">
      <c r="AI180" s="45"/>
      <c r="AJ180" s="45"/>
      <c r="AK180" s="45"/>
    </row>
    <row r="181" spans="35:37" ht="14.25" customHeight="1" x14ac:dyDescent="0.2">
      <c r="AI181" s="45"/>
      <c r="AJ181" s="45"/>
      <c r="AK181" s="45"/>
    </row>
    <row r="182" spans="35:37" ht="14.25" customHeight="1" x14ac:dyDescent="0.2">
      <c r="AI182" s="45"/>
      <c r="AJ182" s="45"/>
      <c r="AK182" s="45"/>
    </row>
    <row r="183" spans="35:37" ht="14.25" customHeight="1" x14ac:dyDescent="0.2">
      <c r="AI183" s="45"/>
      <c r="AJ183" s="45"/>
      <c r="AK183" s="45"/>
    </row>
    <row r="184" spans="35:37" ht="14.25" customHeight="1" x14ac:dyDescent="0.2">
      <c r="AI184" s="45"/>
      <c r="AJ184" s="45"/>
      <c r="AK184" s="45"/>
    </row>
    <row r="185" spans="35:37" ht="14.25" customHeight="1" x14ac:dyDescent="0.2">
      <c r="AI185" s="45"/>
      <c r="AJ185" s="45"/>
      <c r="AK185" s="45"/>
    </row>
    <row r="186" spans="35:37" ht="14.25" customHeight="1" x14ac:dyDescent="0.2">
      <c r="AI186" s="45"/>
      <c r="AJ186" s="45"/>
      <c r="AK186" s="45"/>
    </row>
    <row r="187" spans="35:37" ht="14.25" customHeight="1" x14ac:dyDescent="0.2">
      <c r="AI187" s="45"/>
      <c r="AJ187" s="45"/>
      <c r="AK187" s="45"/>
    </row>
    <row r="188" spans="35:37" ht="14.25" customHeight="1" x14ac:dyDescent="0.2">
      <c r="AI188" s="45"/>
      <c r="AJ188" s="45"/>
      <c r="AK188" s="45"/>
    </row>
    <row r="189" spans="35:37" ht="14.25" customHeight="1" x14ac:dyDescent="0.2">
      <c r="AI189" s="45"/>
      <c r="AJ189" s="45"/>
      <c r="AK189" s="45"/>
    </row>
    <row r="190" spans="35:37" ht="14.25" customHeight="1" x14ac:dyDescent="0.2">
      <c r="AI190" s="45"/>
      <c r="AJ190" s="45"/>
      <c r="AK190" s="45"/>
    </row>
    <row r="191" spans="35:37" ht="14.25" customHeight="1" x14ac:dyDescent="0.2">
      <c r="AI191" s="45"/>
      <c r="AJ191" s="45"/>
      <c r="AK191" s="45"/>
    </row>
    <row r="192" spans="35:37" ht="14.25" customHeight="1" x14ac:dyDescent="0.2">
      <c r="AI192" s="45"/>
      <c r="AJ192" s="45"/>
      <c r="AK192" s="45"/>
    </row>
    <row r="193" spans="4:37" ht="14.25" customHeight="1" x14ac:dyDescent="0.2">
      <c r="AI193" s="45"/>
      <c r="AJ193" s="45"/>
      <c r="AK193" s="45"/>
    </row>
    <row r="194" spans="4:37" ht="14.25" customHeight="1" x14ac:dyDescent="0.2">
      <c r="AI194" s="45"/>
      <c r="AJ194" s="45"/>
      <c r="AK194" s="45"/>
    </row>
    <row r="195" spans="4:37" ht="14.25" customHeight="1" x14ac:dyDescent="0.2">
      <c r="AI195" s="45"/>
      <c r="AJ195" s="45"/>
      <c r="AK195" s="45"/>
    </row>
    <row r="196" spans="4:37" ht="14.25" customHeight="1" x14ac:dyDescent="0.2">
      <c r="AI196" s="45"/>
      <c r="AJ196" s="45"/>
      <c r="AK196" s="45"/>
    </row>
    <row r="197" spans="4:37" ht="14.25" customHeight="1" x14ac:dyDescent="0.2">
      <c r="AI197" s="45"/>
      <c r="AJ197" s="45"/>
      <c r="AK197" s="45"/>
    </row>
    <row r="198" spans="4:37" ht="14.25" customHeight="1" x14ac:dyDescent="0.2">
      <c r="AI198" s="45"/>
      <c r="AJ198" s="45"/>
      <c r="AK198" s="45"/>
    </row>
    <row r="199" spans="4:37" ht="14.25" customHeight="1" x14ac:dyDescent="0.2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5"/>
      <c r="AJ199" s="45"/>
      <c r="AK199" s="45"/>
    </row>
    <row r="200" spans="4:37" ht="14.25" customHeight="1" x14ac:dyDescent="0.2"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4:37" ht="14.25" customHeight="1" x14ac:dyDescent="0.2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4:37" ht="14.25" customHeight="1" x14ac:dyDescent="0.2"/>
    <row r="203" spans="4:37" ht="14.25" customHeight="1" x14ac:dyDescent="0.2"/>
    <row r="204" spans="4:37" ht="14.25" customHeight="1" x14ac:dyDescent="0.2"/>
    <row r="205" spans="4:37" ht="14.25" customHeight="1" x14ac:dyDescent="0.2"/>
    <row r="206" spans="4:37" ht="14.25" customHeight="1" x14ac:dyDescent="0.2"/>
    <row r="207" spans="4:37" ht="14.25" customHeight="1" x14ac:dyDescent="0.2"/>
    <row r="208" spans="4:3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</sheetData>
  <mergeCells count="64">
    <mergeCell ref="A123:A126"/>
    <mergeCell ref="A72:C73"/>
    <mergeCell ref="B75:B78"/>
    <mergeCell ref="D72:AH72"/>
    <mergeCell ref="A79:A82"/>
    <mergeCell ref="A107:A110"/>
    <mergeCell ref="B123:B126"/>
    <mergeCell ref="A119:A122"/>
    <mergeCell ref="B119:B122"/>
    <mergeCell ref="B107:B110"/>
    <mergeCell ref="A95:A98"/>
    <mergeCell ref="B103:B106"/>
    <mergeCell ref="A91:A94"/>
    <mergeCell ref="B99:B102"/>
    <mergeCell ref="AI72:AI74"/>
    <mergeCell ref="B59:B62"/>
    <mergeCell ref="B115:B118"/>
    <mergeCell ref="AK72:AK74"/>
    <mergeCell ref="A87:A90"/>
    <mergeCell ref="A103:A106"/>
    <mergeCell ref="AJ72:AJ74"/>
    <mergeCell ref="B95:B98"/>
    <mergeCell ref="A115:A118"/>
    <mergeCell ref="B79:B82"/>
    <mergeCell ref="A83:A86"/>
    <mergeCell ref="B91:B94"/>
    <mergeCell ref="B111:B114"/>
    <mergeCell ref="A99:A102"/>
    <mergeCell ref="A111:A114"/>
    <mergeCell ref="A75:A78"/>
    <mergeCell ref="A4:A7"/>
    <mergeCell ref="A44:A47"/>
    <mergeCell ref="A54:A57"/>
    <mergeCell ref="A64:A67"/>
    <mergeCell ref="B19:B22"/>
    <mergeCell ref="A14:A17"/>
    <mergeCell ref="B39:B42"/>
    <mergeCell ref="A29:A32"/>
    <mergeCell ref="B24:B27"/>
    <mergeCell ref="A19:A22"/>
    <mergeCell ref="D1:AH1"/>
    <mergeCell ref="B87:B90"/>
    <mergeCell ref="B83:B86"/>
    <mergeCell ref="B34:B37"/>
    <mergeCell ref="B14:B17"/>
    <mergeCell ref="D73:AH73"/>
    <mergeCell ref="B49:B52"/>
    <mergeCell ref="A1:C2"/>
    <mergeCell ref="AK1:AK3"/>
    <mergeCell ref="D2:AH2"/>
    <mergeCell ref="A9:A12"/>
    <mergeCell ref="B4:B7"/>
    <mergeCell ref="B64:B67"/>
    <mergeCell ref="A34:A37"/>
    <mergeCell ref="A39:A42"/>
    <mergeCell ref="A59:A62"/>
    <mergeCell ref="A24:A27"/>
    <mergeCell ref="B54:B57"/>
    <mergeCell ref="A49:A52"/>
    <mergeCell ref="AJ1:AJ3"/>
    <mergeCell ref="B29:B32"/>
    <mergeCell ref="AI1:AI3"/>
    <mergeCell ref="B44:B47"/>
    <mergeCell ref="B9:B12"/>
  </mergeCells>
  <conditionalFormatting sqref="D3:AH23 D24:W25 X24:X26 Y24:AH27 D26:T26 V26 V27:X27 D27:U28 V28:AH28 D29:AH67">
    <cfRule type="expression" dxfId="55" priority="4">
      <formula>WEEKDAY(D$3)=1</formula>
    </cfRule>
  </conditionalFormatting>
  <conditionalFormatting sqref="D4:AH23 D24:W25 X24:X26 Y24:AH27 D26:T26 V26 V27:X27 D27:U28 V28:AH28 D29:AH67">
    <cfRule type="expression" dxfId="54" priority="1">
      <formula>AND($C4="C3",D4&lt;&gt;"")</formula>
    </cfRule>
    <cfRule type="expression" dxfId="53" priority="2">
      <formula>AND($C4="C1",D4&lt;&gt;"")</formula>
    </cfRule>
    <cfRule type="expression" dxfId="52" priority="3">
      <formula>AND($C4="TC",D4&lt;&gt;"")</formula>
    </cfRule>
  </conditionalFormatting>
  <conditionalFormatting sqref="D74:AH126">
    <cfRule type="expression" dxfId="51" priority="8">
      <formula>WEEKDAY(D$3)=1</formula>
    </cfRule>
  </conditionalFormatting>
  <conditionalFormatting sqref="D75:AH126">
    <cfRule type="expression" dxfId="50" priority="5">
      <formula>AND($C75="C3",D75&lt;&gt;"")</formula>
    </cfRule>
    <cfRule type="expression" dxfId="49" priority="6">
      <formula>AND($C75="C1",D75&lt;&gt;"")</formula>
    </cfRule>
    <cfRule type="expression" dxfId="48" priority="7">
      <formula>AND($C75="TC",D75&lt;&gt;"")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1037"/>
  <sheetViews>
    <sheetView workbookViewId="0">
      <selection sqref="A1:C2"/>
    </sheetView>
  </sheetViews>
  <sheetFormatPr defaultColWidth="12.625" defaultRowHeight="14.25" x14ac:dyDescent="0.2"/>
  <cols>
    <col min="1" max="1" width="5" customWidth="1"/>
    <col min="2" max="2" width="23" customWidth="1"/>
    <col min="3" max="3" width="8.25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7.5" customWidth="1"/>
  </cols>
  <sheetData>
    <row r="1" spans="1:37" ht="44.25" customHeight="1" x14ac:dyDescent="0.2">
      <c r="A1" s="103" t="s">
        <v>0</v>
      </c>
      <c r="B1" s="104"/>
      <c r="C1" s="104"/>
      <c r="D1" s="102" t="s">
        <v>60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3"/>
      <c r="AI1" s="101" t="s">
        <v>2</v>
      </c>
      <c r="AJ1" s="98" t="s">
        <v>3</v>
      </c>
      <c r="AK1" s="88" t="s">
        <v>4</v>
      </c>
    </row>
    <row r="2" spans="1:37" ht="24.75" customHeight="1" x14ac:dyDescent="0.2">
      <c r="A2" s="100"/>
      <c r="B2" s="105"/>
      <c r="C2" s="105"/>
      <c r="D2" s="91">
        <v>46296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3"/>
      <c r="AI2" s="89"/>
      <c r="AJ2" s="99"/>
      <c r="AK2" s="89"/>
    </row>
    <row r="3" spans="1:37" ht="30.75" customHeight="1" x14ac:dyDescent="0.25">
      <c r="A3" s="2" t="s">
        <v>5</v>
      </c>
      <c r="B3" s="2" t="s">
        <v>6</v>
      </c>
      <c r="C3" s="3"/>
      <c r="D3" s="14">
        <v>46296</v>
      </c>
      <c r="E3" s="14">
        <v>46297</v>
      </c>
      <c r="F3" s="14">
        <f t="shared" ref="F3:AH3" si="0">+E3+1</f>
        <v>46298</v>
      </c>
      <c r="G3" s="14">
        <f t="shared" si="0"/>
        <v>46299</v>
      </c>
      <c r="H3" s="14">
        <f t="shared" si="0"/>
        <v>46300</v>
      </c>
      <c r="I3" s="14">
        <f t="shared" si="0"/>
        <v>46301</v>
      </c>
      <c r="J3" s="14">
        <f t="shared" si="0"/>
        <v>46302</v>
      </c>
      <c r="K3" s="14">
        <f t="shared" si="0"/>
        <v>46303</v>
      </c>
      <c r="L3" s="14">
        <f t="shared" si="0"/>
        <v>46304</v>
      </c>
      <c r="M3" s="14">
        <f t="shared" si="0"/>
        <v>46305</v>
      </c>
      <c r="N3" s="14">
        <f t="shared" si="0"/>
        <v>46306</v>
      </c>
      <c r="O3" s="14">
        <f t="shared" si="0"/>
        <v>46307</v>
      </c>
      <c r="P3" s="14">
        <f t="shared" si="0"/>
        <v>46308</v>
      </c>
      <c r="Q3" s="14">
        <f t="shared" si="0"/>
        <v>46309</v>
      </c>
      <c r="R3" s="14">
        <f t="shared" si="0"/>
        <v>46310</v>
      </c>
      <c r="S3" s="14">
        <f t="shared" si="0"/>
        <v>46311</v>
      </c>
      <c r="T3" s="14">
        <f t="shared" si="0"/>
        <v>46312</v>
      </c>
      <c r="U3" s="14">
        <f t="shared" si="0"/>
        <v>46313</v>
      </c>
      <c r="V3" s="14">
        <f t="shared" si="0"/>
        <v>46314</v>
      </c>
      <c r="W3" s="14">
        <f t="shared" si="0"/>
        <v>46315</v>
      </c>
      <c r="X3" s="14">
        <f t="shared" si="0"/>
        <v>46316</v>
      </c>
      <c r="Y3" s="14">
        <f t="shared" si="0"/>
        <v>46317</v>
      </c>
      <c r="Z3" s="14">
        <f t="shared" si="0"/>
        <v>46318</v>
      </c>
      <c r="AA3" s="14">
        <f t="shared" si="0"/>
        <v>46319</v>
      </c>
      <c r="AB3" s="14">
        <f t="shared" si="0"/>
        <v>46320</v>
      </c>
      <c r="AC3" s="14">
        <f t="shared" si="0"/>
        <v>46321</v>
      </c>
      <c r="AD3" s="14">
        <f t="shared" si="0"/>
        <v>46322</v>
      </c>
      <c r="AE3" s="14">
        <f t="shared" si="0"/>
        <v>46323</v>
      </c>
      <c r="AF3" s="14">
        <f t="shared" si="0"/>
        <v>46324</v>
      </c>
      <c r="AG3" s="14">
        <f t="shared" si="0"/>
        <v>46325</v>
      </c>
      <c r="AH3" s="14">
        <f t="shared" si="0"/>
        <v>46326</v>
      </c>
      <c r="AI3" s="90"/>
      <c r="AJ3" s="100"/>
      <c r="AK3" s="90"/>
    </row>
    <row r="4" spans="1:37" ht="13.5" customHeight="1" x14ac:dyDescent="0.2">
      <c r="A4" s="94">
        <v>1</v>
      </c>
      <c r="B4" s="95" t="s">
        <v>7</v>
      </c>
      <c r="C4" s="2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8"/>
      <c r="Z4" s="8"/>
      <c r="AA4" s="8"/>
      <c r="AB4" s="8"/>
      <c r="AC4" s="8"/>
      <c r="AD4" s="8"/>
      <c r="AE4" s="8"/>
      <c r="AF4" s="8"/>
      <c r="AG4" s="8"/>
      <c r="AH4" s="4"/>
      <c r="AI4" s="50">
        <f>0</f>
        <v>0</v>
      </c>
      <c r="AJ4" s="51">
        <f>SUM(D4:AH4)/8</f>
        <v>0</v>
      </c>
      <c r="AK4" s="52">
        <f>AI4+AJ4</f>
        <v>0</v>
      </c>
    </row>
    <row r="5" spans="1:37" ht="13.5" customHeight="1" x14ac:dyDescent="0.2">
      <c r="A5" s="89"/>
      <c r="B5" s="89"/>
      <c r="C5" s="2" t="s">
        <v>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8"/>
      <c r="Z5" s="8"/>
      <c r="AA5" s="8"/>
      <c r="AB5" s="8"/>
      <c r="AC5" s="8"/>
      <c r="AD5" s="8"/>
      <c r="AE5" s="8"/>
      <c r="AF5" s="8"/>
      <c r="AG5" s="8"/>
      <c r="AH5" s="4"/>
      <c r="AI5" s="50">
        <f>COUNTIF(D5:AH5,"x")+COUNTIF(D5:AH5,"x-0,25")+COUNTIF(D5:AH5,"x-0,50")+COUNTIF(D5:AH5,"x-0.75")+COUNTIF(D5:AH5,"x-1")+COUNTIF(D5:AH5,"x-1,25")+COUNTIF(D5:AH5,"x-1,5")+COUNTIF(D5:AH5,"x-1,55")+COUNTIF(D5:AH5,"x-2")+COUNTIF(D5:AH5,"x/2")/2</f>
        <v>0</v>
      </c>
      <c r="AJ5" s="51">
        <f>0</f>
        <v>0</v>
      </c>
      <c r="AK5" s="52">
        <f>AI5+AJ5</f>
        <v>0</v>
      </c>
    </row>
    <row r="6" spans="1:37" ht="13.5" customHeight="1" x14ac:dyDescent="0.2">
      <c r="A6" s="89"/>
      <c r="B6" s="89"/>
      <c r="C6" s="2" t="s">
        <v>11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8"/>
      <c r="Z6" s="8"/>
      <c r="AA6" s="8"/>
      <c r="AB6" s="8"/>
      <c r="AC6" s="8"/>
      <c r="AD6" s="8"/>
      <c r="AE6" s="8"/>
      <c r="AF6" s="8"/>
      <c r="AG6" s="8"/>
      <c r="AH6" s="4"/>
      <c r="AI6" s="50">
        <f>COUNTIF(D6:AH6,"x")+COUNTIF(D6:AH6,"x-0,25")+COUNTIF(D6:AH6,"x-0,50")+COUNTIF(D6:AH6,"x-0.75")+COUNTIF(D6:AH6,"x-1")+COUNTIF(D6:AH6,"x-1,25")+COUNTIF(D6:AH6,"x-1,5")+COUNTIF(D6:AH6,"x-1,55")+COUNTIF(D6:AH6,"x-2")+COUNTIF(D6:AH6,"x/2")/2</f>
        <v>0</v>
      </c>
      <c r="AJ6" s="51">
        <f>0</f>
        <v>0</v>
      </c>
      <c r="AK6" s="52">
        <f>AI6+AJ6</f>
        <v>0</v>
      </c>
    </row>
    <row r="7" spans="1:37" s="7" customFormat="1" ht="12.75" customHeight="1" x14ac:dyDescent="0.2">
      <c r="A7" s="90"/>
      <c r="B7" s="96"/>
      <c r="C7" s="2" t="s">
        <v>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8"/>
      <c r="Z7" s="8"/>
      <c r="AA7" s="8"/>
      <c r="AB7" s="8"/>
      <c r="AC7" s="8"/>
      <c r="AD7" s="8"/>
      <c r="AE7" s="9"/>
      <c r="AF7" s="8"/>
      <c r="AG7" s="8"/>
      <c r="AH7" s="6"/>
      <c r="AI7" s="50">
        <f>COUNTIF(D7:AH7,"x")+COUNTIF(D7:AH7,"x-0,25")+COUNTIF(D7:AH7,"x-0,50")+COUNTIF(D7:AH7,"x-0.75")+COUNTIF(D7:AH7,"x-1")+COUNTIF(D7:AH7,"x-1,25")+COUNTIF(D7:AH7,"x-1,5")+COUNTIF(D7:AH7,"x-1,55")+COUNTIF(D7:AH7,"x-2")+COUNTIF(D7:AH7,"x/2")/2</f>
        <v>0</v>
      </c>
      <c r="AJ7" s="51">
        <f>0</f>
        <v>0</v>
      </c>
      <c r="AK7" s="52">
        <f>AI7+AJ7</f>
        <v>0</v>
      </c>
    </row>
    <row r="8" spans="1:37" s="7" customFormat="1" ht="13.5" customHeight="1" x14ac:dyDescent="0.2">
      <c r="A8" s="16"/>
      <c r="B8" s="17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/>
      <c r="Y8" s="19"/>
      <c r="Z8" s="19"/>
      <c r="AA8" s="19"/>
      <c r="AB8" s="19"/>
      <c r="AC8" s="19"/>
      <c r="AD8" s="19"/>
      <c r="AE8" s="20"/>
      <c r="AF8" s="19"/>
      <c r="AG8" s="19"/>
      <c r="AH8" s="20"/>
      <c r="AI8" s="53" t="str">
        <f>""</f>
        <v/>
      </c>
      <c r="AJ8" s="54" t="str">
        <f>""</f>
        <v/>
      </c>
      <c r="AK8" s="55" t="str">
        <f>""</f>
        <v/>
      </c>
    </row>
    <row r="9" spans="1:37" s="7" customFormat="1" ht="12.75" customHeight="1" x14ac:dyDescent="0.2">
      <c r="A9" s="94">
        <v>2</v>
      </c>
      <c r="B9" s="97" t="s">
        <v>13</v>
      </c>
      <c r="C9" s="2" t="s">
        <v>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8"/>
      <c r="Z9" s="8"/>
      <c r="AA9" s="8"/>
      <c r="AB9" s="8"/>
      <c r="AC9" s="8"/>
      <c r="AD9" s="8"/>
      <c r="AE9" s="9"/>
      <c r="AF9" s="8"/>
      <c r="AG9" s="8"/>
      <c r="AH9" s="6"/>
      <c r="AI9" s="50">
        <f>0</f>
        <v>0</v>
      </c>
      <c r="AJ9" s="51">
        <f>SUM(D9:AH9)/8</f>
        <v>0</v>
      </c>
      <c r="AK9" s="52">
        <f>AI9+AJ9</f>
        <v>0</v>
      </c>
    </row>
    <row r="10" spans="1:37" s="7" customFormat="1" ht="13.5" customHeight="1" x14ac:dyDescent="0.2">
      <c r="A10" s="89"/>
      <c r="B10" s="89"/>
      <c r="C10" s="2" t="s">
        <v>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8"/>
      <c r="Z10" s="8"/>
      <c r="AA10" s="8"/>
      <c r="AB10" s="8"/>
      <c r="AC10" s="8"/>
      <c r="AD10" s="8"/>
      <c r="AE10" s="9"/>
      <c r="AF10" s="8"/>
      <c r="AG10" s="8"/>
      <c r="AH10" s="6"/>
      <c r="AI10" s="50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0</v>
      </c>
      <c r="AJ10" s="51">
        <f>0</f>
        <v>0</v>
      </c>
      <c r="AK10" s="52">
        <f>AI10+AJ10</f>
        <v>0</v>
      </c>
    </row>
    <row r="11" spans="1:37" s="7" customFormat="1" ht="13.5" customHeight="1" x14ac:dyDescent="0.2">
      <c r="A11" s="89"/>
      <c r="B11" s="89"/>
      <c r="C11" s="2" t="s">
        <v>11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8"/>
      <c r="Z11" s="8"/>
      <c r="AA11" s="8"/>
      <c r="AB11" s="8"/>
      <c r="AC11" s="8"/>
      <c r="AD11" s="8"/>
      <c r="AE11" s="9"/>
      <c r="AF11" s="8"/>
      <c r="AG11" s="8"/>
      <c r="AH11" s="6"/>
      <c r="AI11" s="50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0</v>
      </c>
      <c r="AJ11" s="51">
        <f>0</f>
        <v>0</v>
      </c>
      <c r="AK11" s="52">
        <f>AI11+AJ11</f>
        <v>0</v>
      </c>
    </row>
    <row r="12" spans="1:37" s="7" customFormat="1" ht="13.5" customHeight="1" x14ac:dyDescent="0.2">
      <c r="A12" s="90"/>
      <c r="B12" s="96"/>
      <c r="C12" s="2" t="s">
        <v>12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8"/>
      <c r="Z12" s="8"/>
      <c r="AA12" s="8"/>
      <c r="AB12" s="8"/>
      <c r="AC12" s="8"/>
      <c r="AD12" s="8"/>
      <c r="AE12" s="9"/>
      <c r="AF12" s="8"/>
      <c r="AG12" s="8"/>
      <c r="AH12" s="6"/>
      <c r="AI12" s="50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0</v>
      </c>
      <c r="AJ12" s="51">
        <f>0</f>
        <v>0</v>
      </c>
      <c r="AK12" s="52">
        <f>AI12+AJ12</f>
        <v>0</v>
      </c>
    </row>
    <row r="13" spans="1:37" s="7" customFormat="1" ht="13.5" customHeight="1" x14ac:dyDescent="0.2">
      <c r="A13" s="16"/>
      <c r="B13" s="17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0"/>
      <c r="Y13" s="19"/>
      <c r="Z13" s="19"/>
      <c r="AA13" s="19"/>
      <c r="AB13" s="19"/>
      <c r="AC13" s="19"/>
      <c r="AD13" s="19"/>
      <c r="AE13" s="20"/>
      <c r="AF13" s="19"/>
      <c r="AG13" s="19"/>
      <c r="AH13" s="20"/>
      <c r="AI13" s="53" t="str">
        <f>""</f>
        <v/>
      </c>
      <c r="AJ13" s="54" t="str">
        <f>""</f>
        <v/>
      </c>
      <c r="AK13" s="55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" t="s">
        <v>8</v>
      </c>
      <c r="D14" s="8"/>
      <c r="E14" s="8"/>
      <c r="F14" s="8"/>
      <c r="G14" s="8"/>
      <c r="H14" s="8"/>
      <c r="I14" s="8"/>
      <c r="J14" s="8"/>
      <c r="K14" s="8"/>
      <c r="L14" s="1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8"/>
      <c r="Z14" s="8"/>
      <c r="AA14" s="8"/>
      <c r="AB14" s="8"/>
      <c r="AC14" s="8"/>
      <c r="AD14" s="8"/>
      <c r="AE14" s="9"/>
      <c r="AF14" s="8"/>
      <c r="AG14" s="8"/>
      <c r="AH14" s="6"/>
      <c r="AI14" s="50">
        <f>0</f>
        <v>0</v>
      </c>
      <c r="AJ14" s="51">
        <f>SUM(D14:AH14)/8</f>
        <v>0</v>
      </c>
      <c r="AK14" s="52">
        <f>AI14+AJ14</f>
        <v>0</v>
      </c>
    </row>
    <row r="15" spans="1:37" s="7" customFormat="1" ht="13.5" customHeight="1" x14ac:dyDescent="0.2">
      <c r="A15" s="89"/>
      <c r="B15" s="89"/>
      <c r="C15" s="2" t="s">
        <v>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8"/>
      <c r="Z15" s="8"/>
      <c r="AA15" s="8"/>
      <c r="AB15" s="8"/>
      <c r="AC15" s="8"/>
      <c r="AD15" s="8"/>
      <c r="AE15" s="9"/>
      <c r="AF15" s="8"/>
      <c r="AG15" s="8"/>
      <c r="AH15" s="6"/>
      <c r="AI15" s="50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0</v>
      </c>
      <c r="AJ15" s="51">
        <f>0</f>
        <v>0</v>
      </c>
      <c r="AK15" s="52">
        <f>AI15+AJ15</f>
        <v>0</v>
      </c>
    </row>
    <row r="16" spans="1:37" s="7" customFormat="1" ht="13.5" customHeight="1" x14ac:dyDescent="0.2">
      <c r="A16" s="89"/>
      <c r="B16" s="89"/>
      <c r="C16" s="2" t="s">
        <v>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8"/>
      <c r="Z16" s="8"/>
      <c r="AA16" s="8"/>
      <c r="AB16" s="8"/>
      <c r="AC16" s="8"/>
      <c r="AD16" s="8"/>
      <c r="AE16" s="9"/>
      <c r="AF16" s="8"/>
      <c r="AG16" s="8"/>
      <c r="AH16" s="6"/>
      <c r="AI16" s="50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51">
        <f>0</f>
        <v>0</v>
      </c>
      <c r="AK16" s="52">
        <f>AI16+AJ16</f>
        <v>0</v>
      </c>
    </row>
    <row r="17" spans="1:37" s="7" customFormat="1" ht="13.5" customHeight="1" x14ac:dyDescent="0.2">
      <c r="A17" s="90"/>
      <c r="B17" s="96"/>
      <c r="C17" s="2" t="s">
        <v>12</v>
      </c>
      <c r="D17" s="8"/>
      <c r="E17" s="8"/>
      <c r="F17" s="8"/>
      <c r="G17" s="8"/>
      <c r="H17" s="8"/>
      <c r="I17" s="8"/>
      <c r="J17" s="8"/>
      <c r="K17" s="8"/>
      <c r="L17" s="15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8"/>
      <c r="Z17" s="8"/>
      <c r="AA17" s="8"/>
      <c r="AB17" s="8"/>
      <c r="AC17" s="8"/>
      <c r="AD17" s="8"/>
      <c r="AE17" s="9"/>
      <c r="AF17" s="8"/>
      <c r="AG17" s="8"/>
      <c r="AH17" s="6"/>
      <c r="AI17" s="50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51">
        <f>0</f>
        <v>0</v>
      </c>
      <c r="AK17" s="52">
        <f>AI17+AJ17</f>
        <v>0</v>
      </c>
    </row>
    <row r="18" spans="1:37" s="7" customFormat="1" ht="13.5" customHeight="1" x14ac:dyDescent="0.2">
      <c r="A18" s="16"/>
      <c r="B18" s="17"/>
      <c r="C18" s="18"/>
      <c r="D18" s="19"/>
      <c r="E18" s="19"/>
      <c r="F18" s="19"/>
      <c r="G18" s="19"/>
      <c r="H18" s="19"/>
      <c r="I18" s="19"/>
      <c r="J18" s="19"/>
      <c r="K18" s="19"/>
      <c r="L18" s="21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/>
      <c r="Y18" s="19"/>
      <c r="Z18" s="19"/>
      <c r="AA18" s="19"/>
      <c r="AB18" s="19"/>
      <c r="AC18" s="19"/>
      <c r="AD18" s="19"/>
      <c r="AE18" s="20"/>
      <c r="AF18" s="19"/>
      <c r="AG18" s="19"/>
      <c r="AH18" s="20"/>
      <c r="AI18" s="53" t="str">
        <f>""</f>
        <v/>
      </c>
      <c r="AJ18" s="54" t="str">
        <f>""</f>
        <v/>
      </c>
      <c r="AK18" s="55" t="str">
        <f>""</f>
        <v/>
      </c>
    </row>
    <row r="19" spans="1:37" s="7" customFormat="1" ht="13.5" customHeight="1" x14ac:dyDescent="0.2">
      <c r="A19" s="94">
        <v>4</v>
      </c>
      <c r="B19" s="97" t="s">
        <v>16</v>
      </c>
      <c r="C19" s="2" t="s">
        <v>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8"/>
      <c r="Z19" s="8"/>
      <c r="AA19" s="8"/>
      <c r="AB19" s="8"/>
      <c r="AC19" s="8"/>
      <c r="AD19" s="8"/>
      <c r="AE19" s="9"/>
      <c r="AF19" s="8"/>
      <c r="AG19" s="8"/>
      <c r="AH19" s="6"/>
      <c r="AI19" s="50">
        <f>0</f>
        <v>0</v>
      </c>
      <c r="AJ19" s="51">
        <f>SUM(D19:AH19)/8</f>
        <v>0</v>
      </c>
      <c r="AK19" s="52">
        <f>AI19+AJ19</f>
        <v>0</v>
      </c>
    </row>
    <row r="20" spans="1:37" s="7" customFormat="1" ht="13.5" customHeight="1" x14ac:dyDescent="0.2">
      <c r="A20" s="89"/>
      <c r="B20" s="89"/>
      <c r="C20" s="2" t="s">
        <v>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8"/>
      <c r="Z20" s="8"/>
      <c r="AA20" s="8"/>
      <c r="AB20" s="8"/>
      <c r="AC20" s="8"/>
      <c r="AD20" s="8"/>
      <c r="AE20" s="9"/>
      <c r="AF20" s="8"/>
      <c r="AG20" s="8"/>
      <c r="AH20" s="6"/>
      <c r="AI20" s="50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0</v>
      </c>
      <c r="AJ20" s="51">
        <f>0</f>
        <v>0</v>
      </c>
      <c r="AK20" s="52">
        <f>AI20+AJ20</f>
        <v>0</v>
      </c>
    </row>
    <row r="21" spans="1:37" s="7" customFormat="1" ht="13.5" customHeight="1" x14ac:dyDescent="0.2">
      <c r="A21" s="89"/>
      <c r="B21" s="89"/>
      <c r="C21" s="2" t="s">
        <v>11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8"/>
      <c r="Z21" s="8"/>
      <c r="AA21" s="8"/>
      <c r="AB21" s="8"/>
      <c r="AC21" s="8"/>
      <c r="AD21" s="8"/>
      <c r="AE21" s="9"/>
      <c r="AF21" s="8"/>
      <c r="AG21" s="8"/>
      <c r="AH21" s="6"/>
      <c r="AI21" s="50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0</v>
      </c>
      <c r="AJ21" s="51">
        <f>0</f>
        <v>0</v>
      </c>
      <c r="AK21" s="52">
        <f>AI21+AJ21</f>
        <v>0</v>
      </c>
    </row>
    <row r="22" spans="1:37" s="7" customFormat="1" ht="13.5" customHeight="1" x14ac:dyDescent="0.2">
      <c r="A22" s="90"/>
      <c r="B22" s="96"/>
      <c r="C22" s="2" t="s">
        <v>12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8"/>
      <c r="Z22" s="8"/>
      <c r="AA22" s="8"/>
      <c r="AB22" s="8"/>
      <c r="AC22" s="8"/>
      <c r="AD22" s="8"/>
      <c r="AE22" s="9"/>
      <c r="AF22" s="8"/>
      <c r="AG22" s="8"/>
      <c r="AH22" s="6"/>
      <c r="AI22" s="50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51">
        <f>0</f>
        <v>0</v>
      </c>
      <c r="AK22" s="52">
        <f>AI22+AJ22</f>
        <v>0</v>
      </c>
    </row>
    <row r="23" spans="1:37" s="7" customFormat="1" ht="13.5" customHeight="1" x14ac:dyDescent="0.2">
      <c r="A23" s="16"/>
      <c r="B23" s="17"/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20"/>
      <c r="AF23" s="19"/>
      <c r="AG23" s="19"/>
      <c r="AH23" s="20"/>
      <c r="AI23" s="53" t="str">
        <f>""</f>
        <v/>
      </c>
      <c r="AJ23" s="54" t="str">
        <f>""</f>
        <v/>
      </c>
      <c r="AK23" s="55" t="str">
        <f>""</f>
        <v/>
      </c>
    </row>
    <row r="24" spans="1:37" s="7" customFormat="1" ht="13.5" customHeight="1" x14ac:dyDescent="0.2">
      <c r="A24" s="94">
        <v>5</v>
      </c>
      <c r="B24" s="97" t="s">
        <v>17</v>
      </c>
      <c r="C24" s="2" t="s">
        <v>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9"/>
      <c r="AF24" s="8"/>
      <c r="AG24" s="8"/>
      <c r="AH24" s="6"/>
      <c r="AI24" s="50">
        <f>0</f>
        <v>0</v>
      </c>
      <c r="AJ24" s="51">
        <f>SUM(D24:AH24)/8</f>
        <v>0</v>
      </c>
      <c r="AK24" s="52">
        <f>AI24+AJ24</f>
        <v>0</v>
      </c>
    </row>
    <row r="25" spans="1:37" s="7" customFormat="1" ht="13.5" customHeight="1" x14ac:dyDescent="0.2">
      <c r="A25" s="89"/>
      <c r="B25" s="89"/>
      <c r="C25" s="2" t="s">
        <v>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9"/>
      <c r="AF25" s="8"/>
      <c r="AG25" s="8"/>
      <c r="AH25" s="6"/>
      <c r="AI25" s="50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0</v>
      </c>
      <c r="AJ25" s="51">
        <f>0</f>
        <v>0</v>
      </c>
      <c r="AK25" s="52">
        <f>AI25+AJ25</f>
        <v>0</v>
      </c>
    </row>
    <row r="26" spans="1:37" s="7" customFormat="1" ht="13.5" customHeight="1" x14ac:dyDescent="0.2">
      <c r="A26" s="89"/>
      <c r="B26" s="89"/>
      <c r="C26" s="2" t="s">
        <v>11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24"/>
      <c r="V26" s="8"/>
      <c r="W26" s="24"/>
      <c r="X26" s="8"/>
      <c r="Y26" s="8"/>
      <c r="Z26" s="8"/>
      <c r="AA26" s="8"/>
      <c r="AB26" s="8"/>
      <c r="AC26" s="8"/>
      <c r="AD26" s="8"/>
      <c r="AE26" s="9"/>
      <c r="AF26" s="8"/>
      <c r="AG26" s="8"/>
      <c r="AH26" s="6"/>
      <c r="AI26" s="50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0</v>
      </c>
      <c r="AJ26" s="51">
        <f>0</f>
        <v>0</v>
      </c>
      <c r="AK26" s="52">
        <f>AI26+AJ26</f>
        <v>0</v>
      </c>
    </row>
    <row r="27" spans="1:37" s="7" customFormat="1" ht="13.5" customHeight="1" x14ac:dyDescent="0.2">
      <c r="A27" s="90"/>
      <c r="B27" s="96"/>
      <c r="C27" s="2" t="s">
        <v>12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9"/>
      <c r="AF27" s="8"/>
      <c r="AG27" s="8"/>
      <c r="AH27" s="6"/>
      <c r="AI27" s="50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51">
        <f>0</f>
        <v>0</v>
      </c>
      <c r="AK27" s="52">
        <f>AI27+AJ27</f>
        <v>0</v>
      </c>
    </row>
    <row r="28" spans="1:37" s="7" customFormat="1" ht="13.5" customHeight="1" x14ac:dyDescent="0.2">
      <c r="A28" s="16"/>
      <c r="B28" s="17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  <c r="Y28" s="19"/>
      <c r="Z28" s="19"/>
      <c r="AA28" s="19"/>
      <c r="AB28" s="19"/>
      <c r="AC28" s="19"/>
      <c r="AD28" s="19"/>
      <c r="AE28" s="20"/>
      <c r="AF28" s="19"/>
      <c r="AG28" s="19"/>
      <c r="AH28" s="20"/>
      <c r="AI28" s="53" t="str">
        <f>""</f>
        <v/>
      </c>
      <c r="AJ28" s="54" t="str">
        <f>""</f>
        <v/>
      </c>
      <c r="AK28" s="55" t="str">
        <f>""</f>
        <v/>
      </c>
    </row>
    <row r="29" spans="1:37" s="7" customFormat="1" ht="13.5" customHeight="1" x14ac:dyDescent="0.2">
      <c r="A29" s="94">
        <v>6</v>
      </c>
      <c r="B29" s="97" t="s">
        <v>18</v>
      </c>
      <c r="C29" s="2" t="s">
        <v>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9"/>
      <c r="AF29" s="8"/>
      <c r="AG29" s="8"/>
      <c r="AH29" s="6"/>
      <c r="AI29" s="50">
        <f>0</f>
        <v>0</v>
      </c>
      <c r="AJ29" s="51">
        <f>SUM(D29:AH29)/8</f>
        <v>0</v>
      </c>
      <c r="AK29" s="52">
        <f>AI29+AJ29</f>
        <v>0</v>
      </c>
    </row>
    <row r="30" spans="1:37" s="7" customFormat="1" ht="13.5" customHeight="1" x14ac:dyDescent="0.2">
      <c r="A30" s="89"/>
      <c r="B30" s="89"/>
      <c r="C30" s="2" t="s">
        <v>9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8"/>
      <c r="Z30" s="8"/>
      <c r="AA30" s="8"/>
      <c r="AB30" s="8"/>
      <c r="AC30" s="8"/>
      <c r="AD30" s="8"/>
      <c r="AE30" s="9"/>
      <c r="AF30" s="8"/>
      <c r="AG30" s="8"/>
      <c r="AH30" s="6"/>
      <c r="AI30" s="50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0</v>
      </c>
      <c r="AJ30" s="51">
        <f>0</f>
        <v>0</v>
      </c>
      <c r="AK30" s="52">
        <f>AI30+AJ30</f>
        <v>0</v>
      </c>
    </row>
    <row r="31" spans="1:37" s="7" customFormat="1" ht="13.5" customHeight="1" x14ac:dyDescent="0.2">
      <c r="A31" s="89"/>
      <c r="B31" s="89"/>
      <c r="C31" s="2" t="s">
        <v>11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8"/>
      <c r="Z31" s="8"/>
      <c r="AA31" s="8"/>
      <c r="AB31" s="8"/>
      <c r="AC31" s="8"/>
      <c r="AD31" s="8"/>
      <c r="AE31" s="9"/>
      <c r="AF31" s="8"/>
      <c r="AG31" s="8"/>
      <c r="AH31" s="6"/>
      <c r="AI31" s="50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0</v>
      </c>
      <c r="AJ31" s="51">
        <f>0</f>
        <v>0</v>
      </c>
      <c r="AK31" s="52">
        <f>AI31+AJ31</f>
        <v>0</v>
      </c>
    </row>
    <row r="32" spans="1:37" s="7" customFormat="1" ht="13.5" customHeight="1" x14ac:dyDescent="0.2">
      <c r="A32" s="90"/>
      <c r="B32" s="96"/>
      <c r="C32" s="2" t="s">
        <v>12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8"/>
      <c r="Z32" s="8"/>
      <c r="AA32" s="8"/>
      <c r="AB32" s="8"/>
      <c r="AC32" s="8"/>
      <c r="AD32" s="8"/>
      <c r="AE32" s="9"/>
      <c r="AF32" s="8"/>
      <c r="AG32" s="8"/>
      <c r="AH32" s="6"/>
      <c r="AI32" s="50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0</v>
      </c>
      <c r="AJ32" s="51">
        <f>0</f>
        <v>0</v>
      </c>
      <c r="AK32" s="52">
        <f>AI32+AJ32</f>
        <v>0</v>
      </c>
    </row>
    <row r="33" spans="1:37" s="7" customFormat="1" ht="13.5" customHeight="1" x14ac:dyDescent="0.2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/>
      <c r="Y33" s="19"/>
      <c r="Z33" s="19"/>
      <c r="AA33" s="19"/>
      <c r="AB33" s="19"/>
      <c r="AC33" s="19"/>
      <c r="AD33" s="19"/>
      <c r="AE33" s="20"/>
      <c r="AF33" s="19"/>
      <c r="AG33" s="19"/>
      <c r="AH33" s="20"/>
      <c r="AI33" s="53" t="str">
        <f>""</f>
        <v/>
      </c>
      <c r="AJ33" s="54" t="str">
        <f>""</f>
        <v/>
      </c>
      <c r="AK33" s="55" t="str">
        <f>""</f>
        <v/>
      </c>
    </row>
    <row r="34" spans="1:37" s="7" customFormat="1" ht="13.5" customHeight="1" x14ac:dyDescent="0.2">
      <c r="A34" s="94">
        <v>7</v>
      </c>
      <c r="B34" s="97" t="s">
        <v>19</v>
      </c>
      <c r="C34" s="2" t="s">
        <v>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8"/>
      <c r="Z34" s="8"/>
      <c r="AA34" s="8"/>
      <c r="AB34" s="8"/>
      <c r="AC34" s="8"/>
      <c r="AD34" s="8"/>
      <c r="AE34" s="9"/>
      <c r="AF34" s="8"/>
      <c r="AG34" s="8"/>
      <c r="AH34" s="6"/>
      <c r="AI34" s="50">
        <f>0</f>
        <v>0</v>
      </c>
      <c r="AJ34" s="51">
        <f>SUM(D34:AH34)/8</f>
        <v>0</v>
      </c>
      <c r="AK34" s="52">
        <f>AI34+AJ34</f>
        <v>0</v>
      </c>
    </row>
    <row r="35" spans="1:37" s="7" customFormat="1" ht="13.5" customHeight="1" x14ac:dyDescent="0.2">
      <c r="A35" s="89"/>
      <c r="B35" s="89"/>
      <c r="C35" s="2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8"/>
      <c r="Z35" s="8"/>
      <c r="AA35" s="8"/>
      <c r="AB35" s="8"/>
      <c r="AC35" s="8"/>
      <c r="AD35" s="8"/>
      <c r="AE35" s="9"/>
      <c r="AF35" s="8"/>
      <c r="AG35" s="8"/>
      <c r="AH35" s="6"/>
      <c r="AI35" s="50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0</v>
      </c>
      <c r="AJ35" s="51">
        <f>0</f>
        <v>0</v>
      </c>
      <c r="AK35" s="52">
        <f>AI35+AJ35</f>
        <v>0</v>
      </c>
    </row>
    <row r="36" spans="1:37" s="7" customFormat="1" ht="13.5" customHeight="1" x14ac:dyDescent="0.2">
      <c r="A36" s="89"/>
      <c r="B36" s="89"/>
      <c r="C36" s="2" t="s">
        <v>11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8"/>
      <c r="Z36" s="8"/>
      <c r="AA36" s="8"/>
      <c r="AB36" s="8"/>
      <c r="AC36" s="8"/>
      <c r="AD36" s="8"/>
      <c r="AE36" s="9"/>
      <c r="AF36" s="8"/>
      <c r="AG36" s="8"/>
      <c r="AH36" s="6"/>
      <c r="AI36" s="50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0</v>
      </c>
      <c r="AJ36" s="51">
        <f>0</f>
        <v>0</v>
      </c>
      <c r="AK36" s="52">
        <f>AI36+AJ36</f>
        <v>0</v>
      </c>
    </row>
    <row r="37" spans="1:37" s="7" customFormat="1" ht="13.5" customHeight="1" x14ac:dyDescent="0.2">
      <c r="A37" s="90"/>
      <c r="B37" s="96"/>
      <c r="C37" s="2" t="s">
        <v>12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8"/>
      <c r="Z37" s="8"/>
      <c r="AA37" s="8"/>
      <c r="AB37" s="8"/>
      <c r="AC37" s="8"/>
      <c r="AD37" s="8"/>
      <c r="AE37" s="9"/>
      <c r="AF37" s="8"/>
      <c r="AG37" s="8"/>
      <c r="AH37" s="6"/>
      <c r="AI37" s="50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0</v>
      </c>
      <c r="AJ37" s="51">
        <f>0</f>
        <v>0</v>
      </c>
      <c r="AK37" s="52">
        <f>AI37+AJ37</f>
        <v>0</v>
      </c>
    </row>
    <row r="38" spans="1:37" s="7" customFormat="1" ht="13.5" customHeight="1" x14ac:dyDescent="0.2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20"/>
      <c r="Y38" s="19"/>
      <c r="Z38" s="19"/>
      <c r="AA38" s="19"/>
      <c r="AB38" s="19"/>
      <c r="AC38" s="19"/>
      <c r="AD38" s="19"/>
      <c r="AE38" s="20"/>
      <c r="AF38" s="19"/>
      <c r="AG38" s="19"/>
      <c r="AH38" s="20"/>
      <c r="AI38" s="53" t="str">
        <f>""</f>
        <v/>
      </c>
      <c r="AJ38" s="54" t="str">
        <f>""</f>
        <v/>
      </c>
      <c r="AK38" s="55" t="str">
        <f>""</f>
        <v/>
      </c>
    </row>
    <row r="39" spans="1:37" s="7" customFormat="1" ht="13.5" customHeight="1" x14ac:dyDescent="0.2">
      <c r="A39" s="94">
        <v>8</v>
      </c>
      <c r="B39" s="97" t="s">
        <v>20</v>
      </c>
      <c r="C39" s="2" t="s">
        <v>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6"/>
      <c r="X39" s="9"/>
      <c r="Y39" s="8"/>
      <c r="Z39" s="8"/>
      <c r="AA39" s="8"/>
      <c r="AB39" s="8"/>
      <c r="AC39" s="8"/>
      <c r="AD39" s="8"/>
      <c r="AE39" s="9"/>
      <c r="AF39" s="8"/>
      <c r="AG39" s="8"/>
      <c r="AH39" s="6"/>
      <c r="AI39" s="50">
        <f>0</f>
        <v>0</v>
      </c>
      <c r="AJ39" s="51">
        <f>SUM(D39:AH39)/8</f>
        <v>0</v>
      </c>
      <c r="AK39" s="52">
        <f>AI39+AJ39</f>
        <v>0</v>
      </c>
    </row>
    <row r="40" spans="1:37" s="7" customFormat="1" ht="13.5" customHeight="1" x14ac:dyDescent="0.2">
      <c r="A40" s="89"/>
      <c r="B40" s="89"/>
      <c r="C40" s="2" t="s">
        <v>9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6"/>
      <c r="X40" s="9"/>
      <c r="Y40" s="8"/>
      <c r="Z40" s="8"/>
      <c r="AA40" s="8"/>
      <c r="AB40" s="8"/>
      <c r="AC40" s="8"/>
      <c r="AD40" s="8"/>
      <c r="AE40" s="9"/>
      <c r="AF40" s="8"/>
      <c r="AG40" s="8"/>
      <c r="AH40" s="6"/>
      <c r="AI40" s="50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0</v>
      </c>
      <c r="AJ40" s="51">
        <f>0</f>
        <v>0</v>
      </c>
      <c r="AK40" s="52">
        <f>AI40+AJ40</f>
        <v>0</v>
      </c>
    </row>
    <row r="41" spans="1:37" s="7" customFormat="1" ht="13.5" customHeight="1" x14ac:dyDescent="0.2">
      <c r="A41" s="89"/>
      <c r="B41" s="89"/>
      <c r="C41" s="2" t="s">
        <v>11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6"/>
      <c r="X41" s="9"/>
      <c r="Y41" s="8"/>
      <c r="Z41" s="8"/>
      <c r="AA41" s="8"/>
      <c r="AB41" s="8"/>
      <c r="AC41" s="8"/>
      <c r="AD41" s="8"/>
      <c r="AE41" s="9"/>
      <c r="AF41" s="8"/>
      <c r="AG41" s="8"/>
      <c r="AH41" s="6"/>
      <c r="AI41" s="50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0</v>
      </c>
      <c r="AJ41" s="51">
        <f>0</f>
        <v>0</v>
      </c>
      <c r="AK41" s="52">
        <f>AI41+AJ41</f>
        <v>0</v>
      </c>
    </row>
    <row r="42" spans="1:37" s="7" customFormat="1" ht="13.5" customHeight="1" x14ac:dyDescent="0.2">
      <c r="A42" s="90"/>
      <c r="B42" s="96"/>
      <c r="C42" s="2" t="s">
        <v>12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6"/>
      <c r="X42" s="9"/>
      <c r="Y42" s="8"/>
      <c r="Z42" s="8"/>
      <c r="AA42" s="8"/>
      <c r="AB42" s="8"/>
      <c r="AC42" s="8"/>
      <c r="AD42" s="8"/>
      <c r="AE42" s="9"/>
      <c r="AF42" s="8"/>
      <c r="AG42" s="8"/>
      <c r="AH42" s="6"/>
      <c r="AI42" s="50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51">
        <f>0</f>
        <v>0</v>
      </c>
      <c r="AK42" s="52">
        <f>AI42+AJ42</f>
        <v>0</v>
      </c>
    </row>
    <row r="43" spans="1:37" s="7" customFormat="1" ht="13.5" customHeight="1" x14ac:dyDescent="0.2">
      <c r="A43" s="16"/>
      <c r="B43" s="17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20"/>
      <c r="Y43" s="19"/>
      <c r="Z43" s="19"/>
      <c r="AA43" s="19"/>
      <c r="AB43" s="19"/>
      <c r="AC43" s="19"/>
      <c r="AD43" s="19"/>
      <c r="AE43" s="20"/>
      <c r="AF43" s="19"/>
      <c r="AG43" s="19"/>
      <c r="AH43" s="20"/>
      <c r="AI43" s="53" t="str">
        <f>""</f>
        <v/>
      </c>
      <c r="AJ43" s="54" t="str">
        <f>""</f>
        <v/>
      </c>
      <c r="AK43" s="55" t="str">
        <f>""</f>
        <v/>
      </c>
    </row>
    <row r="44" spans="1:37" s="7" customFormat="1" ht="13.5" customHeight="1" x14ac:dyDescent="0.2">
      <c r="A44" s="94">
        <v>9</v>
      </c>
      <c r="B44" s="97" t="s">
        <v>21</v>
      </c>
      <c r="C44" s="2" t="s">
        <v>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6"/>
      <c r="X44" s="9"/>
      <c r="Y44" s="8"/>
      <c r="Z44" s="8"/>
      <c r="AA44" s="8"/>
      <c r="AB44" s="8"/>
      <c r="AC44" s="8"/>
      <c r="AD44" s="8"/>
      <c r="AE44" s="9"/>
      <c r="AF44" s="8"/>
      <c r="AG44" s="8"/>
      <c r="AH44" s="6"/>
      <c r="AI44" s="50">
        <f>0</f>
        <v>0</v>
      </c>
      <c r="AJ44" s="51">
        <f>SUM(D44:AH44)/8</f>
        <v>0</v>
      </c>
      <c r="AK44" s="52">
        <f>AI44+AJ44</f>
        <v>0</v>
      </c>
    </row>
    <row r="45" spans="1:37" s="7" customFormat="1" ht="13.5" customHeight="1" x14ac:dyDescent="0.2">
      <c r="A45" s="89"/>
      <c r="B45" s="89"/>
      <c r="C45" s="2" t="s">
        <v>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6"/>
      <c r="X45" s="9"/>
      <c r="Y45" s="8"/>
      <c r="Z45" s="8"/>
      <c r="AA45" s="8"/>
      <c r="AB45" s="8"/>
      <c r="AC45" s="8"/>
      <c r="AD45" s="8"/>
      <c r="AE45" s="9"/>
      <c r="AF45" s="8"/>
      <c r="AG45" s="8"/>
      <c r="AH45" s="6"/>
      <c r="AI45" s="50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0</v>
      </c>
      <c r="AJ45" s="51">
        <f>0</f>
        <v>0</v>
      </c>
      <c r="AK45" s="52">
        <f>AI45+AJ45</f>
        <v>0</v>
      </c>
    </row>
    <row r="46" spans="1:37" s="7" customFormat="1" ht="13.5" customHeight="1" x14ac:dyDescent="0.2">
      <c r="A46" s="89"/>
      <c r="B46" s="89"/>
      <c r="C46" s="2" t="s">
        <v>11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6"/>
      <c r="X46" s="9"/>
      <c r="Y46" s="8"/>
      <c r="Z46" s="8"/>
      <c r="AA46" s="8"/>
      <c r="AB46" s="8"/>
      <c r="AC46" s="8"/>
      <c r="AD46" s="8"/>
      <c r="AE46" s="9"/>
      <c r="AF46" s="8"/>
      <c r="AG46" s="8"/>
      <c r="AH46" s="6"/>
      <c r="AI46" s="50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0</v>
      </c>
      <c r="AJ46" s="51">
        <f>0</f>
        <v>0</v>
      </c>
      <c r="AK46" s="52">
        <f>AI46+AJ46</f>
        <v>0</v>
      </c>
    </row>
    <row r="47" spans="1:37" s="7" customFormat="1" ht="13.5" customHeight="1" x14ac:dyDescent="0.2">
      <c r="A47" s="90"/>
      <c r="B47" s="96"/>
      <c r="C47" s="2" t="s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6"/>
      <c r="X47" s="9"/>
      <c r="Y47" s="8"/>
      <c r="Z47" s="8"/>
      <c r="AA47" s="6"/>
      <c r="AB47" s="8"/>
      <c r="AC47" s="8"/>
      <c r="AD47" s="8"/>
      <c r="AE47" s="9"/>
      <c r="AF47" s="8"/>
      <c r="AG47" s="8"/>
      <c r="AH47" s="6"/>
      <c r="AI47" s="50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0</v>
      </c>
      <c r="AJ47" s="51">
        <f>0</f>
        <v>0</v>
      </c>
      <c r="AK47" s="52">
        <f>AI47+AJ47</f>
        <v>0</v>
      </c>
    </row>
    <row r="48" spans="1:37" s="7" customFormat="1" ht="13.5" customHeight="1" x14ac:dyDescent="0.2">
      <c r="A48" s="16"/>
      <c r="B48" s="17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X48" s="20"/>
      <c r="Y48" s="19"/>
      <c r="Z48" s="19"/>
      <c r="AA48" s="20"/>
      <c r="AB48" s="19"/>
      <c r="AC48" s="19"/>
      <c r="AD48" s="19"/>
      <c r="AE48" s="20"/>
      <c r="AF48" s="19"/>
      <c r="AG48" s="19"/>
      <c r="AH48" s="20"/>
      <c r="AI48" s="53" t="str">
        <f>""</f>
        <v/>
      </c>
      <c r="AJ48" s="54" t="str">
        <f>""</f>
        <v/>
      </c>
      <c r="AK48" s="55" t="str">
        <f>""</f>
        <v/>
      </c>
    </row>
    <row r="49" spans="1:44" s="7" customFormat="1" ht="13.5" customHeight="1" x14ac:dyDescent="0.2">
      <c r="A49" s="94">
        <v>10</v>
      </c>
      <c r="B49" s="97" t="s">
        <v>22</v>
      </c>
      <c r="C49" s="2" t="s">
        <v>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6"/>
      <c r="X49" s="9"/>
      <c r="Y49" s="8"/>
      <c r="Z49" s="8"/>
      <c r="AA49" s="6"/>
      <c r="AB49" s="8"/>
      <c r="AC49" s="8"/>
      <c r="AD49" s="8"/>
      <c r="AE49" s="9"/>
      <c r="AF49" s="8"/>
      <c r="AG49" s="8"/>
      <c r="AH49" s="6"/>
      <c r="AI49" s="50">
        <f>0</f>
        <v>0</v>
      </c>
      <c r="AJ49" s="51">
        <f>SUM(D49:AH49)/8</f>
        <v>0</v>
      </c>
      <c r="AK49" s="52">
        <f>AI49+AJ49</f>
        <v>0</v>
      </c>
    </row>
    <row r="50" spans="1:44" s="7" customFormat="1" ht="13.5" customHeight="1" x14ac:dyDescent="0.2">
      <c r="A50" s="89"/>
      <c r="B50" s="89"/>
      <c r="C50" s="2" t="s">
        <v>9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6"/>
      <c r="X50" s="9"/>
      <c r="Y50" s="8"/>
      <c r="Z50" s="8"/>
      <c r="AA50" s="6"/>
      <c r="AB50" s="8"/>
      <c r="AC50" s="8"/>
      <c r="AD50" s="8"/>
      <c r="AE50" s="9"/>
      <c r="AF50" s="8"/>
      <c r="AG50" s="8"/>
      <c r="AH50" s="6"/>
      <c r="AI50" s="50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0</v>
      </c>
      <c r="AJ50" s="51">
        <f>0</f>
        <v>0</v>
      </c>
      <c r="AK50" s="52">
        <f>AI50+AJ50</f>
        <v>0</v>
      </c>
    </row>
    <row r="51" spans="1:44" s="7" customFormat="1" ht="13.5" customHeight="1" x14ac:dyDescent="0.2">
      <c r="A51" s="89"/>
      <c r="B51" s="89"/>
      <c r="C51" s="2" t="s">
        <v>11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6"/>
      <c r="X51" s="9"/>
      <c r="Y51" s="8"/>
      <c r="Z51" s="8"/>
      <c r="AA51" s="6"/>
      <c r="AB51" s="8"/>
      <c r="AC51" s="8"/>
      <c r="AD51" s="8"/>
      <c r="AE51" s="9"/>
      <c r="AF51" s="8"/>
      <c r="AG51" s="8"/>
      <c r="AH51" s="6"/>
      <c r="AI51" s="50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0</v>
      </c>
      <c r="AJ51" s="51">
        <f>0</f>
        <v>0</v>
      </c>
      <c r="AK51" s="52">
        <f>AI51+AJ51</f>
        <v>0</v>
      </c>
    </row>
    <row r="52" spans="1:44" s="7" customFormat="1" ht="13.5" customHeight="1" x14ac:dyDescent="0.2">
      <c r="A52" s="90"/>
      <c r="B52" s="96"/>
      <c r="C52" s="2" t="s">
        <v>12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6"/>
      <c r="W52" s="6"/>
      <c r="X52" s="9"/>
      <c r="Y52" s="8"/>
      <c r="Z52" s="8"/>
      <c r="AA52" s="6"/>
      <c r="AB52" s="8"/>
      <c r="AC52" s="8"/>
      <c r="AD52" s="8"/>
      <c r="AE52" s="9"/>
      <c r="AF52" s="8"/>
      <c r="AG52" s="8"/>
      <c r="AH52" s="6"/>
      <c r="AI52" s="50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0</v>
      </c>
      <c r="AJ52" s="51">
        <f>0</f>
        <v>0</v>
      </c>
      <c r="AK52" s="52">
        <f>AI52+AJ52</f>
        <v>0</v>
      </c>
    </row>
    <row r="53" spans="1:44" s="7" customFormat="1" ht="13.5" customHeight="1" x14ac:dyDescent="0.2">
      <c r="A53" s="16"/>
      <c r="B53" s="17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20"/>
      <c r="X53" s="20"/>
      <c r="Y53" s="19"/>
      <c r="Z53" s="19"/>
      <c r="AA53" s="20"/>
      <c r="AB53" s="19"/>
      <c r="AC53" s="19"/>
      <c r="AD53" s="19"/>
      <c r="AE53" s="20"/>
      <c r="AF53" s="19"/>
      <c r="AG53" s="19"/>
      <c r="AH53" s="20"/>
      <c r="AI53" s="53" t="str">
        <f>""</f>
        <v/>
      </c>
      <c r="AJ53" s="54" t="str">
        <f>""</f>
        <v/>
      </c>
      <c r="AK53" s="55" t="str">
        <f>""</f>
        <v/>
      </c>
    </row>
    <row r="54" spans="1:44" s="7" customFormat="1" ht="12" customHeight="1" x14ac:dyDescent="0.2">
      <c r="A54" s="94">
        <v>11</v>
      </c>
      <c r="B54" s="97" t="s">
        <v>23</v>
      </c>
      <c r="C54" s="2" t="s">
        <v>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6"/>
      <c r="X54" s="9"/>
      <c r="Y54" s="8"/>
      <c r="Z54" s="8"/>
      <c r="AA54" s="8"/>
      <c r="AB54" s="8"/>
      <c r="AC54" s="8"/>
      <c r="AD54" s="8"/>
      <c r="AE54" s="9"/>
      <c r="AF54" s="8"/>
      <c r="AG54" s="8"/>
      <c r="AH54" s="6"/>
      <c r="AI54" s="50">
        <f>0</f>
        <v>0</v>
      </c>
      <c r="AJ54" s="51">
        <f>SUM(D54:AH54)/8</f>
        <v>0</v>
      </c>
      <c r="AK54" s="52">
        <f>AI54+AJ54</f>
        <v>0</v>
      </c>
      <c r="AR54" s="10"/>
    </row>
    <row r="55" spans="1:44" s="7" customFormat="1" ht="13.5" customHeight="1" x14ac:dyDescent="0.2">
      <c r="A55" s="89"/>
      <c r="B55" s="89"/>
      <c r="C55" s="2" t="s">
        <v>9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6"/>
      <c r="X55" s="9"/>
      <c r="Y55" s="8"/>
      <c r="Z55" s="8"/>
      <c r="AA55" s="8"/>
      <c r="AB55" s="8"/>
      <c r="AC55" s="8"/>
      <c r="AD55" s="8"/>
      <c r="AE55" s="9"/>
      <c r="AF55" s="8"/>
      <c r="AG55" s="8"/>
      <c r="AH55" s="6"/>
      <c r="AI55" s="50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0</v>
      </c>
      <c r="AJ55" s="51">
        <f>0</f>
        <v>0</v>
      </c>
      <c r="AK55" s="52">
        <f>AI55+AJ55</f>
        <v>0</v>
      </c>
      <c r="AR55" s="10"/>
    </row>
    <row r="56" spans="1:44" s="7" customFormat="1" ht="13.5" customHeight="1" x14ac:dyDescent="0.2">
      <c r="A56" s="89"/>
      <c r="B56" s="89"/>
      <c r="C56" s="2" t="s">
        <v>11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6"/>
      <c r="X56" s="9"/>
      <c r="Y56" s="8"/>
      <c r="Z56" s="8"/>
      <c r="AA56" s="8"/>
      <c r="AB56" s="8"/>
      <c r="AC56" s="8"/>
      <c r="AD56" s="8"/>
      <c r="AE56" s="9"/>
      <c r="AF56" s="8"/>
      <c r="AG56" s="8"/>
      <c r="AH56" s="6"/>
      <c r="AI56" s="50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0</v>
      </c>
      <c r="AJ56" s="51">
        <f>0</f>
        <v>0</v>
      </c>
      <c r="AK56" s="52">
        <f>AI56+AJ56</f>
        <v>0</v>
      </c>
      <c r="AR56" s="10"/>
    </row>
    <row r="57" spans="1:44" s="7" customFormat="1" ht="13.5" customHeight="1" x14ac:dyDescent="0.2">
      <c r="A57" s="90"/>
      <c r="B57" s="96"/>
      <c r="C57" s="2" t="s">
        <v>12</v>
      </c>
      <c r="D57" s="8"/>
      <c r="E57" s="8"/>
      <c r="F57" s="8"/>
      <c r="G57" s="8"/>
      <c r="H57" s="8"/>
      <c r="I57" s="8"/>
      <c r="J57" s="13"/>
      <c r="K57" s="13"/>
      <c r="L57" s="13"/>
      <c r="M57" s="8"/>
      <c r="N57" s="13"/>
      <c r="O57" s="13"/>
      <c r="P57" s="13"/>
      <c r="Q57" s="13"/>
      <c r="R57" s="8"/>
      <c r="S57" s="8"/>
      <c r="T57" s="8"/>
      <c r="U57" s="8"/>
      <c r="V57" s="6"/>
      <c r="W57" s="6"/>
      <c r="X57" s="9"/>
      <c r="Y57" s="8"/>
      <c r="Z57" s="8"/>
      <c r="AA57" s="8"/>
      <c r="AB57" s="8"/>
      <c r="AC57" s="8"/>
      <c r="AD57" s="8"/>
      <c r="AE57" s="9"/>
      <c r="AF57" s="8"/>
      <c r="AG57" s="8"/>
      <c r="AH57" s="6"/>
      <c r="AI57" s="50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0</v>
      </c>
      <c r="AJ57" s="51">
        <f>0</f>
        <v>0</v>
      </c>
      <c r="AK57" s="52">
        <f>AI57+AJ57</f>
        <v>0</v>
      </c>
    </row>
    <row r="58" spans="1:44" s="7" customFormat="1" ht="13.5" customHeight="1" x14ac:dyDescent="0.2">
      <c r="A58" s="16"/>
      <c r="B58" s="17"/>
      <c r="C58" s="18"/>
      <c r="D58" s="19"/>
      <c r="E58" s="19"/>
      <c r="F58" s="19"/>
      <c r="G58" s="19"/>
      <c r="H58" s="19"/>
      <c r="I58" s="19"/>
      <c r="J58" s="22"/>
      <c r="K58" s="22"/>
      <c r="L58" s="22"/>
      <c r="M58" s="19"/>
      <c r="N58" s="22"/>
      <c r="O58" s="22"/>
      <c r="P58" s="22"/>
      <c r="Q58" s="22"/>
      <c r="R58" s="19"/>
      <c r="S58" s="19"/>
      <c r="T58" s="19"/>
      <c r="U58" s="19"/>
      <c r="V58" s="20"/>
      <c r="W58" s="20"/>
      <c r="X58" s="20" t="s">
        <v>59</v>
      </c>
      <c r="Y58" s="19"/>
      <c r="Z58" s="19"/>
      <c r="AA58" s="19"/>
      <c r="AB58" s="19"/>
      <c r="AC58" s="19"/>
      <c r="AD58" s="19"/>
      <c r="AE58" s="20"/>
      <c r="AF58" s="19"/>
      <c r="AG58" s="19"/>
      <c r="AH58" s="20"/>
      <c r="AI58" s="53" t="str">
        <f>""</f>
        <v/>
      </c>
      <c r="AJ58" s="54" t="str">
        <f>""</f>
        <v/>
      </c>
      <c r="AK58" s="55" t="str">
        <f>""</f>
        <v/>
      </c>
    </row>
    <row r="59" spans="1:44" ht="13.5" customHeight="1" x14ac:dyDescent="0.2">
      <c r="A59" s="94">
        <v>12</v>
      </c>
      <c r="B59" s="88" t="s">
        <v>24</v>
      </c>
      <c r="C59" s="2" t="s">
        <v>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"/>
      <c r="W59" s="6"/>
      <c r="X59" s="9"/>
      <c r="Y59" s="8"/>
      <c r="Z59" s="8"/>
      <c r="AA59" s="8"/>
      <c r="AB59" s="8"/>
      <c r="AC59" s="8"/>
      <c r="AD59" s="8"/>
      <c r="AE59" s="9"/>
      <c r="AF59" s="8"/>
      <c r="AG59" s="8"/>
      <c r="AH59" s="4"/>
      <c r="AI59" s="50">
        <f>0</f>
        <v>0</v>
      </c>
      <c r="AJ59" s="51">
        <f>SUM(D59:AH59)/8</f>
        <v>0</v>
      </c>
      <c r="AK59" s="52">
        <f>AI59+AJ59</f>
        <v>0</v>
      </c>
    </row>
    <row r="60" spans="1:44" ht="13.5" customHeight="1" x14ac:dyDescent="0.2">
      <c r="A60" s="89"/>
      <c r="B60" s="89"/>
      <c r="C60" s="2" t="s">
        <v>9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4"/>
      <c r="W60" s="6"/>
      <c r="X60" s="9"/>
      <c r="Y60" s="8"/>
      <c r="Z60" s="8"/>
      <c r="AA60" s="8"/>
      <c r="AB60" s="8"/>
      <c r="AC60" s="8"/>
      <c r="AD60" s="8"/>
      <c r="AE60" s="9"/>
      <c r="AF60" s="8"/>
      <c r="AG60" s="8"/>
      <c r="AH60" s="4"/>
      <c r="AI60" s="50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0</v>
      </c>
      <c r="AJ60" s="51">
        <f>0</f>
        <v>0</v>
      </c>
      <c r="AK60" s="52">
        <f>AI60+AJ60</f>
        <v>0</v>
      </c>
    </row>
    <row r="61" spans="1:44" ht="13.5" customHeight="1" x14ac:dyDescent="0.2">
      <c r="A61" s="89"/>
      <c r="B61" s="89"/>
      <c r="C61" s="2" t="s">
        <v>11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"/>
      <c r="W61" s="6"/>
      <c r="X61" s="9"/>
      <c r="Y61" s="8"/>
      <c r="Z61" s="8"/>
      <c r="AA61" s="8"/>
      <c r="AB61" s="8"/>
      <c r="AC61" s="8"/>
      <c r="AD61" s="8"/>
      <c r="AE61" s="9"/>
      <c r="AF61" s="8"/>
      <c r="AG61" s="8"/>
      <c r="AH61" s="4"/>
      <c r="AI61" s="50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0</v>
      </c>
      <c r="AJ61" s="51">
        <f>0</f>
        <v>0</v>
      </c>
      <c r="AK61" s="52">
        <f>AI61+AJ61</f>
        <v>0</v>
      </c>
    </row>
    <row r="62" spans="1:44" s="7" customFormat="1" ht="13.5" customHeight="1" x14ac:dyDescent="0.2">
      <c r="A62" s="90"/>
      <c r="B62" s="90"/>
      <c r="C62" s="2" t="s">
        <v>12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6"/>
      <c r="W62" s="6"/>
      <c r="X62" s="9"/>
      <c r="Y62" s="8"/>
      <c r="Z62" s="8"/>
      <c r="AA62" s="8"/>
      <c r="AB62" s="8"/>
      <c r="AC62" s="8"/>
      <c r="AD62" s="8"/>
      <c r="AE62" s="9"/>
      <c r="AF62" s="8"/>
      <c r="AG62" s="8"/>
      <c r="AH62" s="6"/>
      <c r="AI62" s="50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0</v>
      </c>
      <c r="AJ62" s="51">
        <f>0</f>
        <v>0</v>
      </c>
      <c r="AK62" s="52">
        <f>AI62+AJ62</f>
        <v>0</v>
      </c>
    </row>
    <row r="63" spans="1:44" s="7" customFormat="1" ht="13.5" customHeight="1" x14ac:dyDescent="0.2">
      <c r="A63" s="16"/>
      <c r="B63" s="23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  <c r="W63" s="20"/>
      <c r="X63" s="20"/>
      <c r="Y63" s="19"/>
      <c r="Z63" s="19"/>
      <c r="AA63" s="19"/>
      <c r="AB63" s="19"/>
      <c r="AC63" s="19"/>
      <c r="AD63" s="19"/>
      <c r="AE63" s="20"/>
      <c r="AF63" s="19"/>
      <c r="AG63" s="19"/>
      <c r="AH63" s="20"/>
      <c r="AI63" s="53" t="str">
        <f>""</f>
        <v/>
      </c>
      <c r="AJ63" s="54" t="str">
        <f>""</f>
        <v/>
      </c>
      <c r="AK63" s="55" t="str">
        <f>""</f>
        <v/>
      </c>
    </row>
    <row r="64" spans="1:44" ht="13.5" customHeight="1" x14ac:dyDescent="0.2">
      <c r="A64" s="94">
        <v>13</v>
      </c>
      <c r="B64" s="94" t="s">
        <v>26</v>
      </c>
      <c r="C64" s="2" t="s">
        <v>8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4"/>
      <c r="W64" s="6"/>
      <c r="X64" s="9"/>
      <c r="Y64" s="8"/>
      <c r="Z64" s="8"/>
      <c r="AA64" s="8"/>
      <c r="AB64" s="8"/>
      <c r="AC64" s="8"/>
      <c r="AD64" s="8"/>
      <c r="AE64" s="9"/>
      <c r="AF64" s="8"/>
      <c r="AG64" s="8"/>
      <c r="AH64" s="4"/>
      <c r="AI64" s="50">
        <f>0</f>
        <v>0</v>
      </c>
      <c r="AJ64" s="51">
        <f>SUM(D64:AH64)/8</f>
        <v>0</v>
      </c>
      <c r="AK64" s="52">
        <f>AI64+AJ64</f>
        <v>0</v>
      </c>
    </row>
    <row r="65" spans="1:37" ht="13.5" customHeight="1" x14ac:dyDescent="0.2">
      <c r="A65" s="89"/>
      <c r="B65" s="89"/>
      <c r="C65" s="2" t="s">
        <v>9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"/>
      <c r="W65" s="6"/>
      <c r="X65" s="9"/>
      <c r="Y65" s="8"/>
      <c r="Z65" s="8"/>
      <c r="AA65" s="8"/>
      <c r="AB65" s="8"/>
      <c r="AC65" s="8"/>
      <c r="AD65" s="8"/>
      <c r="AE65" s="9"/>
      <c r="AF65" s="8"/>
      <c r="AG65" s="8"/>
      <c r="AH65" s="4"/>
      <c r="AI65" s="50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0</v>
      </c>
      <c r="AJ65" s="51">
        <f>0</f>
        <v>0</v>
      </c>
      <c r="AK65" s="52">
        <f>AI65+AJ65</f>
        <v>0</v>
      </c>
    </row>
    <row r="66" spans="1:37" ht="12.75" customHeight="1" x14ac:dyDescent="0.2">
      <c r="A66" s="89"/>
      <c r="B66" s="89"/>
      <c r="C66" s="2" t="s">
        <v>11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4"/>
      <c r="W66" s="6"/>
      <c r="X66" s="9"/>
      <c r="Y66" s="8"/>
      <c r="Z66" s="8"/>
      <c r="AA66" s="8"/>
      <c r="AB66" s="8"/>
      <c r="AC66" s="8"/>
      <c r="AD66" s="8"/>
      <c r="AE66" s="9"/>
      <c r="AF66" s="8"/>
      <c r="AG66" s="8"/>
      <c r="AH66" s="4"/>
      <c r="AI66" s="50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0</v>
      </c>
      <c r="AJ66" s="51">
        <f>0</f>
        <v>0</v>
      </c>
      <c r="AK66" s="52">
        <f>AI66+AJ66</f>
        <v>0</v>
      </c>
    </row>
    <row r="67" spans="1:37" s="7" customFormat="1" ht="13.5" customHeight="1" x14ac:dyDescent="0.2">
      <c r="A67" s="90"/>
      <c r="B67" s="90"/>
      <c r="C67" s="2" t="s">
        <v>12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6"/>
      <c r="W67" s="6"/>
      <c r="X67" s="9"/>
      <c r="Y67" s="8"/>
      <c r="Z67" s="8"/>
      <c r="AA67" s="6"/>
      <c r="AB67" s="8"/>
      <c r="AC67" s="8"/>
      <c r="AD67" s="8"/>
      <c r="AE67" s="9"/>
      <c r="AF67" s="8"/>
      <c r="AG67" s="8"/>
      <c r="AH67" s="6"/>
      <c r="AI67" s="50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0</v>
      </c>
      <c r="AJ67" s="51">
        <f>0</f>
        <v>0</v>
      </c>
      <c r="AK67" s="52">
        <f>AI67+AJ67</f>
        <v>0</v>
      </c>
    </row>
    <row r="68" spans="1:37" ht="20.25" customHeight="1" x14ac:dyDescent="0.2">
      <c r="A68" s="11" t="s">
        <v>27</v>
      </c>
      <c r="B68" s="11" t="s">
        <v>28</v>
      </c>
      <c r="AH68" s="12" t="s">
        <v>4</v>
      </c>
      <c r="AI68" s="52" t="str">
        <f>""</f>
        <v/>
      </c>
      <c r="AJ68" s="52" t="str">
        <f>""</f>
        <v/>
      </c>
      <c r="AK68" s="52" t="str">
        <f>""</f>
        <v/>
      </c>
    </row>
    <row r="69" spans="1:37" x14ac:dyDescent="0.2">
      <c r="A69" s="11"/>
      <c r="B69" s="11"/>
      <c r="AI69" s="45"/>
      <c r="AJ69" s="45"/>
      <c r="AK69" s="45"/>
    </row>
    <row r="70" spans="1:37" x14ac:dyDescent="0.2">
      <c r="AI70" s="45"/>
      <c r="AJ70" s="45"/>
      <c r="AK70" s="45"/>
    </row>
    <row r="71" spans="1:37" ht="14.25" customHeight="1" x14ac:dyDescent="0.2">
      <c r="AI71" s="45"/>
      <c r="AJ71" s="45"/>
      <c r="AK71" s="45"/>
    </row>
    <row r="72" spans="1:37" ht="14.25" customHeight="1" x14ac:dyDescent="0.2">
      <c r="A72" s="103"/>
      <c r="B72" s="104"/>
      <c r="C72" s="104"/>
      <c r="D72" s="10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106"/>
      <c r="AJ72" s="108"/>
      <c r="AK72" s="107"/>
    </row>
    <row r="73" spans="1:37" ht="14.25" customHeight="1" x14ac:dyDescent="0.2">
      <c r="A73" s="100"/>
      <c r="B73" s="105"/>
      <c r="C73" s="105"/>
      <c r="D73" s="91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3"/>
      <c r="AI73" s="89"/>
      <c r="AJ73" s="99"/>
      <c r="AK73" s="89"/>
    </row>
    <row r="74" spans="1:37" ht="14.25" customHeight="1" x14ac:dyDescent="0.25">
      <c r="A74" s="2"/>
      <c r="B74" s="2"/>
      <c r="C74" s="3"/>
      <c r="D74" s="14">
        <f t="shared" ref="D74:AH74" si="1">+C74+1</f>
        <v>1</v>
      </c>
      <c r="E74" s="14">
        <f t="shared" si="1"/>
        <v>2</v>
      </c>
      <c r="F74" s="14">
        <f t="shared" si="1"/>
        <v>3</v>
      </c>
      <c r="G74" s="14">
        <f t="shared" si="1"/>
        <v>4</v>
      </c>
      <c r="H74" s="14">
        <f t="shared" si="1"/>
        <v>5</v>
      </c>
      <c r="I74" s="14">
        <f t="shared" si="1"/>
        <v>6</v>
      </c>
      <c r="J74" s="14">
        <f t="shared" si="1"/>
        <v>7</v>
      </c>
      <c r="K74" s="14">
        <f t="shared" si="1"/>
        <v>8</v>
      </c>
      <c r="L74" s="14">
        <f t="shared" si="1"/>
        <v>9</v>
      </c>
      <c r="M74" s="14">
        <f t="shared" si="1"/>
        <v>10</v>
      </c>
      <c r="N74" s="14">
        <f t="shared" si="1"/>
        <v>11</v>
      </c>
      <c r="O74" s="14">
        <f t="shared" si="1"/>
        <v>12</v>
      </c>
      <c r="P74" s="14">
        <f t="shared" si="1"/>
        <v>13</v>
      </c>
      <c r="Q74" s="14">
        <f t="shared" si="1"/>
        <v>14</v>
      </c>
      <c r="R74" s="14">
        <f t="shared" si="1"/>
        <v>15</v>
      </c>
      <c r="S74" s="14">
        <f t="shared" si="1"/>
        <v>16</v>
      </c>
      <c r="T74" s="14">
        <f t="shared" si="1"/>
        <v>17</v>
      </c>
      <c r="U74" s="14">
        <f t="shared" si="1"/>
        <v>18</v>
      </c>
      <c r="V74" s="14">
        <f t="shared" si="1"/>
        <v>19</v>
      </c>
      <c r="W74" s="14">
        <f t="shared" si="1"/>
        <v>20</v>
      </c>
      <c r="X74" s="14">
        <f t="shared" si="1"/>
        <v>21</v>
      </c>
      <c r="Y74" s="14">
        <f t="shared" si="1"/>
        <v>22</v>
      </c>
      <c r="Z74" s="14">
        <f t="shared" si="1"/>
        <v>23</v>
      </c>
      <c r="AA74" s="14">
        <f t="shared" si="1"/>
        <v>24</v>
      </c>
      <c r="AB74" s="14">
        <f t="shared" si="1"/>
        <v>25</v>
      </c>
      <c r="AC74" s="14">
        <f t="shared" si="1"/>
        <v>26</v>
      </c>
      <c r="AD74" s="14">
        <f t="shared" si="1"/>
        <v>27</v>
      </c>
      <c r="AE74" s="14">
        <f t="shared" si="1"/>
        <v>28</v>
      </c>
      <c r="AF74" s="14">
        <f t="shared" si="1"/>
        <v>29</v>
      </c>
      <c r="AG74" s="14">
        <f t="shared" si="1"/>
        <v>30</v>
      </c>
      <c r="AH74" s="14">
        <f t="shared" si="1"/>
        <v>31</v>
      </c>
      <c r="AI74" s="90"/>
      <c r="AJ74" s="100"/>
      <c r="AK74" s="90"/>
    </row>
    <row r="75" spans="1:37" ht="14.25" customHeight="1" x14ac:dyDescent="0.2">
      <c r="A75" s="94"/>
      <c r="B75" s="95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ref="AJ75:AJ82" si="2">SUM(D75:AH75)/8</f>
        <v>0</v>
      </c>
      <c r="AK75" s="52">
        <f t="shared" ref="AK75:AK106" si="3">AI75+AJ75</f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2"/>
        <v>0</v>
      </c>
      <c r="AK76" s="52">
        <f t="shared" si="3"/>
        <v>0</v>
      </c>
    </row>
    <row r="77" spans="1:37" ht="14.25" customHeight="1" x14ac:dyDescent="0.2">
      <c r="A77" s="89"/>
      <c r="B77" s="89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8"/>
      <c r="AF77" s="8"/>
      <c r="AG77" s="8"/>
      <c r="AH77" s="4"/>
      <c r="AI77" s="50">
        <f>0</f>
        <v>0</v>
      </c>
      <c r="AJ77" s="51">
        <f t="shared" si="2"/>
        <v>0</v>
      </c>
      <c r="AK77" s="52">
        <f t="shared" si="3"/>
        <v>0</v>
      </c>
    </row>
    <row r="78" spans="1:37" ht="14.25" customHeight="1" x14ac:dyDescent="0.2">
      <c r="A78" s="90"/>
      <c r="B78" s="96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2"/>
        <v>0</v>
      </c>
      <c r="AK78" s="52">
        <f t="shared" si="3"/>
        <v>0</v>
      </c>
    </row>
    <row r="79" spans="1:37" ht="14.25" customHeight="1" x14ac:dyDescent="0.2">
      <c r="A79" s="94"/>
      <c r="B79" s="97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2"/>
        <v>0</v>
      </c>
      <c r="AK79" s="52">
        <f t="shared" si="3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2"/>
        <v>0</v>
      </c>
      <c r="AK80" s="52">
        <f t="shared" si="3"/>
        <v>0</v>
      </c>
    </row>
    <row r="81" spans="1:37" ht="14.25" customHeight="1" x14ac:dyDescent="0.2">
      <c r="A81" s="89"/>
      <c r="B81" s="89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2"/>
        <v>0</v>
      </c>
      <c r="AK81" s="52">
        <f t="shared" si="3"/>
        <v>0</v>
      </c>
    </row>
    <row r="82" spans="1:37" ht="14.25" customHeight="1" x14ac:dyDescent="0.2">
      <c r="A82" s="90"/>
      <c r="B82" s="96"/>
      <c r="C82" s="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>
        <f t="shared" si="2"/>
        <v>0</v>
      </c>
      <c r="AK82" s="52">
        <f t="shared" si="3"/>
        <v>0</v>
      </c>
    </row>
    <row r="83" spans="1:37" ht="14.25" customHeight="1" x14ac:dyDescent="0.2">
      <c r="A83" s="94"/>
      <c r="B83" s="97"/>
      <c r="C83" s="2"/>
      <c r="D83" s="8"/>
      <c r="E83" s="8"/>
      <c r="F83" s="8"/>
      <c r="G83" s="8"/>
      <c r="H83" s="8"/>
      <c r="I83" s="8"/>
      <c r="J83" s="8"/>
      <c r="K83" s="8"/>
      <c r="L83" s="1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/>
      <c r="AK83" s="52">
        <f t="shared" si="3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3"/>
        <v>0</v>
      </c>
    </row>
    <row r="85" spans="1:37" ht="14.25" customHeight="1" x14ac:dyDescent="0.2">
      <c r="A85" s="89"/>
      <c r="B85" s="89"/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3"/>
        <v>0</v>
      </c>
    </row>
    <row r="86" spans="1:37" ht="14.25" customHeight="1" x14ac:dyDescent="0.2">
      <c r="A86" s="90"/>
      <c r="B86" s="96"/>
      <c r="C86" s="2"/>
      <c r="D86" s="8"/>
      <c r="E86" s="8"/>
      <c r="F86" s="8"/>
      <c r="G86" s="8"/>
      <c r="H86" s="8"/>
      <c r="I86" s="8"/>
      <c r="J86" s="8"/>
      <c r="K86" s="8"/>
      <c r="L86" s="1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3"/>
        <v>0</v>
      </c>
    </row>
    <row r="87" spans="1:37" ht="14.25" customHeight="1" x14ac:dyDescent="0.2">
      <c r="A87" s="94"/>
      <c r="B87" s="97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3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3"/>
        <v>0</v>
      </c>
    </row>
    <row r="89" spans="1:37" ht="14.25" customHeight="1" x14ac:dyDescent="0.2">
      <c r="A89" s="89"/>
      <c r="B89" s="89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3"/>
        <v>0</v>
      </c>
    </row>
    <row r="90" spans="1:37" ht="14.25" customHeight="1" x14ac:dyDescent="0.2">
      <c r="A90" s="90"/>
      <c r="B90" s="96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3"/>
        <v>0</v>
      </c>
    </row>
    <row r="91" spans="1:37" ht="14.25" customHeight="1" x14ac:dyDescent="0.2">
      <c r="A91" s="94"/>
      <c r="B91" s="97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3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3"/>
        <v>0</v>
      </c>
    </row>
    <row r="93" spans="1:37" ht="14.25" customHeight="1" x14ac:dyDescent="0.2">
      <c r="A93" s="89"/>
      <c r="B93" s="89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3"/>
        <v>0</v>
      </c>
    </row>
    <row r="94" spans="1:37" ht="14.25" customHeight="1" x14ac:dyDescent="0.2">
      <c r="A94" s="90"/>
      <c r="B94" s="96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3"/>
        <v>0</v>
      </c>
    </row>
    <row r="95" spans="1:37" ht="14.25" customHeight="1" x14ac:dyDescent="0.2">
      <c r="A95" s="94"/>
      <c r="B95" s="97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3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3"/>
        <v>0</v>
      </c>
    </row>
    <row r="97" spans="1:37" ht="14.25" customHeight="1" x14ac:dyDescent="0.2">
      <c r="A97" s="89"/>
      <c r="B97" s="89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3"/>
        <v>0</v>
      </c>
    </row>
    <row r="98" spans="1:37" ht="14.25" customHeight="1" x14ac:dyDescent="0.2">
      <c r="A98" s="90"/>
      <c r="B98" s="96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3"/>
        <v>0</v>
      </c>
    </row>
    <row r="99" spans="1:37" ht="14.25" customHeight="1" x14ac:dyDescent="0.2">
      <c r="A99" s="94"/>
      <c r="B99" s="97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3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3"/>
        <v>0</v>
      </c>
    </row>
    <row r="101" spans="1:37" ht="14.25" customHeight="1" x14ac:dyDescent="0.2">
      <c r="A101" s="89"/>
      <c r="B101" s="89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3"/>
        <v>0</v>
      </c>
    </row>
    <row r="102" spans="1:37" ht="14.25" customHeight="1" x14ac:dyDescent="0.2">
      <c r="A102" s="90"/>
      <c r="B102" s="96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3"/>
        <v>0</v>
      </c>
    </row>
    <row r="103" spans="1:37" ht="14.25" customHeight="1" x14ac:dyDescent="0.2">
      <c r="A103" s="94"/>
      <c r="B103" s="97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3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3"/>
        <v>0</v>
      </c>
    </row>
    <row r="105" spans="1:37" ht="14.25" customHeight="1" x14ac:dyDescent="0.2">
      <c r="A105" s="89"/>
      <c r="B105" s="89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3"/>
        <v>0</v>
      </c>
    </row>
    <row r="106" spans="1:37" ht="14.25" customHeight="1" x14ac:dyDescent="0.2">
      <c r="A106" s="90"/>
      <c r="B106" s="96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si="3"/>
        <v>0</v>
      </c>
    </row>
    <row r="107" spans="1:37" ht="14.25" customHeight="1" x14ac:dyDescent="0.2">
      <c r="A107" s="94"/>
      <c r="B107" s="97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ref="AK107:AK126" si="4">AI107+AJ107</f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4"/>
        <v>0</v>
      </c>
    </row>
    <row r="109" spans="1:37" ht="14.25" customHeight="1" x14ac:dyDescent="0.2">
      <c r="A109" s="89"/>
      <c r="B109" s="89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8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4"/>
        <v>0</v>
      </c>
    </row>
    <row r="110" spans="1:37" ht="14.25" customHeight="1" x14ac:dyDescent="0.2">
      <c r="A110" s="90"/>
      <c r="B110" s="96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4"/>
        <v>0</v>
      </c>
    </row>
    <row r="111" spans="1:37" ht="14.25" customHeight="1" x14ac:dyDescent="0.2">
      <c r="A111" s="94"/>
      <c r="B111" s="97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4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4"/>
        <v>0</v>
      </c>
    </row>
    <row r="113" spans="1:37" ht="14.25" customHeight="1" x14ac:dyDescent="0.2">
      <c r="A113" s="89"/>
      <c r="B113" s="89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4"/>
        <v>0</v>
      </c>
    </row>
    <row r="114" spans="1:37" ht="14.25" customHeight="1" x14ac:dyDescent="0.2">
      <c r="A114" s="90"/>
      <c r="B114" s="96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6"/>
      <c r="W114" s="6"/>
      <c r="X114" s="9"/>
      <c r="Y114" s="8"/>
      <c r="Z114" s="8"/>
      <c r="AA114" s="6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4"/>
        <v>0</v>
      </c>
    </row>
    <row r="115" spans="1:37" ht="14.25" customHeight="1" x14ac:dyDescent="0.2">
      <c r="A115" s="94"/>
      <c r="B115" s="97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4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4"/>
        <v>0</v>
      </c>
    </row>
    <row r="117" spans="1:37" ht="14.25" customHeight="1" x14ac:dyDescent="0.2">
      <c r="A117" s="89"/>
      <c r="B117" s="89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4"/>
        <v>0</v>
      </c>
    </row>
    <row r="118" spans="1:37" ht="14.25" customHeight="1" x14ac:dyDescent="0.2">
      <c r="A118" s="90"/>
      <c r="B118" s="96"/>
      <c r="C118" s="2"/>
      <c r="D118" s="8"/>
      <c r="E118" s="8"/>
      <c r="F118" s="8"/>
      <c r="G118" s="8"/>
      <c r="H118" s="8"/>
      <c r="I118" s="8"/>
      <c r="J118" s="13"/>
      <c r="K118" s="13"/>
      <c r="L118" s="13"/>
      <c r="M118" s="8"/>
      <c r="N118" s="13"/>
      <c r="O118" s="13"/>
      <c r="P118" s="13"/>
      <c r="Q118" s="13"/>
      <c r="R118" s="8"/>
      <c r="S118" s="8"/>
      <c r="T118" s="8"/>
      <c r="U118" s="8"/>
      <c r="V118" s="6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6"/>
      <c r="AI118" s="50">
        <f>0</f>
        <v>0</v>
      </c>
      <c r="AJ118" s="51">
        <f>0</f>
        <v>0</v>
      </c>
      <c r="AK118" s="52">
        <f t="shared" si="4"/>
        <v>0</v>
      </c>
    </row>
    <row r="119" spans="1:37" ht="14.25" customHeight="1" x14ac:dyDescent="0.2">
      <c r="A119" s="94"/>
      <c r="B119" s="88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4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4"/>
        <v>0</v>
      </c>
    </row>
    <row r="121" spans="1:37" ht="14.25" customHeight="1" x14ac:dyDescent="0.2">
      <c r="A121" s="89"/>
      <c r="B121" s="89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4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4"/>
      <c r="AI121" s="50">
        <f>0</f>
        <v>0</v>
      </c>
      <c r="AJ121" s="51">
        <f>0</f>
        <v>0</v>
      </c>
      <c r="AK121" s="52">
        <f t="shared" si="4"/>
        <v>0</v>
      </c>
    </row>
    <row r="122" spans="1:37" ht="14.25" customHeight="1" x14ac:dyDescent="0.2">
      <c r="A122" s="90"/>
      <c r="B122" s="90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6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6"/>
      <c r="AI122" s="50">
        <f>0</f>
        <v>0</v>
      </c>
      <c r="AJ122" s="51">
        <f>0</f>
        <v>0</v>
      </c>
      <c r="AK122" s="52">
        <f t="shared" si="4"/>
        <v>0</v>
      </c>
    </row>
    <row r="123" spans="1:37" ht="14.25" customHeight="1" x14ac:dyDescent="0.2">
      <c r="A123" s="94"/>
      <c r="B123" s="94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4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4"/>
        <v>0</v>
      </c>
    </row>
    <row r="125" spans="1:37" ht="14.25" customHeight="1" x14ac:dyDescent="0.2">
      <c r="A125" s="89"/>
      <c r="B125" s="89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4"/>
      <c r="W125" s="6"/>
      <c r="X125" s="9"/>
      <c r="Y125" s="8"/>
      <c r="Z125" s="8"/>
      <c r="AA125" s="8"/>
      <c r="AB125" s="8"/>
      <c r="AC125" s="8"/>
      <c r="AD125" s="8"/>
      <c r="AE125" s="9"/>
      <c r="AF125" s="8"/>
      <c r="AG125" s="8"/>
      <c r="AH125" s="4"/>
      <c r="AI125" s="50">
        <f>0</f>
        <v>0</v>
      </c>
      <c r="AJ125" s="51">
        <f>0</f>
        <v>0</v>
      </c>
      <c r="AK125" s="52">
        <f t="shared" si="4"/>
        <v>0</v>
      </c>
    </row>
    <row r="126" spans="1:37" ht="14.25" customHeight="1" x14ac:dyDescent="0.2">
      <c r="A126" s="90"/>
      <c r="B126" s="90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6"/>
      <c r="W126" s="6"/>
      <c r="X126" s="9"/>
      <c r="Y126" s="8"/>
      <c r="Z126" s="8"/>
      <c r="AA126" s="6"/>
      <c r="AB126" s="8"/>
      <c r="AC126" s="8"/>
      <c r="AD126" s="8"/>
      <c r="AE126" s="9"/>
      <c r="AF126" s="8"/>
      <c r="AG126" s="8"/>
      <c r="AH126" s="6"/>
      <c r="AI126" s="50">
        <f>0</f>
        <v>0</v>
      </c>
      <c r="AJ126" s="51">
        <f>0</f>
        <v>0</v>
      </c>
      <c r="AK126" s="52">
        <f t="shared" si="4"/>
        <v>0</v>
      </c>
    </row>
    <row r="127" spans="1:37" x14ac:dyDescent="0.2">
      <c r="A127" s="11"/>
      <c r="B127" s="11"/>
      <c r="AH127" s="12"/>
      <c r="AI127" s="52"/>
      <c r="AJ127" s="52">
        <f>SUM(AJ75:AJ126)</f>
        <v>0</v>
      </c>
      <c r="AK127" s="52">
        <f>SUM(AK75:AK126)</f>
        <v>0</v>
      </c>
    </row>
    <row r="128" spans="1:37" x14ac:dyDescent="0.2">
      <c r="A128" s="11"/>
      <c r="B128" s="11"/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4.25" customHeight="1" x14ac:dyDescent="0.2">
      <c r="AI134" s="45"/>
      <c r="AJ134" s="45"/>
      <c r="AK134" s="45"/>
    </row>
    <row r="135" spans="35:37" ht="14.25" customHeight="1" x14ac:dyDescent="0.2">
      <c r="AI135" s="45"/>
      <c r="AJ135" s="45"/>
      <c r="AK135" s="45"/>
    </row>
    <row r="136" spans="35:37" ht="14.25" customHeight="1" x14ac:dyDescent="0.2">
      <c r="AI136" s="45"/>
      <c r="AJ136" s="45"/>
      <c r="AK136" s="45"/>
    </row>
    <row r="137" spans="35:37" ht="14.25" customHeight="1" x14ac:dyDescent="0.2">
      <c r="AI137" s="45"/>
      <c r="AJ137" s="45"/>
      <c r="AK137" s="45"/>
    </row>
    <row r="138" spans="35:37" ht="14.25" customHeight="1" x14ac:dyDescent="0.2">
      <c r="AI138" s="45"/>
      <c r="AJ138" s="45"/>
      <c r="AK138" s="45"/>
    </row>
    <row r="139" spans="35:37" ht="14.25" customHeight="1" x14ac:dyDescent="0.2">
      <c r="AI139" s="45"/>
      <c r="AJ139" s="45"/>
      <c r="AK139" s="45"/>
    </row>
    <row r="140" spans="35:37" ht="14.25" customHeight="1" x14ac:dyDescent="0.2">
      <c r="AI140" s="45"/>
      <c r="AJ140" s="45"/>
      <c r="AK140" s="45"/>
    </row>
    <row r="141" spans="35:37" ht="14.25" customHeight="1" x14ac:dyDescent="0.2">
      <c r="AI141" s="45"/>
      <c r="AJ141" s="45"/>
      <c r="AK141" s="45"/>
    </row>
    <row r="142" spans="35:37" ht="14.25" customHeight="1" x14ac:dyDescent="0.2">
      <c r="AI142" s="45"/>
      <c r="AJ142" s="45"/>
      <c r="AK142" s="45"/>
    </row>
    <row r="143" spans="35:37" ht="14.25" customHeight="1" x14ac:dyDescent="0.2">
      <c r="AI143" s="45"/>
      <c r="AJ143" s="45"/>
      <c r="AK143" s="45"/>
    </row>
    <row r="144" spans="35:37" ht="14.25" customHeight="1" x14ac:dyDescent="0.2">
      <c r="AI144" s="45"/>
      <c r="AJ144" s="45"/>
      <c r="AK144" s="45"/>
    </row>
    <row r="145" spans="35:37" ht="14.25" customHeight="1" x14ac:dyDescent="0.2">
      <c r="AI145" s="45"/>
      <c r="AJ145" s="45"/>
      <c r="AK145" s="45"/>
    </row>
    <row r="146" spans="35:37" ht="14.25" customHeight="1" x14ac:dyDescent="0.2">
      <c r="AI146" s="45"/>
      <c r="AJ146" s="45"/>
      <c r="AK146" s="45"/>
    </row>
    <row r="147" spans="35:37" ht="14.25" customHeight="1" x14ac:dyDescent="0.2">
      <c r="AI147" s="45"/>
      <c r="AJ147" s="45"/>
      <c r="AK147" s="45"/>
    </row>
    <row r="148" spans="35:37" ht="14.25" customHeight="1" x14ac:dyDescent="0.2">
      <c r="AI148" s="45"/>
      <c r="AJ148" s="45"/>
      <c r="AK148" s="45"/>
    </row>
    <row r="149" spans="35:37" ht="14.25" customHeight="1" x14ac:dyDescent="0.2">
      <c r="AI149" s="45"/>
      <c r="AJ149" s="45"/>
      <c r="AK149" s="45"/>
    </row>
    <row r="150" spans="35:37" ht="14.25" customHeight="1" x14ac:dyDescent="0.2">
      <c r="AI150" s="45"/>
      <c r="AJ150" s="45"/>
      <c r="AK150" s="45"/>
    </row>
    <row r="151" spans="35:37" ht="14.25" customHeight="1" x14ac:dyDescent="0.2">
      <c r="AI151" s="45"/>
      <c r="AJ151" s="45"/>
      <c r="AK151" s="45"/>
    </row>
    <row r="152" spans="35:37" ht="14.25" customHeight="1" x14ac:dyDescent="0.2">
      <c r="AI152" s="45"/>
      <c r="AJ152" s="45"/>
      <c r="AK152" s="45"/>
    </row>
    <row r="153" spans="35:37" ht="14.25" customHeight="1" x14ac:dyDescent="0.2">
      <c r="AI153" s="45"/>
      <c r="AJ153" s="45"/>
      <c r="AK153" s="45"/>
    </row>
    <row r="154" spans="35:37" ht="14.25" customHeight="1" x14ac:dyDescent="0.2">
      <c r="AI154" s="45"/>
      <c r="AJ154" s="45"/>
      <c r="AK154" s="45"/>
    </row>
    <row r="155" spans="35:37" ht="14.25" customHeight="1" x14ac:dyDescent="0.2">
      <c r="AI155" s="45"/>
      <c r="AJ155" s="45"/>
      <c r="AK155" s="45"/>
    </row>
    <row r="156" spans="35:37" ht="14.25" customHeight="1" x14ac:dyDescent="0.2">
      <c r="AI156" s="45"/>
      <c r="AJ156" s="45"/>
      <c r="AK156" s="45"/>
    </row>
    <row r="157" spans="35:37" ht="14.25" customHeight="1" x14ac:dyDescent="0.2">
      <c r="AI157" s="45"/>
      <c r="AJ157" s="45"/>
      <c r="AK157" s="45"/>
    </row>
    <row r="158" spans="35:37" ht="14.25" customHeight="1" x14ac:dyDescent="0.2">
      <c r="AI158" s="45"/>
      <c r="AJ158" s="45"/>
      <c r="AK158" s="45"/>
    </row>
    <row r="159" spans="35:37" ht="14.25" customHeight="1" x14ac:dyDescent="0.2">
      <c r="AI159" s="45"/>
      <c r="AJ159" s="45"/>
      <c r="AK159" s="45"/>
    </row>
    <row r="160" spans="35:37" ht="14.25" customHeight="1" x14ac:dyDescent="0.2">
      <c r="AI160" s="45"/>
      <c r="AJ160" s="45"/>
      <c r="AK160" s="45"/>
    </row>
    <row r="161" spans="35:37" ht="14.25" customHeight="1" x14ac:dyDescent="0.2">
      <c r="AI161" s="45"/>
      <c r="AJ161" s="45"/>
      <c r="AK161" s="45"/>
    </row>
    <row r="162" spans="35:37" ht="14.25" customHeight="1" x14ac:dyDescent="0.2">
      <c r="AI162" s="45"/>
      <c r="AJ162" s="45"/>
      <c r="AK162" s="45"/>
    </row>
    <row r="163" spans="35:37" ht="14.25" customHeight="1" x14ac:dyDescent="0.2">
      <c r="AI163" s="45"/>
      <c r="AJ163" s="45"/>
      <c r="AK163" s="45"/>
    </row>
    <row r="164" spans="35:37" ht="14.25" customHeight="1" x14ac:dyDescent="0.2">
      <c r="AI164" s="45"/>
      <c r="AJ164" s="45"/>
      <c r="AK164" s="45"/>
    </row>
    <row r="165" spans="35:37" ht="14.25" customHeight="1" x14ac:dyDescent="0.2">
      <c r="AI165" s="45"/>
      <c r="AJ165" s="45"/>
      <c r="AK165" s="45"/>
    </row>
    <row r="166" spans="35:37" ht="14.25" customHeight="1" x14ac:dyDescent="0.2">
      <c r="AI166" s="45"/>
      <c r="AJ166" s="45"/>
      <c r="AK166" s="45"/>
    </row>
    <row r="167" spans="35:37" ht="14.25" customHeight="1" x14ac:dyDescent="0.2">
      <c r="AI167" s="45"/>
      <c r="AJ167" s="45"/>
      <c r="AK167" s="45"/>
    </row>
    <row r="168" spans="35:37" ht="14.25" customHeight="1" x14ac:dyDescent="0.2">
      <c r="AI168" s="45"/>
      <c r="AJ168" s="45"/>
      <c r="AK168" s="45"/>
    </row>
    <row r="169" spans="35:37" ht="14.25" customHeight="1" x14ac:dyDescent="0.2">
      <c r="AI169" s="45"/>
      <c r="AJ169" s="45"/>
      <c r="AK169" s="45"/>
    </row>
    <row r="170" spans="35:37" ht="14.25" customHeight="1" x14ac:dyDescent="0.2">
      <c r="AI170" s="45"/>
      <c r="AJ170" s="45"/>
      <c r="AK170" s="45"/>
    </row>
    <row r="171" spans="35:37" ht="14.25" customHeight="1" x14ac:dyDescent="0.2">
      <c r="AI171" s="45"/>
      <c r="AJ171" s="45"/>
      <c r="AK171" s="45"/>
    </row>
    <row r="172" spans="35:37" ht="14.25" customHeight="1" x14ac:dyDescent="0.2">
      <c r="AI172" s="45"/>
      <c r="AJ172" s="45"/>
      <c r="AK172" s="45"/>
    </row>
    <row r="173" spans="35:37" ht="14.25" customHeight="1" x14ac:dyDescent="0.2">
      <c r="AI173" s="45"/>
      <c r="AJ173" s="45"/>
      <c r="AK173" s="45"/>
    </row>
    <row r="174" spans="35:37" ht="14.25" customHeight="1" x14ac:dyDescent="0.2">
      <c r="AI174" s="45"/>
      <c r="AJ174" s="45"/>
      <c r="AK174" s="45"/>
    </row>
    <row r="175" spans="35:37" ht="14.25" customHeight="1" x14ac:dyDescent="0.2">
      <c r="AI175" s="45"/>
      <c r="AJ175" s="45"/>
      <c r="AK175" s="45"/>
    </row>
    <row r="176" spans="35:37" ht="14.25" customHeight="1" x14ac:dyDescent="0.2">
      <c r="AI176" s="45"/>
      <c r="AJ176" s="45"/>
      <c r="AK176" s="45"/>
    </row>
    <row r="177" spans="35:37" ht="14.25" customHeight="1" x14ac:dyDescent="0.2">
      <c r="AI177" s="45"/>
      <c r="AJ177" s="45"/>
      <c r="AK177" s="45"/>
    </row>
    <row r="178" spans="35:37" ht="14.25" customHeight="1" x14ac:dyDescent="0.2">
      <c r="AI178" s="45"/>
      <c r="AJ178" s="45"/>
      <c r="AK178" s="45"/>
    </row>
    <row r="179" spans="35:37" ht="14.25" customHeight="1" x14ac:dyDescent="0.2">
      <c r="AI179" s="45"/>
      <c r="AJ179" s="45"/>
      <c r="AK179" s="45"/>
    </row>
    <row r="180" spans="35:37" ht="14.25" customHeight="1" x14ac:dyDescent="0.2">
      <c r="AI180" s="45"/>
      <c r="AJ180" s="45"/>
      <c r="AK180" s="45"/>
    </row>
    <row r="181" spans="35:37" ht="14.25" customHeight="1" x14ac:dyDescent="0.2">
      <c r="AI181" s="45"/>
      <c r="AJ181" s="45"/>
      <c r="AK181" s="45"/>
    </row>
    <row r="182" spans="35:37" ht="14.25" customHeight="1" x14ac:dyDescent="0.2">
      <c r="AI182" s="45"/>
      <c r="AJ182" s="45"/>
      <c r="AK182" s="45"/>
    </row>
    <row r="183" spans="35:37" ht="14.25" customHeight="1" x14ac:dyDescent="0.2">
      <c r="AI183" s="45"/>
      <c r="AJ183" s="45"/>
      <c r="AK183" s="45"/>
    </row>
    <row r="184" spans="35:37" ht="14.25" customHeight="1" x14ac:dyDescent="0.2">
      <c r="AI184" s="45"/>
      <c r="AJ184" s="45"/>
      <c r="AK184" s="45"/>
    </row>
    <row r="185" spans="35:37" ht="14.25" customHeight="1" x14ac:dyDescent="0.2">
      <c r="AI185" s="45"/>
      <c r="AJ185" s="45"/>
      <c r="AK185" s="45"/>
    </row>
    <row r="186" spans="35:37" ht="14.25" customHeight="1" x14ac:dyDescent="0.2">
      <c r="AI186" s="45"/>
      <c r="AJ186" s="45"/>
      <c r="AK186" s="45"/>
    </row>
    <row r="187" spans="35:37" ht="14.25" customHeight="1" x14ac:dyDescent="0.2">
      <c r="AI187" s="45"/>
      <c r="AJ187" s="45"/>
      <c r="AK187" s="45"/>
    </row>
    <row r="188" spans="35:37" ht="14.25" customHeight="1" x14ac:dyDescent="0.2">
      <c r="AI188" s="45"/>
      <c r="AJ188" s="45"/>
      <c r="AK188" s="45"/>
    </row>
    <row r="189" spans="35:37" ht="14.25" customHeight="1" x14ac:dyDescent="0.2">
      <c r="AI189" s="45"/>
      <c r="AJ189" s="45"/>
      <c r="AK189" s="45"/>
    </row>
    <row r="190" spans="35:37" ht="14.25" customHeight="1" x14ac:dyDescent="0.2">
      <c r="AI190" s="45"/>
      <c r="AJ190" s="45"/>
      <c r="AK190" s="45"/>
    </row>
    <row r="191" spans="35:37" ht="14.25" customHeight="1" x14ac:dyDescent="0.2">
      <c r="AI191" s="45"/>
      <c r="AJ191" s="45"/>
      <c r="AK191" s="45"/>
    </row>
    <row r="192" spans="35:37" ht="14.25" customHeight="1" x14ac:dyDescent="0.2">
      <c r="AI192" s="45"/>
      <c r="AJ192" s="45"/>
      <c r="AK192" s="45"/>
    </row>
    <row r="193" spans="4:37" ht="14.25" customHeight="1" x14ac:dyDescent="0.2">
      <c r="AI193" s="45"/>
      <c r="AJ193" s="45"/>
      <c r="AK193" s="45"/>
    </row>
    <row r="194" spans="4:37" ht="14.25" customHeight="1" x14ac:dyDescent="0.2">
      <c r="AI194" s="45"/>
      <c r="AJ194" s="45"/>
      <c r="AK194" s="45"/>
    </row>
    <row r="195" spans="4:37" ht="14.25" customHeight="1" x14ac:dyDescent="0.2">
      <c r="AI195" s="45"/>
      <c r="AJ195" s="45"/>
      <c r="AK195" s="45"/>
    </row>
    <row r="196" spans="4:37" ht="14.25" customHeight="1" x14ac:dyDescent="0.2">
      <c r="AI196" s="45"/>
      <c r="AJ196" s="45"/>
      <c r="AK196" s="45"/>
    </row>
    <row r="197" spans="4:37" ht="14.25" customHeight="1" x14ac:dyDescent="0.2">
      <c r="AI197" s="45"/>
      <c r="AJ197" s="45"/>
      <c r="AK197" s="45"/>
    </row>
    <row r="198" spans="4:37" ht="14.25" customHeight="1" x14ac:dyDescent="0.2">
      <c r="AI198" s="45"/>
      <c r="AJ198" s="45"/>
      <c r="AK198" s="45"/>
    </row>
    <row r="199" spans="4:37" ht="14.25" customHeight="1" x14ac:dyDescent="0.2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5"/>
      <c r="AJ199" s="45"/>
      <c r="AK199" s="45"/>
    </row>
    <row r="200" spans="4:37" ht="14.25" customHeight="1" x14ac:dyDescent="0.2"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4:37" ht="14.25" customHeight="1" x14ac:dyDescent="0.2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4:37" ht="14.25" customHeight="1" x14ac:dyDescent="0.2"/>
    <row r="203" spans="4:37" ht="14.25" customHeight="1" x14ac:dyDescent="0.2"/>
    <row r="204" spans="4:37" ht="14.25" customHeight="1" x14ac:dyDescent="0.2"/>
    <row r="205" spans="4:37" ht="14.25" customHeight="1" x14ac:dyDescent="0.2"/>
    <row r="206" spans="4:37" ht="14.25" customHeight="1" x14ac:dyDescent="0.2"/>
    <row r="207" spans="4:37" ht="14.25" customHeight="1" x14ac:dyDescent="0.2"/>
    <row r="208" spans="4:3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</sheetData>
  <mergeCells count="64">
    <mergeCell ref="A123:A126"/>
    <mergeCell ref="A72:C73"/>
    <mergeCell ref="B75:B78"/>
    <mergeCell ref="D72:AH72"/>
    <mergeCell ref="A79:A82"/>
    <mergeCell ref="A107:A110"/>
    <mergeCell ref="B123:B126"/>
    <mergeCell ref="A119:A122"/>
    <mergeCell ref="B119:B122"/>
    <mergeCell ref="B107:B110"/>
    <mergeCell ref="A95:A98"/>
    <mergeCell ref="B103:B106"/>
    <mergeCell ref="A91:A94"/>
    <mergeCell ref="B99:B102"/>
    <mergeCell ref="AI72:AI74"/>
    <mergeCell ref="B59:B62"/>
    <mergeCell ref="B115:B118"/>
    <mergeCell ref="AK72:AK74"/>
    <mergeCell ref="A87:A90"/>
    <mergeCell ref="A103:A106"/>
    <mergeCell ref="AJ72:AJ74"/>
    <mergeCell ref="B95:B98"/>
    <mergeCell ref="A115:A118"/>
    <mergeCell ref="B79:B82"/>
    <mergeCell ref="A83:A86"/>
    <mergeCell ref="B91:B94"/>
    <mergeCell ref="B111:B114"/>
    <mergeCell ref="A99:A102"/>
    <mergeCell ref="A111:A114"/>
    <mergeCell ref="A75:A78"/>
    <mergeCell ref="A4:A7"/>
    <mergeCell ref="A44:A47"/>
    <mergeCell ref="A54:A57"/>
    <mergeCell ref="A64:A67"/>
    <mergeCell ref="B19:B22"/>
    <mergeCell ref="A14:A17"/>
    <mergeCell ref="B39:B42"/>
    <mergeCell ref="A29:A32"/>
    <mergeCell ref="B24:B27"/>
    <mergeCell ref="A19:A22"/>
    <mergeCell ref="D1:AH1"/>
    <mergeCell ref="B87:B90"/>
    <mergeCell ref="B83:B86"/>
    <mergeCell ref="B34:B37"/>
    <mergeCell ref="B14:B17"/>
    <mergeCell ref="D73:AH73"/>
    <mergeCell ref="B49:B52"/>
    <mergeCell ref="A1:C2"/>
    <mergeCell ref="AK1:AK3"/>
    <mergeCell ref="D2:AH2"/>
    <mergeCell ref="A9:A12"/>
    <mergeCell ref="B4:B7"/>
    <mergeCell ref="B64:B67"/>
    <mergeCell ref="A34:A37"/>
    <mergeCell ref="A39:A42"/>
    <mergeCell ref="A59:A62"/>
    <mergeCell ref="A24:A27"/>
    <mergeCell ref="B54:B57"/>
    <mergeCell ref="A49:A52"/>
    <mergeCell ref="AJ1:AJ3"/>
    <mergeCell ref="B29:B32"/>
    <mergeCell ref="AI1:AI3"/>
    <mergeCell ref="B44:B47"/>
    <mergeCell ref="B9:B12"/>
  </mergeCells>
  <conditionalFormatting sqref="D3:AH23 D24:W25 X24:X26 Y24:AH27 D26:T26 V26 V27:X27 D27:U28 V28:AH28 D29:AH67">
    <cfRule type="expression" dxfId="47" priority="4">
      <formula>WEEKDAY(D$3)=1</formula>
    </cfRule>
  </conditionalFormatting>
  <conditionalFormatting sqref="D4:AH23 D24:W25 X24:X26 Y24:AH27 D26:T26 V26 V27:X27 D27:U28 V28:AH28 D29:AH67">
    <cfRule type="expression" dxfId="46" priority="1">
      <formula>AND($C4="C3",D4&lt;&gt;"")</formula>
    </cfRule>
    <cfRule type="expression" dxfId="45" priority="2">
      <formula>AND($C4="C1",D4&lt;&gt;"")</formula>
    </cfRule>
    <cfRule type="expression" dxfId="44" priority="3">
      <formula>AND($C4="TC",D4&lt;&gt;"")</formula>
    </cfRule>
  </conditionalFormatting>
  <conditionalFormatting sqref="D74:AH126">
    <cfRule type="expression" dxfId="43" priority="8">
      <formula>WEEKDAY(D$3)=1</formula>
    </cfRule>
  </conditionalFormatting>
  <conditionalFormatting sqref="D75:AH126">
    <cfRule type="expression" dxfId="42" priority="5">
      <formula>AND($C75="C3",D75&lt;&gt;"")</formula>
    </cfRule>
    <cfRule type="expression" dxfId="41" priority="6">
      <formula>AND($C75="C1",D75&lt;&gt;"")</formula>
    </cfRule>
    <cfRule type="expression" dxfId="40" priority="7">
      <formula>AND($C75="TC",D75&lt;&gt;"")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1037"/>
  <sheetViews>
    <sheetView workbookViewId="0">
      <selection activeCell="O29" sqref="O28:O29"/>
    </sheetView>
  </sheetViews>
  <sheetFormatPr defaultColWidth="12.625" defaultRowHeight="14.25" x14ac:dyDescent="0.2"/>
  <cols>
    <col min="1" max="1" width="5" customWidth="1"/>
    <col min="2" max="2" width="23" customWidth="1"/>
    <col min="3" max="3" width="8.25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7.5" customWidth="1"/>
  </cols>
  <sheetData>
    <row r="1" spans="1:37" ht="44.25" customHeight="1" x14ac:dyDescent="0.2">
      <c r="A1" s="103" t="s">
        <v>0</v>
      </c>
      <c r="B1" s="104"/>
      <c r="C1" s="104"/>
      <c r="D1" s="102" t="s">
        <v>61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3"/>
      <c r="AI1" s="101" t="s">
        <v>2</v>
      </c>
      <c r="AJ1" s="98" t="s">
        <v>3</v>
      </c>
      <c r="AK1" s="88" t="s">
        <v>4</v>
      </c>
    </row>
    <row r="2" spans="1:37" ht="24.75" customHeight="1" x14ac:dyDescent="0.2">
      <c r="A2" s="100"/>
      <c r="B2" s="105"/>
      <c r="C2" s="105"/>
      <c r="D2" s="91">
        <v>46327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3"/>
      <c r="AI2" s="89"/>
      <c r="AJ2" s="99"/>
      <c r="AK2" s="89"/>
    </row>
    <row r="3" spans="1:37" ht="30.75" customHeight="1" x14ac:dyDescent="0.25">
      <c r="A3" s="2" t="s">
        <v>5</v>
      </c>
      <c r="B3" s="2" t="s">
        <v>6</v>
      </c>
      <c r="C3" s="3"/>
      <c r="D3" s="14">
        <v>46327</v>
      </c>
      <c r="E3" s="14">
        <v>46328</v>
      </c>
      <c r="F3" s="14">
        <f t="shared" ref="F3:AH3" si="0">+E3+1</f>
        <v>46329</v>
      </c>
      <c r="G3" s="14">
        <f t="shared" si="0"/>
        <v>46330</v>
      </c>
      <c r="H3" s="14">
        <f t="shared" si="0"/>
        <v>46331</v>
      </c>
      <c r="I3" s="14">
        <f t="shared" si="0"/>
        <v>46332</v>
      </c>
      <c r="J3" s="14">
        <f t="shared" si="0"/>
        <v>46333</v>
      </c>
      <c r="K3" s="14">
        <f t="shared" si="0"/>
        <v>46334</v>
      </c>
      <c r="L3" s="14">
        <f t="shared" si="0"/>
        <v>46335</v>
      </c>
      <c r="M3" s="14">
        <f t="shared" si="0"/>
        <v>46336</v>
      </c>
      <c r="N3" s="14">
        <f t="shared" si="0"/>
        <v>46337</v>
      </c>
      <c r="O3" s="14">
        <f t="shared" si="0"/>
        <v>46338</v>
      </c>
      <c r="P3" s="14">
        <f t="shared" si="0"/>
        <v>46339</v>
      </c>
      <c r="Q3" s="14">
        <f t="shared" si="0"/>
        <v>46340</v>
      </c>
      <c r="R3" s="14">
        <f t="shared" si="0"/>
        <v>46341</v>
      </c>
      <c r="S3" s="14">
        <f t="shared" si="0"/>
        <v>46342</v>
      </c>
      <c r="T3" s="14">
        <f t="shared" si="0"/>
        <v>46343</v>
      </c>
      <c r="U3" s="14">
        <f t="shared" si="0"/>
        <v>46344</v>
      </c>
      <c r="V3" s="14">
        <f t="shared" si="0"/>
        <v>46345</v>
      </c>
      <c r="W3" s="14">
        <f t="shared" si="0"/>
        <v>46346</v>
      </c>
      <c r="X3" s="14">
        <f t="shared" si="0"/>
        <v>46347</v>
      </c>
      <c r="Y3" s="14">
        <f t="shared" si="0"/>
        <v>46348</v>
      </c>
      <c r="Z3" s="14">
        <f t="shared" si="0"/>
        <v>46349</v>
      </c>
      <c r="AA3" s="14">
        <f t="shared" si="0"/>
        <v>46350</v>
      </c>
      <c r="AB3" s="14">
        <f t="shared" si="0"/>
        <v>46351</v>
      </c>
      <c r="AC3" s="14">
        <f t="shared" si="0"/>
        <v>46352</v>
      </c>
      <c r="AD3" s="14">
        <f t="shared" si="0"/>
        <v>46353</v>
      </c>
      <c r="AE3" s="14">
        <f t="shared" si="0"/>
        <v>46354</v>
      </c>
      <c r="AF3" s="14">
        <f t="shared" si="0"/>
        <v>46355</v>
      </c>
      <c r="AG3" s="14">
        <f t="shared" si="0"/>
        <v>46356</v>
      </c>
      <c r="AH3" s="14">
        <f t="shared" si="0"/>
        <v>46357</v>
      </c>
      <c r="AI3" s="90"/>
      <c r="AJ3" s="100"/>
      <c r="AK3" s="90"/>
    </row>
    <row r="4" spans="1:37" ht="13.5" customHeight="1" x14ac:dyDescent="0.2">
      <c r="A4" s="94">
        <v>1</v>
      </c>
      <c r="B4" s="95" t="s">
        <v>7</v>
      </c>
      <c r="C4" s="2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8"/>
      <c r="Z4" s="8"/>
      <c r="AA4" s="8"/>
      <c r="AB4" s="8"/>
      <c r="AC4" s="8"/>
      <c r="AD4" s="8"/>
      <c r="AE4" s="8"/>
      <c r="AF4" s="8"/>
      <c r="AG4" s="8"/>
      <c r="AH4" s="4"/>
      <c r="AI4" s="50">
        <f>0</f>
        <v>0</v>
      </c>
      <c r="AJ4" s="51">
        <f>SUM(D4:AH4)/8</f>
        <v>0</v>
      </c>
      <c r="AK4" s="52">
        <f>AI4+AJ4</f>
        <v>0</v>
      </c>
    </row>
    <row r="5" spans="1:37" ht="13.5" customHeight="1" x14ac:dyDescent="0.2">
      <c r="A5" s="89"/>
      <c r="B5" s="89"/>
      <c r="C5" s="2" t="s">
        <v>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8"/>
      <c r="Z5" s="8"/>
      <c r="AA5" s="8"/>
      <c r="AB5" s="8"/>
      <c r="AC5" s="8"/>
      <c r="AD5" s="8"/>
      <c r="AE5" s="8"/>
      <c r="AF5" s="8"/>
      <c r="AG5" s="8"/>
      <c r="AH5" s="4"/>
      <c r="AI5" s="50">
        <f>COUNTIF(D5:AH5,"x")+COUNTIF(D5:AH5,"x-0,25")+COUNTIF(D5:AH5,"x-0,50")+COUNTIF(D5:AH5,"x-0.75")+COUNTIF(D5:AH5,"x-1")+COUNTIF(D5:AH5,"x-1,25")+COUNTIF(D5:AH5,"x-1,5")+COUNTIF(D5:AH5,"x-1,55")+COUNTIF(D5:AH5,"x-2")+COUNTIF(D5:AH5,"x/2")/2</f>
        <v>0</v>
      </c>
      <c r="AJ5" s="51">
        <f>0</f>
        <v>0</v>
      </c>
      <c r="AK5" s="52">
        <f>AI5+AJ5</f>
        <v>0</v>
      </c>
    </row>
    <row r="6" spans="1:37" ht="13.5" customHeight="1" x14ac:dyDescent="0.2">
      <c r="A6" s="89"/>
      <c r="B6" s="89"/>
      <c r="C6" s="2" t="s">
        <v>11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8"/>
      <c r="Z6" s="8"/>
      <c r="AA6" s="8"/>
      <c r="AB6" s="8"/>
      <c r="AC6" s="8"/>
      <c r="AD6" s="8"/>
      <c r="AE6" s="8"/>
      <c r="AF6" s="8"/>
      <c r="AG6" s="8"/>
      <c r="AH6" s="4"/>
      <c r="AI6" s="50">
        <f>COUNTIF(D6:AH6,"x")+COUNTIF(D6:AH6,"x-0,25")+COUNTIF(D6:AH6,"x-0,50")+COUNTIF(D6:AH6,"x-0.75")+COUNTIF(D6:AH6,"x-1")+COUNTIF(D6:AH6,"x-1,25")+COUNTIF(D6:AH6,"x-1,5")+COUNTIF(D6:AH6,"x-1,55")+COUNTIF(D6:AH6,"x-2")+COUNTIF(D6:AH6,"x/2")/2</f>
        <v>0</v>
      </c>
      <c r="AJ6" s="51">
        <f>0</f>
        <v>0</v>
      </c>
      <c r="AK6" s="52">
        <f>AI6+AJ6</f>
        <v>0</v>
      </c>
    </row>
    <row r="7" spans="1:37" s="7" customFormat="1" ht="12.75" customHeight="1" x14ac:dyDescent="0.2">
      <c r="A7" s="90"/>
      <c r="B7" s="96"/>
      <c r="C7" s="2" t="s">
        <v>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8"/>
      <c r="Z7" s="8"/>
      <c r="AA7" s="8"/>
      <c r="AB7" s="8"/>
      <c r="AC7" s="8"/>
      <c r="AD7" s="8"/>
      <c r="AE7" s="9"/>
      <c r="AF7" s="8"/>
      <c r="AG7" s="8"/>
      <c r="AH7" s="6"/>
      <c r="AI7" s="50">
        <f>COUNTIF(D7:AH7,"x")+COUNTIF(D7:AH7,"x-0,25")+COUNTIF(D7:AH7,"x-0,50")+COUNTIF(D7:AH7,"x-0.75")+COUNTIF(D7:AH7,"x-1")+COUNTIF(D7:AH7,"x-1,25")+COUNTIF(D7:AH7,"x-1,5")+COUNTIF(D7:AH7,"x-1,55")+COUNTIF(D7:AH7,"x-2")+COUNTIF(D7:AH7,"x/2")/2</f>
        <v>0</v>
      </c>
      <c r="AJ7" s="51">
        <f>0</f>
        <v>0</v>
      </c>
      <c r="AK7" s="52">
        <f>AI7+AJ7</f>
        <v>0</v>
      </c>
    </row>
    <row r="8" spans="1:37" s="7" customFormat="1" ht="13.5" customHeight="1" x14ac:dyDescent="0.2">
      <c r="A8" s="16"/>
      <c r="B8" s="17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/>
      <c r="Y8" s="19"/>
      <c r="Z8" s="19"/>
      <c r="AA8" s="19"/>
      <c r="AB8" s="19"/>
      <c r="AC8" s="19"/>
      <c r="AD8" s="19"/>
      <c r="AE8" s="20"/>
      <c r="AF8" s="19"/>
      <c r="AG8" s="19"/>
      <c r="AH8" s="20"/>
      <c r="AI8" s="53" t="str">
        <f>""</f>
        <v/>
      </c>
      <c r="AJ8" s="54" t="str">
        <f>""</f>
        <v/>
      </c>
      <c r="AK8" s="55" t="str">
        <f>""</f>
        <v/>
      </c>
    </row>
    <row r="9" spans="1:37" s="7" customFormat="1" ht="12.75" customHeight="1" x14ac:dyDescent="0.2">
      <c r="A9" s="94">
        <v>2</v>
      </c>
      <c r="B9" s="97" t="s">
        <v>13</v>
      </c>
      <c r="C9" s="2" t="s">
        <v>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8"/>
      <c r="Z9" s="8"/>
      <c r="AA9" s="8"/>
      <c r="AB9" s="8"/>
      <c r="AC9" s="8"/>
      <c r="AD9" s="8"/>
      <c r="AE9" s="9"/>
      <c r="AF9" s="8"/>
      <c r="AG9" s="8"/>
      <c r="AH9" s="6"/>
      <c r="AI9" s="50">
        <f>0</f>
        <v>0</v>
      </c>
      <c r="AJ9" s="51">
        <f>SUM(D9:AH9)/8</f>
        <v>0</v>
      </c>
      <c r="AK9" s="52">
        <f>AI9+AJ9</f>
        <v>0</v>
      </c>
    </row>
    <row r="10" spans="1:37" s="7" customFormat="1" ht="13.5" customHeight="1" x14ac:dyDescent="0.2">
      <c r="A10" s="89"/>
      <c r="B10" s="89"/>
      <c r="C10" s="2" t="s">
        <v>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8"/>
      <c r="Z10" s="8"/>
      <c r="AA10" s="8"/>
      <c r="AB10" s="8"/>
      <c r="AC10" s="8"/>
      <c r="AD10" s="8"/>
      <c r="AE10" s="9"/>
      <c r="AF10" s="8"/>
      <c r="AG10" s="8"/>
      <c r="AH10" s="6"/>
      <c r="AI10" s="50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0</v>
      </c>
      <c r="AJ10" s="51">
        <f>0</f>
        <v>0</v>
      </c>
      <c r="AK10" s="52">
        <f>AI10+AJ10</f>
        <v>0</v>
      </c>
    </row>
    <row r="11" spans="1:37" s="7" customFormat="1" ht="13.5" customHeight="1" x14ac:dyDescent="0.2">
      <c r="A11" s="89"/>
      <c r="B11" s="89"/>
      <c r="C11" s="2" t="s">
        <v>11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8"/>
      <c r="Z11" s="8"/>
      <c r="AA11" s="8"/>
      <c r="AB11" s="8"/>
      <c r="AC11" s="8"/>
      <c r="AD11" s="8"/>
      <c r="AE11" s="9"/>
      <c r="AF11" s="8"/>
      <c r="AG11" s="8"/>
      <c r="AH11" s="6"/>
      <c r="AI11" s="50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0</v>
      </c>
      <c r="AJ11" s="51">
        <f>0</f>
        <v>0</v>
      </c>
      <c r="AK11" s="52">
        <f>AI11+AJ11</f>
        <v>0</v>
      </c>
    </row>
    <row r="12" spans="1:37" s="7" customFormat="1" ht="13.5" customHeight="1" x14ac:dyDescent="0.2">
      <c r="A12" s="90"/>
      <c r="B12" s="96"/>
      <c r="C12" s="2" t="s">
        <v>12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8"/>
      <c r="Z12" s="8"/>
      <c r="AA12" s="8"/>
      <c r="AB12" s="8"/>
      <c r="AC12" s="8"/>
      <c r="AD12" s="8"/>
      <c r="AE12" s="9"/>
      <c r="AF12" s="8"/>
      <c r="AG12" s="8"/>
      <c r="AH12" s="6"/>
      <c r="AI12" s="50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0</v>
      </c>
      <c r="AJ12" s="51">
        <f>0</f>
        <v>0</v>
      </c>
      <c r="AK12" s="52">
        <f>AI12+AJ12</f>
        <v>0</v>
      </c>
    </row>
    <row r="13" spans="1:37" s="7" customFormat="1" ht="13.5" customHeight="1" x14ac:dyDescent="0.2">
      <c r="A13" s="16"/>
      <c r="B13" s="17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0"/>
      <c r="Y13" s="19"/>
      <c r="Z13" s="19"/>
      <c r="AA13" s="19"/>
      <c r="AB13" s="19"/>
      <c r="AC13" s="19"/>
      <c r="AD13" s="19"/>
      <c r="AE13" s="20"/>
      <c r="AF13" s="19"/>
      <c r="AG13" s="19"/>
      <c r="AH13" s="20"/>
      <c r="AI13" s="53" t="str">
        <f>""</f>
        <v/>
      </c>
      <c r="AJ13" s="54" t="str">
        <f>""</f>
        <v/>
      </c>
      <c r="AK13" s="55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" t="s">
        <v>8</v>
      </c>
      <c r="D14" s="8"/>
      <c r="E14" s="8"/>
      <c r="F14" s="8"/>
      <c r="G14" s="8"/>
      <c r="H14" s="8"/>
      <c r="I14" s="8"/>
      <c r="J14" s="8"/>
      <c r="K14" s="8"/>
      <c r="L14" s="1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8"/>
      <c r="Z14" s="8"/>
      <c r="AA14" s="8"/>
      <c r="AB14" s="8"/>
      <c r="AC14" s="8"/>
      <c r="AD14" s="8"/>
      <c r="AE14" s="9"/>
      <c r="AF14" s="8"/>
      <c r="AG14" s="8"/>
      <c r="AH14" s="6"/>
      <c r="AI14" s="50">
        <f>0</f>
        <v>0</v>
      </c>
      <c r="AJ14" s="51">
        <f>SUM(D14:AH14)/8</f>
        <v>0</v>
      </c>
      <c r="AK14" s="52">
        <f>AI14+AJ14</f>
        <v>0</v>
      </c>
    </row>
    <row r="15" spans="1:37" s="7" customFormat="1" ht="13.5" customHeight="1" x14ac:dyDescent="0.2">
      <c r="A15" s="89"/>
      <c r="B15" s="89"/>
      <c r="C15" s="2" t="s">
        <v>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8"/>
      <c r="Z15" s="8"/>
      <c r="AA15" s="8"/>
      <c r="AB15" s="8"/>
      <c r="AC15" s="8"/>
      <c r="AD15" s="8"/>
      <c r="AE15" s="9"/>
      <c r="AF15" s="8"/>
      <c r="AG15" s="8"/>
      <c r="AH15" s="6"/>
      <c r="AI15" s="50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0</v>
      </c>
      <c r="AJ15" s="51">
        <f>0</f>
        <v>0</v>
      </c>
      <c r="AK15" s="52">
        <f>AI15+AJ15</f>
        <v>0</v>
      </c>
    </row>
    <row r="16" spans="1:37" s="7" customFormat="1" ht="13.5" customHeight="1" x14ac:dyDescent="0.2">
      <c r="A16" s="89"/>
      <c r="B16" s="89"/>
      <c r="C16" s="2" t="s">
        <v>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8"/>
      <c r="Z16" s="8"/>
      <c r="AA16" s="8"/>
      <c r="AB16" s="8"/>
      <c r="AC16" s="8"/>
      <c r="AD16" s="8"/>
      <c r="AE16" s="9"/>
      <c r="AF16" s="8"/>
      <c r="AG16" s="8"/>
      <c r="AH16" s="6"/>
      <c r="AI16" s="50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51">
        <f>0</f>
        <v>0</v>
      </c>
      <c r="AK16" s="52">
        <f>AI16+AJ16</f>
        <v>0</v>
      </c>
    </row>
    <row r="17" spans="1:37" s="7" customFormat="1" ht="13.5" customHeight="1" x14ac:dyDescent="0.2">
      <c r="A17" s="90"/>
      <c r="B17" s="96"/>
      <c r="C17" s="2" t="s">
        <v>12</v>
      </c>
      <c r="D17" s="8"/>
      <c r="E17" s="8"/>
      <c r="F17" s="8"/>
      <c r="G17" s="8"/>
      <c r="H17" s="8"/>
      <c r="I17" s="8"/>
      <c r="J17" s="8"/>
      <c r="K17" s="8"/>
      <c r="L17" s="15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8"/>
      <c r="Z17" s="8"/>
      <c r="AA17" s="8"/>
      <c r="AB17" s="8"/>
      <c r="AC17" s="8"/>
      <c r="AD17" s="8"/>
      <c r="AE17" s="9"/>
      <c r="AF17" s="8"/>
      <c r="AG17" s="8"/>
      <c r="AH17" s="6"/>
      <c r="AI17" s="50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51">
        <f>0</f>
        <v>0</v>
      </c>
      <c r="AK17" s="52">
        <f>AI17+AJ17</f>
        <v>0</v>
      </c>
    </row>
    <row r="18" spans="1:37" s="7" customFormat="1" ht="13.5" customHeight="1" x14ac:dyDescent="0.2">
      <c r="A18" s="16"/>
      <c r="B18" s="17"/>
      <c r="C18" s="18"/>
      <c r="D18" s="19"/>
      <c r="E18" s="19"/>
      <c r="F18" s="19"/>
      <c r="G18" s="19"/>
      <c r="H18" s="19"/>
      <c r="I18" s="19"/>
      <c r="J18" s="19"/>
      <c r="K18" s="19"/>
      <c r="L18" s="21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/>
      <c r="Y18" s="19"/>
      <c r="Z18" s="19"/>
      <c r="AA18" s="19"/>
      <c r="AB18" s="19"/>
      <c r="AC18" s="19"/>
      <c r="AD18" s="19"/>
      <c r="AE18" s="20"/>
      <c r="AF18" s="19"/>
      <c r="AG18" s="19"/>
      <c r="AH18" s="20"/>
      <c r="AI18" s="53" t="str">
        <f>""</f>
        <v/>
      </c>
      <c r="AJ18" s="54" t="str">
        <f>""</f>
        <v/>
      </c>
      <c r="AK18" s="55" t="str">
        <f>""</f>
        <v/>
      </c>
    </row>
    <row r="19" spans="1:37" s="7" customFormat="1" ht="13.5" customHeight="1" x14ac:dyDescent="0.2">
      <c r="A19" s="94">
        <v>4</v>
      </c>
      <c r="B19" s="97" t="s">
        <v>16</v>
      </c>
      <c r="C19" s="2" t="s">
        <v>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8"/>
      <c r="Z19" s="8"/>
      <c r="AA19" s="8"/>
      <c r="AB19" s="8"/>
      <c r="AC19" s="8"/>
      <c r="AD19" s="8"/>
      <c r="AE19" s="9"/>
      <c r="AF19" s="8"/>
      <c r="AG19" s="8"/>
      <c r="AH19" s="6"/>
      <c r="AI19" s="50">
        <f>0</f>
        <v>0</v>
      </c>
      <c r="AJ19" s="51">
        <f>SUM(D19:AH19)/8</f>
        <v>0</v>
      </c>
      <c r="AK19" s="52">
        <f>AI19+AJ19</f>
        <v>0</v>
      </c>
    </row>
    <row r="20" spans="1:37" s="7" customFormat="1" ht="13.5" customHeight="1" x14ac:dyDescent="0.2">
      <c r="A20" s="89"/>
      <c r="B20" s="89"/>
      <c r="C20" s="2" t="s">
        <v>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8"/>
      <c r="Z20" s="8"/>
      <c r="AA20" s="8"/>
      <c r="AB20" s="8"/>
      <c r="AC20" s="8"/>
      <c r="AD20" s="8"/>
      <c r="AE20" s="9"/>
      <c r="AF20" s="8"/>
      <c r="AG20" s="8"/>
      <c r="AH20" s="6"/>
      <c r="AI20" s="50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0</v>
      </c>
      <c r="AJ20" s="51">
        <f>0</f>
        <v>0</v>
      </c>
      <c r="AK20" s="52">
        <f>AI20+AJ20</f>
        <v>0</v>
      </c>
    </row>
    <row r="21" spans="1:37" s="7" customFormat="1" ht="13.5" customHeight="1" x14ac:dyDescent="0.2">
      <c r="A21" s="89"/>
      <c r="B21" s="89"/>
      <c r="C21" s="2" t="s">
        <v>11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8"/>
      <c r="Z21" s="8"/>
      <c r="AA21" s="8"/>
      <c r="AB21" s="8"/>
      <c r="AC21" s="8"/>
      <c r="AD21" s="8"/>
      <c r="AE21" s="9"/>
      <c r="AF21" s="8"/>
      <c r="AG21" s="8"/>
      <c r="AH21" s="6"/>
      <c r="AI21" s="50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0</v>
      </c>
      <c r="AJ21" s="51">
        <f>0</f>
        <v>0</v>
      </c>
      <c r="AK21" s="52">
        <f>AI21+AJ21</f>
        <v>0</v>
      </c>
    </row>
    <row r="22" spans="1:37" s="7" customFormat="1" ht="13.5" customHeight="1" x14ac:dyDescent="0.2">
      <c r="A22" s="90"/>
      <c r="B22" s="96"/>
      <c r="C22" s="2" t="s">
        <v>12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8"/>
      <c r="Z22" s="8"/>
      <c r="AA22" s="8"/>
      <c r="AB22" s="8"/>
      <c r="AC22" s="8"/>
      <c r="AD22" s="8"/>
      <c r="AE22" s="9"/>
      <c r="AF22" s="8"/>
      <c r="AG22" s="8"/>
      <c r="AH22" s="6"/>
      <c r="AI22" s="50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51">
        <f>0</f>
        <v>0</v>
      </c>
      <c r="AK22" s="52">
        <f>AI22+AJ22</f>
        <v>0</v>
      </c>
    </row>
    <row r="23" spans="1:37" s="7" customFormat="1" ht="13.5" customHeight="1" x14ac:dyDescent="0.2">
      <c r="A23" s="16"/>
      <c r="B23" s="17"/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20"/>
      <c r="AF23" s="19"/>
      <c r="AG23" s="19"/>
      <c r="AH23" s="20"/>
      <c r="AI23" s="53" t="str">
        <f>""</f>
        <v/>
      </c>
      <c r="AJ23" s="54" t="str">
        <f>""</f>
        <v/>
      </c>
      <c r="AK23" s="55" t="str">
        <f>""</f>
        <v/>
      </c>
    </row>
    <row r="24" spans="1:37" s="7" customFormat="1" ht="13.5" customHeight="1" x14ac:dyDescent="0.2">
      <c r="A24" s="94">
        <v>5</v>
      </c>
      <c r="B24" s="97" t="s">
        <v>17</v>
      </c>
      <c r="C24" s="2" t="s">
        <v>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9"/>
      <c r="AF24" s="8"/>
      <c r="AG24" s="8"/>
      <c r="AH24" s="6"/>
      <c r="AI24" s="50">
        <f>0</f>
        <v>0</v>
      </c>
      <c r="AJ24" s="51">
        <f>SUM(D24:AH24)/8</f>
        <v>0</v>
      </c>
      <c r="AK24" s="52">
        <f>AI24+AJ24</f>
        <v>0</v>
      </c>
    </row>
    <row r="25" spans="1:37" s="7" customFormat="1" ht="13.5" customHeight="1" x14ac:dyDescent="0.2">
      <c r="A25" s="89"/>
      <c r="B25" s="89"/>
      <c r="C25" s="2" t="s">
        <v>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9"/>
      <c r="AF25" s="8"/>
      <c r="AG25" s="8"/>
      <c r="AH25" s="6"/>
      <c r="AI25" s="50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0</v>
      </c>
      <c r="AJ25" s="51">
        <f>0</f>
        <v>0</v>
      </c>
      <c r="AK25" s="52">
        <f>AI25+AJ25</f>
        <v>0</v>
      </c>
    </row>
    <row r="26" spans="1:37" s="7" customFormat="1" ht="13.5" customHeight="1" x14ac:dyDescent="0.2">
      <c r="A26" s="89"/>
      <c r="B26" s="89"/>
      <c r="C26" s="2" t="s">
        <v>11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24"/>
      <c r="V26" s="8"/>
      <c r="W26" s="24"/>
      <c r="X26" s="8"/>
      <c r="Y26" s="8"/>
      <c r="Z26" s="8"/>
      <c r="AA26" s="8"/>
      <c r="AB26" s="8"/>
      <c r="AC26" s="8"/>
      <c r="AD26" s="8"/>
      <c r="AE26" s="9"/>
      <c r="AF26" s="8"/>
      <c r="AG26" s="8"/>
      <c r="AH26" s="6"/>
      <c r="AI26" s="50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0</v>
      </c>
      <c r="AJ26" s="51">
        <f>0</f>
        <v>0</v>
      </c>
      <c r="AK26" s="52">
        <f>AI26+AJ26</f>
        <v>0</v>
      </c>
    </row>
    <row r="27" spans="1:37" s="7" customFormat="1" ht="13.5" customHeight="1" x14ac:dyDescent="0.2">
      <c r="A27" s="90"/>
      <c r="B27" s="96"/>
      <c r="C27" s="2" t="s">
        <v>12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9"/>
      <c r="AF27" s="8"/>
      <c r="AG27" s="8"/>
      <c r="AH27" s="6"/>
      <c r="AI27" s="50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51">
        <f>0</f>
        <v>0</v>
      </c>
      <c r="AK27" s="52">
        <f>AI27+AJ27</f>
        <v>0</v>
      </c>
    </row>
    <row r="28" spans="1:37" s="7" customFormat="1" ht="13.5" customHeight="1" x14ac:dyDescent="0.2">
      <c r="A28" s="16"/>
      <c r="B28" s="17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  <c r="Y28" s="19"/>
      <c r="Z28" s="19"/>
      <c r="AA28" s="19"/>
      <c r="AB28" s="19"/>
      <c r="AC28" s="19"/>
      <c r="AD28" s="19"/>
      <c r="AE28" s="20"/>
      <c r="AF28" s="19"/>
      <c r="AG28" s="19"/>
      <c r="AH28" s="20"/>
      <c r="AI28" s="53" t="str">
        <f>""</f>
        <v/>
      </c>
      <c r="AJ28" s="54" t="str">
        <f>""</f>
        <v/>
      </c>
      <c r="AK28" s="55" t="str">
        <f>""</f>
        <v/>
      </c>
    </row>
    <row r="29" spans="1:37" s="7" customFormat="1" ht="13.5" customHeight="1" x14ac:dyDescent="0.2">
      <c r="A29" s="94">
        <v>6</v>
      </c>
      <c r="B29" s="97" t="s">
        <v>18</v>
      </c>
      <c r="C29" s="2" t="s">
        <v>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9"/>
      <c r="AF29" s="8"/>
      <c r="AG29" s="8"/>
      <c r="AH29" s="6"/>
      <c r="AI29" s="50">
        <f>0</f>
        <v>0</v>
      </c>
      <c r="AJ29" s="51">
        <f>SUM(D29:AH29)/8</f>
        <v>0</v>
      </c>
      <c r="AK29" s="52">
        <f>AI29+AJ29</f>
        <v>0</v>
      </c>
    </row>
    <row r="30" spans="1:37" s="7" customFormat="1" ht="13.5" customHeight="1" x14ac:dyDescent="0.2">
      <c r="A30" s="89"/>
      <c r="B30" s="89"/>
      <c r="C30" s="2" t="s">
        <v>9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8"/>
      <c r="Z30" s="8"/>
      <c r="AA30" s="8"/>
      <c r="AB30" s="8"/>
      <c r="AC30" s="8"/>
      <c r="AD30" s="8"/>
      <c r="AE30" s="9"/>
      <c r="AF30" s="8"/>
      <c r="AG30" s="8"/>
      <c r="AH30" s="6"/>
      <c r="AI30" s="50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0</v>
      </c>
      <c r="AJ30" s="51">
        <f>0</f>
        <v>0</v>
      </c>
      <c r="AK30" s="52">
        <f>AI30+AJ30</f>
        <v>0</v>
      </c>
    </row>
    <row r="31" spans="1:37" s="7" customFormat="1" ht="13.5" customHeight="1" x14ac:dyDescent="0.2">
      <c r="A31" s="89"/>
      <c r="B31" s="89"/>
      <c r="C31" s="2" t="s">
        <v>11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8"/>
      <c r="Z31" s="8"/>
      <c r="AA31" s="8"/>
      <c r="AB31" s="8"/>
      <c r="AC31" s="8"/>
      <c r="AD31" s="8"/>
      <c r="AE31" s="9"/>
      <c r="AF31" s="8"/>
      <c r="AG31" s="8"/>
      <c r="AH31" s="6"/>
      <c r="AI31" s="50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0</v>
      </c>
      <c r="AJ31" s="51">
        <f>0</f>
        <v>0</v>
      </c>
      <c r="AK31" s="52">
        <f>AI31+AJ31</f>
        <v>0</v>
      </c>
    </row>
    <row r="32" spans="1:37" s="7" customFormat="1" ht="13.5" customHeight="1" x14ac:dyDescent="0.2">
      <c r="A32" s="90"/>
      <c r="B32" s="96"/>
      <c r="C32" s="2" t="s">
        <v>12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8"/>
      <c r="Z32" s="8"/>
      <c r="AA32" s="8"/>
      <c r="AB32" s="8"/>
      <c r="AC32" s="8"/>
      <c r="AD32" s="8"/>
      <c r="AE32" s="9"/>
      <c r="AF32" s="8"/>
      <c r="AG32" s="8"/>
      <c r="AH32" s="6"/>
      <c r="AI32" s="50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0</v>
      </c>
      <c r="AJ32" s="51">
        <f>0</f>
        <v>0</v>
      </c>
      <c r="AK32" s="52">
        <f>AI32+AJ32</f>
        <v>0</v>
      </c>
    </row>
    <row r="33" spans="1:37" s="7" customFormat="1" ht="13.5" customHeight="1" x14ac:dyDescent="0.2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/>
      <c r="Y33" s="19"/>
      <c r="Z33" s="19"/>
      <c r="AA33" s="19"/>
      <c r="AB33" s="19"/>
      <c r="AC33" s="19"/>
      <c r="AD33" s="19"/>
      <c r="AE33" s="20"/>
      <c r="AF33" s="19"/>
      <c r="AG33" s="19"/>
      <c r="AH33" s="20"/>
      <c r="AI33" s="53" t="str">
        <f>""</f>
        <v/>
      </c>
      <c r="AJ33" s="54" t="str">
        <f>""</f>
        <v/>
      </c>
      <c r="AK33" s="55" t="str">
        <f>""</f>
        <v/>
      </c>
    </row>
    <row r="34" spans="1:37" s="7" customFormat="1" ht="13.5" customHeight="1" x14ac:dyDescent="0.2">
      <c r="A34" s="94">
        <v>7</v>
      </c>
      <c r="B34" s="97" t="s">
        <v>19</v>
      </c>
      <c r="C34" s="2" t="s">
        <v>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8"/>
      <c r="Z34" s="8"/>
      <c r="AA34" s="8"/>
      <c r="AB34" s="8"/>
      <c r="AC34" s="8"/>
      <c r="AD34" s="8"/>
      <c r="AE34" s="9"/>
      <c r="AF34" s="8"/>
      <c r="AG34" s="8"/>
      <c r="AH34" s="6"/>
      <c r="AI34" s="50">
        <f>0</f>
        <v>0</v>
      </c>
      <c r="AJ34" s="51">
        <f>SUM(D34:AH34)/8</f>
        <v>0</v>
      </c>
      <c r="AK34" s="52">
        <f>AI34+AJ34</f>
        <v>0</v>
      </c>
    </row>
    <row r="35" spans="1:37" s="7" customFormat="1" ht="13.5" customHeight="1" x14ac:dyDescent="0.2">
      <c r="A35" s="89"/>
      <c r="B35" s="89"/>
      <c r="C35" s="2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8"/>
      <c r="Z35" s="8"/>
      <c r="AA35" s="8"/>
      <c r="AB35" s="8"/>
      <c r="AC35" s="8"/>
      <c r="AD35" s="8"/>
      <c r="AE35" s="9"/>
      <c r="AF35" s="8"/>
      <c r="AG35" s="8"/>
      <c r="AH35" s="6"/>
      <c r="AI35" s="50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0</v>
      </c>
      <c r="AJ35" s="51">
        <f>0</f>
        <v>0</v>
      </c>
      <c r="AK35" s="52">
        <f>AI35+AJ35</f>
        <v>0</v>
      </c>
    </row>
    <row r="36" spans="1:37" s="7" customFormat="1" ht="13.5" customHeight="1" x14ac:dyDescent="0.2">
      <c r="A36" s="89"/>
      <c r="B36" s="89"/>
      <c r="C36" s="2" t="s">
        <v>11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8"/>
      <c r="Z36" s="8"/>
      <c r="AA36" s="8"/>
      <c r="AB36" s="8"/>
      <c r="AC36" s="8"/>
      <c r="AD36" s="8"/>
      <c r="AE36" s="9"/>
      <c r="AF36" s="8"/>
      <c r="AG36" s="8"/>
      <c r="AH36" s="6"/>
      <c r="AI36" s="50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0</v>
      </c>
      <c r="AJ36" s="51">
        <f>0</f>
        <v>0</v>
      </c>
      <c r="AK36" s="52">
        <f>AI36+AJ36</f>
        <v>0</v>
      </c>
    </row>
    <row r="37" spans="1:37" s="7" customFormat="1" ht="13.5" customHeight="1" x14ac:dyDescent="0.2">
      <c r="A37" s="90"/>
      <c r="B37" s="96"/>
      <c r="C37" s="2" t="s">
        <v>12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8"/>
      <c r="Z37" s="8"/>
      <c r="AA37" s="8"/>
      <c r="AB37" s="8"/>
      <c r="AC37" s="8"/>
      <c r="AD37" s="8"/>
      <c r="AE37" s="9"/>
      <c r="AF37" s="8"/>
      <c r="AG37" s="8"/>
      <c r="AH37" s="6"/>
      <c r="AI37" s="50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0</v>
      </c>
      <c r="AJ37" s="51">
        <f>0</f>
        <v>0</v>
      </c>
      <c r="AK37" s="52">
        <f>AI37+AJ37</f>
        <v>0</v>
      </c>
    </row>
    <row r="38" spans="1:37" s="7" customFormat="1" ht="13.5" customHeight="1" x14ac:dyDescent="0.2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20"/>
      <c r="Y38" s="19"/>
      <c r="Z38" s="19"/>
      <c r="AA38" s="19"/>
      <c r="AB38" s="19"/>
      <c r="AC38" s="19"/>
      <c r="AD38" s="19"/>
      <c r="AE38" s="20"/>
      <c r="AF38" s="19"/>
      <c r="AG38" s="19"/>
      <c r="AH38" s="20"/>
      <c r="AI38" s="53" t="str">
        <f>""</f>
        <v/>
      </c>
      <c r="AJ38" s="54" t="str">
        <f>""</f>
        <v/>
      </c>
      <c r="AK38" s="55" t="str">
        <f>""</f>
        <v/>
      </c>
    </row>
    <row r="39" spans="1:37" s="7" customFormat="1" ht="13.5" customHeight="1" x14ac:dyDescent="0.2">
      <c r="A39" s="94">
        <v>8</v>
      </c>
      <c r="B39" s="97" t="s">
        <v>20</v>
      </c>
      <c r="C39" s="2" t="s">
        <v>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6"/>
      <c r="X39" s="9"/>
      <c r="Y39" s="8"/>
      <c r="Z39" s="8"/>
      <c r="AA39" s="8"/>
      <c r="AB39" s="8"/>
      <c r="AC39" s="8"/>
      <c r="AD39" s="8"/>
      <c r="AE39" s="9"/>
      <c r="AF39" s="8"/>
      <c r="AG39" s="8"/>
      <c r="AH39" s="6"/>
      <c r="AI39" s="50">
        <f>0</f>
        <v>0</v>
      </c>
      <c r="AJ39" s="51">
        <f>SUM(D39:AH39)/8</f>
        <v>0</v>
      </c>
      <c r="AK39" s="52">
        <f>AI39+AJ39</f>
        <v>0</v>
      </c>
    </row>
    <row r="40" spans="1:37" s="7" customFormat="1" ht="13.5" customHeight="1" x14ac:dyDescent="0.2">
      <c r="A40" s="89"/>
      <c r="B40" s="89"/>
      <c r="C40" s="2" t="s">
        <v>9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6"/>
      <c r="X40" s="9"/>
      <c r="Y40" s="8"/>
      <c r="Z40" s="8"/>
      <c r="AA40" s="8"/>
      <c r="AB40" s="8"/>
      <c r="AC40" s="8"/>
      <c r="AD40" s="8"/>
      <c r="AE40" s="9"/>
      <c r="AF40" s="8"/>
      <c r="AG40" s="8"/>
      <c r="AH40" s="6"/>
      <c r="AI40" s="50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0</v>
      </c>
      <c r="AJ40" s="51">
        <f>0</f>
        <v>0</v>
      </c>
      <c r="AK40" s="52">
        <f>AI40+AJ40</f>
        <v>0</v>
      </c>
    </row>
    <row r="41" spans="1:37" s="7" customFormat="1" ht="13.5" customHeight="1" x14ac:dyDescent="0.2">
      <c r="A41" s="89"/>
      <c r="B41" s="89"/>
      <c r="C41" s="2" t="s">
        <v>11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6"/>
      <c r="X41" s="9"/>
      <c r="Y41" s="8"/>
      <c r="Z41" s="8"/>
      <c r="AA41" s="8"/>
      <c r="AB41" s="8"/>
      <c r="AC41" s="8"/>
      <c r="AD41" s="8"/>
      <c r="AE41" s="9"/>
      <c r="AF41" s="8"/>
      <c r="AG41" s="8"/>
      <c r="AH41" s="6"/>
      <c r="AI41" s="50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0</v>
      </c>
      <c r="AJ41" s="51">
        <f>0</f>
        <v>0</v>
      </c>
      <c r="AK41" s="52">
        <f>AI41+AJ41</f>
        <v>0</v>
      </c>
    </row>
    <row r="42" spans="1:37" s="7" customFormat="1" ht="13.5" customHeight="1" x14ac:dyDescent="0.2">
      <c r="A42" s="90"/>
      <c r="B42" s="96"/>
      <c r="C42" s="2" t="s">
        <v>12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6"/>
      <c r="X42" s="9"/>
      <c r="Y42" s="8"/>
      <c r="Z42" s="8"/>
      <c r="AA42" s="8"/>
      <c r="AB42" s="8"/>
      <c r="AC42" s="8"/>
      <c r="AD42" s="8"/>
      <c r="AE42" s="9"/>
      <c r="AF42" s="8"/>
      <c r="AG42" s="8"/>
      <c r="AH42" s="6"/>
      <c r="AI42" s="50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51">
        <f>0</f>
        <v>0</v>
      </c>
      <c r="AK42" s="52">
        <f>AI42+AJ42</f>
        <v>0</v>
      </c>
    </row>
    <row r="43" spans="1:37" s="7" customFormat="1" ht="13.5" customHeight="1" x14ac:dyDescent="0.2">
      <c r="A43" s="16"/>
      <c r="B43" s="17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20"/>
      <c r="Y43" s="19"/>
      <c r="Z43" s="19"/>
      <c r="AA43" s="19"/>
      <c r="AB43" s="19"/>
      <c r="AC43" s="19"/>
      <c r="AD43" s="19"/>
      <c r="AE43" s="20"/>
      <c r="AF43" s="19"/>
      <c r="AG43" s="19"/>
      <c r="AH43" s="20"/>
      <c r="AI43" s="53" t="str">
        <f>""</f>
        <v/>
      </c>
      <c r="AJ43" s="54" t="str">
        <f>""</f>
        <v/>
      </c>
      <c r="AK43" s="55" t="str">
        <f>""</f>
        <v/>
      </c>
    </row>
    <row r="44" spans="1:37" s="7" customFormat="1" ht="13.5" customHeight="1" x14ac:dyDescent="0.2">
      <c r="A44" s="94">
        <v>9</v>
      </c>
      <c r="B44" s="97" t="s">
        <v>21</v>
      </c>
      <c r="C44" s="2" t="s">
        <v>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6"/>
      <c r="X44" s="9"/>
      <c r="Y44" s="8"/>
      <c r="Z44" s="8"/>
      <c r="AA44" s="8"/>
      <c r="AB44" s="8"/>
      <c r="AC44" s="8"/>
      <c r="AD44" s="8"/>
      <c r="AE44" s="9"/>
      <c r="AF44" s="8"/>
      <c r="AG44" s="8"/>
      <c r="AH44" s="6"/>
      <c r="AI44" s="50">
        <f>0</f>
        <v>0</v>
      </c>
      <c r="AJ44" s="51">
        <f>SUM(D44:AH44)/8</f>
        <v>0</v>
      </c>
      <c r="AK44" s="52">
        <f>AI44+AJ44</f>
        <v>0</v>
      </c>
    </row>
    <row r="45" spans="1:37" s="7" customFormat="1" ht="13.5" customHeight="1" x14ac:dyDescent="0.2">
      <c r="A45" s="89"/>
      <c r="B45" s="89"/>
      <c r="C45" s="2" t="s">
        <v>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6"/>
      <c r="X45" s="9"/>
      <c r="Y45" s="8"/>
      <c r="Z45" s="8"/>
      <c r="AA45" s="8"/>
      <c r="AB45" s="8"/>
      <c r="AC45" s="8"/>
      <c r="AD45" s="8"/>
      <c r="AE45" s="9"/>
      <c r="AF45" s="8"/>
      <c r="AG45" s="8"/>
      <c r="AH45" s="6"/>
      <c r="AI45" s="50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0</v>
      </c>
      <c r="AJ45" s="51">
        <f>0</f>
        <v>0</v>
      </c>
      <c r="AK45" s="52">
        <f>AI45+AJ45</f>
        <v>0</v>
      </c>
    </row>
    <row r="46" spans="1:37" s="7" customFormat="1" ht="13.5" customHeight="1" x14ac:dyDescent="0.2">
      <c r="A46" s="89"/>
      <c r="B46" s="89"/>
      <c r="C46" s="2" t="s">
        <v>11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6"/>
      <c r="X46" s="9"/>
      <c r="Y46" s="8"/>
      <c r="Z46" s="8"/>
      <c r="AA46" s="8"/>
      <c r="AB46" s="8"/>
      <c r="AC46" s="8"/>
      <c r="AD46" s="8"/>
      <c r="AE46" s="9"/>
      <c r="AF46" s="8"/>
      <c r="AG46" s="8"/>
      <c r="AH46" s="6"/>
      <c r="AI46" s="50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0</v>
      </c>
      <c r="AJ46" s="51">
        <f>0</f>
        <v>0</v>
      </c>
      <c r="AK46" s="52">
        <f>AI46+AJ46</f>
        <v>0</v>
      </c>
    </row>
    <row r="47" spans="1:37" s="7" customFormat="1" ht="13.5" customHeight="1" x14ac:dyDescent="0.2">
      <c r="A47" s="90"/>
      <c r="B47" s="96"/>
      <c r="C47" s="2" t="s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6"/>
      <c r="X47" s="9"/>
      <c r="Y47" s="8"/>
      <c r="Z47" s="8"/>
      <c r="AA47" s="6"/>
      <c r="AB47" s="8"/>
      <c r="AC47" s="8"/>
      <c r="AD47" s="8"/>
      <c r="AE47" s="9"/>
      <c r="AF47" s="8"/>
      <c r="AG47" s="8"/>
      <c r="AH47" s="6"/>
      <c r="AI47" s="50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0</v>
      </c>
      <c r="AJ47" s="51">
        <f>0</f>
        <v>0</v>
      </c>
      <c r="AK47" s="52">
        <f>AI47+AJ47</f>
        <v>0</v>
      </c>
    </row>
    <row r="48" spans="1:37" s="7" customFormat="1" ht="13.5" customHeight="1" x14ac:dyDescent="0.2">
      <c r="A48" s="16"/>
      <c r="B48" s="17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X48" s="20"/>
      <c r="Y48" s="19"/>
      <c r="Z48" s="19"/>
      <c r="AA48" s="20"/>
      <c r="AB48" s="19"/>
      <c r="AC48" s="19"/>
      <c r="AD48" s="19"/>
      <c r="AE48" s="20"/>
      <c r="AF48" s="19"/>
      <c r="AG48" s="19"/>
      <c r="AH48" s="20"/>
      <c r="AI48" s="53" t="str">
        <f>""</f>
        <v/>
      </c>
      <c r="AJ48" s="54" t="str">
        <f>""</f>
        <v/>
      </c>
      <c r="AK48" s="55" t="str">
        <f>""</f>
        <v/>
      </c>
    </row>
    <row r="49" spans="1:44" s="7" customFormat="1" ht="13.5" customHeight="1" x14ac:dyDescent="0.2">
      <c r="A49" s="94">
        <v>10</v>
      </c>
      <c r="B49" s="97" t="s">
        <v>22</v>
      </c>
      <c r="C49" s="2" t="s">
        <v>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6"/>
      <c r="X49" s="9"/>
      <c r="Y49" s="8"/>
      <c r="Z49" s="8"/>
      <c r="AA49" s="6"/>
      <c r="AB49" s="8"/>
      <c r="AC49" s="8"/>
      <c r="AD49" s="8"/>
      <c r="AE49" s="9"/>
      <c r="AF49" s="8"/>
      <c r="AG49" s="8"/>
      <c r="AH49" s="6"/>
      <c r="AI49" s="50">
        <f>0</f>
        <v>0</v>
      </c>
      <c r="AJ49" s="51">
        <f>SUM(D49:AH49)/8</f>
        <v>0</v>
      </c>
      <c r="AK49" s="52">
        <f>AI49+AJ49</f>
        <v>0</v>
      </c>
    </row>
    <row r="50" spans="1:44" s="7" customFormat="1" ht="13.5" customHeight="1" x14ac:dyDescent="0.2">
      <c r="A50" s="89"/>
      <c r="B50" s="89"/>
      <c r="C50" s="2" t="s">
        <v>9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6"/>
      <c r="X50" s="9"/>
      <c r="Y50" s="8"/>
      <c r="Z50" s="8"/>
      <c r="AA50" s="6"/>
      <c r="AB50" s="8"/>
      <c r="AC50" s="8"/>
      <c r="AD50" s="8"/>
      <c r="AE50" s="9"/>
      <c r="AF50" s="8"/>
      <c r="AG50" s="8"/>
      <c r="AH50" s="6"/>
      <c r="AI50" s="50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0</v>
      </c>
      <c r="AJ50" s="51">
        <f>0</f>
        <v>0</v>
      </c>
      <c r="AK50" s="52">
        <f>AI50+AJ50</f>
        <v>0</v>
      </c>
    </row>
    <row r="51" spans="1:44" s="7" customFormat="1" ht="13.5" customHeight="1" x14ac:dyDescent="0.2">
      <c r="A51" s="89"/>
      <c r="B51" s="89"/>
      <c r="C51" s="2" t="s">
        <v>11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6"/>
      <c r="X51" s="9"/>
      <c r="Y51" s="8"/>
      <c r="Z51" s="8"/>
      <c r="AA51" s="6"/>
      <c r="AB51" s="8"/>
      <c r="AC51" s="8"/>
      <c r="AD51" s="8"/>
      <c r="AE51" s="9"/>
      <c r="AF51" s="8"/>
      <c r="AG51" s="8"/>
      <c r="AH51" s="6"/>
      <c r="AI51" s="50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0</v>
      </c>
      <c r="AJ51" s="51">
        <f>0</f>
        <v>0</v>
      </c>
      <c r="AK51" s="52">
        <f>AI51+AJ51</f>
        <v>0</v>
      </c>
    </row>
    <row r="52" spans="1:44" s="7" customFormat="1" ht="13.5" customHeight="1" x14ac:dyDescent="0.2">
      <c r="A52" s="90"/>
      <c r="B52" s="96"/>
      <c r="C52" s="2" t="s">
        <v>12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6"/>
      <c r="W52" s="6"/>
      <c r="X52" s="9"/>
      <c r="Y52" s="8"/>
      <c r="Z52" s="8"/>
      <c r="AA52" s="6"/>
      <c r="AB52" s="8"/>
      <c r="AC52" s="8"/>
      <c r="AD52" s="8"/>
      <c r="AE52" s="9"/>
      <c r="AF52" s="8"/>
      <c r="AG52" s="8"/>
      <c r="AH52" s="6"/>
      <c r="AI52" s="50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0</v>
      </c>
      <c r="AJ52" s="51">
        <f>0</f>
        <v>0</v>
      </c>
      <c r="AK52" s="52">
        <f>AI52+AJ52</f>
        <v>0</v>
      </c>
    </row>
    <row r="53" spans="1:44" s="7" customFormat="1" ht="13.5" customHeight="1" x14ac:dyDescent="0.2">
      <c r="A53" s="16"/>
      <c r="B53" s="17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20"/>
      <c r="X53" s="20"/>
      <c r="Y53" s="19"/>
      <c r="Z53" s="19"/>
      <c r="AA53" s="20"/>
      <c r="AB53" s="19"/>
      <c r="AC53" s="19"/>
      <c r="AD53" s="19"/>
      <c r="AE53" s="20"/>
      <c r="AF53" s="19"/>
      <c r="AG53" s="19"/>
      <c r="AH53" s="20"/>
      <c r="AI53" s="53" t="str">
        <f>""</f>
        <v/>
      </c>
      <c r="AJ53" s="54" t="str">
        <f>""</f>
        <v/>
      </c>
      <c r="AK53" s="55" t="str">
        <f>""</f>
        <v/>
      </c>
    </row>
    <row r="54" spans="1:44" s="7" customFormat="1" ht="12" customHeight="1" x14ac:dyDescent="0.2">
      <c r="A54" s="94">
        <v>11</v>
      </c>
      <c r="B54" s="97" t="s">
        <v>23</v>
      </c>
      <c r="C54" s="2" t="s">
        <v>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6"/>
      <c r="X54" s="9"/>
      <c r="Y54" s="8"/>
      <c r="Z54" s="8"/>
      <c r="AA54" s="8"/>
      <c r="AB54" s="8"/>
      <c r="AC54" s="8"/>
      <c r="AD54" s="8"/>
      <c r="AE54" s="9"/>
      <c r="AF54" s="8"/>
      <c r="AG54" s="8"/>
      <c r="AH54" s="6"/>
      <c r="AI54" s="50">
        <f>0</f>
        <v>0</v>
      </c>
      <c r="AJ54" s="51">
        <f>SUM(D54:AH54)/8</f>
        <v>0</v>
      </c>
      <c r="AK54" s="52">
        <f>AI54+AJ54</f>
        <v>0</v>
      </c>
      <c r="AR54" s="10"/>
    </row>
    <row r="55" spans="1:44" s="7" customFormat="1" ht="13.5" customHeight="1" x14ac:dyDescent="0.2">
      <c r="A55" s="89"/>
      <c r="B55" s="89"/>
      <c r="C55" s="2" t="s">
        <v>9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6"/>
      <c r="X55" s="9"/>
      <c r="Y55" s="8"/>
      <c r="Z55" s="8"/>
      <c r="AA55" s="8"/>
      <c r="AB55" s="8"/>
      <c r="AC55" s="8"/>
      <c r="AD55" s="8"/>
      <c r="AE55" s="9"/>
      <c r="AF55" s="8"/>
      <c r="AG55" s="8"/>
      <c r="AH55" s="6"/>
      <c r="AI55" s="50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0</v>
      </c>
      <c r="AJ55" s="51">
        <f>0</f>
        <v>0</v>
      </c>
      <c r="AK55" s="52">
        <f>AI55+AJ55</f>
        <v>0</v>
      </c>
      <c r="AR55" s="10"/>
    </row>
    <row r="56" spans="1:44" s="7" customFormat="1" ht="13.5" customHeight="1" x14ac:dyDescent="0.2">
      <c r="A56" s="89"/>
      <c r="B56" s="89"/>
      <c r="C56" s="2" t="s">
        <v>11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6"/>
      <c r="X56" s="9"/>
      <c r="Y56" s="8"/>
      <c r="Z56" s="8"/>
      <c r="AA56" s="8"/>
      <c r="AB56" s="8"/>
      <c r="AC56" s="8"/>
      <c r="AD56" s="8"/>
      <c r="AE56" s="9"/>
      <c r="AF56" s="8"/>
      <c r="AG56" s="8"/>
      <c r="AH56" s="6"/>
      <c r="AI56" s="50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0</v>
      </c>
      <c r="AJ56" s="51">
        <f>0</f>
        <v>0</v>
      </c>
      <c r="AK56" s="52">
        <f>AI56+AJ56</f>
        <v>0</v>
      </c>
      <c r="AR56" s="10"/>
    </row>
    <row r="57" spans="1:44" s="7" customFormat="1" ht="13.5" customHeight="1" x14ac:dyDescent="0.2">
      <c r="A57" s="90"/>
      <c r="B57" s="96"/>
      <c r="C57" s="2" t="s">
        <v>12</v>
      </c>
      <c r="D57" s="8"/>
      <c r="E57" s="8"/>
      <c r="F57" s="8"/>
      <c r="G57" s="8"/>
      <c r="H57" s="8"/>
      <c r="I57" s="8"/>
      <c r="J57" s="13"/>
      <c r="K57" s="13"/>
      <c r="L57" s="13"/>
      <c r="M57" s="8"/>
      <c r="N57" s="13"/>
      <c r="O57" s="13"/>
      <c r="P57" s="13"/>
      <c r="Q57" s="13"/>
      <c r="R57" s="8"/>
      <c r="S57" s="8"/>
      <c r="T57" s="8"/>
      <c r="U57" s="8"/>
      <c r="V57" s="6"/>
      <c r="W57" s="6"/>
      <c r="X57" s="9"/>
      <c r="Y57" s="8"/>
      <c r="Z57" s="8"/>
      <c r="AA57" s="8"/>
      <c r="AB57" s="8"/>
      <c r="AC57" s="8"/>
      <c r="AD57" s="8"/>
      <c r="AE57" s="9"/>
      <c r="AF57" s="8"/>
      <c r="AG57" s="8"/>
      <c r="AH57" s="6"/>
      <c r="AI57" s="50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0</v>
      </c>
      <c r="AJ57" s="51">
        <f>0</f>
        <v>0</v>
      </c>
      <c r="AK57" s="52">
        <f>AI57+AJ57</f>
        <v>0</v>
      </c>
    </row>
    <row r="58" spans="1:44" s="7" customFormat="1" ht="13.5" customHeight="1" x14ac:dyDescent="0.2">
      <c r="A58" s="16"/>
      <c r="B58" s="17"/>
      <c r="C58" s="18"/>
      <c r="D58" s="19"/>
      <c r="E58" s="19"/>
      <c r="F58" s="19"/>
      <c r="G58" s="19"/>
      <c r="H58" s="19"/>
      <c r="I58" s="19"/>
      <c r="J58" s="22"/>
      <c r="K58" s="22"/>
      <c r="L58" s="22"/>
      <c r="M58" s="19"/>
      <c r="N58" s="22"/>
      <c r="O58" s="22"/>
      <c r="P58" s="22"/>
      <c r="Q58" s="22"/>
      <c r="R58" s="19"/>
      <c r="S58" s="19"/>
      <c r="T58" s="19"/>
      <c r="U58" s="19"/>
      <c r="V58" s="20"/>
      <c r="W58" s="20"/>
      <c r="X58" s="20" t="s">
        <v>59</v>
      </c>
      <c r="Y58" s="19"/>
      <c r="Z58" s="19"/>
      <c r="AA58" s="19"/>
      <c r="AB58" s="19"/>
      <c r="AC58" s="19"/>
      <c r="AD58" s="19"/>
      <c r="AE58" s="20"/>
      <c r="AF58" s="19"/>
      <c r="AG58" s="19"/>
      <c r="AH58" s="20"/>
      <c r="AI58" s="53" t="str">
        <f>""</f>
        <v/>
      </c>
      <c r="AJ58" s="54" t="str">
        <f>""</f>
        <v/>
      </c>
      <c r="AK58" s="55" t="str">
        <f>""</f>
        <v/>
      </c>
    </row>
    <row r="59" spans="1:44" ht="13.5" customHeight="1" x14ac:dyDescent="0.2">
      <c r="A59" s="94">
        <v>12</v>
      </c>
      <c r="B59" s="88" t="s">
        <v>24</v>
      </c>
      <c r="C59" s="2" t="s">
        <v>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"/>
      <c r="W59" s="6"/>
      <c r="X59" s="9"/>
      <c r="Y59" s="8"/>
      <c r="Z59" s="8"/>
      <c r="AA59" s="8"/>
      <c r="AB59" s="8"/>
      <c r="AC59" s="8"/>
      <c r="AD59" s="8"/>
      <c r="AE59" s="9"/>
      <c r="AF59" s="8"/>
      <c r="AG59" s="8"/>
      <c r="AH59" s="4"/>
      <c r="AI59" s="50">
        <f>0</f>
        <v>0</v>
      </c>
      <c r="AJ59" s="51">
        <f>SUM(D59:AH59)/8</f>
        <v>0</v>
      </c>
      <c r="AK59" s="52">
        <f>AI59+AJ59</f>
        <v>0</v>
      </c>
    </row>
    <row r="60" spans="1:44" ht="13.5" customHeight="1" x14ac:dyDescent="0.2">
      <c r="A60" s="89"/>
      <c r="B60" s="89"/>
      <c r="C60" s="2" t="s">
        <v>9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4"/>
      <c r="W60" s="6"/>
      <c r="X60" s="9"/>
      <c r="Y60" s="8"/>
      <c r="Z60" s="8"/>
      <c r="AA60" s="8"/>
      <c r="AB60" s="8"/>
      <c r="AC60" s="8"/>
      <c r="AD60" s="8"/>
      <c r="AE60" s="9"/>
      <c r="AF60" s="8"/>
      <c r="AG60" s="8"/>
      <c r="AH60" s="4"/>
      <c r="AI60" s="50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0</v>
      </c>
      <c r="AJ60" s="51">
        <f>0</f>
        <v>0</v>
      </c>
      <c r="AK60" s="52">
        <f>AI60+AJ60</f>
        <v>0</v>
      </c>
    </row>
    <row r="61" spans="1:44" ht="13.5" customHeight="1" x14ac:dyDescent="0.2">
      <c r="A61" s="89"/>
      <c r="B61" s="89"/>
      <c r="C61" s="2" t="s">
        <v>11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"/>
      <c r="W61" s="6"/>
      <c r="X61" s="9"/>
      <c r="Y61" s="8"/>
      <c r="Z61" s="8"/>
      <c r="AA61" s="8"/>
      <c r="AB61" s="8"/>
      <c r="AC61" s="8"/>
      <c r="AD61" s="8"/>
      <c r="AE61" s="9"/>
      <c r="AF61" s="8"/>
      <c r="AG61" s="8"/>
      <c r="AH61" s="4"/>
      <c r="AI61" s="50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0</v>
      </c>
      <c r="AJ61" s="51">
        <f>0</f>
        <v>0</v>
      </c>
      <c r="AK61" s="52">
        <f>AI61+AJ61</f>
        <v>0</v>
      </c>
    </row>
    <row r="62" spans="1:44" s="7" customFormat="1" ht="13.5" customHeight="1" x14ac:dyDescent="0.2">
      <c r="A62" s="90"/>
      <c r="B62" s="90"/>
      <c r="C62" s="2" t="s">
        <v>12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6"/>
      <c r="W62" s="6"/>
      <c r="X62" s="9"/>
      <c r="Y62" s="8"/>
      <c r="Z62" s="8"/>
      <c r="AA62" s="8"/>
      <c r="AB62" s="8"/>
      <c r="AC62" s="8"/>
      <c r="AD62" s="8"/>
      <c r="AE62" s="9"/>
      <c r="AF62" s="8"/>
      <c r="AG62" s="8"/>
      <c r="AH62" s="6"/>
      <c r="AI62" s="50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0</v>
      </c>
      <c r="AJ62" s="51">
        <f>0</f>
        <v>0</v>
      </c>
      <c r="AK62" s="52">
        <f>AI62+AJ62</f>
        <v>0</v>
      </c>
    </row>
    <row r="63" spans="1:44" s="7" customFormat="1" ht="13.5" customHeight="1" x14ac:dyDescent="0.2">
      <c r="A63" s="16"/>
      <c r="B63" s="23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  <c r="W63" s="20"/>
      <c r="X63" s="20"/>
      <c r="Y63" s="19"/>
      <c r="Z63" s="19"/>
      <c r="AA63" s="19"/>
      <c r="AB63" s="19"/>
      <c r="AC63" s="19"/>
      <c r="AD63" s="19"/>
      <c r="AE63" s="20"/>
      <c r="AF63" s="19"/>
      <c r="AG63" s="19"/>
      <c r="AH63" s="20"/>
      <c r="AI63" s="53" t="str">
        <f>""</f>
        <v/>
      </c>
      <c r="AJ63" s="54" t="str">
        <f>""</f>
        <v/>
      </c>
      <c r="AK63" s="55" t="str">
        <f>""</f>
        <v/>
      </c>
    </row>
    <row r="64" spans="1:44" ht="13.5" customHeight="1" x14ac:dyDescent="0.2">
      <c r="A64" s="94">
        <v>13</v>
      </c>
      <c r="B64" s="94" t="s">
        <v>26</v>
      </c>
      <c r="C64" s="2" t="s">
        <v>8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4"/>
      <c r="W64" s="6"/>
      <c r="X64" s="9"/>
      <c r="Y64" s="8"/>
      <c r="Z64" s="8"/>
      <c r="AA64" s="8"/>
      <c r="AB64" s="8"/>
      <c r="AC64" s="8"/>
      <c r="AD64" s="8"/>
      <c r="AE64" s="9"/>
      <c r="AF64" s="8"/>
      <c r="AG64" s="8"/>
      <c r="AH64" s="4"/>
      <c r="AI64" s="50">
        <f>0</f>
        <v>0</v>
      </c>
      <c r="AJ64" s="51">
        <f>SUM(D64:AH64)/8</f>
        <v>0</v>
      </c>
      <c r="AK64" s="52">
        <f>AI64+AJ64</f>
        <v>0</v>
      </c>
    </row>
    <row r="65" spans="1:37" ht="13.5" customHeight="1" x14ac:dyDescent="0.2">
      <c r="A65" s="89"/>
      <c r="B65" s="89"/>
      <c r="C65" s="2" t="s">
        <v>9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"/>
      <c r="W65" s="6"/>
      <c r="X65" s="9"/>
      <c r="Y65" s="8"/>
      <c r="Z65" s="8"/>
      <c r="AA65" s="8"/>
      <c r="AB65" s="8"/>
      <c r="AC65" s="8"/>
      <c r="AD65" s="8"/>
      <c r="AE65" s="9"/>
      <c r="AF65" s="8"/>
      <c r="AG65" s="8"/>
      <c r="AH65" s="4"/>
      <c r="AI65" s="50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0</v>
      </c>
      <c r="AJ65" s="51">
        <f>0</f>
        <v>0</v>
      </c>
      <c r="AK65" s="52">
        <f>AI65+AJ65</f>
        <v>0</v>
      </c>
    </row>
    <row r="66" spans="1:37" ht="12.75" customHeight="1" x14ac:dyDescent="0.2">
      <c r="A66" s="89"/>
      <c r="B66" s="89"/>
      <c r="C66" s="2" t="s">
        <v>11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4"/>
      <c r="W66" s="6"/>
      <c r="X66" s="9"/>
      <c r="Y66" s="8"/>
      <c r="Z66" s="8"/>
      <c r="AA66" s="8"/>
      <c r="AB66" s="8"/>
      <c r="AC66" s="8"/>
      <c r="AD66" s="8"/>
      <c r="AE66" s="9"/>
      <c r="AF66" s="8"/>
      <c r="AG66" s="8"/>
      <c r="AH66" s="4"/>
      <c r="AI66" s="50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0</v>
      </c>
      <c r="AJ66" s="51">
        <f>0</f>
        <v>0</v>
      </c>
      <c r="AK66" s="52">
        <f>AI66+AJ66</f>
        <v>0</v>
      </c>
    </row>
    <row r="67" spans="1:37" s="7" customFormat="1" ht="13.5" customHeight="1" x14ac:dyDescent="0.2">
      <c r="A67" s="90"/>
      <c r="B67" s="90"/>
      <c r="C67" s="2" t="s">
        <v>12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6"/>
      <c r="W67" s="6"/>
      <c r="X67" s="9"/>
      <c r="Y67" s="8"/>
      <c r="Z67" s="8"/>
      <c r="AA67" s="6"/>
      <c r="AB67" s="8"/>
      <c r="AC67" s="8"/>
      <c r="AD67" s="8"/>
      <c r="AE67" s="9"/>
      <c r="AF67" s="8"/>
      <c r="AG67" s="8"/>
      <c r="AH67" s="6"/>
      <c r="AI67" s="50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0</v>
      </c>
      <c r="AJ67" s="51">
        <f>0</f>
        <v>0</v>
      </c>
      <c r="AK67" s="52">
        <f>AI67+AJ67</f>
        <v>0</v>
      </c>
    </row>
    <row r="68" spans="1:37" ht="20.25" customHeight="1" x14ac:dyDescent="0.2">
      <c r="A68" s="11" t="s">
        <v>27</v>
      </c>
      <c r="B68" s="11" t="s">
        <v>28</v>
      </c>
      <c r="AH68" s="12" t="s">
        <v>4</v>
      </c>
      <c r="AI68" s="52" t="str">
        <f>""</f>
        <v/>
      </c>
      <c r="AJ68" s="52" t="str">
        <f>""</f>
        <v/>
      </c>
      <c r="AK68" s="52" t="str">
        <f>""</f>
        <v/>
      </c>
    </row>
    <row r="69" spans="1:37" x14ac:dyDescent="0.2">
      <c r="A69" s="11"/>
      <c r="B69" s="11"/>
      <c r="AI69" s="45"/>
      <c r="AJ69" s="45"/>
      <c r="AK69" s="45"/>
    </row>
    <row r="70" spans="1:37" x14ac:dyDescent="0.2">
      <c r="AI70" s="45"/>
      <c r="AJ70" s="45"/>
      <c r="AK70" s="45"/>
    </row>
    <row r="71" spans="1:37" ht="14.25" customHeight="1" x14ac:dyDescent="0.2">
      <c r="AI71" s="45"/>
      <c r="AJ71" s="45"/>
      <c r="AK71" s="45"/>
    </row>
    <row r="72" spans="1:37" ht="14.25" customHeight="1" x14ac:dyDescent="0.2">
      <c r="A72" s="103"/>
      <c r="B72" s="104"/>
      <c r="C72" s="104"/>
      <c r="D72" s="10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106"/>
      <c r="AJ72" s="108"/>
      <c r="AK72" s="107"/>
    </row>
    <row r="73" spans="1:37" ht="14.25" customHeight="1" x14ac:dyDescent="0.2">
      <c r="A73" s="100"/>
      <c r="B73" s="105"/>
      <c r="C73" s="105"/>
      <c r="D73" s="91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3"/>
      <c r="AI73" s="89"/>
      <c r="AJ73" s="99"/>
      <c r="AK73" s="89"/>
    </row>
    <row r="74" spans="1:37" ht="14.25" customHeight="1" x14ac:dyDescent="0.25">
      <c r="A74" s="2"/>
      <c r="B74" s="2"/>
      <c r="C74" s="3"/>
      <c r="D74" s="14">
        <f t="shared" ref="D74:AH74" si="1">+C74+1</f>
        <v>1</v>
      </c>
      <c r="E74" s="14">
        <f t="shared" si="1"/>
        <v>2</v>
      </c>
      <c r="F74" s="14">
        <f t="shared" si="1"/>
        <v>3</v>
      </c>
      <c r="G74" s="14">
        <f t="shared" si="1"/>
        <v>4</v>
      </c>
      <c r="H74" s="14">
        <f t="shared" si="1"/>
        <v>5</v>
      </c>
      <c r="I74" s="14">
        <f t="shared" si="1"/>
        <v>6</v>
      </c>
      <c r="J74" s="14">
        <f t="shared" si="1"/>
        <v>7</v>
      </c>
      <c r="K74" s="14">
        <f t="shared" si="1"/>
        <v>8</v>
      </c>
      <c r="L74" s="14">
        <f t="shared" si="1"/>
        <v>9</v>
      </c>
      <c r="M74" s="14">
        <f t="shared" si="1"/>
        <v>10</v>
      </c>
      <c r="N74" s="14">
        <f t="shared" si="1"/>
        <v>11</v>
      </c>
      <c r="O74" s="14">
        <f t="shared" si="1"/>
        <v>12</v>
      </c>
      <c r="P74" s="14">
        <f t="shared" si="1"/>
        <v>13</v>
      </c>
      <c r="Q74" s="14">
        <f t="shared" si="1"/>
        <v>14</v>
      </c>
      <c r="R74" s="14">
        <f t="shared" si="1"/>
        <v>15</v>
      </c>
      <c r="S74" s="14">
        <f t="shared" si="1"/>
        <v>16</v>
      </c>
      <c r="T74" s="14">
        <f t="shared" si="1"/>
        <v>17</v>
      </c>
      <c r="U74" s="14">
        <f t="shared" si="1"/>
        <v>18</v>
      </c>
      <c r="V74" s="14">
        <f t="shared" si="1"/>
        <v>19</v>
      </c>
      <c r="W74" s="14">
        <f t="shared" si="1"/>
        <v>20</v>
      </c>
      <c r="X74" s="14">
        <f t="shared" si="1"/>
        <v>21</v>
      </c>
      <c r="Y74" s="14">
        <f t="shared" si="1"/>
        <v>22</v>
      </c>
      <c r="Z74" s="14">
        <f t="shared" si="1"/>
        <v>23</v>
      </c>
      <c r="AA74" s="14">
        <f t="shared" si="1"/>
        <v>24</v>
      </c>
      <c r="AB74" s="14">
        <f t="shared" si="1"/>
        <v>25</v>
      </c>
      <c r="AC74" s="14">
        <f t="shared" si="1"/>
        <v>26</v>
      </c>
      <c r="AD74" s="14">
        <f t="shared" si="1"/>
        <v>27</v>
      </c>
      <c r="AE74" s="14">
        <f t="shared" si="1"/>
        <v>28</v>
      </c>
      <c r="AF74" s="14">
        <f t="shared" si="1"/>
        <v>29</v>
      </c>
      <c r="AG74" s="14">
        <f t="shared" si="1"/>
        <v>30</v>
      </c>
      <c r="AH74" s="14">
        <f t="shared" si="1"/>
        <v>31</v>
      </c>
      <c r="AI74" s="90"/>
      <c r="AJ74" s="100"/>
      <c r="AK74" s="90"/>
    </row>
    <row r="75" spans="1:37" ht="14.25" customHeight="1" x14ac:dyDescent="0.2">
      <c r="A75" s="94"/>
      <c r="B75" s="95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ref="AJ75:AJ82" si="2">SUM(D75:AH75)/8</f>
        <v>0</v>
      </c>
      <c r="AK75" s="52">
        <f t="shared" ref="AK75:AK106" si="3">AI75+AJ75</f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2"/>
        <v>0</v>
      </c>
      <c r="AK76" s="52">
        <f t="shared" si="3"/>
        <v>0</v>
      </c>
    </row>
    <row r="77" spans="1:37" ht="14.25" customHeight="1" x14ac:dyDescent="0.2">
      <c r="A77" s="89"/>
      <c r="B77" s="89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8"/>
      <c r="AF77" s="8"/>
      <c r="AG77" s="8"/>
      <c r="AH77" s="4"/>
      <c r="AI77" s="50">
        <f>0</f>
        <v>0</v>
      </c>
      <c r="AJ77" s="51">
        <f t="shared" si="2"/>
        <v>0</v>
      </c>
      <c r="AK77" s="52">
        <f t="shared" si="3"/>
        <v>0</v>
      </c>
    </row>
    <row r="78" spans="1:37" ht="14.25" customHeight="1" x14ac:dyDescent="0.2">
      <c r="A78" s="90"/>
      <c r="B78" s="96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2"/>
        <v>0</v>
      </c>
      <c r="AK78" s="52">
        <f t="shared" si="3"/>
        <v>0</v>
      </c>
    </row>
    <row r="79" spans="1:37" ht="14.25" customHeight="1" x14ac:dyDescent="0.2">
      <c r="A79" s="94"/>
      <c r="B79" s="97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2"/>
        <v>0</v>
      </c>
      <c r="AK79" s="52">
        <f t="shared" si="3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2"/>
        <v>0</v>
      </c>
      <c r="AK80" s="52">
        <f t="shared" si="3"/>
        <v>0</v>
      </c>
    </row>
    <row r="81" spans="1:37" ht="14.25" customHeight="1" x14ac:dyDescent="0.2">
      <c r="A81" s="89"/>
      <c r="B81" s="89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2"/>
        <v>0</v>
      </c>
      <c r="AK81" s="52">
        <f t="shared" si="3"/>
        <v>0</v>
      </c>
    </row>
    <row r="82" spans="1:37" ht="14.25" customHeight="1" x14ac:dyDescent="0.2">
      <c r="A82" s="90"/>
      <c r="B82" s="96"/>
      <c r="C82" s="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>
        <f t="shared" si="2"/>
        <v>0</v>
      </c>
      <c r="AK82" s="52">
        <f t="shared" si="3"/>
        <v>0</v>
      </c>
    </row>
    <row r="83" spans="1:37" ht="14.25" customHeight="1" x14ac:dyDescent="0.2">
      <c r="A83" s="94"/>
      <c r="B83" s="97"/>
      <c r="C83" s="2"/>
      <c r="D83" s="8"/>
      <c r="E83" s="8"/>
      <c r="F83" s="8"/>
      <c r="G83" s="8"/>
      <c r="H83" s="8"/>
      <c r="I83" s="8"/>
      <c r="J83" s="8"/>
      <c r="K83" s="8"/>
      <c r="L83" s="1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/>
      <c r="AK83" s="52">
        <f t="shared" si="3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3"/>
        <v>0</v>
      </c>
    </row>
    <row r="85" spans="1:37" ht="14.25" customHeight="1" x14ac:dyDescent="0.2">
      <c r="A85" s="89"/>
      <c r="B85" s="89"/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3"/>
        <v>0</v>
      </c>
    </row>
    <row r="86" spans="1:37" ht="14.25" customHeight="1" x14ac:dyDescent="0.2">
      <c r="A86" s="90"/>
      <c r="B86" s="96"/>
      <c r="C86" s="2"/>
      <c r="D86" s="8"/>
      <c r="E86" s="8"/>
      <c r="F86" s="8"/>
      <c r="G86" s="8"/>
      <c r="H86" s="8"/>
      <c r="I86" s="8"/>
      <c r="J86" s="8"/>
      <c r="K86" s="8"/>
      <c r="L86" s="1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3"/>
        <v>0</v>
      </c>
    </row>
    <row r="87" spans="1:37" ht="14.25" customHeight="1" x14ac:dyDescent="0.2">
      <c r="A87" s="94"/>
      <c r="B87" s="97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3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3"/>
        <v>0</v>
      </c>
    </row>
    <row r="89" spans="1:37" ht="14.25" customHeight="1" x14ac:dyDescent="0.2">
      <c r="A89" s="89"/>
      <c r="B89" s="89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3"/>
        <v>0</v>
      </c>
    </row>
    <row r="90" spans="1:37" ht="14.25" customHeight="1" x14ac:dyDescent="0.2">
      <c r="A90" s="90"/>
      <c r="B90" s="96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3"/>
        <v>0</v>
      </c>
    </row>
    <row r="91" spans="1:37" ht="14.25" customHeight="1" x14ac:dyDescent="0.2">
      <c r="A91" s="94"/>
      <c r="B91" s="97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3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3"/>
        <v>0</v>
      </c>
    </row>
    <row r="93" spans="1:37" ht="14.25" customHeight="1" x14ac:dyDescent="0.2">
      <c r="A93" s="89"/>
      <c r="B93" s="89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3"/>
        <v>0</v>
      </c>
    </row>
    <row r="94" spans="1:37" ht="14.25" customHeight="1" x14ac:dyDescent="0.2">
      <c r="A94" s="90"/>
      <c r="B94" s="96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3"/>
        <v>0</v>
      </c>
    </row>
    <row r="95" spans="1:37" ht="14.25" customHeight="1" x14ac:dyDescent="0.2">
      <c r="A95" s="94"/>
      <c r="B95" s="97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3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3"/>
        <v>0</v>
      </c>
    </row>
    <row r="97" spans="1:37" ht="14.25" customHeight="1" x14ac:dyDescent="0.2">
      <c r="A97" s="89"/>
      <c r="B97" s="89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3"/>
        <v>0</v>
      </c>
    </row>
    <row r="98" spans="1:37" ht="14.25" customHeight="1" x14ac:dyDescent="0.2">
      <c r="A98" s="90"/>
      <c r="B98" s="96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3"/>
        <v>0</v>
      </c>
    </row>
    <row r="99" spans="1:37" ht="14.25" customHeight="1" x14ac:dyDescent="0.2">
      <c r="A99" s="94"/>
      <c r="B99" s="97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3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3"/>
        <v>0</v>
      </c>
    </row>
    <row r="101" spans="1:37" ht="14.25" customHeight="1" x14ac:dyDescent="0.2">
      <c r="A101" s="89"/>
      <c r="B101" s="89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3"/>
        <v>0</v>
      </c>
    </row>
    <row r="102" spans="1:37" ht="14.25" customHeight="1" x14ac:dyDescent="0.2">
      <c r="A102" s="90"/>
      <c r="B102" s="96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3"/>
        <v>0</v>
      </c>
    </row>
    <row r="103" spans="1:37" ht="14.25" customHeight="1" x14ac:dyDescent="0.2">
      <c r="A103" s="94"/>
      <c r="B103" s="97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3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3"/>
        <v>0</v>
      </c>
    </row>
    <row r="105" spans="1:37" ht="14.25" customHeight="1" x14ac:dyDescent="0.2">
      <c r="A105" s="89"/>
      <c r="B105" s="89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3"/>
        <v>0</v>
      </c>
    </row>
    <row r="106" spans="1:37" ht="14.25" customHeight="1" x14ac:dyDescent="0.2">
      <c r="A106" s="90"/>
      <c r="B106" s="96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si="3"/>
        <v>0</v>
      </c>
    </row>
    <row r="107" spans="1:37" ht="14.25" customHeight="1" x14ac:dyDescent="0.2">
      <c r="A107" s="94"/>
      <c r="B107" s="97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ref="AK107:AK126" si="4">AI107+AJ107</f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4"/>
        <v>0</v>
      </c>
    </row>
    <row r="109" spans="1:37" ht="14.25" customHeight="1" x14ac:dyDescent="0.2">
      <c r="A109" s="89"/>
      <c r="B109" s="89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8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4"/>
        <v>0</v>
      </c>
    </row>
    <row r="110" spans="1:37" ht="14.25" customHeight="1" x14ac:dyDescent="0.2">
      <c r="A110" s="90"/>
      <c r="B110" s="96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4"/>
        <v>0</v>
      </c>
    </row>
    <row r="111" spans="1:37" ht="14.25" customHeight="1" x14ac:dyDescent="0.2">
      <c r="A111" s="94"/>
      <c r="B111" s="97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4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4"/>
        <v>0</v>
      </c>
    </row>
    <row r="113" spans="1:37" ht="14.25" customHeight="1" x14ac:dyDescent="0.2">
      <c r="A113" s="89"/>
      <c r="B113" s="89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4"/>
        <v>0</v>
      </c>
    </row>
    <row r="114" spans="1:37" ht="14.25" customHeight="1" x14ac:dyDescent="0.2">
      <c r="A114" s="90"/>
      <c r="B114" s="96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6"/>
      <c r="W114" s="6"/>
      <c r="X114" s="9"/>
      <c r="Y114" s="8"/>
      <c r="Z114" s="8"/>
      <c r="AA114" s="6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4"/>
        <v>0</v>
      </c>
    </row>
    <row r="115" spans="1:37" ht="14.25" customHeight="1" x14ac:dyDescent="0.2">
      <c r="A115" s="94"/>
      <c r="B115" s="97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4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4"/>
        <v>0</v>
      </c>
    </row>
    <row r="117" spans="1:37" ht="14.25" customHeight="1" x14ac:dyDescent="0.2">
      <c r="A117" s="89"/>
      <c r="B117" s="89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4"/>
        <v>0</v>
      </c>
    </row>
    <row r="118" spans="1:37" ht="14.25" customHeight="1" x14ac:dyDescent="0.2">
      <c r="A118" s="90"/>
      <c r="B118" s="96"/>
      <c r="C118" s="2"/>
      <c r="D118" s="8"/>
      <c r="E118" s="8"/>
      <c r="F118" s="8"/>
      <c r="G118" s="8"/>
      <c r="H118" s="8"/>
      <c r="I118" s="8"/>
      <c r="J118" s="13"/>
      <c r="K118" s="13"/>
      <c r="L118" s="13"/>
      <c r="M118" s="8"/>
      <c r="N118" s="13"/>
      <c r="O118" s="13"/>
      <c r="P118" s="13"/>
      <c r="Q118" s="13"/>
      <c r="R118" s="8"/>
      <c r="S118" s="8"/>
      <c r="T118" s="8"/>
      <c r="U118" s="8"/>
      <c r="V118" s="6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6"/>
      <c r="AI118" s="50">
        <f>0</f>
        <v>0</v>
      </c>
      <c r="AJ118" s="51">
        <f>0</f>
        <v>0</v>
      </c>
      <c r="AK118" s="52">
        <f t="shared" si="4"/>
        <v>0</v>
      </c>
    </row>
    <row r="119" spans="1:37" ht="14.25" customHeight="1" x14ac:dyDescent="0.2">
      <c r="A119" s="94"/>
      <c r="B119" s="88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4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4"/>
        <v>0</v>
      </c>
    </row>
    <row r="121" spans="1:37" ht="14.25" customHeight="1" x14ac:dyDescent="0.2">
      <c r="A121" s="89"/>
      <c r="B121" s="89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4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4"/>
      <c r="AI121" s="50">
        <f>0</f>
        <v>0</v>
      </c>
      <c r="AJ121" s="51">
        <f>0</f>
        <v>0</v>
      </c>
      <c r="AK121" s="52">
        <f t="shared" si="4"/>
        <v>0</v>
      </c>
    </row>
    <row r="122" spans="1:37" ht="14.25" customHeight="1" x14ac:dyDescent="0.2">
      <c r="A122" s="90"/>
      <c r="B122" s="90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6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6"/>
      <c r="AI122" s="50">
        <f>0</f>
        <v>0</v>
      </c>
      <c r="AJ122" s="51">
        <f>0</f>
        <v>0</v>
      </c>
      <c r="AK122" s="52">
        <f t="shared" si="4"/>
        <v>0</v>
      </c>
    </row>
    <row r="123" spans="1:37" ht="14.25" customHeight="1" x14ac:dyDescent="0.2">
      <c r="A123" s="94"/>
      <c r="B123" s="94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4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4"/>
        <v>0</v>
      </c>
    </row>
    <row r="125" spans="1:37" ht="14.25" customHeight="1" x14ac:dyDescent="0.2">
      <c r="A125" s="89"/>
      <c r="B125" s="89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4"/>
      <c r="W125" s="6"/>
      <c r="X125" s="9"/>
      <c r="Y125" s="8"/>
      <c r="Z125" s="8"/>
      <c r="AA125" s="8"/>
      <c r="AB125" s="8"/>
      <c r="AC125" s="8"/>
      <c r="AD125" s="8"/>
      <c r="AE125" s="9"/>
      <c r="AF125" s="8"/>
      <c r="AG125" s="8"/>
      <c r="AH125" s="4"/>
      <c r="AI125" s="50">
        <f>0</f>
        <v>0</v>
      </c>
      <c r="AJ125" s="51">
        <f>0</f>
        <v>0</v>
      </c>
      <c r="AK125" s="52">
        <f t="shared" si="4"/>
        <v>0</v>
      </c>
    </row>
    <row r="126" spans="1:37" ht="14.25" customHeight="1" x14ac:dyDescent="0.2">
      <c r="A126" s="90"/>
      <c r="B126" s="90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6"/>
      <c r="W126" s="6"/>
      <c r="X126" s="9"/>
      <c r="Y126" s="8"/>
      <c r="Z126" s="8"/>
      <c r="AA126" s="6"/>
      <c r="AB126" s="8"/>
      <c r="AC126" s="8"/>
      <c r="AD126" s="8"/>
      <c r="AE126" s="9"/>
      <c r="AF126" s="8"/>
      <c r="AG126" s="8"/>
      <c r="AH126" s="6"/>
      <c r="AI126" s="50">
        <f>0</f>
        <v>0</v>
      </c>
      <c r="AJ126" s="51">
        <f>0</f>
        <v>0</v>
      </c>
      <c r="AK126" s="52">
        <f t="shared" si="4"/>
        <v>0</v>
      </c>
    </row>
    <row r="127" spans="1:37" x14ac:dyDescent="0.2">
      <c r="A127" s="11"/>
      <c r="B127" s="11"/>
      <c r="AH127" s="12"/>
      <c r="AI127" s="52"/>
      <c r="AJ127" s="52">
        <f>SUM(AJ75:AJ126)</f>
        <v>0</v>
      </c>
      <c r="AK127" s="52">
        <f>SUM(AK75:AK126)</f>
        <v>0</v>
      </c>
    </row>
    <row r="128" spans="1:37" x14ac:dyDescent="0.2">
      <c r="A128" s="11"/>
      <c r="B128" s="11"/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4.25" customHeight="1" x14ac:dyDescent="0.2">
      <c r="AI134" s="45"/>
      <c r="AJ134" s="45"/>
      <c r="AK134" s="45"/>
    </row>
    <row r="135" spans="35:37" ht="14.25" customHeight="1" x14ac:dyDescent="0.2">
      <c r="AI135" s="45"/>
      <c r="AJ135" s="45"/>
      <c r="AK135" s="45"/>
    </row>
    <row r="136" spans="35:37" ht="14.25" customHeight="1" x14ac:dyDescent="0.2">
      <c r="AI136" s="45"/>
      <c r="AJ136" s="45"/>
      <c r="AK136" s="45"/>
    </row>
    <row r="137" spans="35:37" ht="14.25" customHeight="1" x14ac:dyDescent="0.2">
      <c r="AI137" s="45"/>
      <c r="AJ137" s="45"/>
      <c r="AK137" s="45"/>
    </row>
    <row r="138" spans="35:37" ht="14.25" customHeight="1" x14ac:dyDescent="0.2">
      <c r="AI138" s="45"/>
      <c r="AJ138" s="45"/>
      <c r="AK138" s="45"/>
    </row>
    <row r="139" spans="35:37" ht="14.25" customHeight="1" x14ac:dyDescent="0.2">
      <c r="AI139" s="45"/>
      <c r="AJ139" s="45"/>
      <c r="AK139" s="45"/>
    </row>
    <row r="140" spans="35:37" ht="14.25" customHeight="1" x14ac:dyDescent="0.2">
      <c r="AI140" s="45"/>
      <c r="AJ140" s="45"/>
      <c r="AK140" s="45"/>
    </row>
    <row r="141" spans="35:37" ht="14.25" customHeight="1" x14ac:dyDescent="0.2">
      <c r="AI141" s="45"/>
      <c r="AJ141" s="45"/>
      <c r="AK141" s="45"/>
    </row>
    <row r="142" spans="35:37" ht="14.25" customHeight="1" x14ac:dyDescent="0.2">
      <c r="AI142" s="45"/>
      <c r="AJ142" s="45"/>
      <c r="AK142" s="45"/>
    </row>
    <row r="143" spans="35:37" ht="14.25" customHeight="1" x14ac:dyDescent="0.2">
      <c r="AI143" s="45"/>
      <c r="AJ143" s="45"/>
      <c r="AK143" s="45"/>
    </row>
    <row r="144" spans="35:37" ht="14.25" customHeight="1" x14ac:dyDescent="0.2">
      <c r="AI144" s="45"/>
      <c r="AJ144" s="45"/>
      <c r="AK144" s="45"/>
    </row>
    <row r="145" spans="35:37" ht="14.25" customHeight="1" x14ac:dyDescent="0.2">
      <c r="AI145" s="45"/>
      <c r="AJ145" s="45"/>
      <c r="AK145" s="45"/>
    </row>
    <row r="146" spans="35:37" ht="14.25" customHeight="1" x14ac:dyDescent="0.2">
      <c r="AI146" s="45"/>
      <c r="AJ146" s="45"/>
      <c r="AK146" s="45"/>
    </row>
    <row r="147" spans="35:37" ht="14.25" customHeight="1" x14ac:dyDescent="0.2">
      <c r="AI147" s="45"/>
      <c r="AJ147" s="45"/>
      <c r="AK147" s="45"/>
    </row>
    <row r="148" spans="35:37" ht="14.25" customHeight="1" x14ac:dyDescent="0.2">
      <c r="AI148" s="45"/>
      <c r="AJ148" s="45"/>
      <c r="AK148" s="45"/>
    </row>
    <row r="149" spans="35:37" ht="14.25" customHeight="1" x14ac:dyDescent="0.2">
      <c r="AI149" s="45"/>
      <c r="AJ149" s="45"/>
      <c r="AK149" s="45"/>
    </row>
    <row r="150" spans="35:37" ht="14.25" customHeight="1" x14ac:dyDescent="0.2">
      <c r="AI150" s="45"/>
      <c r="AJ150" s="45"/>
      <c r="AK150" s="45"/>
    </row>
    <row r="151" spans="35:37" ht="14.25" customHeight="1" x14ac:dyDescent="0.2">
      <c r="AI151" s="45"/>
      <c r="AJ151" s="45"/>
      <c r="AK151" s="45"/>
    </row>
    <row r="152" spans="35:37" ht="14.25" customHeight="1" x14ac:dyDescent="0.2">
      <c r="AI152" s="45"/>
      <c r="AJ152" s="45"/>
      <c r="AK152" s="45"/>
    </row>
    <row r="153" spans="35:37" ht="14.25" customHeight="1" x14ac:dyDescent="0.2">
      <c r="AI153" s="45"/>
      <c r="AJ153" s="45"/>
      <c r="AK153" s="45"/>
    </row>
    <row r="154" spans="35:37" ht="14.25" customHeight="1" x14ac:dyDescent="0.2">
      <c r="AI154" s="45"/>
      <c r="AJ154" s="45"/>
      <c r="AK154" s="45"/>
    </row>
    <row r="155" spans="35:37" ht="14.25" customHeight="1" x14ac:dyDescent="0.2">
      <c r="AI155" s="45"/>
      <c r="AJ155" s="45"/>
      <c r="AK155" s="45"/>
    </row>
    <row r="156" spans="35:37" ht="14.25" customHeight="1" x14ac:dyDescent="0.2">
      <c r="AI156" s="45"/>
      <c r="AJ156" s="45"/>
      <c r="AK156" s="45"/>
    </row>
    <row r="157" spans="35:37" ht="14.25" customHeight="1" x14ac:dyDescent="0.2">
      <c r="AI157" s="45"/>
      <c r="AJ157" s="45"/>
      <c r="AK157" s="45"/>
    </row>
    <row r="158" spans="35:37" ht="14.25" customHeight="1" x14ac:dyDescent="0.2">
      <c r="AI158" s="45"/>
      <c r="AJ158" s="45"/>
      <c r="AK158" s="45"/>
    </row>
    <row r="159" spans="35:37" ht="14.25" customHeight="1" x14ac:dyDescent="0.2">
      <c r="AI159" s="45"/>
      <c r="AJ159" s="45"/>
      <c r="AK159" s="45"/>
    </row>
    <row r="160" spans="35:37" ht="14.25" customHeight="1" x14ac:dyDescent="0.2">
      <c r="AI160" s="45"/>
      <c r="AJ160" s="45"/>
      <c r="AK160" s="45"/>
    </row>
    <row r="161" spans="35:37" ht="14.25" customHeight="1" x14ac:dyDescent="0.2">
      <c r="AI161" s="45"/>
      <c r="AJ161" s="45"/>
      <c r="AK161" s="45"/>
    </row>
    <row r="162" spans="35:37" ht="14.25" customHeight="1" x14ac:dyDescent="0.2">
      <c r="AI162" s="45"/>
      <c r="AJ162" s="45"/>
      <c r="AK162" s="45"/>
    </row>
    <row r="163" spans="35:37" ht="14.25" customHeight="1" x14ac:dyDescent="0.2">
      <c r="AI163" s="45"/>
      <c r="AJ163" s="45"/>
      <c r="AK163" s="45"/>
    </row>
    <row r="164" spans="35:37" ht="14.25" customHeight="1" x14ac:dyDescent="0.2">
      <c r="AI164" s="45"/>
      <c r="AJ164" s="45"/>
      <c r="AK164" s="45"/>
    </row>
    <row r="165" spans="35:37" ht="14.25" customHeight="1" x14ac:dyDescent="0.2">
      <c r="AI165" s="45"/>
      <c r="AJ165" s="45"/>
      <c r="AK165" s="45"/>
    </row>
    <row r="166" spans="35:37" ht="14.25" customHeight="1" x14ac:dyDescent="0.2">
      <c r="AI166" s="45"/>
      <c r="AJ166" s="45"/>
      <c r="AK166" s="45"/>
    </row>
    <row r="167" spans="35:37" ht="14.25" customHeight="1" x14ac:dyDescent="0.2">
      <c r="AI167" s="45"/>
      <c r="AJ167" s="45"/>
      <c r="AK167" s="45"/>
    </row>
    <row r="168" spans="35:37" ht="14.25" customHeight="1" x14ac:dyDescent="0.2">
      <c r="AI168" s="45"/>
      <c r="AJ168" s="45"/>
      <c r="AK168" s="45"/>
    </row>
    <row r="169" spans="35:37" ht="14.25" customHeight="1" x14ac:dyDescent="0.2">
      <c r="AI169" s="45"/>
      <c r="AJ169" s="45"/>
      <c r="AK169" s="45"/>
    </row>
    <row r="170" spans="35:37" ht="14.25" customHeight="1" x14ac:dyDescent="0.2">
      <c r="AI170" s="45"/>
      <c r="AJ170" s="45"/>
      <c r="AK170" s="45"/>
    </row>
    <row r="171" spans="35:37" ht="14.25" customHeight="1" x14ac:dyDescent="0.2">
      <c r="AI171" s="45"/>
      <c r="AJ171" s="45"/>
      <c r="AK171" s="45"/>
    </row>
    <row r="172" spans="35:37" ht="14.25" customHeight="1" x14ac:dyDescent="0.2">
      <c r="AI172" s="45"/>
      <c r="AJ172" s="45"/>
      <c r="AK172" s="45"/>
    </row>
    <row r="173" spans="35:37" ht="14.25" customHeight="1" x14ac:dyDescent="0.2">
      <c r="AI173" s="45"/>
      <c r="AJ173" s="45"/>
      <c r="AK173" s="45"/>
    </row>
    <row r="174" spans="35:37" ht="14.25" customHeight="1" x14ac:dyDescent="0.2">
      <c r="AI174" s="45"/>
      <c r="AJ174" s="45"/>
      <c r="AK174" s="45"/>
    </row>
    <row r="175" spans="35:37" ht="14.25" customHeight="1" x14ac:dyDescent="0.2">
      <c r="AI175" s="45"/>
      <c r="AJ175" s="45"/>
      <c r="AK175" s="45"/>
    </row>
    <row r="176" spans="35:37" ht="14.25" customHeight="1" x14ac:dyDescent="0.2">
      <c r="AI176" s="45"/>
      <c r="AJ176" s="45"/>
      <c r="AK176" s="45"/>
    </row>
    <row r="177" spans="35:37" ht="14.25" customHeight="1" x14ac:dyDescent="0.2">
      <c r="AI177" s="45"/>
      <c r="AJ177" s="45"/>
      <c r="AK177" s="45"/>
    </row>
    <row r="178" spans="35:37" ht="14.25" customHeight="1" x14ac:dyDescent="0.2">
      <c r="AI178" s="45"/>
      <c r="AJ178" s="45"/>
      <c r="AK178" s="45"/>
    </row>
    <row r="179" spans="35:37" ht="14.25" customHeight="1" x14ac:dyDescent="0.2">
      <c r="AI179" s="45"/>
      <c r="AJ179" s="45"/>
      <c r="AK179" s="45"/>
    </row>
    <row r="180" spans="35:37" ht="14.25" customHeight="1" x14ac:dyDescent="0.2">
      <c r="AI180" s="45"/>
      <c r="AJ180" s="45"/>
      <c r="AK180" s="45"/>
    </row>
    <row r="181" spans="35:37" ht="14.25" customHeight="1" x14ac:dyDescent="0.2">
      <c r="AI181" s="45"/>
      <c r="AJ181" s="45"/>
      <c r="AK181" s="45"/>
    </row>
    <row r="182" spans="35:37" ht="14.25" customHeight="1" x14ac:dyDescent="0.2">
      <c r="AI182" s="45"/>
      <c r="AJ182" s="45"/>
      <c r="AK182" s="45"/>
    </row>
    <row r="183" spans="35:37" ht="14.25" customHeight="1" x14ac:dyDescent="0.2">
      <c r="AI183" s="45"/>
      <c r="AJ183" s="45"/>
      <c r="AK183" s="45"/>
    </row>
    <row r="184" spans="35:37" ht="14.25" customHeight="1" x14ac:dyDescent="0.2">
      <c r="AI184" s="45"/>
      <c r="AJ184" s="45"/>
      <c r="AK184" s="45"/>
    </row>
    <row r="185" spans="35:37" ht="14.25" customHeight="1" x14ac:dyDescent="0.2">
      <c r="AI185" s="45"/>
      <c r="AJ185" s="45"/>
      <c r="AK185" s="45"/>
    </row>
    <row r="186" spans="35:37" ht="14.25" customHeight="1" x14ac:dyDescent="0.2">
      <c r="AI186" s="45"/>
      <c r="AJ186" s="45"/>
      <c r="AK186" s="45"/>
    </row>
    <row r="187" spans="35:37" ht="14.25" customHeight="1" x14ac:dyDescent="0.2">
      <c r="AI187" s="45"/>
      <c r="AJ187" s="45"/>
      <c r="AK187" s="45"/>
    </row>
    <row r="188" spans="35:37" ht="14.25" customHeight="1" x14ac:dyDescent="0.2">
      <c r="AI188" s="45"/>
      <c r="AJ188" s="45"/>
      <c r="AK188" s="45"/>
    </row>
    <row r="189" spans="35:37" ht="14.25" customHeight="1" x14ac:dyDescent="0.2">
      <c r="AI189" s="45"/>
      <c r="AJ189" s="45"/>
      <c r="AK189" s="45"/>
    </row>
    <row r="190" spans="35:37" ht="14.25" customHeight="1" x14ac:dyDescent="0.2">
      <c r="AI190" s="45"/>
      <c r="AJ190" s="45"/>
      <c r="AK190" s="45"/>
    </row>
    <row r="191" spans="35:37" ht="14.25" customHeight="1" x14ac:dyDescent="0.2">
      <c r="AI191" s="45"/>
      <c r="AJ191" s="45"/>
      <c r="AK191" s="45"/>
    </row>
    <row r="192" spans="35:37" ht="14.25" customHeight="1" x14ac:dyDescent="0.2">
      <c r="AI192" s="45"/>
      <c r="AJ192" s="45"/>
      <c r="AK192" s="45"/>
    </row>
    <row r="193" spans="4:37" ht="14.25" customHeight="1" x14ac:dyDescent="0.2">
      <c r="AI193" s="45"/>
      <c r="AJ193" s="45"/>
      <c r="AK193" s="45"/>
    </row>
    <row r="194" spans="4:37" ht="14.25" customHeight="1" x14ac:dyDescent="0.2">
      <c r="AI194" s="45"/>
      <c r="AJ194" s="45"/>
      <c r="AK194" s="45"/>
    </row>
    <row r="195" spans="4:37" ht="14.25" customHeight="1" x14ac:dyDescent="0.2">
      <c r="AI195" s="45"/>
      <c r="AJ195" s="45"/>
      <c r="AK195" s="45"/>
    </row>
    <row r="196" spans="4:37" ht="14.25" customHeight="1" x14ac:dyDescent="0.2">
      <c r="AI196" s="45"/>
      <c r="AJ196" s="45"/>
      <c r="AK196" s="45"/>
    </row>
    <row r="197" spans="4:37" ht="14.25" customHeight="1" x14ac:dyDescent="0.2">
      <c r="AI197" s="45"/>
      <c r="AJ197" s="45"/>
      <c r="AK197" s="45"/>
    </row>
    <row r="198" spans="4:37" ht="14.25" customHeight="1" x14ac:dyDescent="0.2">
      <c r="AI198" s="45"/>
      <c r="AJ198" s="45"/>
      <c r="AK198" s="45"/>
    </row>
    <row r="199" spans="4:37" ht="14.25" customHeight="1" x14ac:dyDescent="0.2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5"/>
      <c r="AJ199" s="45"/>
      <c r="AK199" s="45"/>
    </row>
    <row r="200" spans="4:37" ht="14.25" customHeight="1" x14ac:dyDescent="0.2"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4:37" ht="14.25" customHeight="1" x14ac:dyDescent="0.2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4:37" ht="14.25" customHeight="1" x14ac:dyDescent="0.2"/>
    <row r="203" spans="4:37" ht="14.25" customHeight="1" x14ac:dyDescent="0.2"/>
    <row r="204" spans="4:37" ht="14.25" customHeight="1" x14ac:dyDescent="0.2"/>
    <row r="205" spans="4:37" ht="14.25" customHeight="1" x14ac:dyDescent="0.2"/>
    <row r="206" spans="4:37" ht="14.25" customHeight="1" x14ac:dyDescent="0.2"/>
    <row r="207" spans="4:37" ht="14.25" customHeight="1" x14ac:dyDescent="0.2"/>
    <row r="208" spans="4:3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</sheetData>
  <mergeCells count="64">
    <mergeCell ref="A123:A126"/>
    <mergeCell ref="A72:C73"/>
    <mergeCell ref="B75:B78"/>
    <mergeCell ref="D72:AH72"/>
    <mergeCell ref="A79:A82"/>
    <mergeCell ref="A107:A110"/>
    <mergeCell ref="B123:B126"/>
    <mergeCell ref="A119:A122"/>
    <mergeCell ref="B119:B122"/>
    <mergeCell ref="B107:B110"/>
    <mergeCell ref="A95:A98"/>
    <mergeCell ref="B103:B106"/>
    <mergeCell ref="A91:A94"/>
    <mergeCell ref="B99:B102"/>
    <mergeCell ref="AI72:AI74"/>
    <mergeCell ref="B59:B62"/>
    <mergeCell ref="B115:B118"/>
    <mergeCell ref="AK72:AK74"/>
    <mergeCell ref="A87:A90"/>
    <mergeCell ref="A103:A106"/>
    <mergeCell ref="AJ72:AJ74"/>
    <mergeCell ref="B95:B98"/>
    <mergeCell ref="A115:A118"/>
    <mergeCell ref="B79:B82"/>
    <mergeCell ref="A83:A86"/>
    <mergeCell ref="B91:B94"/>
    <mergeCell ref="B111:B114"/>
    <mergeCell ref="A99:A102"/>
    <mergeCell ref="A111:A114"/>
    <mergeCell ref="A75:A78"/>
    <mergeCell ref="A4:A7"/>
    <mergeCell ref="A44:A47"/>
    <mergeCell ref="A54:A57"/>
    <mergeCell ref="A64:A67"/>
    <mergeCell ref="B19:B22"/>
    <mergeCell ref="A14:A17"/>
    <mergeCell ref="B39:B42"/>
    <mergeCell ref="A29:A32"/>
    <mergeCell ref="B24:B27"/>
    <mergeCell ref="A19:A22"/>
    <mergeCell ref="D1:AH1"/>
    <mergeCell ref="B87:B90"/>
    <mergeCell ref="B83:B86"/>
    <mergeCell ref="B34:B37"/>
    <mergeCell ref="B14:B17"/>
    <mergeCell ref="D73:AH73"/>
    <mergeCell ref="B49:B52"/>
    <mergeCell ref="A1:C2"/>
    <mergeCell ref="AK1:AK3"/>
    <mergeCell ref="D2:AH2"/>
    <mergeCell ref="A9:A12"/>
    <mergeCell ref="B4:B7"/>
    <mergeCell ref="B64:B67"/>
    <mergeCell ref="A34:A37"/>
    <mergeCell ref="A39:A42"/>
    <mergeCell ref="A59:A62"/>
    <mergeCell ref="A24:A27"/>
    <mergeCell ref="B54:B57"/>
    <mergeCell ref="A49:A52"/>
    <mergeCell ref="AJ1:AJ3"/>
    <mergeCell ref="B29:B32"/>
    <mergeCell ref="AI1:AI3"/>
    <mergeCell ref="B44:B47"/>
    <mergeCell ref="B9:B12"/>
  </mergeCells>
  <conditionalFormatting sqref="D3:AH23 D24:W25 X24:X26 Y24:AH27 D26:T26 V26 V27:X27 D27:U28 V28:AH28 D29:AH67">
    <cfRule type="expression" dxfId="39" priority="4">
      <formula>WEEKDAY(D$3)=1</formula>
    </cfRule>
  </conditionalFormatting>
  <conditionalFormatting sqref="D4:AH23 D24:W25 X24:X26 Y24:AH27 D26:T26 V26 V27:X27 D27:U28 V28:AH28 D29:AH67">
    <cfRule type="expression" dxfId="38" priority="1">
      <formula>AND($C4="C3",D4&lt;&gt;"")</formula>
    </cfRule>
    <cfRule type="expression" dxfId="37" priority="2">
      <formula>AND($C4="C1",D4&lt;&gt;"")</formula>
    </cfRule>
    <cfRule type="expression" dxfId="36" priority="3">
      <formula>AND($C4="TC",D4&lt;&gt;"")</formula>
    </cfRule>
  </conditionalFormatting>
  <conditionalFormatting sqref="D74:AH126">
    <cfRule type="expression" dxfId="35" priority="8">
      <formula>WEEKDAY(D$3)=1</formula>
    </cfRule>
  </conditionalFormatting>
  <conditionalFormatting sqref="D75:AH126">
    <cfRule type="expression" dxfId="34" priority="5">
      <formula>AND($C75="C3",D75&lt;&gt;"")</formula>
    </cfRule>
    <cfRule type="expression" dxfId="33" priority="6">
      <formula>AND($C75="C1",D75&lt;&gt;"")</formula>
    </cfRule>
    <cfRule type="expression" dxfId="32" priority="7">
      <formula>AND($C75="TC",D75&lt;&gt;"")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1037"/>
  <sheetViews>
    <sheetView workbookViewId="0">
      <selection sqref="A1:C2"/>
    </sheetView>
  </sheetViews>
  <sheetFormatPr defaultColWidth="12.625" defaultRowHeight="14.25" x14ac:dyDescent="0.2"/>
  <cols>
    <col min="1" max="1" width="5" customWidth="1"/>
    <col min="2" max="2" width="23" customWidth="1"/>
    <col min="3" max="3" width="8.25" customWidth="1"/>
    <col min="4" max="4" width="5" customWidth="1"/>
    <col min="5" max="5" width="5" style="1" customWidth="1"/>
    <col min="6" max="9" width="5" customWidth="1"/>
    <col min="10" max="10" width="5" style="1" customWidth="1"/>
    <col min="11" max="11" width="5" customWidth="1"/>
    <col min="12" max="12" width="5" style="1" customWidth="1"/>
    <col min="13" max="16" width="5" customWidth="1"/>
    <col min="17" max="17" width="5" style="1" customWidth="1"/>
    <col min="18" max="18" width="5" customWidth="1"/>
    <col min="19" max="19" width="5" style="1" customWidth="1"/>
    <col min="20" max="23" width="5" customWidth="1"/>
    <col min="24" max="24" width="5" style="1" customWidth="1"/>
    <col min="25" max="25" width="5" customWidth="1"/>
    <col min="26" max="26" width="5" style="1" customWidth="1"/>
    <col min="27" max="30" width="5" customWidth="1"/>
    <col min="31" max="31" width="5" style="1" customWidth="1"/>
    <col min="32" max="32" width="5" customWidth="1"/>
    <col min="33" max="33" width="5" style="1" customWidth="1"/>
    <col min="34" max="34" width="5" customWidth="1"/>
    <col min="35" max="37" width="7.5" customWidth="1"/>
  </cols>
  <sheetData>
    <row r="1" spans="1:37" ht="44.25" customHeight="1" x14ac:dyDescent="0.2">
      <c r="A1" s="103" t="s">
        <v>0</v>
      </c>
      <c r="B1" s="104"/>
      <c r="C1" s="104"/>
      <c r="D1" s="102" t="s">
        <v>62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3"/>
      <c r="AI1" s="101" t="s">
        <v>2</v>
      </c>
      <c r="AJ1" s="98" t="s">
        <v>3</v>
      </c>
      <c r="AK1" s="88" t="s">
        <v>4</v>
      </c>
    </row>
    <row r="2" spans="1:37" ht="24.75" customHeight="1" x14ac:dyDescent="0.2">
      <c r="A2" s="100"/>
      <c r="B2" s="105"/>
      <c r="C2" s="105"/>
      <c r="D2" s="91">
        <v>46357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3"/>
      <c r="AI2" s="89"/>
      <c r="AJ2" s="99"/>
      <c r="AK2" s="89"/>
    </row>
    <row r="3" spans="1:37" ht="30.75" customHeight="1" x14ac:dyDescent="0.25">
      <c r="A3" s="2" t="s">
        <v>5</v>
      </c>
      <c r="B3" s="2" t="s">
        <v>6</v>
      </c>
      <c r="C3" s="3"/>
      <c r="D3" s="14">
        <v>46357</v>
      </c>
      <c r="E3" s="14">
        <v>46358</v>
      </c>
      <c r="F3" s="14">
        <f t="shared" ref="F3:AH3" si="0">+E3+1</f>
        <v>46359</v>
      </c>
      <c r="G3" s="14">
        <f t="shared" si="0"/>
        <v>46360</v>
      </c>
      <c r="H3" s="14">
        <f t="shared" si="0"/>
        <v>46361</v>
      </c>
      <c r="I3" s="14">
        <f t="shared" si="0"/>
        <v>46362</v>
      </c>
      <c r="J3" s="14">
        <f t="shared" si="0"/>
        <v>46363</v>
      </c>
      <c r="K3" s="14">
        <f t="shared" si="0"/>
        <v>46364</v>
      </c>
      <c r="L3" s="14">
        <f t="shared" si="0"/>
        <v>46365</v>
      </c>
      <c r="M3" s="14">
        <f t="shared" si="0"/>
        <v>46366</v>
      </c>
      <c r="N3" s="14">
        <f t="shared" si="0"/>
        <v>46367</v>
      </c>
      <c r="O3" s="14">
        <f t="shared" si="0"/>
        <v>46368</v>
      </c>
      <c r="P3" s="14">
        <f t="shared" si="0"/>
        <v>46369</v>
      </c>
      <c r="Q3" s="14">
        <f t="shared" si="0"/>
        <v>46370</v>
      </c>
      <c r="R3" s="14">
        <f t="shared" si="0"/>
        <v>46371</v>
      </c>
      <c r="S3" s="14">
        <f t="shared" si="0"/>
        <v>46372</v>
      </c>
      <c r="T3" s="14">
        <f t="shared" si="0"/>
        <v>46373</v>
      </c>
      <c r="U3" s="14">
        <f t="shared" si="0"/>
        <v>46374</v>
      </c>
      <c r="V3" s="14">
        <f t="shared" si="0"/>
        <v>46375</v>
      </c>
      <c r="W3" s="14">
        <f t="shared" si="0"/>
        <v>46376</v>
      </c>
      <c r="X3" s="14">
        <f t="shared" si="0"/>
        <v>46377</v>
      </c>
      <c r="Y3" s="14">
        <f t="shared" si="0"/>
        <v>46378</v>
      </c>
      <c r="Z3" s="14">
        <f t="shared" si="0"/>
        <v>46379</v>
      </c>
      <c r="AA3" s="14">
        <f t="shared" si="0"/>
        <v>46380</v>
      </c>
      <c r="AB3" s="14">
        <f t="shared" si="0"/>
        <v>46381</v>
      </c>
      <c r="AC3" s="14">
        <f t="shared" si="0"/>
        <v>46382</v>
      </c>
      <c r="AD3" s="14">
        <f t="shared" si="0"/>
        <v>46383</v>
      </c>
      <c r="AE3" s="14">
        <f t="shared" si="0"/>
        <v>46384</v>
      </c>
      <c r="AF3" s="14">
        <f t="shared" si="0"/>
        <v>46385</v>
      </c>
      <c r="AG3" s="14">
        <f t="shared" si="0"/>
        <v>46386</v>
      </c>
      <c r="AH3" s="14">
        <f t="shared" si="0"/>
        <v>46387</v>
      </c>
      <c r="AI3" s="90"/>
      <c r="AJ3" s="100"/>
      <c r="AK3" s="90"/>
    </row>
    <row r="4" spans="1:37" ht="13.5" customHeight="1" x14ac:dyDescent="0.2">
      <c r="A4" s="94">
        <v>1</v>
      </c>
      <c r="B4" s="95" t="s">
        <v>7</v>
      </c>
      <c r="C4" s="2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8"/>
      <c r="Z4" s="8"/>
      <c r="AA4" s="8"/>
      <c r="AB4" s="8"/>
      <c r="AC4" s="8"/>
      <c r="AD4" s="8"/>
      <c r="AE4" s="8"/>
      <c r="AF4" s="8"/>
      <c r="AG4" s="8"/>
      <c r="AH4" s="4"/>
      <c r="AI4" s="50">
        <f>0</f>
        <v>0</v>
      </c>
      <c r="AJ4" s="51">
        <f>SUM(D4:AH4)/8</f>
        <v>0</v>
      </c>
      <c r="AK4" s="52">
        <f>AI4+AJ4</f>
        <v>0</v>
      </c>
    </row>
    <row r="5" spans="1:37" ht="13.5" customHeight="1" x14ac:dyDescent="0.2">
      <c r="A5" s="89"/>
      <c r="B5" s="89"/>
      <c r="C5" s="2" t="s">
        <v>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8"/>
      <c r="Z5" s="8"/>
      <c r="AA5" s="8"/>
      <c r="AB5" s="8"/>
      <c r="AC5" s="8"/>
      <c r="AD5" s="8"/>
      <c r="AE5" s="8"/>
      <c r="AF5" s="8"/>
      <c r="AG5" s="8"/>
      <c r="AH5" s="4"/>
      <c r="AI5" s="50">
        <f>COUNTIF(D5:AH5,"x")+COUNTIF(D5:AH5,"x-0,25")+COUNTIF(D5:AH5,"x-0,50")+COUNTIF(D5:AH5,"x-0.75")+COUNTIF(D5:AH5,"x-1")+COUNTIF(D5:AH5,"x-1,25")+COUNTIF(D5:AH5,"x-1,5")+COUNTIF(D5:AH5,"x-1,55")+COUNTIF(D5:AH5,"x-2")+COUNTIF(D5:AH5,"x/2")/2</f>
        <v>0</v>
      </c>
      <c r="AJ5" s="51">
        <f>0</f>
        <v>0</v>
      </c>
      <c r="AK5" s="52">
        <f>AI5+AJ5</f>
        <v>0</v>
      </c>
    </row>
    <row r="6" spans="1:37" ht="13.5" customHeight="1" x14ac:dyDescent="0.2">
      <c r="A6" s="89"/>
      <c r="B6" s="89"/>
      <c r="C6" s="2" t="s">
        <v>11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8"/>
      <c r="Z6" s="8"/>
      <c r="AA6" s="8"/>
      <c r="AB6" s="8"/>
      <c r="AC6" s="8"/>
      <c r="AD6" s="8"/>
      <c r="AE6" s="8"/>
      <c r="AF6" s="8"/>
      <c r="AG6" s="8"/>
      <c r="AH6" s="4"/>
      <c r="AI6" s="50">
        <f>COUNTIF(D6:AH6,"x")+COUNTIF(D6:AH6,"x-0,25")+COUNTIF(D6:AH6,"x-0,50")+COUNTIF(D6:AH6,"x-0.75")+COUNTIF(D6:AH6,"x-1")+COUNTIF(D6:AH6,"x-1,25")+COUNTIF(D6:AH6,"x-1,5")+COUNTIF(D6:AH6,"x-1,55")+COUNTIF(D6:AH6,"x-2")+COUNTIF(D6:AH6,"x/2")/2</f>
        <v>0</v>
      </c>
      <c r="AJ6" s="51">
        <f>0</f>
        <v>0</v>
      </c>
      <c r="AK6" s="52">
        <f>AI6+AJ6</f>
        <v>0</v>
      </c>
    </row>
    <row r="7" spans="1:37" s="7" customFormat="1" ht="12.75" customHeight="1" x14ac:dyDescent="0.2">
      <c r="A7" s="90"/>
      <c r="B7" s="96"/>
      <c r="C7" s="2" t="s">
        <v>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8"/>
      <c r="Z7" s="8"/>
      <c r="AA7" s="8"/>
      <c r="AB7" s="8"/>
      <c r="AC7" s="8"/>
      <c r="AD7" s="8"/>
      <c r="AE7" s="9"/>
      <c r="AF7" s="8"/>
      <c r="AG7" s="8"/>
      <c r="AH7" s="6"/>
      <c r="AI7" s="50">
        <f>COUNTIF(D7:AH7,"x")+COUNTIF(D7:AH7,"x-0,25")+COUNTIF(D7:AH7,"x-0,50")+COUNTIF(D7:AH7,"x-0.75")+COUNTIF(D7:AH7,"x-1")+COUNTIF(D7:AH7,"x-1,25")+COUNTIF(D7:AH7,"x-1,5")+COUNTIF(D7:AH7,"x-1,55")+COUNTIF(D7:AH7,"x-2")+COUNTIF(D7:AH7,"x/2")/2</f>
        <v>0</v>
      </c>
      <c r="AJ7" s="51">
        <f>0</f>
        <v>0</v>
      </c>
      <c r="AK7" s="52">
        <f>AI7+AJ7</f>
        <v>0</v>
      </c>
    </row>
    <row r="8" spans="1:37" s="7" customFormat="1" ht="13.5" customHeight="1" x14ac:dyDescent="0.2">
      <c r="A8" s="16"/>
      <c r="B8" s="17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/>
      <c r="Y8" s="19"/>
      <c r="Z8" s="19"/>
      <c r="AA8" s="19"/>
      <c r="AB8" s="19"/>
      <c r="AC8" s="19"/>
      <c r="AD8" s="19"/>
      <c r="AE8" s="20"/>
      <c r="AF8" s="19"/>
      <c r="AG8" s="19"/>
      <c r="AH8" s="20"/>
      <c r="AI8" s="53" t="str">
        <f>""</f>
        <v/>
      </c>
      <c r="AJ8" s="54" t="str">
        <f>""</f>
        <v/>
      </c>
      <c r="AK8" s="55" t="str">
        <f>""</f>
        <v/>
      </c>
    </row>
    <row r="9" spans="1:37" s="7" customFormat="1" ht="12.75" customHeight="1" x14ac:dyDescent="0.2">
      <c r="A9" s="94">
        <v>2</v>
      </c>
      <c r="B9" s="97" t="s">
        <v>13</v>
      </c>
      <c r="C9" s="2" t="s">
        <v>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8"/>
      <c r="Z9" s="8"/>
      <c r="AA9" s="8"/>
      <c r="AB9" s="8"/>
      <c r="AC9" s="8"/>
      <c r="AD9" s="8"/>
      <c r="AE9" s="9"/>
      <c r="AF9" s="8"/>
      <c r="AG9" s="8"/>
      <c r="AH9" s="6"/>
      <c r="AI9" s="50">
        <f>0</f>
        <v>0</v>
      </c>
      <c r="AJ9" s="51">
        <f>SUM(D9:AH9)/8</f>
        <v>0</v>
      </c>
      <c r="AK9" s="52">
        <f>AI9+AJ9</f>
        <v>0</v>
      </c>
    </row>
    <row r="10" spans="1:37" s="7" customFormat="1" ht="13.5" customHeight="1" x14ac:dyDescent="0.2">
      <c r="A10" s="89"/>
      <c r="B10" s="89"/>
      <c r="C10" s="2" t="s">
        <v>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8"/>
      <c r="Z10" s="8"/>
      <c r="AA10" s="8"/>
      <c r="AB10" s="8"/>
      <c r="AC10" s="8"/>
      <c r="AD10" s="8"/>
      <c r="AE10" s="9"/>
      <c r="AF10" s="8"/>
      <c r="AG10" s="8"/>
      <c r="AH10" s="6"/>
      <c r="AI10" s="50">
        <f>COUNTIF(D10:AH10,"x")+COUNTIF(D10:AH10,"x-0,25")+COUNTIF(D10:AH10,"x-0,50")+COUNTIF(D10:AH10,"x-0.75")+COUNTIF(D10:AH10,"x-1")+COUNTIF(D10:AH10,"x-1,25")+COUNTIF(D10:AH10,"x-1,5")+COUNTIF(D10:AH10,"x-1,55")+COUNTIF(D10:AH10,"x-2")+COUNTIF(D10:AH10,"x/2")/2</f>
        <v>0</v>
      </c>
      <c r="AJ10" s="51">
        <f>0</f>
        <v>0</v>
      </c>
      <c r="AK10" s="52">
        <f>AI10+AJ10</f>
        <v>0</v>
      </c>
    </row>
    <row r="11" spans="1:37" s="7" customFormat="1" ht="13.5" customHeight="1" x14ac:dyDescent="0.2">
      <c r="A11" s="89"/>
      <c r="B11" s="89"/>
      <c r="C11" s="2" t="s">
        <v>11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8"/>
      <c r="Z11" s="8"/>
      <c r="AA11" s="8"/>
      <c r="AB11" s="8"/>
      <c r="AC11" s="8"/>
      <c r="AD11" s="8"/>
      <c r="AE11" s="9"/>
      <c r="AF11" s="8"/>
      <c r="AG11" s="8"/>
      <c r="AH11" s="6"/>
      <c r="AI11" s="50">
        <f>COUNTIF(D11:AH11,"x")+COUNTIF(D11:AH11,"x-0,25")+COUNTIF(D11:AH11,"x-0,50")+COUNTIF(D11:AH11,"x-0.75")+COUNTIF(D11:AH11,"x-1")+COUNTIF(D11:AH11,"x-1,25")+COUNTIF(D11:AH11,"x-1,5")+COUNTIF(D11:AH11,"x-1,55")+COUNTIF(D11:AH11,"x-2")+COUNTIF(D11:AH11,"x/2")/2</f>
        <v>0</v>
      </c>
      <c r="AJ11" s="51">
        <f>0</f>
        <v>0</v>
      </c>
      <c r="AK11" s="52">
        <f>AI11+AJ11</f>
        <v>0</v>
      </c>
    </row>
    <row r="12" spans="1:37" s="7" customFormat="1" ht="13.5" customHeight="1" x14ac:dyDescent="0.2">
      <c r="A12" s="90"/>
      <c r="B12" s="96"/>
      <c r="C12" s="2" t="s">
        <v>12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8"/>
      <c r="Z12" s="8"/>
      <c r="AA12" s="8"/>
      <c r="AB12" s="8"/>
      <c r="AC12" s="8"/>
      <c r="AD12" s="8"/>
      <c r="AE12" s="9"/>
      <c r="AF12" s="8"/>
      <c r="AG12" s="8"/>
      <c r="AH12" s="6"/>
      <c r="AI12" s="50">
        <f>COUNTIF(D12:AH12,"x")+COUNTIF(D12:AH12,"x-0,25")+COUNTIF(D12:AH12,"x-0,50")+COUNTIF(D12:AH12,"x-0.75")+COUNTIF(D12:AH12,"x-1")+COUNTIF(D12:AH12,"x-1,25")+COUNTIF(D12:AH12,"x-1,5")+COUNTIF(D12:AH12,"x-1,55")+COUNTIF(D12:AH12,"x-2")+COUNTIF(D12:AH12,"x/2")/2</f>
        <v>0</v>
      </c>
      <c r="AJ12" s="51">
        <f>0</f>
        <v>0</v>
      </c>
      <c r="AK12" s="52">
        <f>AI12+AJ12</f>
        <v>0</v>
      </c>
    </row>
    <row r="13" spans="1:37" s="7" customFormat="1" ht="13.5" customHeight="1" x14ac:dyDescent="0.2">
      <c r="A13" s="16"/>
      <c r="B13" s="17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0"/>
      <c r="Y13" s="19"/>
      <c r="Z13" s="19"/>
      <c r="AA13" s="19"/>
      <c r="AB13" s="19"/>
      <c r="AC13" s="19"/>
      <c r="AD13" s="19"/>
      <c r="AE13" s="20"/>
      <c r="AF13" s="19"/>
      <c r="AG13" s="19"/>
      <c r="AH13" s="20"/>
      <c r="AI13" s="53" t="str">
        <f>""</f>
        <v/>
      </c>
      <c r="AJ13" s="54" t="str">
        <f>""</f>
        <v/>
      </c>
      <c r="AK13" s="55" t="str">
        <f>""</f>
        <v/>
      </c>
    </row>
    <row r="14" spans="1:37" s="7" customFormat="1" ht="13.5" customHeight="1" x14ac:dyDescent="0.2">
      <c r="A14" s="94">
        <v>3</v>
      </c>
      <c r="B14" s="97" t="s">
        <v>14</v>
      </c>
      <c r="C14" s="2" t="s">
        <v>8</v>
      </c>
      <c r="D14" s="8"/>
      <c r="E14" s="8"/>
      <c r="F14" s="8"/>
      <c r="G14" s="8"/>
      <c r="H14" s="8"/>
      <c r="I14" s="8"/>
      <c r="J14" s="8"/>
      <c r="K14" s="8"/>
      <c r="L14" s="1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8"/>
      <c r="Z14" s="8"/>
      <c r="AA14" s="8"/>
      <c r="AB14" s="8"/>
      <c r="AC14" s="8"/>
      <c r="AD14" s="8"/>
      <c r="AE14" s="9"/>
      <c r="AF14" s="8"/>
      <c r="AG14" s="8"/>
      <c r="AH14" s="6"/>
      <c r="AI14" s="50">
        <f>0</f>
        <v>0</v>
      </c>
      <c r="AJ14" s="51">
        <f>SUM(D14:AH14)/8</f>
        <v>0</v>
      </c>
      <c r="AK14" s="52">
        <f>AI14+AJ14</f>
        <v>0</v>
      </c>
    </row>
    <row r="15" spans="1:37" s="7" customFormat="1" ht="13.5" customHeight="1" x14ac:dyDescent="0.2">
      <c r="A15" s="89"/>
      <c r="B15" s="89"/>
      <c r="C15" s="2" t="s">
        <v>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8"/>
      <c r="Z15" s="8"/>
      <c r="AA15" s="8"/>
      <c r="AB15" s="8"/>
      <c r="AC15" s="8"/>
      <c r="AD15" s="8"/>
      <c r="AE15" s="9"/>
      <c r="AF15" s="8"/>
      <c r="AG15" s="8"/>
      <c r="AH15" s="6"/>
      <c r="AI15" s="50">
        <f>COUNTIF(D15:AH15,"x")+COUNTIF(D15:AH15,"x-0,25")+COUNTIF(D15:AH15,"x-0,50")+COUNTIF(D15:AH15,"x-0.75")+COUNTIF(D15:AH15,"x-1")+COUNTIF(D15:AH15,"x-1,25")+COUNTIF(D15:AH15,"x-1,5")+COUNTIF(D15:AH15,"x-1,55")+COUNTIF(D15:AH15,"x-2")+COUNTIF(D15:AH15,"x/2")/2</f>
        <v>0</v>
      </c>
      <c r="AJ15" s="51">
        <f>0</f>
        <v>0</v>
      </c>
      <c r="AK15" s="52">
        <f>AI15+AJ15</f>
        <v>0</v>
      </c>
    </row>
    <row r="16" spans="1:37" s="7" customFormat="1" ht="13.5" customHeight="1" x14ac:dyDescent="0.2">
      <c r="A16" s="89"/>
      <c r="B16" s="89"/>
      <c r="C16" s="2" t="s">
        <v>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8"/>
      <c r="Z16" s="8"/>
      <c r="AA16" s="8"/>
      <c r="AB16" s="8"/>
      <c r="AC16" s="8"/>
      <c r="AD16" s="8"/>
      <c r="AE16" s="9"/>
      <c r="AF16" s="8"/>
      <c r="AG16" s="8"/>
      <c r="AH16" s="6"/>
      <c r="AI16" s="50">
        <f>COUNTIF(D16:AH16,"x")+COUNTIF(D16:AH16,"x-0,25")+COUNTIF(D16:AH16,"x-0,50")+COUNTIF(D16:AH16,"x-0.75")+COUNTIF(D16:AH16,"x-1")+COUNTIF(D16:AH16,"x-1,25")+COUNTIF(D16:AH16,"x-1,5")+COUNTIF(D16:AH16,"x-1,55")+COUNTIF(D16:AH16,"x-2")+COUNTIF(D16:AH16,"x/2")/2</f>
        <v>0</v>
      </c>
      <c r="AJ16" s="51">
        <f>0</f>
        <v>0</v>
      </c>
      <c r="AK16" s="52">
        <f>AI16+AJ16</f>
        <v>0</v>
      </c>
    </row>
    <row r="17" spans="1:37" s="7" customFormat="1" ht="13.5" customHeight="1" x14ac:dyDescent="0.2">
      <c r="A17" s="90"/>
      <c r="B17" s="96"/>
      <c r="C17" s="2" t="s">
        <v>12</v>
      </c>
      <c r="D17" s="8"/>
      <c r="E17" s="8"/>
      <c r="F17" s="8"/>
      <c r="G17" s="8"/>
      <c r="H17" s="8"/>
      <c r="I17" s="8"/>
      <c r="J17" s="8"/>
      <c r="K17" s="8"/>
      <c r="L17" s="15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8"/>
      <c r="Z17" s="8"/>
      <c r="AA17" s="8"/>
      <c r="AB17" s="8"/>
      <c r="AC17" s="8"/>
      <c r="AD17" s="8"/>
      <c r="AE17" s="9"/>
      <c r="AF17" s="8"/>
      <c r="AG17" s="8"/>
      <c r="AH17" s="6"/>
      <c r="AI17" s="50">
        <f>COUNTIF(D17:AH17,"x")+COUNTIF(D17:AH17,"x-0,25")+COUNTIF(D17:AH17,"x-0,50")+COUNTIF(D17:AH17,"x-0.75")+COUNTIF(D17:AH17,"x-1")+COUNTIF(D17:AH17,"x-1,25")+COUNTIF(D17:AH17,"x-1,5")+COUNTIF(D17:AH17,"x-1,55")+COUNTIF(D17:AH17,"x-2")+COUNTIF(D17:AH17,"x/2")/2</f>
        <v>0</v>
      </c>
      <c r="AJ17" s="51">
        <f>0</f>
        <v>0</v>
      </c>
      <c r="AK17" s="52">
        <f>AI17+AJ17</f>
        <v>0</v>
      </c>
    </row>
    <row r="18" spans="1:37" s="7" customFormat="1" ht="13.5" customHeight="1" x14ac:dyDescent="0.2">
      <c r="A18" s="16"/>
      <c r="B18" s="17"/>
      <c r="C18" s="18"/>
      <c r="D18" s="19"/>
      <c r="E18" s="19"/>
      <c r="F18" s="19"/>
      <c r="G18" s="19"/>
      <c r="H18" s="19"/>
      <c r="I18" s="19"/>
      <c r="J18" s="19"/>
      <c r="K18" s="19"/>
      <c r="L18" s="21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/>
      <c r="Y18" s="19"/>
      <c r="Z18" s="19"/>
      <c r="AA18" s="19"/>
      <c r="AB18" s="19"/>
      <c r="AC18" s="19"/>
      <c r="AD18" s="19"/>
      <c r="AE18" s="20"/>
      <c r="AF18" s="19"/>
      <c r="AG18" s="19"/>
      <c r="AH18" s="20"/>
      <c r="AI18" s="53" t="str">
        <f>""</f>
        <v/>
      </c>
      <c r="AJ18" s="54" t="str">
        <f>""</f>
        <v/>
      </c>
      <c r="AK18" s="55" t="str">
        <f>""</f>
        <v/>
      </c>
    </row>
    <row r="19" spans="1:37" s="7" customFormat="1" ht="13.5" customHeight="1" x14ac:dyDescent="0.2">
      <c r="A19" s="94">
        <v>4</v>
      </c>
      <c r="B19" s="97" t="s">
        <v>16</v>
      </c>
      <c r="C19" s="2" t="s">
        <v>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8"/>
      <c r="Z19" s="8"/>
      <c r="AA19" s="8"/>
      <c r="AB19" s="8"/>
      <c r="AC19" s="8"/>
      <c r="AD19" s="8"/>
      <c r="AE19" s="9"/>
      <c r="AF19" s="8"/>
      <c r="AG19" s="8"/>
      <c r="AH19" s="6"/>
      <c r="AI19" s="50">
        <f>0</f>
        <v>0</v>
      </c>
      <c r="AJ19" s="51">
        <f>SUM(D19:AH19)/8</f>
        <v>0</v>
      </c>
      <c r="AK19" s="52">
        <f>AI19+AJ19</f>
        <v>0</v>
      </c>
    </row>
    <row r="20" spans="1:37" s="7" customFormat="1" ht="13.5" customHeight="1" x14ac:dyDescent="0.2">
      <c r="A20" s="89"/>
      <c r="B20" s="89"/>
      <c r="C20" s="2" t="s">
        <v>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8"/>
      <c r="Z20" s="8"/>
      <c r="AA20" s="8"/>
      <c r="AB20" s="8"/>
      <c r="AC20" s="8"/>
      <c r="AD20" s="8"/>
      <c r="AE20" s="9"/>
      <c r="AF20" s="8"/>
      <c r="AG20" s="8"/>
      <c r="AH20" s="6"/>
      <c r="AI20" s="50">
        <f>COUNTIF(D20:AH20,"x")+COUNTIF(D20:AH20,"x-0,25")+COUNTIF(D20:AH20,"x-0,50")+COUNTIF(D20:AH20,"x-0.75")+COUNTIF(D20:AH20,"x-1")+COUNTIF(D20:AH20,"x-1,25")+COUNTIF(D20:AH20,"x-1,5")+COUNTIF(D20:AH20,"x-1,55")+COUNTIF(D20:AH20,"x-2")+COUNTIF(D20:AH20,"x/2")/2</f>
        <v>0</v>
      </c>
      <c r="AJ20" s="51">
        <f>0</f>
        <v>0</v>
      </c>
      <c r="AK20" s="52">
        <f>AI20+AJ20</f>
        <v>0</v>
      </c>
    </row>
    <row r="21" spans="1:37" s="7" customFormat="1" ht="13.5" customHeight="1" x14ac:dyDescent="0.2">
      <c r="A21" s="89"/>
      <c r="B21" s="89"/>
      <c r="C21" s="2" t="s">
        <v>11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8"/>
      <c r="Z21" s="8"/>
      <c r="AA21" s="8"/>
      <c r="AB21" s="8"/>
      <c r="AC21" s="8"/>
      <c r="AD21" s="8"/>
      <c r="AE21" s="9"/>
      <c r="AF21" s="8"/>
      <c r="AG21" s="8"/>
      <c r="AH21" s="6"/>
      <c r="AI21" s="50">
        <f>COUNTIF(D21:AH21,"x")+COUNTIF(D21:AH21,"x-0,25")+COUNTIF(D21:AH21,"x-0,50")+COUNTIF(D21:AH21,"x-0.75")+COUNTIF(D21:AH21,"x-1")+COUNTIF(D21:AH21,"x-1,25")+COUNTIF(D21:AH21,"x-1,5")+COUNTIF(D21:AH21,"x-1,55")+COUNTIF(D21:AH21,"x-2")+COUNTIF(D21:AH21,"x/2")/2</f>
        <v>0</v>
      </c>
      <c r="AJ21" s="51">
        <f>0</f>
        <v>0</v>
      </c>
      <c r="AK21" s="52">
        <f>AI21+AJ21</f>
        <v>0</v>
      </c>
    </row>
    <row r="22" spans="1:37" s="7" customFormat="1" ht="13.5" customHeight="1" x14ac:dyDescent="0.2">
      <c r="A22" s="90"/>
      <c r="B22" s="96"/>
      <c r="C22" s="2" t="s">
        <v>12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8"/>
      <c r="Z22" s="8"/>
      <c r="AA22" s="8"/>
      <c r="AB22" s="8"/>
      <c r="AC22" s="8"/>
      <c r="AD22" s="8"/>
      <c r="AE22" s="9"/>
      <c r="AF22" s="8"/>
      <c r="AG22" s="8"/>
      <c r="AH22" s="6"/>
      <c r="AI22" s="50">
        <f>COUNTIF(D22:AH22,"x")+COUNTIF(D22:AH22,"x-0,25")+COUNTIF(D22:AH22,"x-0,50")+COUNTIF(D22:AH22,"x-0.75")+COUNTIF(D22:AH22,"x-1")+COUNTIF(D22:AH22,"x-1,25")+COUNTIF(D22:AH22,"x-1,5")+COUNTIF(D22:AH22,"x-1,55")+COUNTIF(D22:AH22,"x-2")+COUNTIF(D22:AH22,"x/2")/2</f>
        <v>0</v>
      </c>
      <c r="AJ22" s="51">
        <f>0</f>
        <v>0</v>
      </c>
      <c r="AK22" s="52">
        <f>AI22+AJ22</f>
        <v>0</v>
      </c>
    </row>
    <row r="23" spans="1:37" s="7" customFormat="1" ht="13.5" customHeight="1" x14ac:dyDescent="0.2">
      <c r="A23" s="16"/>
      <c r="B23" s="17"/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20"/>
      <c r="AF23" s="19"/>
      <c r="AG23" s="19"/>
      <c r="AH23" s="20"/>
      <c r="AI23" s="53" t="str">
        <f>""</f>
        <v/>
      </c>
      <c r="AJ23" s="54" t="str">
        <f>""</f>
        <v/>
      </c>
      <c r="AK23" s="55" t="str">
        <f>""</f>
        <v/>
      </c>
    </row>
    <row r="24" spans="1:37" s="7" customFormat="1" ht="13.5" customHeight="1" x14ac:dyDescent="0.2">
      <c r="A24" s="94">
        <v>5</v>
      </c>
      <c r="B24" s="97" t="s">
        <v>17</v>
      </c>
      <c r="C24" s="2" t="s">
        <v>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9"/>
      <c r="AF24" s="8"/>
      <c r="AG24" s="8"/>
      <c r="AH24" s="6"/>
      <c r="AI24" s="50">
        <f>0</f>
        <v>0</v>
      </c>
      <c r="AJ24" s="51">
        <f>SUM(D24:AH24)/8</f>
        <v>0</v>
      </c>
      <c r="AK24" s="52">
        <f>AI24+AJ24</f>
        <v>0</v>
      </c>
    </row>
    <row r="25" spans="1:37" s="7" customFormat="1" ht="13.5" customHeight="1" x14ac:dyDescent="0.2">
      <c r="A25" s="89"/>
      <c r="B25" s="89"/>
      <c r="C25" s="2" t="s">
        <v>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9"/>
      <c r="AF25" s="8"/>
      <c r="AG25" s="8"/>
      <c r="AH25" s="6"/>
      <c r="AI25" s="50">
        <f>COUNTIF(D25:AH25,"x")+COUNTIF(D25:AH25,"x-0,25")+COUNTIF(D25:AH25,"x-0,50")+COUNTIF(D25:AH25,"x-0.75")+COUNTIF(D25:AH25,"x-1")+COUNTIF(D25:AH25,"x-1,25")+COUNTIF(D25:AH25,"x-1,5")+COUNTIF(D25:AH25,"x-1,55")+COUNTIF(D25:AH25,"x-2")+COUNTIF(D25:AH25,"x/2")/2</f>
        <v>0</v>
      </c>
      <c r="AJ25" s="51">
        <f>0</f>
        <v>0</v>
      </c>
      <c r="AK25" s="52">
        <f>AI25+AJ25</f>
        <v>0</v>
      </c>
    </row>
    <row r="26" spans="1:37" s="7" customFormat="1" ht="13.5" customHeight="1" x14ac:dyDescent="0.2">
      <c r="A26" s="89"/>
      <c r="B26" s="89"/>
      <c r="C26" s="2" t="s">
        <v>11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24"/>
      <c r="V26" s="8"/>
      <c r="W26" s="24"/>
      <c r="X26" s="8"/>
      <c r="Y26" s="8"/>
      <c r="Z26" s="8"/>
      <c r="AA26" s="8"/>
      <c r="AB26" s="8"/>
      <c r="AC26" s="8"/>
      <c r="AD26" s="8"/>
      <c r="AE26" s="9"/>
      <c r="AF26" s="8"/>
      <c r="AG26" s="8"/>
      <c r="AH26" s="6"/>
      <c r="AI26" s="50">
        <f>COUNTIF(D26:AH26,"x")+COUNTIF(D26:AH26,"x-0,25")+COUNTIF(D26:AH26,"x-0,50")+COUNTIF(D26:AH26,"x-0.75")+COUNTIF(D26:AH26,"x-1")+COUNTIF(D26:AH26,"x-1,25")+COUNTIF(D26:AH26,"x-1,5")+COUNTIF(D26:AH26,"x-1,55")+COUNTIF(D26:AH26,"x-2")+COUNTIF(D26:AH26,"x/2")/2</f>
        <v>0</v>
      </c>
      <c r="AJ26" s="51">
        <f>0</f>
        <v>0</v>
      </c>
      <c r="AK26" s="52">
        <f>AI26+AJ26</f>
        <v>0</v>
      </c>
    </row>
    <row r="27" spans="1:37" s="7" customFormat="1" ht="13.5" customHeight="1" x14ac:dyDescent="0.2">
      <c r="A27" s="90"/>
      <c r="B27" s="96"/>
      <c r="C27" s="2" t="s">
        <v>12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9"/>
      <c r="AF27" s="8"/>
      <c r="AG27" s="8"/>
      <c r="AH27" s="6"/>
      <c r="AI27" s="50">
        <f>COUNTIF(D27:AH27,"x")+COUNTIF(D27:AH27,"x-0,25")+COUNTIF(D27:AH27,"x-0,50")+COUNTIF(D27:AH27,"x-0.75")+COUNTIF(D27:AH27,"x-1")+COUNTIF(D27:AH27,"x-1,25")+COUNTIF(D27:AH27,"x-1,5")+COUNTIF(D27:AH27,"x-1,55")+COUNTIF(D27:AH27,"x-2")+COUNTIF(D27:AH27,"x/2")/2</f>
        <v>0</v>
      </c>
      <c r="AJ27" s="51">
        <f>0</f>
        <v>0</v>
      </c>
      <c r="AK27" s="52">
        <f>AI27+AJ27</f>
        <v>0</v>
      </c>
    </row>
    <row r="28" spans="1:37" s="7" customFormat="1" ht="13.5" customHeight="1" x14ac:dyDescent="0.2">
      <c r="A28" s="16"/>
      <c r="B28" s="17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  <c r="Y28" s="19"/>
      <c r="Z28" s="19"/>
      <c r="AA28" s="19"/>
      <c r="AB28" s="19"/>
      <c r="AC28" s="19"/>
      <c r="AD28" s="19"/>
      <c r="AE28" s="20"/>
      <c r="AF28" s="19"/>
      <c r="AG28" s="19"/>
      <c r="AH28" s="20"/>
      <c r="AI28" s="53" t="str">
        <f>""</f>
        <v/>
      </c>
      <c r="AJ28" s="54" t="str">
        <f>""</f>
        <v/>
      </c>
      <c r="AK28" s="55" t="str">
        <f>""</f>
        <v/>
      </c>
    </row>
    <row r="29" spans="1:37" s="7" customFormat="1" ht="13.5" customHeight="1" x14ac:dyDescent="0.2">
      <c r="A29" s="94">
        <v>6</v>
      </c>
      <c r="B29" s="97" t="s">
        <v>18</v>
      </c>
      <c r="C29" s="2" t="s">
        <v>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9"/>
      <c r="AF29" s="8"/>
      <c r="AG29" s="8"/>
      <c r="AH29" s="6"/>
      <c r="AI29" s="50">
        <f>0</f>
        <v>0</v>
      </c>
      <c r="AJ29" s="51">
        <f>SUM(D29:AH29)/8</f>
        <v>0</v>
      </c>
      <c r="AK29" s="52">
        <f>AI29+AJ29</f>
        <v>0</v>
      </c>
    </row>
    <row r="30" spans="1:37" s="7" customFormat="1" ht="13.5" customHeight="1" x14ac:dyDescent="0.2">
      <c r="A30" s="89"/>
      <c r="B30" s="89"/>
      <c r="C30" s="2" t="s">
        <v>9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8"/>
      <c r="Z30" s="8"/>
      <c r="AA30" s="8"/>
      <c r="AB30" s="8"/>
      <c r="AC30" s="8"/>
      <c r="AD30" s="8"/>
      <c r="AE30" s="9"/>
      <c r="AF30" s="8"/>
      <c r="AG30" s="8"/>
      <c r="AH30" s="6"/>
      <c r="AI30" s="50">
        <f>COUNTIF(D30:AH30,"x")+COUNTIF(D30:AH30,"x-0,25")+COUNTIF(D30:AH30,"x-0,50")+COUNTIF(D30:AH30,"x-0.75")+COUNTIF(D30:AH30,"x-1")+COUNTIF(D30:AH30,"x-1,25")+COUNTIF(D30:AH30,"x-1,5")+COUNTIF(D30:AH30,"x-1,55")+COUNTIF(D30:AH30,"x-2")+COUNTIF(D30:AH30,"x/2")/2</f>
        <v>0</v>
      </c>
      <c r="AJ30" s="51">
        <f>0</f>
        <v>0</v>
      </c>
      <c r="AK30" s="52">
        <f>AI30+AJ30</f>
        <v>0</v>
      </c>
    </row>
    <row r="31" spans="1:37" s="7" customFormat="1" ht="13.5" customHeight="1" x14ac:dyDescent="0.2">
      <c r="A31" s="89"/>
      <c r="B31" s="89"/>
      <c r="C31" s="2" t="s">
        <v>11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8"/>
      <c r="Z31" s="8"/>
      <c r="AA31" s="8"/>
      <c r="AB31" s="8"/>
      <c r="AC31" s="8"/>
      <c r="AD31" s="8"/>
      <c r="AE31" s="9"/>
      <c r="AF31" s="8"/>
      <c r="AG31" s="8"/>
      <c r="AH31" s="6"/>
      <c r="AI31" s="50">
        <f>COUNTIF(D31:AH31,"x")+COUNTIF(D31:AH31,"x-0,25")+COUNTIF(D31:AH31,"x-0,50")+COUNTIF(D31:AH31,"x-0.75")+COUNTIF(D31:AH31,"x-1")+COUNTIF(D31:AH31,"x-1,25")+COUNTIF(D31:AH31,"x-1,5")+COUNTIF(D31:AH31,"x-1,55")+COUNTIF(D31:AH31,"x-2")+COUNTIF(D31:AH31,"x/2")/2</f>
        <v>0</v>
      </c>
      <c r="AJ31" s="51">
        <f>0</f>
        <v>0</v>
      </c>
      <c r="AK31" s="52">
        <f>AI31+AJ31</f>
        <v>0</v>
      </c>
    </row>
    <row r="32" spans="1:37" s="7" customFormat="1" ht="13.5" customHeight="1" x14ac:dyDescent="0.2">
      <c r="A32" s="90"/>
      <c r="B32" s="96"/>
      <c r="C32" s="2" t="s">
        <v>12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8"/>
      <c r="Z32" s="8"/>
      <c r="AA32" s="8"/>
      <c r="AB32" s="8"/>
      <c r="AC32" s="8"/>
      <c r="AD32" s="8"/>
      <c r="AE32" s="9"/>
      <c r="AF32" s="8"/>
      <c r="AG32" s="8"/>
      <c r="AH32" s="6"/>
      <c r="AI32" s="50">
        <f>COUNTIF(D32:AH32,"x")+COUNTIF(D32:AH32,"x-0,25")+COUNTIF(D32:AH32,"x-0,50")+COUNTIF(D32:AH32,"x-0.75")+COUNTIF(D32:AH32,"x-1")+COUNTIF(D32:AH32,"x-1,25")+COUNTIF(D32:AH32,"x-1,5")+COUNTIF(D32:AH32,"x-1,55")+COUNTIF(D32:AH32,"x-2")+COUNTIF(D32:AH32,"x/2")/2</f>
        <v>0</v>
      </c>
      <c r="AJ32" s="51">
        <f>0</f>
        <v>0</v>
      </c>
      <c r="AK32" s="52">
        <f>AI32+AJ32</f>
        <v>0</v>
      </c>
    </row>
    <row r="33" spans="1:37" s="7" customFormat="1" ht="13.5" customHeight="1" x14ac:dyDescent="0.2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/>
      <c r="Y33" s="19"/>
      <c r="Z33" s="19"/>
      <c r="AA33" s="19"/>
      <c r="AB33" s="19"/>
      <c r="AC33" s="19"/>
      <c r="AD33" s="19"/>
      <c r="AE33" s="20"/>
      <c r="AF33" s="19"/>
      <c r="AG33" s="19"/>
      <c r="AH33" s="20"/>
      <c r="AI33" s="53" t="str">
        <f>""</f>
        <v/>
      </c>
      <c r="AJ33" s="54" t="str">
        <f>""</f>
        <v/>
      </c>
      <c r="AK33" s="55" t="str">
        <f>""</f>
        <v/>
      </c>
    </row>
    <row r="34" spans="1:37" s="7" customFormat="1" ht="13.5" customHeight="1" x14ac:dyDescent="0.2">
      <c r="A34" s="94">
        <v>7</v>
      </c>
      <c r="B34" s="97" t="s">
        <v>19</v>
      </c>
      <c r="C34" s="2" t="s">
        <v>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8"/>
      <c r="Z34" s="8"/>
      <c r="AA34" s="8"/>
      <c r="AB34" s="8"/>
      <c r="AC34" s="8"/>
      <c r="AD34" s="8"/>
      <c r="AE34" s="9"/>
      <c r="AF34" s="8"/>
      <c r="AG34" s="8"/>
      <c r="AH34" s="6"/>
      <c r="AI34" s="50">
        <f>0</f>
        <v>0</v>
      </c>
      <c r="AJ34" s="51">
        <f>SUM(D34:AH34)/8</f>
        <v>0</v>
      </c>
      <c r="AK34" s="52">
        <f>AI34+AJ34</f>
        <v>0</v>
      </c>
    </row>
    <row r="35" spans="1:37" s="7" customFormat="1" ht="13.5" customHeight="1" x14ac:dyDescent="0.2">
      <c r="A35" s="89"/>
      <c r="B35" s="89"/>
      <c r="C35" s="2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8"/>
      <c r="Z35" s="8"/>
      <c r="AA35" s="8"/>
      <c r="AB35" s="8"/>
      <c r="AC35" s="8"/>
      <c r="AD35" s="8"/>
      <c r="AE35" s="9"/>
      <c r="AF35" s="8"/>
      <c r="AG35" s="8"/>
      <c r="AH35" s="6"/>
      <c r="AI35" s="50">
        <f>COUNTIF(D35:AH35,"x")+COUNTIF(D35:AH35,"x-0,25")+COUNTIF(D35:AH35,"x-0,50")+COUNTIF(D35:AH35,"x-0.75")+COUNTIF(D35:AH35,"x-1")+COUNTIF(D35:AH35,"x-1,25")+COUNTIF(D35:AH35,"x-1,5")+COUNTIF(D35:AH35,"x-1,55")+COUNTIF(D35:AH35,"x-2")+COUNTIF(D35:AH35,"x/2")/2</f>
        <v>0</v>
      </c>
      <c r="AJ35" s="51">
        <f>0</f>
        <v>0</v>
      </c>
      <c r="AK35" s="52">
        <f>AI35+AJ35</f>
        <v>0</v>
      </c>
    </row>
    <row r="36" spans="1:37" s="7" customFormat="1" ht="13.5" customHeight="1" x14ac:dyDescent="0.2">
      <c r="A36" s="89"/>
      <c r="B36" s="89"/>
      <c r="C36" s="2" t="s">
        <v>11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8"/>
      <c r="Z36" s="8"/>
      <c r="AA36" s="8"/>
      <c r="AB36" s="8"/>
      <c r="AC36" s="8"/>
      <c r="AD36" s="8"/>
      <c r="AE36" s="9"/>
      <c r="AF36" s="8"/>
      <c r="AG36" s="8"/>
      <c r="AH36" s="6"/>
      <c r="AI36" s="50">
        <f>COUNTIF(D36:AH36,"x")+COUNTIF(D36:AH36,"x-0,25")+COUNTIF(D36:AH36,"x-0,50")+COUNTIF(D36:AH36,"x-0.75")+COUNTIF(D36:AH36,"x-1")+COUNTIF(D36:AH36,"x-1,25")+COUNTIF(D36:AH36,"x-1,5")+COUNTIF(D36:AH36,"x-1,55")+COUNTIF(D36:AH36,"x-2")+COUNTIF(D36:AH36,"x/2")/2</f>
        <v>0</v>
      </c>
      <c r="AJ36" s="51">
        <f>0</f>
        <v>0</v>
      </c>
      <c r="AK36" s="52">
        <f>AI36+AJ36</f>
        <v>0</v>
      </c>
    </row>
    <row r="37" spans="1:37" s="7" customFormat="1" ht="13.5" customHeight="1" x14ac:dyDescent="0.2">
      <c r="A37" s="90"/>
      <c r="B37" s="96"/>
      <c r="C37" s="2" t="s">
        <v>12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8"/>
      <c r="Z37" s="8"/>
      <c r="AA37" s="8"/>
      <c r="AB37" s="8"/>
      <c r="AC37" s="8"/>
      <c r="AD37" s="8"/>
      <c r="AE37" s="9"/>
      <c r="AF37" s="8"/>
      <c r="AG37" s="8"/>
      <c r="AH37" s="6"/>
      <c r="AI37" s="50">
        <f>COUNTIF(D37:AH37,"x")+COUNTIF(D37:AH37,"x-0,25")+COUNTIF(D37:AH37,"x-0,50")+COUNTIF(D37:AH37,"x-0.75")+COUNTIF(D37:AH37,"x-1")+COUNTIF(D37:AH37,"x-1,25")+COUNTIF(D37:AH37,"x-1,5")+COUNTIF(D37:AH37,"x-1,55")+COUNTIF(D37:AH37,"x-2")+COUNTIF(D37:AH37,"x/2")/2</f>
        <v>0</v>
      </c>
      <c r="AJ37" s="51">
        <f>0</f>
        <v>0</v>
      </c>
      <c r="AK37" s="52">
        <f>AI37+AJ37</f>
        <v>0</v>
      </c>
    </row>
    <row r="38" spans="1:37" s="7" customFormat="1" ht="13.5" customHeight="1" x14ac:dyDescent="0.2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20"/>
      <c r="Y38" s="19"/>
      <c r="Z38" s="19"/>
      <c r="AA38" s="19"/>
      <c r="AB38" s="19"/>
      <c r="AC38" s="19"/>
      <c r="AD38" s="19"/>
      <c r="AE38" s="20"/>
      <c r="AF38" s="19"/>
      <c r="AG38" s="19"/>
      <c r="AH38" s="20"/>
      <c r="AI38" s="53" t="str">
        <f>""</f>
        <v/>
      </c>
      <c r="AJ38" s="54" t="str">
        <f>""</f>
        <v/>
      </c>
      <c r="AK38" s="55" t="str">
        <f>""</f>
        <v/>
      </c>
    </row>
    <row r="39" spans="1:37" s="7" customFormat="1" ht="13.5" customHeight="1" x14ac:dyDescent="0.2">
      <c r="A39" s="94">
        <v>8</v>
      </c>
      <c r="B39" s="97" t="s">
        <v>20</v>
      </c>
      <c r="C39" s="2" t="s">
        <v>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6"/>
      <c r="X39" s="9"/>
      <c r="Y39" s="8"/>
      <c r="Z39" s="8"/>
      <c r="AA39" s="8"/>
      <c r="AB39" s="8"/>
      <c r="AC39" s="8"/>
      <c r="AD39" s="8"/>
      <c r="AE39" s="9"/>
      <c r="AF39" s="8"/>
      <c r="AG39" s="8"/>
      <c r="AH39" s="6"/>
      <c r="AI39" s="50">
        <f>0</f>
        <v>0</v>
      </c>
      <c r="AJ39" s="51">
        <f>SUM(D39:AH39)/8</f>
        <v>0</v>
      </c>
      <c r="AK39" s="52">
        <f>AI39+AJ39</f>
        <v>0</v>
      </c>
    </row>
    <row r="40" spans="1:37" s="7" customFormat="1" ht="13.5" customHeight="1" x14ac:dyDescent="0.2">
      <c r="A40" s="89"/>
      <c r="B40" s="89"/>
      <c r="C40" s="2" t="s">
        <v>9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6"/>
      <c r="X40" s="9"/>
      <c r="Y40" s="8"/>
      <c r="Z40" s="8"/>
      <c r="AA40" s="8"/>
      <c r="AB40" s="8"/>
      <c r="AC40" s="8"/>
      <c r="AD40" s="8"/>
      <c r="AE40" s="9"/>
      <c r="AF40" s="8"/>
      <c r="AG40" s="8"/>
      <c r="AH40" s="6"/>
      <c r="AI40" s="50">
        <f>COUNTIF(D40:AH40,"x")+COUNTIF(D40:AH40,"x-0,25")+COUNTIF(D40:AH40,"x-0,50")+COUNTIF(D40:AH40,"x-0.75")+COUNTIF(D40:AH40,"x-1")+COUNTIF(D40:AH40,"x-1,25")+COUNTIF(D40:AH40,"x-1,5")+COUNTIF(D40:AH40,"x-1,55")+COUNTIF(D40:AH40,"x-2")+COUNTIF(D40:AH40,"x/2")/2</f>
        <v>0</v>
      </c>
      <c r="AJ40" s="51">
        <f>0</f>
        <v>0</v>
      </c>
      <c r="AK40" s="52">
        <f>AI40+AJ40</f>
        <v>0</v>
      </c>
    </row>
    <row r="41" spans="1:37" s="7" customFormat="1" ht="13.5" customHeight="1" x14ac:dyDescent="0.2">
      <c r="A41" s="89"/>
      <c r="B41" s="89"/>
      <c r="C41" s="2" t="s">
        <v>11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6"/>
      <c r="X41" s="9"/>
      <c r="Y41" s="8"/>
      <c r="Z41" s="8"/>
      <c r="AA41" s="8"/>
      <c r="AB41" s="8"/>
      <c r="AC41" s="8"/>
      <c r="AD41" s="8"/>
      <c r="AE41" s="9"/>
      <c r="AF41" s="8"/>
      <c r="AG41" s="8"/>
      <c r="AH41" s="6"/>
      <c r="AI41" s="50">
        <f>COUNTIF(D41:AH41,"x")+COUNTIF(D41:AH41,"x-0,25")+COUNTIF(D41:AH41,"x-0,50")+COUNTIF(D41:AH41,"x-0.75")+COUNTIF(D41:AH41,"x-1")+COUNTIF(D41:AH41,"x-1,25")+COUNTIF(D41:AH41,"x-1,5")+COUNTIF(D41:AH41,"x-1,55")+COUNTIF(D41:AH41,"x-2")+COUNTIF(D41:AH41,"x/2")/2</f>
        <v>0</v>
      </c>
      <c r="AJ41" s="51">
        <f>0</f>
        <v>0</v>
      </c>
      <c r="AK41" s="52">
        <f>AI41+AJ41</f>
        <v>0</v>
      </c>
    </row>
    <row r="42" spans="1:37" s="7" customFormat="1" ht="13.5" customHeight="1" x14ac:dyDescent="0.2">
      <c r="A42" s="90"/>
      <c r="B42" s="96"/>
      <c r="C42" s="2" t="s">
        <v>12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6"/>
      <c r="X42" s="9"/>
      <c r="Y42" s="8"/>
      <c r="Z42" s="8"/>
      <c r="AA42" s="8"/>
      <c r="AB42" s="8"/>
      <c r="AC42" s="8"/>
      <c r="AD42" s="8"/>
      <c r="AE42" s="9"/>
      <c r="AF42" s="8"/>
      <c r="AG42" s="8"/>
      <c r="AH42" s="6"/>
      <c r="AI42" s="50">
        <f>COUNTIF(D42:AH42,"x")+COUNTIF(D42:AH42,"x-0,25")+COUNTIF(D42:AH42,"x-0,50")+COUNTIF(D42:AH42,"x-0.75")+COUNTIF(D42:AH42,"x-1")+COUNTIF(D42:AH42,"x-1,25")+COUNTIF(D42:AH42,"x-1,5")+COUNTIF(D42:AH42,"x-1,55")+COUNTIF(D42:AH42,"x-2")+COUNTIF(D42:AH42,"x/2")/2</f>
        <v>0</v>
      </c>
      <c r="AJ42" s="51">
        <f>0</f>
        <v>0</v>
      </c>
      <c r="AK42" s="52">
        <f>AI42+AJ42</f>
        <v>0</v>
      </c>
    </row>
    <row r="43" spans="1:37" s="7" customFormat="1" ht="13.5" customHeight="1" x14ac:dyDescent="0.2">
      <c r="A43" s="16"/>
      <c r="B43" s="17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20"/>
      <c r="Y43" s="19"/>
      <c r="Z43" s="19"/>
      <c r="AA43" s="19"/>
      <c r="AB43" s="19"/>
      <c r="AC43" s="19"/>
      <c r="AD43" s="19"/>
      <c r="AE43" s="20"/>
      <c r="AF43" s="19"/>
      <c r="AG43" s="19"/>
      <c r="AH43" s="20"/>
      <c r="AI43" s="53" t="str">
        <f>""</f>
        <v/>
      </c>
      <c r="AJ43" s="54" t="str">
        <f>""</f>
        <v/>
      </c>
      <c r="AK43" s="55" t="str">
        <f>""</f>
        <v/>
      </c>
    </row>
    <row r="44" spans="1:37" s="7" customFormat="1" ht="13.5" customHeight="1" x14ac:dyDescent="0.2">
      <c r="A44" s="94">
        <v>9</v>
      </c>
      <c r="B44" s="97" t="s">
        <v>21</v>
      </c>
      <c r="C44" s="2" t="s">
        <v>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6"/>
      <c r="X44" s="9"/>
      <c r="Y44" s="8"/>
      <c r="Z44" s="8"/>
      <c r="AA44" s="8"/>
      <c r="AB44" s="8"/>
      <c r="AC44" s="8"/>
      <c r="AD44" s="8"/>
      <c r="AE44" s="9"/>
      <c r="AF44" s="8"/>
      <c r="AG44" s="8"/>
      <c r="AH44" s="6"/>
      <c r="AI44" s="50">
        <f>0</f>
        <v>0</v>
      </c>
      <c r="AJ44" s="51">
        <f>SUM(D44:AH44)/8</f>
        <v>0</v>
      </c>
      <c r="AK44" s="52">
        <f>AI44+AJ44</f>
        <v>0</v>
      </c>
    </row>
    <row r="45" spans="1:37" s="7" customFormat="1" ht="13.5" customHeight="1" x14ac:dyDescent="0.2">
      <c r="A45" s="89"/>
      <c r="B45" s="89"/>
      <c r="C45" s="2" t="s">
        <v>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6"/>
      <c r="X45" s="9"/>
      <c r="Y45" s="8"/>
      <c r="Z45" s="8"/>
      <c r="AA45" s="8"/>
      <c r="AB45" s="8"/>
      <c r="AC45" s="8"/>
      <c r="AD45" s="8"/>
      <c r="AE45" s="9"/>
      <c r="AF45" s="8"/>
      <c r="AG45" s="8"/>
      <c r="AH45" s="6"/>
      <c r="AI45" s="50">
        <f>COUNTIF(D45:AH45,"x")+COUNTIF(D45:AH45,"x-0,25")+COUNTIF(D45:AH45,"x-0,50")+COUNTIF(D45:AH45,"x-0.75")+COUNTIF(D45:AH45,"x-1")+COUNTIF(D45:AH45,"x-1,25")+COUNTIF(D45:AH45,"x-1,5")+COUNTIF(D45:AH45,"x-1,55")+COUNTIF(D45:AH45,"x-2")+COUNTIF(D45:AH45,"x/2")/2</f>
        <v>0</v>
      </c>
      <c r="AJ45" s="51">
        <f>0</f>
        <v>0</v>
      </c>
      <c r="AK45" s="52">
        <f>AI45+AJ45</f>
        <v>0</v>
      </c>
    </row>
    <row r="46" spans="1:37" s="7" customFormat="1" ht="13.5" customHeight="1" x14ac:dyDescent="0.2">
      <c r="A46" s="89"/>
      <c r="B46" s="89"/>
      <c r="C46" s="2" t="s">
        <v>11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6"/>
      <c r="X46" s="9"/>
      <c r="Y46" s="8"/>
      <c r="Z46" s="8"/>
      <c r="AA46" s="8"/>
      <c r="AB46" s="8"/>
      <c r="AC46" s="8"/>
      <c r="AD46" s="8"/>
      <c r="AE46" s="9"/>
      <c r="AF46" s="8"/>
      <c r="AG46" s="8"/>
      <c r="AH46" s="6"/>
      <c r="AI46" s="50">
        <f>COUNTIF(D46:AH46,"x")+COUNTIF(D46:AH46,"x-0,25")+COUNTIF(D46:AH46,"x-0,50")+COUNTIF(D46:AH46,"x-0.75")+COUNTIF(D46:AH46,"x-1")+COUNTIF(D46:AH46,"x-1,25")+COUNTIF(D46:AH46,"x-1,5")+COUNTIF(D46:AH46,"x-1,55")+COUNTIF(D46:AH46,"x-2")+COUNTIF(D46:AH46,"x/2")/2</f>
        <v>0</v>
      </c>
      <c r="AJ46" s="51">
        <f>0</f>
        <v>0</v>
      </c>
      <c r="AK46" s="52">
        <f>AI46+AJ46</f>
        <v>0</v>
      </c>
    </row>
    <row r="47" spans="1:37" s="7" customFormat="1" ht="13.5" customHeight="1" x14ac:dyDescent="0.2">
      <c r="A47" s="90"/>
      <c r="B47" s="96"/>
      <c r="C47" s="2" t="s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6"/>
      <c r="X47" s="9"/>
      <c r="Y47" s="8"/>
      <c r="Z47" s="8"/>
      <c r="AA47" s="6"/>
      <c r="AB47" s="8"/>
      <c r="AC47" s="8"/>
      <c r="AD47" s="8"/>
      <c r="AE47" s="9"/>
      <c r="AF47" s="8"/>
      <c r="AG47" s="8"/>
      <c r="AH47" s="6"/>
      <c r="AI47" s="50">
        <f>COUNTIF(D47:AH47,"x")+COUNTIF(D47:AH47,"x-0,25")+COUNTIF(D47:AH47,"x-0,50")+COUNTIF(D47:AH47,"x-0.75")+COUNTIF(D47:AH47,"x-1")+COUNTIF(D47:AH47,"x-1,25")+COUNTIF(D47:AH47,"x-1,5")+COUNTIF(D47:AH47,"x-1,55")+COUNTIF(D47:AH47,"x-2")+COUNTIF(D47:AH47,"x/2")/2</f>
        <v>0</v>
      </c>
      <c r="AJ47" s="51">
        <f>0</f>
        <v>0</v>
      </c>
      <c r="AK47" s="52">
        <f>AI47+AJ47</f>
        <v>0</v>
      </c>
    </row>
    <row r="48" spans="1:37" s="7" customFormat="1" ht="13.5" customHeight="1" x14ac:dyDescent="0.2">
      <c r="A48" s="16"/>
      <c r="B48" s="17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X48" s="20"/>
      <c r="Y48" s="19"/>
      <c r="Z48" s="19"/>
      <c r="AA48" s="20"/>
      <c r="AB48" s="19"/>
      <c r="AC48" s="19"/>
      <c r="AD48" s="19"/>
      <c r="AE48" s="20"/>
      <c r="AF48" s="19"/>
      <c r="AG48" s="19"/>
      <c r="AH48" s="20"/>
      <c r="AI48" s="53" t="str">
        <f>""</f>
        <v/>
      </c>
      <c r="AJ48" s="54" t="str">
        <f>""</f>
        <v/>
      </c>
      <c r="AK48" s="55" t="str">
        <f>""</f>
        <v/>
      </c>
    </row>
    <row r="49" spans="1:44" s="7" customFormat="1" ht="13.5" customHeight="1" x14ac:dyDescent="0.2">
      <c r="A49" s="94">
        <v>10</v>
      </c>
      <c r="B49" s="97" t="s">
        <v>22</v>
      </c>
      <c r="C49" s="2" t="s">
        <v>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6"/>
      <c r="X49" s="9"/>
      <c r="Y49" s="8"/>
      <c r="Z49" s="8"/>
      <c r="AA49" s="6"/>
      <c r="AB49" s="8"/>
      <c r="AC49" s="8"/>
      <c r="AD49" s="8"/>
      <c r="AE49" s="9"/>
      <c r="AF49" s="8"/>
      <c r="AG49" s="8"/>
      <c r="AH49" s="6"/>
      <c r="AI49" s="50">
        <f>0</f>
        <v>0</v>
      </c>
      <c r="AJ49" s="51">
        <f>SUM(D49:AH49)/8</f>
        <v>0</v>
      </c>
      <c r="AK49" s="52">
        <f>AI49+AJ49</f>
        <v>0</v>
      </c>
    </row>
    <row r="50" spans="1:44" s="7" customFormat="1" ht="13.5" customHeight="1" x14ac:dyDescent="0.2">
      <c r="A50" s="89"/>
      <c r="B50" s="89"/>
      <c r="C50" s="2" t="s">
        <v>9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6"/>
      <c r="X50" s="9"/>
      <c r="Y50" s="8"/>
      <c r="Z50" s="8"/>
      <c r="AA50" s="6"/>
      <c r="AB50" s="8"/>
      <c r="AC50" s="8"/>
      <c r="AD50" s="8"/>
      <c r="AE50" s="9"/>
      <c r="AF50" s="8"/>
      <c r="AG50" s="8"/>
      <c r="AH50" s="6"/>
      <c r="AI50" s="50">
        <f>COUNTIF(D50:AH50,"x")+COUNTIF(D50:AH50,"x-0,25")+COUNTIF(D50:AH50,"x-0,50")+COUNTIF(D50:AH50,"x-0.75")+COUNTIF(D50:AH50,"x-1")+COUNTIF(D50:AH50,"x-1,25")+COUNTIF(D50:AH50,"x-1,5")+COUNTIF(D50:AH50,"x-1,55")+COUNTIF(D50:AH50,"x-2")+COUNTIF(D50:AH50,"x/2")/2</f>
        <v>0</v>
      </c>
      <c r="AJ50" s="51">
        <f>0</f>
        <v>0</v>
      </c>
      <c r="AK50" s="52">
        <f>AI50+AJ50</f>
        <v>0</v>
      </c>
    </row>
    <row r="51" spans="1:44" s="7" customFormat="1" ht="13.5" customHeight="1" x14ac:dyDescent="0.2">
      <c r="A51" s="89"/>
      <c r="B51" s="89"/>
      <c r="C51" s="2" t="s">
        <v>11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6"/>
      <c r="X51" s="9"/>
      <c r="Y51" s="8"/>
      <c r="Z51" s="8"/>
      <c r="AA51" s="6"/>
      <c r="AB51" s="8"/>
      <c r="AC51" s="8"/>
      <c r="AD51" s="8"/>
      <c r="AE51" s="9"/>
      <c r="AF51" s="8"/>
      <c r="AG51" s="8"/>
      <c r="AH51" s="6"/>
      <c r="AI51" s="50">
        <f>COUNTIF(D51:AH51,"x")+COUNTIF(D51:AH51,"x-0,25")+COUNTIF(D51:AH51,"x-0,50")+COUNTIF(D51:AH51,"x-0.75")+COUNTIF(D51:AH51,"x-1")+COUNTIF(D51:AH51,"x-1,25")+COUNTIF(D51:AH51,"x-1,5")+COUNTIF(D51:AH51,"x-1,55")+COUNTIF(D51:AH51,"x-2")+COUNTIF(D51:AH51,"x/2")/2</f>
        <v>0</v>
      </c>
      <c r="AJ51" s="51">
        <f>0</f>
        <v>0</v>
      </c>
      <c r="AK51" s="52">
        <f>AI51+AJ51</f>
        <v>0</v>
      </c>
    </row>
    <row r="52" spans="1:44" s="7" customFormat="1" ht="13.5" customHeight="1" x14ac:dyDescent="0.2">
      <c r="A52" s="90"/>
      <c r="B52" s="96"/>
      <c r="C52" s="2" t="s">
        <v>12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6"/>
      <c r="W52" s="6"/>
      <c r="X52" s="9"/>
      <c r="Y52" s="8"/>
      <c r="Z52" s="8"/>
      <c r="AA52" s="6"/>
      <c r="AB52" s="8"/>
      <c r="AC52" s="8"/>
      <c r="AD52" s="8"/>
      <c r="AE52" s="9"/>
      <c r="AF52" s="8"/>
      <c r="AG52" s="8"/>
      <c r="AH52" s="6"/>
      <c r="AI52" s="50">
        <f>COUNTIF(D52:AH52,"x")+COUNTIF(D52:AH52,"x-0,25")+COUNTIF(D52:AH52,"x-0,50")+COUNTIF(D52:AH52,"x-0.75")+COUNTIF(D52:AH52,"x-1")+COUNTIF(D52:AH52,"x-1,25")+COUNTIF(D52:AH52,"x-1,5")+COUNTIF(D52:AH52,"x-1,55")+COUNTIF(D52:AH52,"x-2")+COUNTIF(D52:AH52,"x/2")/2</f>
        <v>0</v>
      </c>
      <c r="AJ52" s="51">
        <f>0</f>
        <v>0</v>
      </c>
      <c r="AK52" s="52">
        <f>AI52+AJ52</f>
        <v>0</v>
      </c>
    </row>
    <row r="53" spans="1:44" s="7" customFormat="1" ht="13.5" customHeight="1" x14ac:dyDescent="0.2">
      <c r="A53" s="16"/>
      <c r="B53" s="17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20"/>
      <c r="X53" s="20"/>
      <c r="Y53" s="19"/>
      <c r="Z53" s="19"/>
      <c r="AA53" s="20"/>
      <c r="AB53" s="19"/>
      <c r="AC53" s="19"/>
      <c r="AD53" s="19"/>
      <c r="AE53" s="20"/>
      <c r="AF53" s="19"/>
      <c r="AG53" s="19"/>
      <c r="AH53" s="20"/>
      <c r="AI53" s="53" t="str">
        <f>""</f>
        <v/>
      </c>
      <c r="AJ53" s="54" t="str">
        <f>""</f>
        <v/>
      </c>
      <c r="AK53" s="55" t="str">
        <f>""</f>
        <v/>
      </c>
    </row>
    <row r="54" spans="1:44" s="7" customFormat="1" ht="12" customHeight="1" x14ac:dyDescent="0.2">
      <c r="A54" s="94">
        <v>11</v>
      </c>
      <c r="B54" s="97" t="s">
        <v>23</v>
      </c>
      <c r="C54" s="2" t="s">
        <v>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6"/>
      <c r="X54" s="9"/>
      <c r="Y54" s="8"/>
      <c r="Z54" s="8"/>
      <c r="AA54" s="8"/>
      <c r="AB54" s="8"/>
      <c r="AC54" s="8"/>
      <c r="AD54" s="8"/>
      <c r="AE54" s="9"/>
      <c r="AF54" s="8"/>
      <c r="AG54" s="8"/>
      <c r="AH54" s="6"/>
      <c r="AI54" s="50">
        <f>0</f>
        <v>0</v>
      </c>
      <c r="AJ54" s="51">
        <f>SUM(D54:AH54)/8</f>
        <v>0</v>
      </c>
      <c r="AK54" s="52">
        <f>AI54+AJ54</f>
        <v>0</v>
      </c>
      <c r="AR54" s="10"/>
    </row>
    <row r="55" spans="1:44" s="7" customFormat="1" ht="13.5" customHeight="1" x14ac:dyDescent="0.2">
      <c r="A55" s="89"/>
      <c r="B55" s="89"/>
      <c r="C55" s="2" t="s">
        <v>9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6"/>
      <c r="X55" s="9"/>
      <c r="Y55" s="8"/>
      <c r="Z55" s="8"/>
      <c r="AA55" s="8"/>
      <c r="AB55" s="8"/>
      <c r="AC55" s="8"/>
      <c r="AD55" s="8"/>
      <c r="AE55" s="9"/>
      <c r="AF55" s="8"/>
      <c r="AG55" s="8"/>
      <c r="AH55" s="6"/>
      <c r="AI55" s="50">
        <f>COUNTIF(D55:AH55,"x")+COUNTIF(D55:AH55,"x-0,25")+COUNTIF(D55:AH55,"x-0,50")+COUNTIF(D55:AH55,"x-0.75")+COUNTIF(D55:AH55,"x-1")+COUNTIF(D55:AH55,"x-1,25")+COUNTIF(D55:AH55,"x-1,5")+COUNTIF(D55:AH55,"x-1,55")+COUNTIF(D55:AH55,"x-2")+COUNTIF(D55:AH55,"x/2")/2</f>
        <v>0</v>
      </c>
      <c r="AJ55" s="51">
        <f>0</f>
        <v>0</v>
      </c>
      <c r="AK55" s="52">
        <f>AI55+AJ55</f>
        <v>0</v>
      </c>
      <c r="AR55" s="10"/>
    </row>
    <row r="56" spans="1:44" s="7" customFormat="1" ht="13.5" customHeight="1" x14ac:dyDescent="0.2">
      <c r="A56" s="89"/>
      <c r="B56" s="89"/>
      <c r="C56" s="2" t="s">
        <v>11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6"/>
      <c r="X56" s="9"/>
      <c r="Y56" s="8"/>
      <c r="Z56" s="8"/>
      <c r="AA56" s="8"/>
      <c r="AB56" s="8"/>
      <c r="AC56" s="8"/>
      <c r="AD56" s="8"/>
      <c r="AE56" s="9"/>
      <c r="AF56" s="8"/>
      <c r="AG56" s="8"/>
      <c r="AH56" s="6"/>
      <c r="AI56" s="50">
        <f>COUNTIF(D56:AH56,"x")+COUNTIF(D56:AH56,"x-0,25")+COUNTIF(D56:AH56,"x-0,50")+COUNTIF(D56:AH56,"x-0.75")+COUNTIF(D56:AH56,"x-1")+COUNTIF(D56:AH56,"x-1,25")+COUNTIF(D56:AH56,"x-1,5")+COUNTIF(D56:AH56,"x-1,55")+COUNTIF(D56:AH56,"x-2")+COUNTIF(D56:AH56,"x/2")/2</f>
        <v>0</v>
      </c>
      <c r="AJ56" s="51">
        <f>0</f>
        <v>0</v>
      </c>
      <c r="AK56" s="52">
        <f>AI56+AJ56</f>
        <v>0</v>
      </c>
      <c r="AR56" s="10"/>
    </row>
    <row r="57" spans="1:44" s="7" customFormat="1" ht="13.5" customHeight="1" x14ac:dyDescent="0.2">
      <c r="A57" s="90"/>
      <c r="B57" s="96"/>
      <c r="C57" s="2" t="s">
        <v>12</v>
      </c>
      <c r="D57" s="8"/>
      <c r="E57" s="8"/>
      <c r="F57" s="8"/>
      <c r="G57" s="8"/>
      <c r="H57" s="8"/>
      <c r="I57" s="8"/>
      <c r="J57" s="13"/>
      <c r="K57" s="13"/>
      <c r="L57" s="13"/>
      <c r="M57" s="8"/>
      <c r="N57" s="13"/>
      <c r="O57" s="13"/>
      <c r="P57" s="13"/>
      <c r="Q57" s="13"/>
      <c r="R57" s="8"/>
      <c r="S57" s="8"/>
      <c r="T57" s="8"/>
      <c r="U57" s="8"/>
      <c r="V57" s="6"/>
      <c r="W57" s="6"/>
      <c r="X57" s="9"/>
      <c r="Y57" s="8"/>
      <c r="Z57" s="8"/>
      <c r="AA57" s="8"/>
      <c r="AB57" s="8"/>
      <c r="AC57" s="8"/>
      <c r="AD57" s="8"/>
      <c r="AE57" s="9"/>
      <c r="AF57" s="8"/>
      <c r="AG57" s="8"/>
      <c r="AH57" s="6"/>
      <c r="AI57" s="50">
        <f>COUNTIF(D57:AH57,"x")+COUNTIF(D57:AH57,"x-0,25")+COUNTIF(D57:AH57,"x-0,50")+COUNTIF(D57:AH57,"x-0.75")+COUNTIF(D57:AH57,"x-1")+COUNTIF(D57:AH57,"x-1,25")+COUNTIF(D57:AH57,"x-1,5")+COUNTIF(D57:AH57,"x-1,55")+COUNTIF(D57:AH57,"x-2")+COUNTIF(D57:AH57,"x/2")/2</f>
        <v>0</v>
      </c>
      <c r="AJ57" s="51">
        <f>0</f>
        <v>0</v>
      </c>
      <c r="AK57" s="52">
        <f>AI57+AJ57</f>
        <v>0</v>
      </c>
    </row>
    <row r="58" spans="1:44" s="7" customFormat="1" ht="13.5" customHeight="1" x14ac:dyDescent="0.2">
      <c r="A58" s="16"/>
      <c r="B58" s="17"/>
      <c r="C58" s="18"/>
      <c r="D58" s="19"/>
      <c r="E58" s="19"/>
      <c r="F58" s="19"/>
      <c r="G58" s="19"/>
      <c r="H58" s="19"/>
      <c r="I58" s="19"/>
      <c r="J58" s="22"/>
      <c r="K58" s="22"/>
      <c r="L58" s="22"/>
      <c r="M58" s="19"/>
      <c r="N58" s="22"/>
      <c r="O58" s="22"/>
      <c r="P58" s="22"/>
      <c r="Q58" s="22"/>
      <c r="R58" s="19"/>
      <c r="S58" s="19"/>
      <c r="T58" s="19"/>
      <c r="U58" s="19"/>
      <c r="V58" s="20"/>
      <c r="W58" s="20"/>
      <c r="X58" s="20" t="s">
        <v>59</v>
      </c>
      <c r="Y58" s="19"/>
      <c r="Z58" s="19"/>
      <c r="AA58" s="19"/>
      <c r="AB58" s="19"/>
      <c r="AC58" s="19"/>
      <c r="AD58" s="19"/>
      <c r="AE58" s="20"/>
      <c r="AF58" s="19"/>
      <c r="AG58" s="19"/>
      <c r="AH58" s="20"/>
      <c r="AI58" s="53" t="str">
        <f>""</f>
        <v/>
      </c>
      <c r="AJ58" s="54" t="str">
        <f>""</f>
        <v/>
      </c>
      <c r="AK58" s="55" t="str">
        <f>""</f>
        <v/>
      </c>
    </row>
    <row r="59" spans="1:44" ht="13.5" customHeight="1" x14ac:dyDescent="0.2">
      <c r="A59" s="94">
        <v>12</v>
      </c>
      <c r="B59" s="88" t="s">
        <v>24</v>
      </c>
      <c r="C59" s="2" t="s">
        <v>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"/>
      <c r="W59" s="6"/>
      <c r="X59" s="9"/>
      <c r="Y59" s="8"/>
      <c r="Z59" s="8"/>
      <c r="AA59" s="8"/>
      <c r="AB59" s="8"/>
      <c r="AC59" s="8"/>
      <c r="AD59" s="8"/>
      <c r="AE59" s="9"/>
      <c r="AF59" s="8"/>
      <c r="AG59" s="8"/>
      <c r="AH59" s="4"/>
      <c r="AI59" s="50">
        <f>0</f>
        <v>0</v>
      </c>
      <c r="AJ59" s="51">
        <f>SUM(D59:AH59)/8</f>
        <v>0</v>
      </c>
      <c r="AK59" s="52">
        <f>AI59+AJ59</f>
        <v>0</v>
      </c>
    </row>
    <row r="60" spans="1:44" ht="13.5" customHeight="1" x14ac:dyDescent="0.2">
      <c r="A60" s="89"/>
      <c r="B60" s="89"/>
      <c r="C60" s="2" t="s">
        <v>9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4"/>
      <c r="W60" s="6"/>
      <c r="X60" s="9"/>
      <c r="Y60" s="8"/>
      <c r="Z60" s="8"/>
      <c r="AA60" s="8"/>
      <c r="AB60" s="8"/>
      <c r="AC60" s="8"/>
      <c r="AD60" s="8"/>
      <c r="AE60" s="9"/>
      <c r="AF60" s="8"/>
      <c r="AG60" s="8"/>
      <c r="AH60" s="4"/>
      <c r="AI60" s="50">
        <f>COUNTIF(D60:AH60,"x")+COUNTIF(D60:AH60,"x-0,25")+COUNTIF(D60:AH60,"x-0,50")+COUNTIF(D60:AH60,"x-0.75")+COUNTIF(D60:AH60,"x-1")+COUNTIF(D60:AH60,"x-1,25")+COUNTIF(D60:AH60,"x-1,5")+COUNTIF(D60:AH60,"x-1,55")+COUNTIF(D60:AH60,"x-2")+COUNTIF(D60:AH60,"x/2")/2</f>
        <v>0</v>
      </c>
      <c r="AJ60" s="51">
        <f>0</f>
        <v>0</v>
      </c>
      <c r="AK60" s="52">
        <f>AI60+AJ60</f>
        <v>0</v>
      </c>
    </row>
    <row r="61" spans="1:44" ht="13.5" customHeight="1" x14ac:dyDescent="0.2">
      <c r="A61" s="89"/>
      <c r="B61" s="89"/>
      <c r="C61" s="2" t="s">
        <v>11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"/>
      <c r="W61" s="6"/>
      <c r="X61" s="9"/>
      <c r="Y61" s="8"/>
      <c r="Z61" s="8"/>
      <c r="AA61" s="8"/>
      <c r="AB61" s="8"/>
      <c r="AC61" s="8"/>
      <c r="AD61" s="8"/>
      <c r="AE61" s="9"/>
      <c r="AF61" s="8"/>
      <c r="AG61" s="8"/>
      <c r="AH61" s="4"/>
      <c r="AI61" s="50">
        <f>COUNTIF(D61:AH61,"x")+COUNTIF(D61:AH61,"x-0,25")+COUNTIF(D61:AH61,"x-0,50")+COUNTIF(D61:AH61,"x-0.75")+COUNTIF(D61:AH61,"x-1")+COUNTIF(D61:AH61,"x-1,25")+COUNTIF(D61:AH61,"x-1,5")+COUNTIF(D61:AH61,"x-1,55")+COUNTIF(D61:AH61,"x-2")+COUNTIF(D61:AH61,"x/2")/2</f>
        <v>0</v>
      </c>
      <c r="AJ61" s="51">
        <f>0</f>
        <v>0</v>
      </c>
      <c r="AK61" s="52">
        <f>AI61+AJ61</f>
        <v>0</v>
      </c>
    </row>
    <row r="62" spans="1:44" s="7" customFormat="1" ht="13.5" customHeight="1" x14ac:dyDescent="0.2">
      <c r="A62" s="90"/>
      <c r="B62" s="90"/>
      <c r="C62" s="2" t="s">
        <v>12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6"/>
      <c r="W62" s="6"/>
      <c r="X62" s="9"/>
      <c r="Y62" s="8"/>
      <c r="Z62" s="8"/>
      <c r="AA62" s="8"/>
      <c r="AB62" s="8"/>
      <c r="AC62" s="8"/>
      <c r="AD62" s="8"/>
      <c r="AE62" s="9"/>
      <c r="AF62" s="8"/>
      <c r="AG62" s="8"/>
      <c r="AH62" s="6"/>
      <c r="AI62" s="50">
        <f>COUNTIF(D62:AH62,"x")+COUNTIF(D62:AH62,"x-0,25")+COUNTIF(D62:AH62,"x-0,50")+COUNTIF(D62:AH62,"x-0.75")+COUNTIF(D62:AH62,"x-1")+COUNTIF(D62:AH62,"x-1,25")+COUNTIF(D62:AH62,"x-1,5")+COUNTIF(D62:AH62,"x-1,55")+COUNTIF(D62:AH62,"x-2")+COUNTIF(D62:AH62,"x/2")/2</f>
        <v>0</v>
      </c>
      <c r="AJ62" s="51">
        <f>0</f>
        <v>0</v>
      </c>
      <c r="AK62" s="52">
        <f>AI62+AJ62</f>
        <v>0</v>
      </c>
    </row>
    <row r="63" spans="1:44" s="7" customFormat="1" ht="13.5" customHeight="1" x14ac:dyDescent="0.2">
      <c r="A63" s="16"/>
      <c r="B63" s="23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  <c r="W63" s="20"/>
      <c r="X63" s="20"/>
      <c r="Y63" s="19"/>
      <c r="Z63" s="19"/>
      <c r="AA63" s="19"/>
      <c r="AB63" s="19"/>
      <c r="AC63" s="19"/>
      <c r="AD63" s="19"/>
      <c r="AE63" s="20"/>
      <c r="AF63" s="19"/>
      <c r="AG63" s="19"/>
      <c r="AH63" s="20"/>
      <c r="AI63" s="53" t="str">
        <f>""</f>
        <v/>
      </c>
      <c r="AJ63" s="54" t="str">
        <f>""</f>
        <v/>
      </c>
      <c r="AK63" s="55" t="str">
        <f>""</f>
        <v/>
      </c>
    </row>
    <row r="64" spans="1:44" ht="13.5" customHeight="1" x14ac:dyDescent="0.2">
      <c r="A64" s="94">
        <v>13</v>
      </c>
      <c r="B64" s="94" t="s">
        <v>26</v>
      </c>
      <c r="C64" s="2" t="s">
        <v>8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4"/>
      <c r="W64" s="6"/>
      <c r="X64" s="9"/>
      <c r="Y64" s="8"/>
      <c r="Z64" s="8"/>
      <c r="AA64" s="8"/>
      <c r="AB64" s="8"/>
      <c r="AC64" s="8"/>
      <c r="AD64" s="8"/>
      <c r="AE64" s="9"/>
      <c r="AF64" s="8"/>
      <c r="AG64" s="8"/>
      <c r="AH64" s="4"/>
      <c r="AI64" s="50">
        <f>0</f>
        <v>0</v>
      </c>
      <c r="AJ64" s="51">
        <f>SUM(D64:AH64)/8</f>
        <v>0</v>
      </c>
      <c r="AK64" s="52">
        <f>AI64+AJ64</f>
        <v>0</v>
      </c>
    </row>
    <row r="65" spans="1:37" ht="13.5" customHeight="1" x14ac:dyDescent="0.2">
      <c r="A65" s="89"/>
      <c r="B65" s="89"/>
      <c r="C65" s="2" t="s">
        <v>9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"/>
      <c r="W65" s="6"/>
      <c r="X65" s="9"/>
      <c r="Y65" s="8"/>
      <c r="Z65" s="8"/>
      <c r="AA65" s="8"/>
      <c r="AB65" s="8"/>
      <c r="AC65" s="8"/>
      <c r="AD65" s="8"/>
      <c r="AE65" s="9"/>
      <c r="AF65" s="8"/>
      <c r="AG65" s="8"/>
      <c r="AH65" s="4"/>
      <c r="AI65" s="50">
        <f>COUNTIF(D65:AH65,"x")+COUNTIF(D65:AH65,"x-0,25")+COUNTIF(D65:AH65,"x-0,50")+COUNTIF(D65:AH65,"x-0.75")+COUNTIF(D65:AH65,"x-1")+COUNTIF(D65:AH65,"x-1,25")+COUNTIF(D65:AH65,"x-1,5")+COUNTIF(D65:AH65,"x-1,55")+COUNTIF(D65:AH65,"x-2")+COUNTIF(D65:AH65,"x/2")/2</f>
        <v>0</v>
      </c>
      <c r="AJ65" s="51">
        <f>0</f>
        <v>0</v>
      </c>
      <c r="AK65" s="52">
        <f>AI65+AJ65</f>
        <v>0</v>
      </c>
    </row>
    <row r="66" spans="1:37" ht="12.75" customHeight="1" x14ac:dyDescent="0.2">
      <c r="A66" s="89"/>
      <c r="B66" s="89"/>
      <c r="C66" s="2" t="s">
        <v>11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4"/>
      <c r="W66" s="6"/>
      <c r="X66" s="9"/>
      <c r="Y66" s="8"/>
      <c r="Z66" s="8"/>
      <c r="AA66" s="8"/>
      <c r="AB66" s="8"/>
      <c r="AC66" s="8"/>
      <c r="AD66" s="8"/>
      <c r="AE66" s="9"/>
      <c r="AF66" s="8"/>
      <c r="AG66" s="8"/>
      <c r="AH66" s="4"/>
      <c r="AI66" s="50">
        <f>COUNTIF(D66:AH66,"x")+COUNTIF(D66:AH66,"x-0,25")+COUNTIF(D66:AH66,"x-0,50")+COUNTIF(D66:AH66,"x-0.75")+COUNTIF(D66:AH66,"x-1")+COUNTIF(D66:AH66,"x-1,25")+COUNTIF(D66:AH66,"x-1,5")+COUNTIF(D66:AH66,"x-1,55")+COUNTIF(D66:AH66,"x-2")+COUNTIF(D66:AH66,"x/2")/2</f>
        <v>0</v>
      </c>
      <c r="AJ66" s="51">
        <f>0</f>
        <v>0</v>
      </c>
      <c r="AK66" s="52">
        <f>AI66+AJ66</f>
        <v>0</v>
      </c>
    </row>
    <row r="67" spans="1:37" s="7" customFormat="1" ht="13.5" customHeight="1" x14ac:dyDescent="0.2">
      <c r="A67" s="90"/>
      <c r="B67" s="90"/>
      <c r="C67" s="2" t="s">
        <v>12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6"/>
      <c r="W67" s="6"/>
      <c r="X67" s="9"/>
      <c r="Y67" s="8"/>
      <c r="Z67" s="8"/>
      <c r="AA67" s="6"/>
      <c r="AB67" s="8"/>
      <c r="AC67" s="8"/>
      <c r="AD67" s="8"/>
      <c r="AE67" s="9"/>
      <c r="AF67" s="8"/>
      <c r="AG67" s="8"/>
      <c r="AH67" s="6"/>
      <c r="AI67" s="50">
        <f>COUNTIF(D67:AH67,"x")+COUNTIF(D67:AH67,"x-0,25")+COUNTIF(D67:AH67,"x-0,50")+COUNTIF(D67:AH67,"x-0.75")+COUNTIF(D67:AH67,"x-1")+COUNTIF(D67:AH67,"x-1,25")+COUNTIF(D67:AH67,"x-1,5")+COUNTIF(D67:AH67,"x-1,55")+COUNTIF(D67:AH67,"x-2")+COUNTIF(D67:AH67,"x/2")/2</f>
        <v>0</v>
      </c>
      <c r="AJ67" s="51">
        <f>0</f>
        <v>0</v>
      </c>
      <c r="AK67" s="52">
        <f>AI67+AJ67</f>
        <v>0</v>
      </c>
    </row>
    <row r="68" spans="1:37" ht="20.25" customHeight="1" x14ac:dyDescent="0.2">
      <c r="A68" s="11" t="s">
        <v>27</v>
      </c>
      <c r="B68" s="11" t="s">
        <v>28</v>
      </c>
      <c r="AH68" s="12" t="s">
        <v>4</v>
      </c>
      <c r="AI68" s="52" t="str">
        <f>""</f>
        <v/>
      </c>
      <c r="AJ68" s="52" t="str">
        <f>""</f>
        <v/>
      </c>
      <c r="AK68" s="52" t="str">
        <f>""</f>
        <v/>
      </c>
    </row>
    <row r="69" spans="1:37" x14ac:dyDescent="0.2">
      <c r="A69" s="11"/>
      <c r="B69" s="11"/>
      <c r="AI69" s="45"/>
      <c r="AJ69" s="45"/>
      <c r="AK69" s="45"/>
    </row>
    <row r="70" spans="1:37" x14ac:dyDescent="0.2">
      <c r="AI70" s="45"/>
      <c r="AJ70" s="45"/>
      <c r="AK70" s="45"/>
    </row>
    <row r="71" spans="1:37" ht="14.25" customHeight="1" x14ac:dyDescent="0.2">
      <c r="AI71" s="45"/>
      <c r="AJ71" s="45"/>
      <c r="AK71" s="45"/>
    </row>
    <row r="72" spans="1:37" ht="14.25" customHeight="1" x14ac:dyDescent="0.2">
      <c r="A72" s="103"/>
      <c r="B72" s="104"/>
      <c r="C72" s="104"/>
      <c r="D72" s="10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3"/>
      <c r="AI72" s="106"/>
      <c r="AJ72" s="108"/>
      <c r="AK72" s="107"/>
    </row>
    <row r="73" spans="1:37" ht="14.25" customHeight="1" x14ac:dyDescent="0.2">
      <c r="A73" s="100"/>
      <c r="B73" s="105"/>
      <c r="C73" s="105"/>
      <c r="D73" s="91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3"/>
      <c r="AI73" s="89"/>
      <c r="AJ73" s="99"/>
      <c r="AK73" s="89"/>
    </row>
    <row r="74" spans="1:37" ht="14.25" customHeight="1" x14ac:dyDescent="0.25">
      <c r="A74" s="2"/>
      <c r="B74" s="2"/>
      <c r="C74" s="3"/>
      <c r="D74" s="14">
        <f t="shared" ref="D74:AH74" si="1">+C74+1</f>
        <v>1</v>
      </c>
      <c r="E74" s="14">
        <f t="shared" si="1"/>
        <v>2</v>
      </c>
      <c r="F74" s="14">
        <f t="shared" si="1"/>
        <v>3</v>
      </c>
      <c r="G74" s="14">
        <f t="shared" si="1"/>
        <v>4</v>
      </c>
      <c r="H74" s="14">
        <f t="shared" si="1"/>
        <v>5</v>
      </c>
      <c r="I74" s="14">
        <f t="shared" si="1"/>
        <v>6</v>
      </c>
      <c r="J74" s="14">
        <f t="shared" si="1"/>
        <v>7</v>
      </c>
      <c r="K74" s="14">
        <f t="shared" si="1"/>
        <v>8</v>
      </c>
      <c r="L74" s="14">
        <f t="shared" si="1"/>
        <v>9</v>
      </c>
      <c r="M74" s="14">
        <f t="shared" si="1"/>
        <v>10</v>
      </c>
      <c r="N74" s="14">
        <f t="shared" si="1"/>
        <v>11</v>
      </c>
      <c r="O74" s="14">
        <f t="shared" si="1"/>
        <v>12</v>
      </c>
      <c r="P74" s="14">
        <f t="shared" si="1"/>
        <v>13</v>
      </c>
      <c r="Q74" s="14">
        <f t="shared" si="1"/>
        <v>14</v>
      </c>
      <c r="R74" s="14">
        <f t="shared" si="1"/>
        <v>15</v>
      </c>
      <c r="S74" s="14">
        <f t="shared" si="1"/>
        <v>16</v>
      </c>
      <c r="T74" s="14">
        <f t="shared" si="1"/>
        <v>17</v>
      </c>
      <c r="U74" s="14">
        <f t="shared" si="1"/>
        <v>18</v>
      </c>
      <c r="V74" s="14">
        <f t="shared" si="1"/>
        <v>19</v>
      </c>
      <c r="W74" s="14">
        <f t="shared" si="1"/>
        <v>20</v>
      </c>
      <c r="X74" s="14">
        <f t="shared" si="1"/>
        <v>21</v>
      </c>
      <c r="Y74" s="14">
        <f t="shared" si="1"/>
        <v>22</v>
      </c>
      <c r="Z74" s="14">
        <f t="shared" si="1"/>
        <v>23</v>
      </c>
      <c r="AA74" s="14">
        <f t="shared" si="1"/>
        <v>24</v>
      </c>
      <c r="AB74" s="14">
        <f t="shared" si="1"/>
        <v>25</v>
      </c>
      <c r="AC74" s="14">
        <f t="shared" si="1"/>
        <v>26</v>
      </c>
      <c r="AD74" s="14">
        <f t="shared" si="1"/>
        <v>27</v>
      </c>
      <c r="AE74" s="14">
        <f t="shared" si="1"/>
        <v>28</v>
      </c>
      <c r="AF74" s="14">
        <f t="shared" si="1"/>
        <v>29</v>
      </c>
      <c r="AG74" s="14">
        <f t="shared" si="1"/>
        <v>30</v>
      </c>
      <c r="AH74" s="14">
        <f t="shared" si="1"/>
        <v>31</v>
      </c>
      <c r="AI74" s="90"/>
      <c r="AJ74" s="100"/>
      <c r="AK74" s="90"/>
    </row>
    <row r="75" spans="1:37" ht="14.25" customHeight="1" x14ac:dyDescent="0.2">
      <c r="A75" s="94"/>
      <c r="B75" s="95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4"/>
      <c r="AI75" s="50">
        <f>0</f>
        <v>0</v>
      </c>
      <c r="AJ75" s="51">
        <f t="shared" ref="AJ75:AJ82" si="2">SUM(D75:AH75)/8</f>
        <v>0</v>
      </c>
      <c r="AK75" s="52">
        <f t="shared" ref="AK75:AK106" si="3">AI75+AJ75</f>
        <v>0</v>
      </c>
    </row>
    <row r="76" spans="1:37" ht="14.25" customHeight="1" x14ac:dyDescent="0.2">
      <c r="A76" s="89"/>
      <c r="B76" s="89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8"/>
      <c r="Z76" s="8"/>
      <c r="AA76" s="8"/>
      <c r="AB76" s="8"/>
      <c r="AC76" s="8"/>
      <c r="AD76" s="8"/>
      <c r="AE76" s="8"/>
      <c r="AF76" s="8"/>
      <c r="AG76" s="8"/>
      <c r="AH76" s="4"/>
      <c r="AI76" s="50">
        <f>0</f>
        <v>0</v>
      </c>
      <c r="AJ76" s="51">
        <f t="shared" si="2"/>
        <v>0</v>
      </c>
      <c r="AK76" s="52">
        <f t="shared" si="3"/>
        <v>0</v>
      </c>
    </row>
    <row r="77" spans="1:37" ht="14.25" customHeight="1" x14ac:dyDescent="0.2">
      <c r="A77" s="89"/>
      <c r="B77" s="89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8"/>
      <c r="Z77" s="8"/>
      <c r="AA77" s="8"/>
      <c r="AB77" s="8"/>
      <c r="AC77" s="8"/>
      <c r="AD77" s="8"/>
      <c r="AE77" s="8"/>
      <c r="AF77" s="8"/>
      <c r="AG77" s="8"/>
      <c r="AH77" s="4"/>
      <c r="AI77" s="50">
        <f>0</f>
        <v>0</v>
      </c>
      <c r="AJ77" s="51">
        <f t="shared" si="2"/>
        <v>0</v>
      </c>
      <c r="AK77" s="52">
        <f t="shared" si="3"/>
        <v>0</v>
      </c>
    </row>
    <row r="78" spans="1:37" ht="14.25" customHeight="1" x14ac:dyDescent="0.2">
      <c r="A78" s="90"/>
      <c r="B78" s="96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8"/>
      <c r="Z78" s="8"/>
      <c r="AA78" s="8"/>
      <c r="AB78" s="8"/>
      <c r="AC78" s="8"/>
      <c r="AD78" s="8"/>
      <c r="AE78" s="9"/>
      <c r="AF78" s="8"/>
      <c r="AG78" s="8"/>
      <c r="AH78" s="6"/>
      <c r="AI78" s="50">
        <f>0</f>
        <v>0</v>
      </c>
      <c r="AJ78" s="51">
        <f t="shared" si="2"/>
        <v>0</v>
      </c>
      <c r="AK78" s="52">
        <f t="shared" si="3"/>
        <v>0</v>
      </c>
    </row>
    <row r="79" spans="1:37" ht="14.25" customHeight="1" x14ac:dyDescent="0.2">
      <c r="A79" s="94"/>
      <c r="B79" s="97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8"/>
      <c r="Z79" s="8"/>
      <c r="AA79" s="8"/>
      <c r="AB79" s="8"/>
      <c r="AC79" s="8"/>
      <c r="AD79" s="8"/>
      <c r="AE79" s="9"/>
      <c r="AF79" s="8"/>
      <c r="AG79" s="8"/>
      <c r="AH79" s="6"/>
      <c r="AI79" s="50">
        <f>0</f>
        <v>0</v>
      </c>
      <c r="AJ79" s="51">
        <f t="shared" si="2"/>
        <v>0</v>
      </c>
      <c r="AK79" s="52">
        <f t="shared" si="3"/>
        <v>0</v>
      </c>
    </row>
    <row r="80" spans="1:37" ht="14.25" customHeight="1" x14ac:dyDescent="0.2">
      <c r="A80" s="89"/>
      <c r="B80" s="89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8"/>
      <c r="Z80" s="8"/>
      <c r="AA80" s="8"/>
      <c r="AB80" s="8"/>
      <c r="AC80" s="8"/>
      <c r="AD80" s="8"/>
      <c r="AE80" s="9"/>
      <c r="AF80" s="8"/>
      <c r="AG80" s="8"/>
      <c r="AH80" s="6"/>
      <c r="AI80" s="50">
        <f>0</f>
        <v>0</v>
      </c>
      <c r="AJ80" s="51">
        <f t="shared" si="2"/>
        <v>0</v>
      </c>
      <c r="AK80" s="52">
        <f t="shared" si="3"/>
        <v>0</v>
      </c>
    </row>
    <row r="81" spans="1:37" ht="14.25" customHeight="1" x14ac:dyDescent="0.2">
      <c r="A81" s="89"/>
      <c r="B81" s="89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8"/>
      <c r="Z81" s="8"/>
      <c r="AA81" s="8"/>
      <c r="AB81" s="8"/>
      <c r="AC81" s="8"/>
      <c r="AD81" s="8"/>
      <c r="AE81" s="9"/>
      <c r="AF81" s="8"/>
      <c r="AG81" s="8"/>
      <c r="AH81" s="6"/>
      <c r="AI81" s="50">
        <f>0</f>
        <v>0</v>
      </c>
      <c r="AJ81" s="51">
        <f t="shared" si="2"/>
        <v>0</v>
      </c>
      <c r="AK81" s="52">
        <f t="shared" si="3"/>
        <v>0</v>
      </c>
    </row>
    <row r="82" spans="1:37" ht="14.25" customHeight="1" x14ac:dyDescent="0.2">
      <c r="A82" s="90"/>
      <c r="B82" s="96"/>
      <c r="C82" s="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8"/>
      <c r="Z82" s="8"/>
      <c r="AA82" s="8"/>
      <c r="AB82" s="8"/>
      <c r="AC82" s="8"/>
      <c r="AD82" s="8"/>
      <c r="AE82" s="9"/>
      <c r="AF82" s="8"/>
      <c r="AG82" s="8"/>
      <c r="AH82" s="6"/>
      <c r="AI82" s="50">
        <f>0</f>
        <v>0</v>
      </c>
      <c r="AJ82" s="51">
        <f t="shared" si="2"/>
        <v>0</v>
      </c>
      <c r="AK82" s="52">
        <f t="shared" si="3"/>
        <v>0</v>
      </c>
    </row>
    <row r="83" spans="1:37" ht="14.25" customHeight="1" x14ac:dyDescent="0.2">
      <c r="A83" s="94"/>
      <c r="B83" s="97"/>
      <c r="C83" s="2"/>
      <c r="D83" s="8"/>
      <c r="E83" s="8"/>
      <c r="F83" s="8"/>
      <c r="G83" s="8"/>
      <c r="H83" s="8"/>
      <c r="I83" s="8"/>
      <c r="J83" s="8"/>
      <c r="K83" s="8"/>
      <c r="L83" s="1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8"/>
      <c r="Z83" s="8"/>
      <c r="AA83" s="8"/>
      <c r="AB83" s="8"/>
      <c r="AC83" s="8"/>
      <c r="AD83" s="8"/>
      <c r="AE83" s="9"/>
      <c r="AF83" s="8"/>
      <c r="AG83" s="8"/>
      <c r="AH83" s="6"/>
      <c r="AI83" s="50">
        <f>0</f>
        <v>0</v>
      </c>
      <c r="AJ83" s="51"/>
      <c r="AK83" s="52">
        <f t="shared" si="3"/>
        <v>0</v>
      </c>
    </row>
    <row r="84" spans="1:37" ht="14.25" customHeight="1" x14ac:dyDescent="0.2">
      <c r="A84" s="89"/>
      <c r="B84" s="89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8"/>
      <c r="Z84" s="8"/>
      <c r="AA84" s="8"/>
      <c r="AB84" s="8"/>
      <c r="AC84" s="8"/>
      <c r="AD84" s="8"/>
      <c r="AE84" s="9"/>
      <c r="AF84" s="8"/>
      <c r="AG84" s="8"/>
      <c r="AH84" s="6"/>
      <c r="AI84" s="50">
        <f>0</f>
        <v>0</v>
      </c>
      <c r="AJ84" s="51">
        <f>0</f>
        <v>0</v>
      </c>
      <c r="AK84" s="52">
        <f t="shared" si="3"/>
        <v>0</v>
      </c>
    </row>
    <row r="85" spans="1:37" ht="14.25" customHeight="1" x14ac:dyDescent="0.2">
      <c r="A85" s="89"/>
      <c r="B85" s="89"/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8"/>
      <c r="Z85" s="8"/>
      <c r="AA85" s="8"/>
      <c r="AB85" s="8"/>
      <c r="AC85" s="8"/>
      <c r="AD85" s="8"/>
      <c r="AE85" s="9"/>
      <c r="AF85" s="8"/>
      <c r="AG85" s="8"/>
      <c r="AH85" s="6"/>
      <c r="AI85" s="50">
        <f>0</f>
        <v>0</v>
      </c>
      <c r="AJ85" s="51">
        <f>0</f>
        <v>0</v>
      </c>
      <c r="AK85" s="52">
        <f t="shared" si="3"/>
        <v>0</v>
      </c>
    </row>
    <row r="86" spans="1:37" ht="14.25" customHeight="1" x14ac:dyDescent="0.2">
      <c r="A86" s="90"/>
      <c r="B86" s="96"/>
      <c r="C86" s="2"/>
      <c r="D86" s="8"/>
      <c r="E86" s="8"/>
      <c r="F86" s="8"/>
      <c r="G86" s="8"/>
      <c r="H86" s="8"/>
      <c r="I86" s="8"/>
      <c r="J86" s="8"/>
      <c r="K86" s="8"/>
      <c r="L86" s="1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8"/>
      <c r="Z86" s="8"/>
      <c r="AA86" s="8"/>
      <c r="AB86" s="8"/>
      <c r="AC86" s="8"/>
      <c r="AD86" s="8"/>
      <c r="AE86" s="9"/>
      <c r="AF86" s="8"/>
      <c r="AG86" s="8"/>
      <c r="AH86" s="6"/>
      <c r="AI86" s="50">
        <f>0</f>
        <v>0</v>
      </c>
      <c r="AJ86" s="51">
        <f>0</f>
        <v>0</v>
      </c>
      <c r="AK86" s="52">
        <f t="shared" si="3"/>
        <v>0</v>
      </c>
    </row>
    <row r="87" spans="1:37" ht="14.25" customHeight="1" x14ac:dyDescent="0.2">
      <c r="A87" s="94"/>
      <c r="B87" s="97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8"/>
      <c r="Z87" s="8"/>
      <c r="AA87" s="8"/>
      <c r="AB87" s="8"/>
      <c r="AC87" s="8"/>
      <c r="AD87" s="8"/>
      <c r="AE87" s="9"/>
      <c r="AF87" s="8"/>
      <c r="AG87" s="8"/>
      <c r="AH87" s="6"/>
      <c r="AI87" s="50">
        <f>0</f>
        <v>0</v>
      </c>
      <c r="AJ87" s="51">
        <f>0</f>
        <v>0</v>
      </c>
      <c r="AK87" s="52">
        <f t="shared" si="3"/>
        <v>0</v>
      </c>
    </row>
    <row r="88" spans="1:37" ht="14.25" customHeight="1" x14ac:dyDescent="0.2">
      <c r="A88" s="89"/>
      <c r="B88" s="89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8"/>
      <c r="Z88" s="8"/>
      <c r="AA88" s="8"/>
      <c r="AB88" s="8"/>
      <c r="AC88" s="8"/>
      <c r="AD88" s="8"/>
      <c r="AE88" s="9"/>
      <c r="AF88" s="8"/>
      <c r="AG88" s="8"/>
      <c r="AH88" s="6"/>
      <c r="AI88" s="50">
        <f>0</f>
        <v>0</v>
      </c>
      <c r="AJ88" s="51">
        <f>0</f>
        <v>0</v>
      </c>
      <c r="AK88" s="52">
        <f t="shared" si="3"/>
        <v>0</v>
      </c>
    </row>
    <row r="89" spans="1:37" ht="14.25" customHeight="1" x14ac:dyDescent="0.2">
      <c r="A89" s="89"/>
      <c r="B89" s="89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8"/>
      <c r="Z89" s="8"/>
      <c r="AA89" s="8"/>
      <c r="AB89" s="8"/>
      <c r="AC89" s="8"/>
      <c r="AD89" s="8"/>
      <c r="AE89" s="9"/>
      <c r="AF89" s="8"/>
      <c r="AG89" s="8"/>
      <c r="AH89" s="6"/>
      <c r="AI89" s="50">
        <f>0</f>
        <v>0</v>
      </c>
      <c r="AJ89" s="51">
        <f>0</f>
        <v>0</v>
      </c>
      <c r="AK89" s="52">
        <f t="shared" si="3"/>
        <v>0</v>
      </c>
    </row>
    <row r="90" spans="1:37" ht="14.25" customHeight="1" x14ac:dyDescent="0.2">
      <c r="A90" s="90"/>
      <c r="B90" s="96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8"/>
      <c r="Z90" s="8"/>
      <c r="AA90" s="8"/>
      <c r="AB90" s="8"/>
      <c r="AC90" s="8"/>
      <c r="AD90" s="8"/>
      <c r="AE90" s="9"/>
      <c r="AF90" s="8"/>
      <c r="AG90" s="8"/>
      <c r="AH90" s="6"/>
      <c r="AI90" s="50">
        <f>0</f>
        <v>0</v>
      </c>
      <c r="AJ90" s="51">
        <f>0</f>
        <v>0</v>
      </c>
      <c r="AK90" s="52">
        <f t="shared" si="3"/>
        <v>0</v>
      </c>
    </row>
    <row r="91" spans="1:37" ht="14.25" customHeight="1" x14ac:dyDescent="0.2">
      <c r="A91" s="94"/>
      <c r="B91" s="97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8"/>
      <c r="Z91" s="8"/>
      <c r="AA91" s="8"/>
      <c r="AB91" s="8"/>
      <c r="AC91" s="8"/>
      <c r="AD91" s="8"/>
      <c r="AE91" s="9"/>
      <c r="AF91" s="8"/>
      <c r="AG91" s="8"/>
      <c r="AH91" s="6"/>
      <c r="AI91" s="50">
        <f>0</f>
        <v>0</v>
      </c>
      <c r="AJ91" s="51">
        <f>0</f>
        <v>0</v>
      </c>
      <c r="AK91" s="52">
        <f t="shared" si="3"/>
        <v>0</v>
      </c>
    </row>
    <row r="92" spans="1:37" ht="14.25" customHeight="1" x14ac:dyDescent="0.2">
      <c r="A92" s="89"/>
      <c r="B92" s="89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8"/>
      <c r="Z92" s="8"/>
      <c r="AA92" s="8"/>
      <c r="AB92" s="8"/>
      <c r="AC92" s="8"/>
      <c r="AD92" s="8"/>
      <c r="AE92" s="9"/>
      <c r="AF92" s="8"/>
      <c r="AG92" s="8"/>
      <c r="AH92" s="6"/>
      <c r="AI92" s="50">
        <f>0</f>
        <v>0</v>
      </c>
      <c r="AJ92" s="51">
        <f>0</f>
        <v>0</v>
      </c>
      <c r="AK92" s="52">
        <f t="shared" si="3"/>
        <v>0</v>
      </c>
    </row>
    <row r="93" spans="1:37" ht="14.25" customHeight="1" x14ac:dyDescent="0.2">
      <c r="A93" s="89"/>
      <c r="B93" s="89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8"/>
      <c r="Z93" s="8"/>
      <c r="AA93" s="8"/>
      <c r="AB93" s="8"/>
      <c r="AC93" s="8"/>
      <c r="AD93" s="8"/>
      <c r="AE93" s="9"/>
      <c r="AF93" s="8"/>
      <c r="AG93" s="8"/>
      <c r="AH93" s="6"/>
      <c r="AI93" s="50">
        <f>0</f>
        <v>0</v>
      </c>
      <c r="AJ93" s="51">
        <f>0</f>
        <v>0</v>
      </c>
      <c r="AK93" s="52">
        <f t="shared" si="3"/>
        <v>0</v>
      </c>
    </row>
    <row r="94" spans="1:37" ht="14.25" customHeight="1" x14ac:dyDescent="0.2">
      <c r="A94" s="90"/>
      <c r="B94" s="96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8"/>
      <c r="Z94" s="8"/>
      <c r="AA94" s="8"/>
      <c r="AB94" s="8"/>
      <c r="AC94" s="8"/>
      <c r="AD94" s="8"/>
      <c r="AE94" s="9"/>
      <c r="AF94" s="8"/>
      <c r="AG94" s="8"/>
      <c r="AH94" s="6"/>
      <c r="AI94" s="50">
        <f>0</f>
        <v>0</v>
      </c>
      <c r="AJ94" s="51">
        <f>0</f>
        <v>0</v>
      </c>
      <c r="AK94" s="52">
        <f t="shared" si="3"/>
        <v>0</v>
      </c>
    </row>
    <row r="95" spans="1:37" ht="14.25" customHeight="1" x14ac:dyDescent="0.2">
      <c r="A95" s="94"/>
      <c r="B95" s="97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8"/>
      <c r="Z95" s="8"/>
      <c r="AA95" s="8"/>
      <c r="AB95" s="8"/>
      <c r="AC95" s="8"/>
      <c r="AD95" s="8"/>
      <c r="AE95" s="9"/>
      <c r="AF95" s="8"/>
      <c r="AG95" s="8"/>
      <c r="AH95" s="6"/>
      <c r="AI95" s="50">
        <f>0</f>
        <v>0</v>
      </c>
      <c r="AJ95" s="51">
        <f>0</f>
        <v>0</v>
      </c>
      <c r="AK95" s="52">
        <f t="shared" si="3"/>
        <v>0</v>
      </c>
    </row>
    <row r="96" spans="1:37" ht="14.25" customHeight="1" x14ac:dyDescent="0.2">
      <c r="A96" s="89"/>
      <c r="B96" s="89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8"/>
      <c r="Z96" s="8"/>
      <c r="AA96" s="8"/>
      <c r="AB96" s="8"/>
      <c r="AC96" s="8"/>
      <c r="AD96" s="8"/>
      <c r="AE96" s="9"/>
      <c r="AF96" s="8"/>
      <c r="AG96" s="8"/>
      <c r="AH96" s="6"/>
      <c r="AI96" s="50">
        <f>0</f>
        <v>0</v>
      </c>
      <c r="AJ96" s="51">
        <f>0</f>
        <v>0</v>
      </c>
      <c r="AK96" s="52">
        <f t="shared" si="3"/>
        <v>0</v>
      </c>
    </row>
    <row r="97" spans="1:37" ht="14.25" customHeight="1" x14ac:dyDescent="0.2">
      <c r="A97" s="89"/>
      <c r="B97" s="89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8"/>
      <c r="Z97" s="8"/>
      <c r="AA97" s="8"/>
      <c r="AB97" s="8"/>
      <c r="AC97" s="8"/>
      <c r="AD97" s="8"/>
      <c r="AE97" s="9"/>
      <c r="AF97" s="8"/>
      <c r="AG97" s="8"/>
      <c r="AH97" s="6"/>
      <c r="AI97" s="50">
        <f>0</f>
        <v>0</v>
      </c>
      <c r="AJ97" s="51">
        <f>0</f>
        <v>0</v>
      </c>
      <c r="AK97" s="52">
        <f t="shared" si="3"/>
        <v>0</v>
      </c>
    </row>
    <row r="98" spans="1:37" ht="14.25" customHeight="1" x14ac:dyDescent="0.2">
      <c r="A98" s="90"/>
      <c r="B98" s="96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8"/>
      <c r="Z98" s="8"/>
      <c r="AA98" s="8"/>
      <c r="AB98" s="8"/>
      <c r="AC98" s="8"/>
      <c r="AD98" s="8"/>
      <c r="AE98" s="9"/>
      <c r="AF98" s="8"/>
      <c r="AG98" s="8"/>
      <c r="AH98" s="6"/>
      <c r="AI98" s="50">
        <f>0</f>
        <v>0</v>
      </c>
      <c r="AJ98" s="51">
        <f>0</f>
        <v>0</v>
      </c>
      <c r="AK98" s="52">
        <f t="shared" si="3"/>
        <v>0</v>
      </c>
    </row>
    <row r="99" spans="1:37" ht="14.25" customHeight="1" x14ac:dyDescent="0.2">
      <c r="A99" s="94"/>
      <c r="B99" s="97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8"/>
      <c r="Z99" s="8"/>
      <c r="AA99" s="8"/>
      <c r="AB99" s="8"/>
      <c r="AC99" s="8"/>
      <c r="AD99" s="8"/>
      <c r="AE99" s="9"/>
      <c r="AF99" s="8"/>
      <c r="AG99" s="8"/>
      <c r="AH99" s="6"/>
      <c r="AI99" s="50">
        <f>0</f>
        <v>0</v>
      </c>
      <c r="AJ99" s="51">
        <f>0</f>
        <v>0</v>
      </c>
      <c r="AK99" s="52">
        <f t="shared" si="3"/>
        <v>0</v>
      </c>
    </row>
    <row r="100" spans="1:37" ht="14.25" customHeight="1" x14ac:dyDescent="0.2">
      <c r="A100" s="89"/>
      <c r="B100" s="89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8"/>
      <c r="Z100" s="8"/>
      <c r="AA100" s="8"/>
      <c r="AB100" s="8"/>
      <c r="AC100" s="8"/>
      <c r="AD100" s="8"/>
      <c r="AE100" s="9"/>
      <c r="AF100" s="8"/>
      <c r="AG100" s="8"/>
      <c r="AH100" s="6"/>
      <c r="AI100" s="50">
        <f>0</f>
        <v>0</v>
      </c>
      <c r="AJ100" s="51">
        <f>0</f>
        <v>0</v>
      </c>
      <c r="AK100" s="52">
        <f t="shared" si="3"/>
        <v>0</v>
      </c>
    </row>
    <row r="101" spans="1:37" ht="14.25" customHeight="1" x14ac:dyDescent="0.2">
      <c r="A101" s="89"/>
      <c r="B101" s="89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8"/>
      <c r="Z101" s="8"/>
      <c r="AA101" s="8"/>
      <c r="AB101" s="8"/>
      <c r="AC101" s="8"/>
      <c r="AD101" s="8"/>
      <c r="AE101" s="9"/>
      <c r="AF101" s="8"/>
      <c r="AG101" s="8"/>
      <c r="AH101" s="6"/>
      <c r="AI101" s="50">
        <f>0</f>
        <v>0</v>
      </c>
      <c r="AJ101" s="51">
        <f>0</f>
        <v>0</v>
      </c>
      <c r="AK101" s="52">
        <f t="shared" si="3"/>
        <v>0</v>
      </c>
    </row>
    <row r="102" spans="1:37" ht="14.25" customHeight="1" x14ac:dyDescent="0.2">
      <c r="A102" s="90"/>
      <c r="B102" s="96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8"/>
      <c r="Z102" s="8"/>
      <c r="AA102" s="8"/>
      <c r="AB102" s="8"/>
      <c r="AC102" s="8"/>
      <c r="AD102" s="8"/>
      <c r="AE102" s="9"/>
      <c r="AF102" s="8"/>
      <c r="AG102" s="8"/>
      <c r="AH102" s="6"/>
      <c r="AI102" s="50">
        <f>0</f>
        <v>0</v>
      </c>
      <c r="AJ102" s="51">
        <f>0</f>
        <v>0</v>
      </c>
      <c r="AK102" s="52">
        <f t="shared" si="3"/>
        <v>0</v>
      </c>
    </row>
    <row r="103" spans="1:37" ht="14.25" customHeight="1" x14ac:dyDescent="0.2">
      <c r="A103" s="94"/>
      <c r="B103" s="97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6"/>
      <c r="X103" s="9"/>
      <c r="Y103" s="8"/>
      <c r="Z103" s="8"/>
      <c r="AA103" s="8"/>
      <c r="AB103" s="8"/>
      <c r="AC103" s="8"/>
      <c r="AD103" s="8"/>
      <c r="AE103" s="9"/>
      <c r="AF103" s="8"/>
      <c r="AG103" s="8"/>
      <c r="AH103" s="6"/>
      <c r="AI103" s="50">
        <f>0</f>
        <v>0</v>
      </c>
      <c r="AJ103" s="51">
        <f>0</f>
        <v>0</v>
      </c>
      <c r="AK103" s="52">
        <f t="shared" si="3"/>
        <v>0</v>
      </c>
    </row>
    <row r="104" spans="1:37" ht="14.25" customHeight="1" x14ac:dyDescent="0.2">
      <c r="A104" s="89"/>
      <c r="B104" s="89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6"/>
      <c r="X104" s="9"/>
      <c r="Y104" s="8"/>
      <c r="Z104" s="8"/>
      <c r="AA104" s="8"/>
      <c r="AB104" s="8"/>
      <c r="AC104" s="8"/>
      <c r="AD104" s="8"/>
      <c r="AE104" s="9"/>
      <c r="AF104" s="8"/>
      <c r="AG104" s="8"/>
      <c r="AH104" s="6"/>
      <c r="AI104" s="50">
        <f>0</f>
        <v>0</v>
      </c>
      <c r="AJ104" s="51">
        <f>0</f>
        <v>0</v>
      </c>
      <c r="AK104" s="52">
        <f t="shared" si="3"/>
        <v>0</v>
      </c>
    </row>
    <row r="105" spans="1:37" ht="14.25" customHeight="1" x14ac:dyDescent="0.2">
      <c r="A105" s="89"/>
      <c r="B105" s="89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6"/>
      <c r="X105" s="9"/>
      <c r="Y105" s="8"/>
      <c r="Z105" s="8"/>
      <c r="AA105" s="8"/>
      <c r="AB105" s="8"/>
      <c r="AC105" s="8"/>
      <c r="AD105" s="8"/>
      <c r="AE105" s="9"/>
      <c r="AF105" s="8"/>
      <c r="AG105" s="8"/>
      <c r="AH105" s="6"/>
      <c r="AI105" s="50">
        <f>0</f>
        <v>0</v>
      </c>
      <c r="AJ105" s="51">
        <f>0</f>
        <v>0</v>
      </c>
      <c r="AK105" s="52">
        <f t="shared" si="3"/>
        <v>0</v>
      </c>
    </row>
    <row r="106" spans="1:37" ht="14.25" customHeight="1" x14ac:dyDescent="0.2">
      <c r="A106" s="90"/>
      <c r="B106" s="96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6"/>
      <c r="X106" s="9"/>
      <c r="Y106" s="8"/>
      <c r="Z106" s="8"/>
      <c r="AA106" s="8"/>
      <c r="AB106" s="8"/>
      <c r="AC106" s="8"/>
      <c r="AD106" s="8"/>
      <c r="AE106" s="9"/>
      <c r="AF106" s="8"/>
      <c r="AG106" s="8"/>
      <c r="AH106" s="6"/>
      <c r="AI106" s="50">
        <f>0</f>
        <v>0</v>
      </c>
      <c r="AJ106" s="51">
        <f>0</f>
        <v>0</v>
      </c>
      <c r="AK106" s="52">
        <f t="shared" si="3"/>
        <v>0</v>
      </c>
    </row>
    <row r="107" spans="1:37" ht="14.25" customHeight="1" x14ac:dyDescent="0.2">
      <c r="A107" s="94"/>
      <c r="B107" s="97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6"/>
      <c r="X107" s="9"/>
      <c r="Y107" s="8"/>
      <c r="Z107" s="8"/>
      <c r="AA107" s="8"/>
      <c r="AB107" s="8"/>
      <c r="AC107" s="8"/>
      <c r="AD107" s="8"/>
      <c r="AE107" s="9"/>
      <c r="AF107" s="8"/>
      <c r="AG107" s="8"/>
      <c r="AH107" s="6"/>
      <c r="AI107" s="50">
        <f>0</f>
        <v>0</v>
      </c>
      <c r="AJ107" s="51">
        <f>0</f>
        <v>0</v>
      </c>
      <c r="AK107" s="52">
        <f t="shared" ref="AK107:AK126" si="4">AI107+AJ107</f>
        <v>0</v>
      </c>
    </row>
    <row r="108" spans="1:37" ht="14.25" customHeight="1" x14ac:dyDescent="0.2">
      <c r="A108" s="89"/>
      <c r="B108" s="89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6"/>
      <c r="X108" s="9"/>
      <c r="Y108" s="8"/>
      <c r="Z108" s="8"/>
      <c r="AA108" s="8"/>
      <c r="AB108" s="8"/>
      <c r="AC108" s="8"/>
      <c r="AD108" s="8"/>
      <c r="AE108" s="9"/>
      <c r="AF108" s="8"/>
      <c r="AG108" s="8"/>
      <c r="AH108" s="6"/>
      <c r="AI108" s="50">
        <f>0</f>
        <v>0</v>
      </c>
      <c r="AJ108" s="51">
        <f>0</f>
        <v>0</v>
      </c>
      <c r="AK108" s="52">
        <f t="shared" si="4"/>
        <v>0</v>
      </c>
    </row>
    <row r="109" spans="1:37" ht="14.25" customHeight="1" x14ac:dyDescent="0.2">
      <c r="A109" s="89"/>
      <c r="B109" s="89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6"/>
      <c r="X109" s="9"/>
      <c r="Y109" s="8"/>
      <c r="Z109" s="8"/>
      <c r="AA109" s="8"/>
      <c r="AB109" s="8"/>
      <c r="AC109" s="8"/>
      <c r="AD109" s="8"/>
      <c r="AE109" s="9"/>
      <c r="AF109" s="8"/>
      <c r="AG109" s="8"/>
      <c r="AH109" s="6"/>
      <c r="AI109" s="50">
        <f>0</f>
        <v>0</v>
      </c>
      <c r="AJ109" s="51">
        <f>0</f>
        <v>0</v>
      </c>
      <c r="AK109" s="52">
        <f t="shared" si="4"/>
        <v>0</v>
      </c>
    </row>
    <row r="110" spans="1:37" ht="14.25" customHeight="1" x14ac:dyDescent="0.2">
      <c r="A110" s="90"/>
      <c r="B110" s="96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6"/>
      <c r="X110" s="9"/>
      <c r="Y110" s="8"/>
      <c r="Z110" s="8"/>
      <c r="AA110" s="6"/>
      <c r="AB110" s="8"/>
      <c r="AC110" s="8"/>
      <c r="AD110" s="8"/>
      <c r="AE110" s="9"/>
      <c r="AF110" s="8"/>
      <c r="AG110" s="8"/>
      <c r="AH110" s="6"/>
      <c r="AI110" s="50">
        <f>0</f>
        <v>0</v>
      </c>
      <c r="AJ110" s="51">
        <f>0</f>
        <v>0</v>
      </c>
      <c r="AK110" s="52">
        <f t="shared" si="4"/>
        <v>0</v>
      </c>
    </row>
    <row r="111" spans="1:37" ht="14.25" customHeight="1" x14ac:dyDescent="0.2">
      <c r="A111" s="94"/>
      <c r="B111" s="97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6"/>
      <c r="X111" s="9"/>
      <c r="Y111" s="8"/>
      <c r="Z111" s="8"/>
      <c r="AA111" s="6"/>
      <c r="AB111" s="8"/>
      <c r="AC111" s="8"/>
      <c r="AD111" s="8"/>
      <c r="AE111" s="9"/>
      <c r="AF111" s="8"/>
      <c r="AG111" s="8"/>
      <c r="AH111" s="6"/>
      <c r="AI111" s="50">
        <f>0</f>
        <v>0</v>
      </c>
      <c r="AJ111" s="51">
        <f>0</f>
        <v>0</v>
      </c>
      <c r="AK111" s="52">
        <f t="shared" si="4"/>
        <v>0</v>
      </c>
    </row>
    <row r="112" spans="1:37" ht="14.25" customHeight="1" x14ac:dyDescent="0.2">
      <c r="A112" s="89"/>
      <c r="B112" s="89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6"/>
      <c r="X112" s="9"/>
      <c r="Y112" s="8"/>
      <c r="Z112" s="8"/>
      <c r="AA112" s="6"/>
      <c r="AB112" s="8"/>
      <c r="AC112" s="8"/>
      <c r="AD112" s="8"/>
      <c r="AE112" s="9"/>
      <c r="AF112" s="8"/>
      <c r="AG112" s="8"/>
      <c r="AH112" s="6"/>
      <c r="AI112" s="50">
        <f>0</f>
        <v>0</v>
      </c>
      <c r="AJ112" s="51">
        <f>0</f>
        <v>0</v>
      </c>
      <c r="AK112" s="52">
        <f t="shared" si="4"/>
        <v>0</v>
      </c>
    </row>
    <row r="113" spans="1:37" ht="14.25" customHeight="1" x14ac:dyDescent="0.2">
      <c r="A113" s="89"/>
      <c r="B113" s="89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6"/>
      <c r="X113" s="9"/>
      <c r="Y113" s="8"/>
      <c r="Z113" s="8"/>
      <c r="AA113" s="6"/>
      <c r="AB113" s="8"/>
      <c r="AC113" s="8"/>
      <c r="AD113" s="8"/>
      <c r="AE113" s="9"/>
      <c r="AF113" s="8"/>
      <c r="AG113" s="8"/>
      <c r="AH113" s="6"/>
      <c r="AI113" s="50">
        <f>0</f>
        <v>0</v>
      </c>
      <c r="AJ113" s="51">
        <f>0</f>
        <v>0</v>
      </c>
      <c r="AK113" s="52">
        <f t="shared" si="4"/>
        <v>0</v>
      </c>
    </row>
    <row r="114" spans="1:37" ht="14.25" customHeight="1" x14ac:dyDescent="0.2">
      <c r="A114" s="90"/>
      <c r="B114" s="96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6"/>
      <c r="W114" s="6"/>
      <c r="X114" s="9"/>
      <c r="Y114" s="8"/>
      <c r="Z114" s="8"/>
      <c r="AA114" s="6"/>
      <c r="AB114" s="8"/>
      <c r="AC114" s="8"/>
      <c r="AD114" s="8"/>
      <c r="AE114" s="9"/>
      <c r="AF114" s="8"/>
      <c r="AG114" s="8"/>
      <c r="AH114" s="6"/>
      <c r="AI114" s="50">
        <f>0</f>
        <v>0</v>
      </c>
      <c r="AJ114" s="51">
        <f>0</f>
        <v>0</v>
      </c>
      <c r="AK114" s="52">
        <f t="shared" si="4"/>
        <v>0</v>
      </c>
    </row>
    <row r="115" spans="1:37" ht="14.25" customHeight="1" x14ac:dyDescent="0.2">
      <c r="A115" s="94"/>
      <c r="B115" s="97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6"/>
      <c r="X115" s="9"/>
      <c r="Y115" s="8"/>
      <c r="Z115" s="8"/>
      <c r="AA115" s="8"/>
      <c r="AB115" s="8"/>
      <c r="AC115" s="8"/>
      <c r="AD115" s="8"/>
      <c r="AE115" s="9"/>
      <c r="AF115" s="8"/>
      <c r="AG115" s="8"/>
      <c r="AH115" s="6"/>
      <c r="AI115" s="50">
        <f>0</f>
        <v>0</v>
      </c>
      <c r="AJ115" s="51">
        <f>0</f>
        <v>0</v>
      </c>
      <c r="AK115" s="52">
        <f t="shared" si="4"/>
        <v>0</v>
      </c>
    </row>
    <row r="116" spans="1:37" ht="14.25" customHeight="1" x14ac:dyDescent="0.2">
      <c r="A116" s="89"/>
      <c r="B116" s="89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6"/>
      <c r="X116" s="9"/>
      <c r="Y116" s="8"/>
      <c r="Z116" s="8"/>
      <c r="AA116" s="8"/>
      <c r="AB116" s="8"/>
      <c r="AC116" s="8"/>
      <c r="AD116" s="8"/>
      <c r="AE116" s="9"/>
      <c r="AF116" s="8"/>
      <c r="AG116" s="8"/>
      <c r="AH116" s="6"/>
      <c r="AI116" s="50">
        <f>0</f>
        <v>0</v>
      </c>
      <c r="AJ116" s="51">
        <f>0</f>
        <v>0</v>
      </c>
      <c r="AK116" s="52">
        <f t="shared" si="4"/>
        <v>0</v>
      </c>
    </row>
    <row r="117" spans="1:37" ht="14.25" customHeight="1" x14ac:dyDescent="0.2">
      <c r="A117" s="89"/>
      <c r="B117" s="89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6"/>
      <c r="X117" s="9"/>
      <c r="Y117" s="8"/>
      <c r="Z117" s="8"/>
      <c r="AA117" s="8"/>
      <c r="AB117" s="8"/>
      <c r="AC117" s="8"/>
      <c r="AD117" s="8"/>
      <c r="AE117" s="9"/>
      <c r="AF117" s="8"/>
      <c r="AG117" s="8"/>
      <c r="AH117" s="6"/>
      <c r="AI117" s="50">
        <f>0</f>
        <v>0</v>
      </c>
      <c r="AJ117" s="51">
        <f>0</f>
        <v>0</v>
      </c>
      <c r="AK117" s="52">
        <f t="shared" si="4"/>
        <v>0</v>
      </c>
    </row>
    <row r="118" spans="1:37" ht="14.25" customHeight="1" x14ac:dyDescent="0.2">
      <c r="A118" s="90"/>
      <c r="B118" s="96"/>
      <c r="C118" s="2"/>
      <c r="D118" s="8"/>
      <c r="E118" s="8"/>
      <c r="F118" s="8"/>
      <c r="G118" s="8"/>
      <c r="H118" s="8"/>
      <c r="I118" s="8"/>
      <c r="J118" s="13"/>
      <c r="K118" s="13"/>
      <c r="L118" s="13"/>
      <c r="M118" s="8"/>
      <c r="N118" s="13"/>
      <c r="O118" s="13"/>
      <c r="P118" s="13"/>
      <c r="Q118" s="13"/>
      <c r="R118" s="8"/>
      <c r="S118" s="8"/>
      <c r="T118" s="8"/>
      <c r="U118" s="8"/>
      <c r="V118" s="6"/>
      <c r="W118" s="6"/>
      <c r="X118" s="9"/>
      <c r="Y118" s="8"/>
      <c r="Z118" s="8"/>
      <c r="AA118" s="8"/>
      <c r="AB118" s="8"/>
      <c r="AC118" s="8"/>
      <c r="AD118" s="8"/>
      <c r="AE118" s="9"/>
      <c r="AF118" s="8"/>
      <c r="AG118" s="8"/>
      <c r="AH118" s="6"/>
      <c r="AI118" s="50">
        <f>0</f>
        <v>0</v>
      </c>
      <c r="AJ118" s="51">
        <f>0</f>
        <v>0</v>
      </c>
      <c r="AK118" s="52">
        <f t="shared" si="4"/>
        <v>0</v>
      </c>
    </row>
    <row r="119" spans="1:37" ht="14.25" customHeight="1" x14ac:dyDescent="0.2">
      <c r="A119" s="94"/>
      <c r="B119" s="88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"/>
      <c r="W119" s="6"/>
      <c r="X119" s="9"/>
      <c r="Y119" s="8"/>
      <c r="Z119" s="8"/>
      <c r="AA119" s="8"/>
      <c r="AB119" s="8"/>
      <c r="AC119" s="8"/>
      <c r="AD119" s="8"/>
      <c r="AE119" s="9"/>
      <c r="AF119" s="8"/>
      <c r="AG119" s="8"/>
      <c r="AH119" s="4"/>
      <c r="AI119" s="50">
        <f>0</f>
        <v>0</v>
      </c>
      <c r="AJ119" s="51">
        <f>0</f>
        <v>0</v>
      </c>
      <c r="AK119" s="52">
        <f t="shared" si="4"/>
        <v>0</v>
      </c>
    </row>
    <row r="120" spans="1:37" ht="14.25" customHeight="1" x14ac:dyDescent="0.2">
      <c r="A120" s="89"/>
      <c r="B120" s="89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"/>
      <c r="W120" s="6"/>
      <c r="X120" s="9"/>
      <c r="Y120" s="8"/>
      <c r="Z120" s="8"/>
      <c r="AA120" s="8"/>
      <c r="AB120" s="8"/>
      <c r="AC120" s="8"/>
      <c r="AD120" s="8"/>
      <c r="AE120" s="9"/>
      <c r="AF120" s="8"/>
      <c r="AG120" s="8"/>
      <c r="AH120" s="4"/>
      <c r="AI120" s="50">
        <f>0</f>
        <v>0</v>
      </c>
      <c r="AJ120" s="51">
        <f>0</f>
        <v>0</v>
      </c>
      <c r="AK120" s="52">
        <f t="shared" si="4"/>
        <v>0</v>
      </c>
    </row>
    <row r="121" spans="1:37" ht="14.25" customHeight="1" x14ac:dyDescent="0.2">
      <c r="A121" s="89"/>
      <c r="B121" s="89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4"/>
      <c r="W121" s="6"/>
      <c r="X121" s="9"/>
      <c r="Y121" s="8"/>
      <c r="Z121" s="8"/>
      <c r="AA121" s="8"/>
      <c r="AB121" s="8"/>
      <c r="AC121" s="8"/>
      <c r="AD121" s="8"/>
      <c r="AE121" s="9"/>
      <c r="AF121" s="8"/>
      <c r="AG121" s="8"/>
      <c r="AH121" s="4"/>
      <c r="AI121" s="50">
        <f>0</f>
        <v>0</v>
      </c>
      <c r="AJ121" s="51">
        <f>0</f>
        <v>0</v>
      </c>
      <c r="AK121" s="52">
        <f t="shared" si="4"/>
        <v>0</v>
      </c>
    </row>
    <row r="122" spans="1:37" ht="14.25" customHeight="1" x14ac:dyDescent="0.2">
      <c r="A122" s="90"/>
      <c r="B122" s="90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6"/>
      <c r="W122" s="6"/>
      <c r="X122" s="9"/>
      <c r="Y122" s="8"/>
      <c r="Z122" s="8"/>
      <c r="AA122" s="8"/>
      <c r="AB122" s="8"/>
      <c r="AC122" s="8"/>
      <c r="AD122" s="8"/>
      <c r="AE122" s="9"/>
      <c r="AF122" s="8"/>
      <c r="AG122" s="8"/>
      <c r="AH122" s="6"/>
      <c r="AI122" s="50">
        <f>0</f>
        <v>0</v>
      </c>
      <c r="AJ122" s="51">
        <f>0</f>
        <v>0</v>
      </c>
      <c r="AK122" s="52">
        <f t="shared" si="4"/>
        <v>0</v>
      </c>
    </row>
    <row r="123" spans="1:37" ht="14.25" customHeight="1" x14ac:dyDescent="0.2">
      <c r="A123" s="94"/>
      <c r="B123" s="94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"/>
      <c r="W123" s="6"/>
      <c r="X123" s="9"/>
      <c r="Y123" s="8"/>
      <c r="Z123" s="8"/>
      <c r="AA123" s="8"/>
      <c r="AB123" s="8"/>
      <c r="AC123" s="8"/>
      <c r="AD123" s="8"/>
      <c r="AE123" s="9"/>
      <c r="AF123" s="8"/>
      <c r="AG123" s="8"/>
      <c r="AH123" s="4"/>
      <c r="AI123" s="50">
        <f>0</f>
        <v>0</v>
      </c>
      <c r="AJ123" s="51">
        <f>0</f>
        <v>0</v>
      </c>
      <c r="AK123" s="52">
        <f t="shared" si="4"/>
        <v>0</v>
      </c>
    </row>
    <row r="124" spans="1:37" ht="14.25" customHeight="1" x14ac:dyDescent="0.2">
      <c r="A124" s="89"/>
      <c r="B124" s="89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"/>
      <c r="W124" s="6"/>
      <c r="X124" s="9"/>
      <c r="Y124" s="8"/>
      <c r="Z124" s="8"/>
      <c r="AA124" s="8"/>
      <c r="AB124" s="8"/>
      <c r="AC124" s="8"/>
      <c r="AD124" s="8"/>
      <c r="AE124" s="9"/>
      <c r="AF124" s="8"/>
      <c r="AG124" s="8"/>
      <c r="AH124" s="4"/>
      <c r="AI124" s="50">
        <f>0</f>
        <v>0</v>
      </c>
      <c r="AJ124" s="51">
        <f>0</f>
        <v>0</v>
      </c>
      <c r="AK124" s="52">
        <f t="shared" si="4"/>
        <v>0</v>
      </c>
    </row>
    <row r="125" spans="1:37" ht="14.25" customHeight="1" x14ac:dyDescent="0.2">
      <c r="A125" s="89"/>
      <c r="B125" s="89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4"/>
      <c r="W125" s="6"/>
      <c r="X125" s="9"/>
      <c r="Y125" s="8"/>
      <c r="Z125" s="8"/>
      <c r="AA125" s="8"/>
      <c r="AB125" s="8"/>
      <c r="AC125" s="8"/>
      <c r="AD125" s="8"/>
      <c r="AE125" s="9"/>
      <c r="AF125" s="8"/>
      <c r="AG125" s="8"/>
      <c r="AH125" s="4"/>
      <c r="AI125" s="50">
        <f>0</f>
        <v>0</v>
      </c>
      <c r="AJ125" s="51">
        <f>0</f>
        <v>0</v>
      </c>
      <c r="AK125" s="52">
        <f t="shared" si="4"/>
        <v>0</v>
      </c>
    </row>
    <row r="126" spans="1:37" ht="14.25" customHeight="1" x14ac:dyDescent="0.2">
      <c r="A126" s="90"/>
      <c r="B126" s="90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6"/>
      <c r="W126" s="6"/>
      <c r="X126" s="9"/>
      <c r="Y126" s="8"/>
      <c r="Z126" s="8"/>
      <c r="AA126" s="6"/>
      <c r="AB126" s="8"/>
      <c r="AC126" s="8"/>
      <c r="AD126" s="8"/>
      <c r="AE126" s="9"/>
      <c r="AF126" s="8"/>
      <c r="AG126" s="8"/>
      <c r="AH126" s="6"/>
      <c r="AI126" s="50">
        <f>0</f>
        <v>0</v>
      </c>
      <c r="AJ126" s="51">
        <f>0</f>
        <v>0</v>
      </c>
      <c r="AK126" s="52">
        <f t="shared" si="4"/>
        <v>0</v>
      </c>
    </row>
    <row r="127" spans="1:37" x14ac:dyDescent="0.2">
      <c r="A127" s="11"/>
      <c r="B127" s="11"/>
      <c r="AH127" s="12"/>
      <c r="AI127" s="52"/>
      <c r="AJ127" s="52">
        <f>SUM(AJ75:AJ126)</f>
        <v>0</v>
      </c>
      <c r="AK127" s="52">
        <f>SUM(AK75:AK126)</f>
        <v>0</v>
      </c>
    </row>
    <row r="128" spans="1:37" x14ac:dyDescent="0.2">
      <c r="A128" s="11"/>
      <c r="B128" s="11"/>
      <c r="AI128" s="45"/>
      <c r="AJ128" s="45"/>
      <c r="AK128" s="45"/>
    </row>
    <row r="129" spans="35:37" ht="14.25" customHeight="1" x14ac:dyDescent="0.2">
      <c r="AI129" s="45"/>
      <c r="AJ129" s="45"/>
      <c r="AK129" s="45"/>
    </row>
    <row r="130" spans="35:37" ht="14.25" customHeight="1" x14ac:dyDescent="0.2">
      <c r="AI130" s="45"/>
      <c r="AJ130" s="45"/>
      <c r="AK130" s="45"/>
    </row>
    <row r="131" spans="35:37" ht="14.25" customHeight="1" x14ac:dyDescent="0.2">
      <c r="AI131" s="45"/>
      <c r="AJ131" s="45"/>
      <c r="AK131" s="45"/>
    </row>
    <row r="132" spans="35:37" ht="14.25" customHeight="1" x14ac:dyDescent="0.2">
      <c r="AI132" s="45"/>
      <c r="AJ132" s="45"/>
      <c r="AK132" s="45"/>
    </row>
    <row r="133" spans="35:37" ht="14.25" customHeight="1" x14ac:dyDescent="0.2">
      <c r="AI133" s="45"/>
      <c r="AJ133" s="45"/>
      <c r="AK133" s="45"/>
    </row>
    <row r="134" spans="35:37" ht="14.25" customHeight="1" x14ac:dyDescent="0.2">
      <c r="AI134" s="45"/>
      <c r="AJ134" s="45"/>
      <c r="AK134" s="45"/>
    </row>
    <row r="135" spans="35:37" ht="14.25" customHeight="1" x14ac:dyDescent="0.2">
      <c r="AI135" s="45"/>
      <c r="AJ135" s="45"/>
      <c r="AK135" s="45"/>
    </row>
    <row r="136" spans="35:37" ht="14.25" customHeight="1" x14ac:dyDescent="0.2">
      <c r="AI136" s="45"/>
      <c r="AJ136" s="45"/>
      <c r="AK136" s="45"/>
    </row>
    <row r="137" spans="35:37" ht="14.25" customHeight="1" x14ac:dyDescent="0.2">
      <c r="AI137" s="45"/>
      <c r="AJ137" s="45"/>
      <c r="AK137" s="45"/>
    </row>
    <row r="138" spans="35:37" ht="14.25" customHeight="1" x14ac:dyDescent="0.2">
      <c r="AI138" s="45"/>
      <c r="AJ138" s="45"/>
      <c r="AK138" s="45"/>
    </row>
    <row r="139" spans="35:37" ht="14.25" customHeight="1" x14ac:dyDescent="0.2">
      <c r="AI139" s="45"/>
      <c r="AJ139" s="45"/>
      <c r="AK139" s="45"/>
    </row>
    <row r="140" spans="35:37" ht="14.25" customHeight="1" x14ac:dyDescent="0.2">
      <c r="AI140" s="45"/>
      <c r="AJ140" s="45"/>
      <c r="AK140" s="45"/>
    </row>
    <row r="141" spans="35:37" ht="14.25" customHeight="1" x14ac:dyDescent="0.2">
      <c r="AI141" s="45"/>
      <c r="AJ141" s="45"/>
      <c r="AK141" s="45"/>
    </row>
    <row r="142" spans="35:37" ht="14.25" customHeight="1" x14ac:dyDescent="0.2">
      <c r="AI142" s="45"/>
      <c r="AJ142" s="45"/>
      <c r="AK142" s="45"/>
    </row>
    <row r="143" spans="35:37" ht="14.25" customHeight="1" x14ac:dyDescent="0.2">
      <c r="AI143" s="45"/>
      <c r="AJ143" s="45"/>
      <c r="AK143" s="45"/>
    </row>
    <row r="144" spans="35:37" ht="14.25" customHeight="1" x14ac:dyDescent="0.2">
      <c r="AI144" s="45"/>
      <c r="AJ144" s="45"/>
      <c r="AK144" s="45"/>
    </row>
    <row r="145" spans="35:37" ht="14.25" customHeight="1" x14ac:dyDescent="0.2">
      <c r="AI145" s="45"/>
      <c r="AJ145" s="45"/>
      <c r="AK145" s="45"/>
    </row>
    <row r="146" spans="35:37" ht="14.25" customHeight="1" x14ac:dyDescent="0.2">
      <c r="AI146" s="45"/>
      <c r="AJ146" s="45"/>
      <c r="AK146" s="45"/>
    </row>
    <row r="147" spans="35:37" ht="14.25" customHeight="1" x14ac:dyDescent="0.2">
      <c r="AI147" s="45"/>
      <c r="AJ147" s="45"/>
      <c r="AK147" s="45"/>
    </row>
    <row r="148" spans="35:37" ht="14.25" customHeight="1" x14ac:dyDescent="0.2">
      <c r="AI148" s="45"/>
      <c r="AJ148" s="45"/>
      <c r="AK148" s="45"/>
    </row>
    <row r="149" spans="35:37" ht="14.25" customHeight="1" x14ac:dyDescent="0.2">
      <c r="AI149" s="45"/>
      <c r="AJ149" s="45"/>
      <c r="AK149" s="45"/>
    </row>
    <row r="150" spans="35:37" ht="14.25" customHeight="1" x14ac:dyDescent="0.2">
      <c r="AI150" s="45"/>
      <c r="AJ150" s="45"/>
      <c r="AK150" s="45"/>
    </row>
    <row r="151" spans="35:37" ht="14.25" customHeight="1" x14ac:dyDescent="0.2">
      <c r="AI151" s="45"/>
      <c r="AJ151" s="45"/>
      <c r="AK151" s="45"/>
    </row>
    <row r="152" spans="35:37" ht="14.25" customHeight="1" x14ac:dyDescent="0.2">
      <c r="AI152" s="45"/>
      <c r="AJ152" s="45"/>
      <c r="AK152" s="45"/>
    </row>
    <row r="153" spans="35:37" ht="14.25" customHeight="1" x14ac:dyDescent="0.2">
      <c r="AI153" s="45"/>
      <c r="AJ153" s="45"/>
      <c r="AK153" s="45"/>
    </row>
    <row r="154" spans="35:37" ht="14.25" customHeight="1" x14ac:dyDescent="0.2">
      <c r="AI154" s="45"/>
      <c r="AJ154" s="45"/>
      <c r="AK154" s="45"/>
    </row>
    <row r="155" spans="35:37" ht="14.25" customHeight="1" x14ac:dyDescent="0.2">
      <c r="AI155" s="45"/>
      <c r="AJ155" s="45"/>
      <c r="AK155" s="45"/>
    </row>
    <row r="156" spans="35:37" ht="14.25" customHeight="1" x14ac:dyDescent="0.2">
      <c r="AI156" s="45"/>
      <c r="AJ156" s="45"/>
      <c r="AK156" s="45"/>
    </row>
    <row r="157" spans="35:37" ht="14.25" customHeight="1" x14ac:dyDescent="0.2">
      <c r="AI157" s="45"/>
      <c r="AJ157" s="45"/>
      <c r="AK157" s="45"/>
    </row>
    <row r="158" spans="35:37" ht="14.25" customHeight="1" x14ac:dyDescent="0.2">
      <c r="AI158" s="45"/>
      <c r="AJ158" s="45"/>
      <c r="AK158" s="45"/>
    </row>
    <row r="159" spans="35:37" ht="14.25" customHeight="1" x14ac:dyDescent="0.2">
      <c r="AI159" s="45"/>
      <c r="AJ159" s="45"/>
      <c r="AK159" s="45"/>
    </row>
    <row r="160" spans="35:37" ht="14.25" customHeight="1" x14ac:dyDescent="0.2">
      <c r="AI160" s="45"/>
      <c r="AJ160" s="45"/>
      <c r="AK160" s="45"/>
    </row>
    <row r="161" spans="35:37" ht="14.25" customHeight="1" x14ac:dyDescent="0.2">
      <c r="AI161" s="45"/>
      <c r="AJ161" s="45"/>
      <c r="AK161" s="45"/>
    </row>
    <row r="162" spans="35:37" ht="14.25" customHeight="1" x14ac:dyDescent="0.2">
      <c r="AI162" s="45"/>
      <c r="AJ162" s="45"/>
      <c r="AK162" s="45"/>
    </row>
    <row r="163" spans="35:37" ht="14.25" customHeight="1" x14ac:dyDescent="0.2">
      <c r="AI163" s="45"/>
      <c r="AJ163" s="45"/>
      <c r="AK163" s="45"/>
    </row>
    <row r="164" spans="35:37" ht="14.25" customHeight="1" x14ac:dyDescent="0.2">
      <c r="AI164" s="45"/>
      <c r="AJ164" s="45"/>
      <c r="AK164" s="45"/>
    </row>
    <row r="165" spans="35:37" ht="14.25" customHeight="1" x14ac:dyDescent="0.2">
      <c r="AI165" s="45"/>
      <c r="AJ165" s="45"/>
      <c r="AK165" s="45"/>
    </row>
    <row r="166" spans="35:37" ht="14.25" customHeight="1" x14ac:dyDescent="0.2">
      <c r="AI166" s="45"/>
      <c r="AJ166" s="45"/>
      <c r="AK166" s="45"/>
    </row>
    <row r="167" spans="35:37" ht="14.25" customHeight="1" x14ac:dyDescent="0.2">
      <c r="AI167" s="45"/>
      <c r="AJ167" s="45"/>
      <c r="AK167" s="45"/>
    </row>
    <row r="168" spans="35:37" ht="14.25" customHeight="1" x14ac:dyDescent="0.2">
      <c r="AI168" s="45"/>
      <c r="AJ168" s="45"/>
      <c r="AK168" s="45"/>
    </row>
    <row r="169" spans="35:37" ht="14.25" customHeight="1" x14ac:dyDescent="0.2">
      <c r="AI169" s="45"/>
      <c r="AJ169" s="45"/>
      <c r="AK169" s="45"/>
    </row>
    <row r="170" spans="35:37" ht="14.25" customHeight="1" x14ac:dyDescent="0.2">
      <c r="AI170" s="45"/>
      <c r="AJ170" s="45"/>
      <c r="AK170" s="45"/>
    </row>
    <row r="171" spans="35:37" ht="14.25" customHeight="1" x14ac:dyDescent="0.2">
      <c r="AI171" s="45"/>
      <c r="AJ171" s="45"/>
      <c r="AK171" s="45"/>
    </row>
    <row r="172" spans="35:37" ht="14.25" customHeight="1" x14ac:dyDescent="0.2">
      <c r="AI172" s="45"/>
      <c r="AJ172" s="45"/>
      <c r="AK172" s="45"/>
    </row>
    <row r="173" spans="35:37" ht="14.25" customHeight="1" x14ac:dyDescent="0.2">
      <c r="AI173" s="45"/>
      <c r="AJ173" s="45"/>
      <c r="AK173" s="45"/>
    </row>
    <row r="174" spans="35:37" ht="14.25" customHeight="1" x14ac:dyDescent="0.2">
      <c r="AI174" s="45"/>
      <c r="AJ174" s="45"/>
      <c r="AK174" s="45"/>
    </row>
    <row r="175" spans="35:37" ht="14.25" customHeight="1" x14ac:dyDescent="0.2">
      <c r="AI175" s="45"/>
      <c r="AJ175" s="45"/>
      <c r="AK175" s="45"/>
    </row>
    <row r="176" spans="35:37" ht="14.25" customHeight="1" x14ac:dyDescent="0.2">
      <c r="AI176" s="45"/>
      <c r="AJ176" s="45"/>
      <c r="AK176" s="45"/>
    </row>
    <row r="177" spans="35:37" ht="14.25" customHeight="1" x14ac:dyDescent="0.2">
      <c r="AI177" s="45"/>
      <c r="AJ177" s="45"/>
      <c r="AK177" s="45"/>
    </row>
    <row r="178" spans="35:37" ht="14.25" customHeight="1" x14ac:dyDescent="0.2">
      <c r="AI178" s="45"/>
      <c r="AJ178" s="45"/>
      <c r="AK178" s="45"/>
    </row>
    <row r="179" spans="35:37" ht="14.25" customHeight="1" x14ac:dyDescent="0.2">
      <c r="AI179" s="45"/>
      <c r="AJ179" s="45"/>
      <c r="AK179" s="45"/>
    </row>
    <row r="180" spans="35:37" ht="14.25" customHeight="1" x14ac:dyDescent="0.2">
      <c r="AI180" s="45"/>
      <c r="AJ180" s="45"/>
      <c r="AK180" s="45"/>
    </row>
    <row r="181" spans="35:37" ht="14.25" customHeight="1" x14ac:dyDescent="0.2">
      <c r="AI181" s="45"/>
      <c r="AJ181" s="45"/>
      <c r="AK181" s="45"/>
    </row>
    <row r="182" spans="35:37" ht="14.25" customHeight="1" x14ac:dyDescent="0.2">
      <c r="AI182" s="45"/>
      <c r="AJ182" s="45"/>
      <c r="AK182" s="45"/>
    </row>
    <row r="183" spans="35:37" ht="14.25" customHeight="1" x14ac:dyDescent="0.2">
      <c r="AI183" s="45"/>
      <c r="AJ183" s="45"/>
      <c r="AK183" s="45"/>
    </row>
    <row r="184" spans="35:37" ht="14.25" customHeight="1" x14ac:dyDescent="0.2">
      <c r="AI184" s="45"/>
      <c r="AJ184" s="45"/>
      <c r="AK184" s="45"/>
    </row>
    <row r="185" spans="35:37" ht="14.25" customHeight="1" x14ac:dyDescent="0.2">
      <c r="AI185" s="45"/>
      <c r="AJ185" s="45"/>
      <c r="AK185" s="45"/>
    </row>
    <row r="186" spans="35:37" ht="14.25" customHeight="1" x14ac:dyDescent="0.2">
      <c r="AI186" s="45"/>
      <c r="AJ186" s="45"/>
      <c r="AK186" s="45"/>
    </row>
    <row r="187" spans="35:37" ht="14.25" customHeight="1" x14ac:dyDescent="0.2">
      <c r="AI187" s="45"/>
      <c r="AJ187" s="45"/>
      <c r="AK187" s="45"/>
    </row>
    <row r="188" spans="35:37" ht="14.25" customHeight="1" x14ac:dyDescent="0.2">
      <c r="AI188" s="45"/>
      <c r="AJ188" s="45"/>
      <c r="AK188" s="45"/>
    </row>
    <row r="189" spans="35:37" ht="14.25" customHeight="1" x14ac:dyDescent="0.2">
      <c r="AI189" s="45"/>
      <c r="AJ189" s="45"/>
      <c r="AK189" s="45"/>
    </row>
    <row r="190" spans="35:37" ht="14.25" customHeight="1" x14ac:dyDescent="0.2">
      <c r="AI190" s="45"/>
      <c r="AJ190" s="45"/>
      <c r="AK190" s="45"/>
    </row>
    <row r="191" spans="35:37" ht="14.25" customHeight="1" x14ac:dyDescent="0.2">
      <c r="AI191" s="45"/>
      <c r="AJ191" s="45"/>
      <c r="AK191" s="45"/>
    </row>
    <row r="192" spans="35:37" ht="14.25" customHeight="1" x14ac:dyDescent="0.2">
      <c r="AI192" s="45"/>
      <c r="AJ192" s="45"/>
      <c r="AK192" s="45"/>
    </row>
    <row r="193" spans="4:37" ht="14.25" customHeight="1" x14ac:dyDescent="0.2">
      <c r="AI193" s="45"/>
      <c r="AJ193" s="45"/>
      <c r="AK193" s="45"/>
    </row>
    <row r="194" spans="4:37" ht="14.25" customHeight="1" x14ac:dyDescent="0.2">
      <c r="AI194" s="45"/>
      <c r="AJ194" s="45"/>
      <c r="AK194" s="45"/>
    </row>
    <row r="195" spans="4:37" ht="14.25" customHeight="1" x14ac:dyDescent="0.2">
      <c r="AI195" s="45"/>
      <c r="AJ195" s="45"/>
      <c r="AK195" s="45"/>
    </row>
    <row r="196" spans="4:37" ht="14.25" customHeight="1" x14ac:dyDescent="0.2">
      <c r="AI196" s="45"/>
      <c r="AJ196" s="45"/>
      <c r="AK196" s="45"/>
    </row>
    <row r="197" spans="4:37" ht="14.25" customHeight="1" x14ac:dyDescent="0.2">
      <c r="AI197" s="45"/>
      <c r="AJ197" s="45"/>
      <c r="AK197" s="45"/>
    </row>
    <row r="198" spans="4:37" ht="14.25" customHeight="1" x14ac:dyDescent="0.2">
      <c r="AI198" s="45"/>
      <c r="AJ198" s="45"/>
      <c r="AK198" s="45"/>
    </row>
    <row r="199" spans="4:37" ht="14.25" customHeight="1" x14ac:dyDescent="0.2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5"/>
      <c r="AJ199" s="45"/>
      <c r="AK199" s="45"/>
    </row>
    <row r="200" spans="4:37" ht="14.25" customHeight="1" x14ac:dyDescent="0.2"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4:37" ht="14.25" customHeight="1" x14ac:dyDescent="0.2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4:37" ht="14.25" customHeight="1" x14ac:dyDescent="0.2"/>
    <row r="203" spans="4:37" ht="14.25" customHeight="1" x14ac:dyDescent="0.2"/>
    <row r="204" spans="4:37" ht="14.25" customHeight="1" x14ac:dyDescent="0.2"/>
    <row r="205" spans="4:37" ht="14.25" customHeight="1" x14ac:dyDescent="0.2"/>
    <row r="206" spans="4:37" ht="14.25" customHeight="1" x14ac:dyDescent="0.2"/>
    <row r="207" spans="4:37" ht="14.25" customHeight="1" x14ac:dyDescent="0.2"/>
    <row r="208" spans="4:3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</sheetData>
  <mergeCells count="64">
    <mergeCell ref="A123:A126"/>
    <mergeCell ref="A72:C73"/>
    <mergeCell ref="B75:B78"/>
    <mergeCell ref="D72:AH72"/>
    <mergeCell ref="A79:A82"/>
    <mergeCell ref="A107:A110"/>
    <mergeCell ref="B123:B126"/>
    <mergeCell ref="A119:A122"/>
    <mergeCell ref="B119:B122"/>
    <mergeCell ref="B107:B110"/>
    <mergeCell ref="A95:A98"/>
    <mergeCell ref="B103:B106"/>
    <mergeCell ref="A91:A94"/>
    <mergeCell ref="B99:B102"/>
    <mergeCell ref="AI72:AI74"/>
    <mergeCell ref="B59:B62"/>
    <mergeCell ref="B115:B118"/>
    <mergeCell ref="AK72:AK74"/>
    <mergeCell ref="A87:A90"/>
    <mergeCell ref="A103:A106"/>
    <mergeCell ref="AJ72:AJ74"/>
    <mergeCell ref="B95:B98"/>
    <mergeCell ref="A115:A118"/>
    <mergeCell ref="B79:B82"/>
    <mergeCell ref="A83:A86"/>
    <mergeCell ref="B91:B94"/>
    <mergeCell ref="B111:B114"/>
    <mergeCell ref="A99:A102"/>
    <mergeCell ref="A111:A114"/>
    <mergeCell ref="A75:A78"/>
    <mergeCell ref="A4:A7"/>
    <mergeCell ref="A44:A47"/>
    <mergeCell ref="A54:A57"/>
    <mergeCell ref="A64:A67"/>
    <mergeCell ref="B19:B22"/>
    <mergeCell ref="A14:A17"/>
    <mergeCell ref="B39:B42"/>
    <mergeCell ref="A29:A32"/>
    <mergeCell ref="B24:B27"/>
    <mergeCell ref="A19:A22"/>
    <mergeCell ref="D1:AH1"/>
    <mergeCell ref="B87:B90"/>
    <mergeCell ref="B83:B86"/>
    <mergeCell ref="B34:B37"/>
    <mergeCell ref="B14:B17"/>
    <mergeCell ref="D73:AH73"/>
    <mergeCell ref="B49:B52"/>
    <mergeCell ref="A1:C2"/>
    <mergeCell ref="AK1:AK3"/>
    <mergeCell ref="D2:AH2"/>
    <mergeCell ref="A9:A12"/>
    <mergeCell ref="B4:B7"/>
    <mergeCell ref="B64:B67"/>
    <mergeCell ref="A34:A37"/>
    <mergeCell ref="A39:A42"/>
    <mergeCell ref="A59:A62"/>
    <mergeCell ref="A24:A27"/>
    <mergeCell ref="B54:B57"/>
    <mergeCell ref="A49:A52"/>
    <mergeCell ref="AJ1:AJ3"/>
    <mergeCell ref="B29:B32"/>
    <mergeCell ref="AI1:AI3"/>
    <mergeCell ref="B44:B47"/>
    <mergeCell ref="B9:B12"/>
  </mergeCells>
  <conditionalFormatting sqref="D3:AH23 D24:W25 X24:X26 Y24:AH27 D26:T26 V26 V27:X27 D27:U28 V28:AH28 D29:AH67">
    <cfRule type="expression" dxfId="31" priority="4">
      <formula>WEEKDAY(D$3)=1</formula>
    </cfRule>
  </conditionalFormatting>
  <conditionalFormatting sqref="D4:AH23 D24:W25 X24:X26 Y24:AH27 D26:T26 V26 V27:X27 D27:U28 V28:AH28 D29:AH67">
    <cfRule type="expression" dxfId="30" priority="1">
      <formula>AND($C4="C3",D4&lt;&gt;"")</formula>
    </cfRule>
    <cfRule type="expression" dxfId="29" priority="2">
      <formula>AND($C4="C1",D4&lt;&gt;"")</formula>
    </cfRule>
    <cfRule type="expression" dxfId="28" priority="3">
      <formula>AND($C4="TC",D4&lt;&gt;"")</formula>
    </cfRule>
  </conditionalFormatting>
  <conditionalFormatting sqref="D74:AH126">
    <cfRule type="expression" dxfId="27" priority="8">
      <formula>WEEKDAY(D$3)=1</formula>
    </cfRule>
  </conditionalFormatting>
  <conditionalFormatting sqref="D75:AH126">
    <cfRule type="expression" dxfId="26" priority="5">
      <formula>AND($C75="C3",D75&lt;&gt;"")</formula>
    </cfRule>
    <cfRule type="expression" dxfId="25" priority="6">
      <formula>AND($C75="C1",D75&lt;&gt;"")</formula>
    </cfRule>
    <cfRule type="expression" dxfId="24" priority="7">
      <formula>AND($C75="TC",D75&lt;&gt;"")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5"/>
  <sheetViews>
    <sheetView workbookViewId="0">
      <selection sqref="A1:J1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63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>
        <f>F12</f>
        <v>281</v>
      </c>
      <c r="B5" s="125"/>
      <c r="C5" s="136">
        <f>E12</f>
        <v>26</v>
      </c>
      <c r="D5" s="125"/>
      <c r="E5" s="136">
        <f>IF(((COUNTIFS('T1'!$C$4:$C$68,"C*",'T1'!D$4:D$68,"&lt;&gt;")+COUNTIFS('T1'!$C$4:$C$68,"TC",'T1'!D$4:D$68,"&lt;&gt;"))+(COUNTIFS('T1'!$C$4:$C$68,"C*",'T1'!E$4:E$68,"&lt;&gt;")+COUNTIFS('T1'!$C$4:$C$68,"TC",'T1'!E$4:E$68,"&lt;&gt;"))+(COUNTIFS('T1'!$C$4:$C$68,"C*",'T1'!F$4:F$68,"&lt;&gt;")+COUNTIFS('T1'!$C$4:$C$68,"TC",'T1'!F$4:F$68,"&lt;&gt;"))+(COUNTIFS('T1'!$C$4:$C$68,"C*",'T1'!G$4:G$68,"&lt;&gt;")+COUNTIFS('T1'!$C$4:$C$68,"TC",'T1'!G$4:G$68,"&lt;&gt;"))+(COUNTIFS('T1'!$C$4:$C$68,"C*",'T1'!H$4:H$68,"&lt;&gt;")+COUNTIFS('T1'!$C$4:$C$68,"TC",'T1'!H$4:H$68,"&lt;&gt;"))+(COUNTIFS('T1'!$C$4:$C$68,"C*",'T1'!I$4:I$68,"&lt;&gt;")+COUNTIFS('T1'!$C$4:$C$68,"TC",'T1'!I$4:I$68,"&lt;&gt;"))+(COUNTIFS('T1'!$C$4:$C$68,"C*",'T1'!J$4:J$68,"&lt;&gt;")+COUNTIFS('T1'!$C$4:$C$68,"TC",'T1'!J$4:J$68,"&lt;&gt;"))+(COUNTIFS('T1'!$C$4:$C$68,"C*",'T1'!K$4:K$68,"&lt;&gt;")+COUNTIFS('T1'!$C$4:$C$68,"TC",'T1'!K$4:K$68,"&lt;&gt;"))+(COUNTIFS('T1'!$C$4:$C$68,"C*",'T1'!L$4:L$68,"&lt;&gt;")+COUNTIFS('T1'!$C$4:$C$68,"TC",'T1'!L$4:L$68,"&lt;&gt;"))+(COUNTIFS('T1'!$C$4:$C$68,"C*",'T1'!M$4:M$68,"&lt;&gt;")+COUNTIFS('T1'!$C$4:$C$68,"TC",'T1'!M$4:M$68,"&lt;&gt;"))+(COUNTIFS('T1'!$C$4:$C$68,"C*",'T1'!N$4:N$68,"&lt;&gt;")+COUNTIFS('T1'!$C$4:$C$68,"TC",'T1'!N$4:N$68,"&lt;&gt;"))+(COUNTIFS('T1'!$C$4:$C$68,"C*",'T1'!O$4:O$68,"&lt;&gt;")+COUNTIFS('T1'!$C$4:$C$68,"TC",'T1'!O$4:O$68,"&lt;&gt;"))+(COUNTIFS('T1'!$C$4:$C$68,"C*",'T1'!P$4:P$68,"&lt;&gt;")+COUNTIFS('T1'!$C$4:$C$68,"TC",'T1'!P$4:P$68,"&lt;&gt;"))+(COUNTIFS('T1'!$C$4:$C$68,"C*",'T1'!Q$4:Q$68,"&lt;&gt;")+COUNTIFS('T1'!$C$4:$C$68,"TC",'T1'!Q$4:Q$68,"&lt;&gt;"))+(COUNTIFS('T1'!$C$4:$C$68,"C*",'T1'!R$4:R$68,"&lt;&gt;")+COUNTIFS('T1'!$C$4:$C$68,"TC",'T1'!R$4:R$68,"&lt;&gt;"))+(COUNTIFS('T1'!$C$4:$C$68,"C*",'T1'!S$4:S$68,"&lt;&gt;")+COUNTIFS('T1'!$C$4:$C$68,"TC",'T1'!S$4:S$68,"&lt;&gt;"))+(COUNTIFS('T1'!$C$4:$C$68,"C*",'T1'!T$4:T$68,"&lt;&gt;")+COUNTIFS('T1'!$C$4:$C$68,"TC",'T1'!T$4:T$68,"&lt;&gt;"))+(COUNTIFS('T1'!$C$4:$C$68,"C*",'T1'!U$4:U$68,"&lt;&gt;")+COUNTIFS('T1'!$C$4:$C$68,"TC",'T1'!U$4:U$68,"&lt;&gt;"))+(COUNTIFS('T1'!$C$4:$C$68,"C*",'T1'!V$4:V$68,"&lt;&gt;")+COUNTIFS('T1'!$C$4:$C$68,"TC",'T1'!V$4:V$68,"&lt;&gt;"))+(COUNTIFS('T1'!$C$4:$C$68,"C*",'T1'!W$4:W$68,"&lt;&gt;")+COUNTIFS('T1'!$C$4:$C$68,"TC",'T1'!W$4:W$68,"&lt;&gt;"))+(COUNTIFS('T1'!$C$4:$C$68,"C*",'T1'!X$4:X$68,"&lt;&gt;")+COUNTIFS('T1'!$C$4:$C$68,"TC",'T1'!X$4:X$68,"&lt;&gt;"))+(COUNTIFS('T1'!$C$4:$C$68,"C*",'T1'!Y$4:Y$68,"&lt;&gt;")+COUNTIFS('T1'!$C$4:$C$68,"TC",'T1'!Y$4:Y$68,"&lt;&gt;"))+(COUNTIFS('T1'!$C$4:$C$68,"C*",'T1'!Z$4:Z$68,"&lt;&gt;")+COUNTIFS('T1'!$C$4:$C$68,"TC",'T1'!Z$4:Z$68,"&lt;&gt;"))+(COUNTIFS('T1'!$C$4:$C$68,"C*",'T1'!AA$4:AA$68,"&lt;&gt;")+COUNTIFS('T1'!$C$4:$C$68,"TC",'T1'!AA$4:AA$68,"&lt;&gt;"))+(COUNTIFS('T1'!$C$4:$C$68,"C*",'T1'!AB$4:AB$68,"&lt;&gt;")+COUNTIFS('T1'!$C$4:$C$68,"TC",'T1'!AB$4:AB$68,"&lt;&gt;"))+(COUNTIFS('T1'!$C$4:$C$68,"C*",'T1'!AC$4:AC$68,"&lt;&gt;")+COUNTIFS('T1'!$C$4:$C$68,"TC",'T1'!AC$4:AC$68,"&lt;&gt;"))+(COUNTIFS('T1'!$C$4:$C$68,"C*",'T1'!AD$4:AD$68,"&lt;&gt;")+COUNTIFS('T1'!$C$4:$C$68,"TC",'T1'!AD$4:AD$68,"&lt;&gt;"))+(COUNTIFS('T1'!$C$4:$C$68,"C*",'T1'!AE$4:AE$68,"&lt;&gt;")+COUNTIFS('T1'!$C$4:$C$68,"TC",'T1'!AE$4:AE$68,"&lt;&gt;"))+(COUNTIFS('T1'!$C$4:$C$68,"C*",'T1'!AF$4:AF$68,"&lt;&gt;")+COUNTIFS('T1'!$C$4:$C$68,"TC",'T1'!AF$4:AF$68,"&lt;&gt;"))+(COUNTIFS('T1'!$C$4:$C$68,"C*",'T1'!AG$4:AG$68,"&lt;&gt;")+COUNTIFS('T1'!$C$4:$C$68,"TC",'T1'!AG$4:AG$68,"&lt;&gt;"))+(COUNTIFS('T1'!$C$4:$C$68,"C*",'T1'!AH$4:AH$68,"&lt;&gt;")+COUNTIFS('T1'!$C$4:$C$68,"TC",'T1'!AH$4:AH$68,"&lt;&gt;")))=0,"",((SUMIF('T1'!$C$4:$C$68,"TC",'T1'!D$4:D$68))+(SUMIF('T1'!$C$4:$C$68,"TC",'T1'!E$4:E$68))+(SUMIF('T1'!$C$4:$C$68,"TC",'T1'!F$4:F$68))+(SUMIF('T1'!$C$4:$C$68,"TC",'T1'!G$4:G$68))+(SUMIF('T1'!$C$4:$C$68,"TC",'T1'!H$4:H$68))+(SUMIF('T1'!$C$4:$C$68,"TC",'T1'!I$4:I$68))+(SUMIF('T1'!$C$4:$C$68,"TC",'T1'!J$4:J$68))+(SUMIF('T1'!$C$4:$C$68,"TC",'T1'!K$4:K$68))+(SUMIF('T1'!$C$4:$C$68,"TC",'T1'!L$4:L$68))+(SUMIF('T1'!$C$4:$C$68,"TC",'T1'!M$4:M$68))+(SUMIF('T1'!$C$4:$C$68,"TC",'T1'!N$4:N$68))+(SUMIF('T1'!$C$4:$C$68,"TC",'T1'!O$4:O$68))+(SUMIF('T1'!$C$4:$C$68,"TC",'T1'!P$4:P$68))+(SUMIF('T1'!$C$4:$C$68,"TC",'T1'!Q$4:Q$68))+(SUMIF('T1'!$C$4:$C$68,"TC",'T1'!R$4:R$68))+(SUMIF('T1'!$C$4:$C$68,"TC",'T1'!S$4:S$68))+(SUMIF('T1'!$C$4:$C$68,"TC",'T1'!T$4:T$68))+(SUMIF('T1'!$C$4:$C$68,"TC",'T1'!U$4:U$68))+(SUMIF('T1'!$C$4:$C$68,"TC",'T1'!V$4:V$68))+(SUMIF('T1'!$C$4:$C$68,"TC",'T1'!W$4:W$68))+(SUMIF('T1'!$C$4:$C$68,"TC",'T1'!X$4:X$68))+(SUMIF('T1'!$C$4:$C$68,"TC",'T1'!Y$4:Y$68))+(SUMIF('T1'!$C$4:$C$68,"TC",'T1'!Z$4:Z$68))+(SUMIF('T1'!$C$4:$C$68,"TC",'T1'!AA$4:AA$68))+(SUMIF('T1'!$C$4:$C$68,"TC",'T1'!AB$4:AB$68))+(SUMIF('T1'!$C$4:$C$68,"TC",'T1'!AC$4:AC$68))+(SUMIF('T1'!$C$4:$C$68,"TC",'T1'!AD$4:AD$68))+(SUMIF('T1'!$C$4:$C$68,"TC",'T1'!AE$4:AE$68))+(SUMIF('T1'!$C$4:$C$68,"TC",'T1'!AF$4:AF$68))+(SUMIF('T1'!$C$4:$C$68,"TC",'T1'!AG$4:AG$68))+(SUMIF('T1'!$C$4:$C$68,"TC",'T1'!AH$4:AH$68))))</f>
        <v>81.25</v>
      </c>
      <c r="F5" s="125"/>
      <c r="G5" s="137">
        <f>(COUNTIFS('T1'!$C$4:$C$68,"C*",'T1'!D$4:D$68,"&lt;&gt;")+COUNTIFS('T1'!$C$4:$C$68,"TC",'T1'!D$4:D$68,"&lt;&gt;")&gt;0) + (COUNTIFS('T1'!$C$4:$C$68,"C*",'T1'!E$4:E$68,"&lt;&gt;")+COUNTIFS('T1'!$C$4:$C$68,"TC",'T1'!E$4:E$68,"&lt;&gt;")&gt;0) + (COUNTIFS('T1'!$C$4:$C$68,"C*",'T1'!F$4:F$68,"&lt;&gt;")+COUNTIFS('T1'!$C$4:$C$68,"TC",'T1'!F$4:F$68,"&lt;&gt;")&gt;0) + (COUNTIFS('T1'!$C$4:$C$68,"C*",'T1'!G$4:G$68,"&lt;&gt;")+COUNTIFS('T1'!$C$4:$C$68,"TC",'T1'!G$4:G$68,"&lt;&gt;")&gt;0) + (COUNTIFS('T1'!$C$4:$C$68,"C*",'T1'!H$4:H$68,"&lt;&gt;")+COUNTIFS('T1'!$C$4:$C$68,"TC",'T1'!H$4:H$68,"&lt;&gt;")&gt;0) + (COUNTIFS('T1'!$C$4:$C$68,"C*",'T1'!I$4:I$68,"&lt;&gt;")+COUNTIFS('T1'!$C$4:$C$68,"TC",'T1'!I$4:I$68,"&lt;&gt;")&gt;0) + (COUNTIFS('T1'!$C$4:$C$68,"C*",'T1'!J$4:J$68,"&lt;&gt;")+COUNTIFS('T1'!$C$4:$C$68,"TC",'T1'!J$4:J$68,"&lt;&gt;")&gt;0) + (COUNTIFS('T1'!$C$4:$C$68,"C*",'T1'!K$4:K$68,"&lt;&gt;")+COUNTIFS('T1'!$C$4:$C$68,"TC",'T1'!K$4:K$68,"&lt;&gt;")&gt;0) + (COUNTIFS('T1'!$C$4:$C$68,"C*",'T1'!L$4:L$68,"&lt;&gt;")+COUNTIFS('T1'!$C$4:$C$68,"TC",'T1'!L$4:L$68,"&lt;&gt;")&gt;0) + (COUNTIFS('T1'!$C$4:$C$68,"C*",'T1'!M$4:M$68,"&lt;&gt;")+COUNTIFS('T1'!$C$4:$C$68,"TC",'T1'!M$4:M$68,"&lt;&gt;")&gt;0) + (COUNTIFS('T1'!$C$4:$C$68,"C*",'T1'!N$4:N$68,"&lt;&gt;")+COUNTIFS('T1'!$C$4:$C$68,"TC",'T1'!N$4:N$68,"&lt;&gt;")&gt;0) + (COUNTIFS('T1'!$C$4:$C$68,"C*",'T1'!O$4:O$68,"&lt;&gt;")+COUNTIFS('T1'!$C$4:$C$68,"TC",'T1'!O$4:O$68,"&lt;&gt;")&gt;0) + (COUNTIFS('T1'!$C$4:$C$68,"C*",'T1'!P$4:P$68,"&lt;&gt;")+COUNTIFS('T1'!$C$4:$C$68,"TC",'T1'!P$4:P$68,"&lt;&gt;")&gt;0) + (COUNTIFS('T1'!$C$4:$C$68,"C*",'T1'!Q$4:Q$68,"&lt;&gt;")+COUNTIFS('T1'!$C$4:$C$68,"TC",'T1'!Q$4:Q$68,"&lt;&gt;")&gt;0) + (COUNTIFS('T1'!$C$4:$C$68,"C*",'T1'!R$4:R$68,"&lt;&gt;")+COUNTIFS('T1'!$C$4:$C$68,"TC",'T1'!R$4:R$68,"&lt;&gt;")&gt;0) + (COUNTIFS('T1'!$C$4:$C$68,"C*",'T1'!S$4:S$68,"&lt;&gt;")+COUNTIFS('T1'!$C$4:$C$68,"TC",'T1'!S$4:S$68,"&lt;&gt;")&gt;0) + (COUNTIFS('T1'!$C$4:$C$68,"C*",'T1'!T$4:T$68,"&lt;&gt;")+COUNTIFS('T1'!$C$4:$C$68,"TC",'T1'!T$4:T$68,"&lt;&gt;")&gt;0) + (COUNTIFS('T1'!$C$4:$C$68,"C*",'T1'!U$4:U$68,"&lt;&gt;")+COUNTIFS('T1'!$C$4:$C$68,"TC",'T1'!U$4:U$68,"&lt;&gt;")&gt;0) + (COUNTIFS('T1'!$C$4:$C$68,"C*",'T1'!V$4:V$68,"&lt;&gt;")+COUNTIFS('T1'!$C$4:$C$68,"TC",'T1'!V$4:V$68,"&lt;&gt;")&gt;0) + (COUNTIFS('T1'!$C$4:$C$68,"C*",'T1'!W$4:W$68,"&lt;&gt;")+COUNTIFS('T1'!$C$4:$C$68,"TC",'T1'!W$4:W$68,"&lt;&gt;")&gt;0) + (COUNTIFS('T1'!$C$4:$C$68,"C*",'T1'!X$4:X$68,"&lt;&gt;")+COUNTIFS('T1'!$C$4:$C$68,"TC",'T1'!X$4:X$68,"&lt;&gt;")&gt;0) + (COUNTIFS('T1'!$C$4:$C$68,"C*",'T1'!Y$4:Y$68,"&lt;&gt;")+COUNTIFS('T1'!$C$4:$C$68,"TC",'T1'!Y$4:Y$68,"&lt;&gt;")&gt;0) + (COUNTIFS('T1'!$C$4:$C$68,"C*",'T1'!Z$4:Z$68,"&lt;&gt;")+COUNTIFS('T1'!$C$4:$C$68,"TC",'T1'!Z$4:Z$68,"&lt;&gt;")&gt;0) + (COUNTIFS('T1'!$C$4:$C$68,"C*",'T1'!AA$4:AA$68,"&lt;&gt;")+COUNTIFS('T1'!$C$4:$C$68,"TC",'T1'!AA$4:AA$68,"&lt;&gt;")&gt;0) + (COUNTIFS('T1'!$C$4:$C$68,"C*",'T1'!AB$4:AB$68,"&lt;&gt;")+COUNTIFS('T1'!$C$4:$C$68,"TC",'T1'!AB$4:AB$68,"&lt;&gt;")&gt;0) + (COUNTIFS('T1'!$C$4:$C$68,"C*",'T1'!AC$4:AC$68,"&lt;&gt;")+COUNTIFS('T1'!$C$4:$C$68,"TC",'T1'!AC$4:AC$68,"&lt;&gt;")&gt;0) + (COUNTIFS('T1'!$C$4:$C$68,"C*",'T1'!AD$4:AD$68,"&lt;&gt;")+COUNTIFS('T1'!$C$4:$C$68,"TC",'T1'!AD$4:AD$68,"&lt;&gt;")&gt;0) + (COUNTIFS('T1'!$C$4:$C$68,"C*",'T1'!AE$4:AE$68,"&lt;&gt;")+COUNTIFS('T1'!$C$4:$C$68,"TC",'T1'!AE$4:AE$68,"&lt;&gt;")&gt;0) + (COUNTIFS('T1'!$C$4:$C$68,"C*",'T1'!AF$4:AF$68,"&lt;&gt;")+COUNTIFS('T1'!$C$4:$C$68,"TC",'T1'!AF$4:AF$68,"&lt;&gt;")&gt;0) + (COUNTIFS('T1'!$C$4:$C$68,"C*",'T1'!AG$4:AG$68,"&lt;&gt;")+COUNTIFS('T1'!$C$4:$C$68,"TC",'T1'!AG$4:AG$68,"&lt;&gt;")&gt;0) + (COUNTIFS('T1'!$C$4:$C$68,"C*",'T1'!AH$4:AH$68,"&lt;&gt;")+COUNTIFS('T1'!$C$4:$C$68,"TC",'T1'!AH$4:AH$68,"&lt;&gt;")&gt;0)</f>
        <v>24</v>
      </c>
      <c r="H5" s="125"/>
      <c r="I5" s="128">
        <f ca="1">NOW()</f>
        <v>46253.615729745368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46023</v>
      </c>
      <c r="C8" s="59">
        <v>46029</v>
      </c>
      <c r="D8" s="60">
        <f>IF(((COUNTIFS('T1'!$C$4:$C$68,"C*",'T1'!D$4:D$68,"&lt;&gt;")+COUNTIFS('T1'!$C$4:$C$68,"TC",'T1'!D$4:D$68,"&lt;&gt;")) + (COUNTIFS('T1'!$C$4:$C$68,"C*",'T1'!E$4:E$68,"&lt;&gt;")+COUNTIFS('T1'!$C$4:$C$68,"TC",'T1'!E$4:E$68,"&lt;&gt;")) + (COUNTIFS('T1'!$C$4:$C$68,"C*",'T1'!F$4:F$68,"&lt;&gt;")+COUNTIFS('T1'!$C$4:$C$68,"TC",'T1'!F$4:F$68,"&lt;&gt;")) + (COUNTIFS('T1'!$C$4:$C$68,"C*",'T1'!G$4:G$68,"&lt;&gt;")+COUNTIFS('T1'!$C$4:$C$68,"TC",'T1'!G$4:G$68,"&lt;&gt;")) + (COUNTIFS('T1'!$C$4:$C$68,"C*",'T1'!H$4:H$68,"&lt;&gt;")+COUNTIFS('T1'!$C$4:$C$68,"TC",'T1'!H$4:H$68,"&lt;&gt;")) + (COUNTIFS('T1'!$C$4:$C$68,"C*",'T1'!I$4:I$68,"&lt;&gt;")+COUNTIFS('T1'!$C$4:$C$68,"TC",'T1'!I$4:I$68,"&lt;&gt;")) + (COUNTIFS('T1'!$C$4:$C$68,"C*",'T1'!J$4:J$68,"&lt;&gt;")+COUNTIFS('T1'!$C$4:$C$68,"TC",'T1'!J$4:J$68,"&lt;&gt;")))=0,"",((COUNTIFS('T1'!$C$4:$C$68,"C*",'T1'!D$4:D$68,"x*")-0.5*(COUNTIFS('T1'!$C$4:$C$68,"C*",'T1'!D$4:D$68,"x/2")))+(COUNTIFS('T1'!$C$4:$C$68,"C*",'T1'!E$4:E$68,"x*")-0.5*(COUNTIFS('T1'!$C$4:$C$68,"C*",'T1'!E$4:E$68,"x/2")))+(COUNTIFS('T1'!$C$4:$C$68,"C*",'T1'!F$4:F$68,"x*")-0.5*(COUNTIFS('T1'!$C$4:$C$68,"C*",'T1'!F$4:F$68,"x/2")))+(COUNTIFS('T1'!$C$4:$C$68,"C*",'T1'!H$4:H$68,"x*")-0.5*(COUNTIFS('T1'!$C$4:$C$68,"C*",'T1'!H$4:H$68,"x/2")))+(COUNTIFS('T1'!$C$4:$C$68,"C*",'T1'!I$4:I$68,"x*")-0.5*(COUNTIFS('T1'!$C$4:$C$68,"C*",'T1'!I$4:I$68,"x/2")))+(COUNTIFS('T1'!$C$4:$C$68,"C*",'T1'!J$4:J$68,"x*")-0.5*(COUNTIFS('T1'!$C$4:$C$68,"C*",'T1'!J$4:J$68,"x/2")))))</f>
        <v>37</v>
      </c>
      <c r="E8" s="61">
        <f>IF(((COUNTIFS('T1'!$C$4:$C$68,"C*",'T1'!D$4:D$68,"&lt;&gt;")+COUNTIFS('T1'!$C$4:$C$68,"TC",'T1'!D$4:D$68,"&lt;&gt;")) + (COUNTIFS('T1'!$C$4:$C$68,"C*",'T1'!E$4:E$68,"&lt;&gt;")+COUNTIFS('T1'!$C$4:$C$68,"TC",'T1'!E$4:E$68,"&lt;&gt;")) + (COUNTIFS('T1'!$C$4:$C$68,"C*",'T1'!F$4:F$68,"&lt;&gt;")+COUNTIFS('T1'!$C$4:$C$68,"TC",'T1'!F$4:F$68,"&lt;&gt;")) + (COUNTIFS('T1'!$C$4:$C$68,"C*",'T1'!G$4:G$68,"&lt;&gt;")+COUNTIFS('T1'!$C$4:$C$68,"TC",'T1'!G$4:G$68,"&lt;&gt;")) + (COUNTIFS('T1'!$C$4:$C$68,"C*",'T1'!H$4:H$68,"&lt;&gt;")+COUNTIFS('T1'!$C$4:$C$68,"TC",'T1'!H$4:H$68,"&lt;&gt;")) + (COUNTIFS('T1'!$C$4:$C$68,"C*",'T1'!I$4:I$68,"&lt;&gt;")+COUNTIFS('T1'!$C$4:$C$68,"TC",'T1'!I$4:I$68,"&lt;&gt;")) + (COUNTIFS('T1'!$C$4:$C$68,"C*",'T1'!J$4:J$68,"&lt;&gt;")+COUNTIFS('T1'!$C$4:$C$68,"TC",'T1'!J$4:J$68,"&lt;&gt;")))=0,"",((COUNTIFS('T1'!$C$4:$C$68,"C*",'T1'!G$4:G$68,"x*")-0.5*(COUNTIFS('T1'!$C$4:$C$68,"C*",'T1'!G$4:G$68,"x/2")))))</f>
        <v>0</v>
      </c>
      <c r="F8" s="60">
        <f>IF(AND(D8="",E8=""),"",D8+E8)</f>
        <v>37</v>
      </c>
      <c r="G8" s="60">
        <f>IF(((COUNTIFS('T1'!$C$4:$C$68,"C*",'T1'!D$4:D$68,"&lt;&gt;")+COUNTIFS('T1'!$C$4:$C$68,"TC",'T1'!D$4:D$68,"&lt;&gt;")) + (COUNTIFS('T1'!$C$4:$C$68,"C*",'T1'!E$4:E$68,"&lt;&gt;")+COUNTIFS('T1'!$C$4:$C$68,"TC",'T1'!E$4:E$68,"&lt;&gt;")) + (COUNTIFS('T1'!$C$4:$C$68,"C*",'T1'!F$4:F$68,"&lt;&gt;")+COUNTIFS('T1'!$C$4:$C$68,"TC",'T1'!F$4:F$68,"&lt;&gt;")) + (COUNTIFS('T1'!$C$4:$C$68,"C*",'T1'!G$4:G$68,"&lt;&gt;")+COUNTIFS('T1'!$C$4:$C$68,"TC",'T1'!G$4:G$68,"&lt;&gt;")) + (COUNTIFS('T1'!$C$4:$C$68,"C*",'T1'!H$4:H$68,"&lt;&gt;")+COUNTIFS('T1'!$C$4:$C$68,"TC",'T1'!H$4:H$68,"&lt;&gt;")) + (COUNTIFS('T1'!$C$4:$C$68,"C*",'T1'!I$4:I$68,"&lt;&gt;")+COUNTIFS('T1'!$C$4:$C$68,"TC",'T1'!I$4:I$68,"&lt;&gt;")) + (COUNTIFS('T1'!$C$4:$C$68,"C*",'T1'!J$4:J$68,"&lt;&gt;")+COUNTIFS('T1'!$C$4:$C$68,"TC",'T1'!J$4:J$68,"&lt;&gt;")))=0,"",(SUMIF('T1'!$C$4:$C$68,"TC",'T1'!D$4:D$68))+(SUMIF('T1'!$C$4:$C$68,"TC",'T1'!E$4:E$68))+(SUMIF('T1'!$C$4:$C$68,"TC",'T1'!F$4:F$68))+(SUMIF('T1'!$C$4:$C$68,"TC",'T1'!H$4:H$68))+(SUMIF('T1'!$C$4:$C$68,"TC",'T1'!I$4:I$68))+(SUMIF('T1'!$C$4:$C$68,"TC",'T1'!J$4:J$68)))</f>
        <v>0</v>
      </c>
      <c r="H8" s="62">
        <f>IF(((COUNTIFS('T1'!$C$4:$C$68,"C*",'T1'!D$4:D$68,"&lt;&gt;")+COUNTIFS('T1'!$C$4:$C$68,"TC",'T1'!D$4:D$68,"&lt;&gt;")) + (COUNTIFS('T1'!$C$4:$C$68,"C*",'T1'!E$4:E$68,"&lt;&gt;")+COUNTIFS('T1'!$C$4:$C$68,"TC",'T1'!E$4:E$68,"&lt;&gt;")) + (COUNTIFS('T1'!$C$4:$C$68,"C*",'T1'!F$4:F$68,"&lt;&gt;")+COUNTIFS('T1'!$C$4:$C$68,"TC",'T1'!F$4:F$68,"&lt;&gt;")) + (COUNTIFS('T1'!$C$4:$C$68,"C*",'T1'!G$4:G$68,"&lt;&gt;")+COUNTIFS('T1'!$C$4:$C$68,"TC",'T1'!G$4:G$68,"&lt;&gt;")) + (COUNTIFS('T1'!$C$4:$C$68,"C*",'T1'!H$4:H$68,"&lt;&gt;")+COUNTIFS('T1'!$C$4:$C$68,"TC",'T1'!H$4:H$68,"&lt;&gt;")) + (COUNTIFS('T1'!$C$4:$C$68,"C*",'T1'!I$4:I$68,"&lt;&gt;")+COUNTIFS('T1'!$C$4:$C$68,"TC",'T1'!I$4:I$68,"&lt;&gt;")) + (COUNTIFS('T1'!$C$4:$C$68,"C*",'T1'!J$4:J$68,"&lt;&gt;")+COUNTIFS('T1'!$C$4:$C$68,"TC",'T1'!J$4:J$68,"&lt;&gt;")))=0,"",(SUMIF('T1'!$C$4:$C$68,"TC",'T1'!D$4:D$68))+(SUMIF('T1'!$C$4:$C$68,"TC",'T1'!E$4:E$68))+(SUMIF('T1'!$C$4:$C$68,"TC",'T1'!F$4:F$68))+(SUMIF('T1'!$C$4:$C$68,"TC",'T1'!G$4:G$68))+(SUMIF('T1'!$C$4:$C$68,"TC",'T1'!H$4:H$68))+(SUMIF('T1'!$C$4:$C$68,"TC",'T1'!I$4:I$68))+(SUMIF('T1'!$C$4:$C$68,"TC",'T1'!J$4:J$68)))</f>
        <v>0</v>
      </c>
      <c r="I8" s="60">
        <f>IF(H8="","",H8/8)</f>
        <v>0</v>
      </c>
      <c r="J8" s="57" t="str">
        <f>IF(((COUNTIFS('T1'!$C$4:$C$68,"C*",'T1'!D$4:D$68,"&lt;&gt;")+COUNTIFS('T1'!$C$4:$C$68,"TC",'T1'!D$4:D$68,"&lt;&gt;")) + (COUNTIFS('T1'!$C$4:$C$68,"C*",'T1'!E$4:E$68,"&lt;&gt;")+COUNTIFS('T1'!$C$4:$C$68,"TC",'T1'!E$4:E$68,"&lt;&gt;")) + (COUNTIFS('T1'!$C$4:$C$68,"C*",'T1'!F$4:F$68,"&lt;&gt;")+COUNTIFS('T1'!$C$4:$C$68,"TC",'T1'!F$4:F$68,"&lt;&gt;")) + (COUNTIFS('T1'!$C$4:$C$68,"C*",'T1'!G$4:G$68,"&lt;&gt;")+COUNTIFS('T1'!$C$4:$C$68,"TC",'T1'!G$4:G$68,"&lt;&gt;")) + (COUNTIFS('T1'!$C$4:$C$68,"C*",'T1'!H$4:H$68,"&lt;&gt;")+COUNTIFS('T1'!$C$4:$C$68,"TC",'T1'!H$4:H$68,"&lt;&gt;")) + (COUNTIFS('T1'!$C$4:$C$68,"C*",'T1'!I$4:I$68,"&lt;&gt;")+COUNTIFS('T1'!$C$4:$C$68,"TC",'T1'!I$4:I$68,"&lt;&gt;")) + (COUNTIFS('T1'!$C$4:$C$68,"C*",'T1'!J$4:J$68,"&lt;&gt;")+COUNTIFS('T1'!$C$4:$C$68,"TC",'T1'!J$4:J$68,"&lt;&gt;")))=0,"Chưa nhập","Đã cập nhật")</f>
        <v>Đã cập nhật</v>
      </c>
    </row>
    <row r="9" spans="1:10" x14ac:dyDescent="0.2">
      <c r="A9" s="57" t="s">
        <v>80</v>
      </c>
      <c r="B9" s="59">
        <v>46030</v>
      </c>
      <c r="C9" s="59">
        <v>46036</v>
      </c>
      <c r="D9" s="60">
        <f>IF(((COUNTIFS('T1'!$C$4:$C$68,"C*",'T1'!K$4:K$68,"&lt;&gt;")+COUNTIFS('T1'!$C$4:$C$68,"TC",'T1'!K$4:K$68,"&lt;&gt;")) + (COUNTIFS('T1'!$C$4:$C$68,"C*",'T1'!L$4:L$68,"&lt;&gt;")+COUNTIFS('T1'!$C$4:$C$68,"TC",'T1'!L$4:L$68,"&lt;&gt;")) + (COUNTIFS('T1'!$C$4:$C$68,"C*",'T1'!M$4:M$68,"&lt;&gt;")+COUNTIFS('T1'!$C$4:$C$68,"TC",'T1'!M$4:M$68,"&lt;&gt;")) + (COUNTIFS('T1'!$C$4:$C$68,"C*",'T1'!N$4:N$68,"&lt;&gt;")+COUNTIFS('T1'!$C$4:$C$68,"TC",'T1'!N$4:N$68,"&lt;&gt;")) + (COUNTIFS('T1'!$C$4:$C$68,"C*",'T1'!O$4:O$68,"&lt;&gt;")+COUNTIFS('T1'!$C$4:$C$68,"TC",'T1'!O$4:O$68,"&lt;&gt;")) + (COUNTIFS('T1'!$C$4:$C$68,"C*",'T1'!P$4:P$68,"&lt;&gt;")+COUNTIFS('T1'!$C$4:$C$68,"TC",'T1'!P$4:P$68,"&lt;&gt;")) + (COUNTIFS('T1'!$C$4:$C$68,"C*",'T1'!Q$4:Q$68,"&lt;&gt;")+COUNTIFS('T1'!$C$4:$C$68,"TC",'T1'!Q$4:Q$68,"&lt;&gt;")))=0,"",((COUNTIFS('T1'!$C$4:$C$68,"C*",'T1'!K$4:K$68,"x*")-0.5*(COUNTIFS('T1'!$C$4:$C$68,"C*",'T1'!K$4:K$68,"x/2")))+(COUNTIFS('T1'!$C$4:$C$68,"C*",'T1'!L$4:L$68,"x*")-0.5*(COUNTIFS('T1'!$C$4:$C$68,"C*",'T1'!L$4:L$68,"x/2")))+(COUNTIFS('T1'!$C$4:$C$68,"C*",'T1'!M$4:M$68,"x*")-0.5*(COUNTIFS('T1'!$C$4:$C$68,"C*",'T1'!M$4:M$68,"x/2")))+(COUNTIFS('T1'!$C$4:$C$68,"C*",'T1'!O$4:O$68,"x*")-0.5*(COUNTIFS('T1'!$C$4:$C$68,"C*",'T1'!O$4:O$68,"x/2")))+(COUNTIFS('T1'!$C$4:$C$68,"C*",'T1'!P$4:P$68,"x*")-0.5*(COUNTIFS('T1'!$C$4:$C$68,"C*",'T1'!P$4:P$68,"x/2")))+(COUNTIFS('T1'!$C$4:$C$68,"C*",'T1'!Q$4:Q$68,"x*")-0.5*(COUNTIFS('T1'!$C$4:$C$68,"C*",'T1'!Q$4:Q$68,"x/2")))))</f>
        <v>78</v>
      </c>
      <c r="E9" s="61">
        <f>IF(((COUNTIFS('T1'!$C$4:$C$68,"C*",'T1'!K$4:K$68,"&lt;&gt;")+COUNTIFS('T1'!$C$4:$C$68,"TC",'T1'!K$4:K$68,"&lt;&gt;")) + (COUNTIFS('T1'!$C$4:$C$68,"C*",'T1'!L$4:L$68,"&lt;&gt;")+COUNTIFS('T1'!$C$4:$C$68,"TC",'T1'!L$4:L$68,"&lt;&gt;")) + (COUNTIFS('T1'!$C$4:$C$68,"C*",'T1'!M$4:M$68,"&lt;&gt;")+COUNTIFS('T1'!$C$4:$C$68,"TC",'T1'!M$4:M$68,"&lt;&gt;")) + (COUNTIFS('T1'!$C$4:$C$68,"C*",'T1'!N$4:N$68,"&lt;&gt;")+COUNTIFS('T1'!$C$4:$C$68,"TC",'T1'!N$4:N$68,"&lt;&gt;")) + (COUNTIFS('T1'!$C$4:$C$68,"C*",'T1'!O$4:O$68,"&lt;&gt;")+COUNTIFS('T1'!$C$4:$C$68,"TC",'T1'!O$4:O$68,"&lt;&gt;")) + (COUNTIFS('T1'!$C$4:$C$68,"C*",'T1'!P$4:P$68,"&lt;&gt;")+COUNTIFS('T1'!$C$4:$C$68,"TC",'T1'!P$4:P$68,"&lt;&gt;")) + (COUNTIFS('T1'!$C$4:$C$68,"C*",'T1'!Q$4:Q$68,"&lt;&gt;")+COUNTIFS('T1'!$C$4:$C$68,"TC",'T1'!Q$4:Q$68,"&lt;&gt;")))=0,"",((COUNTIFS('T1'!$C$4:$C$68,"C*",'T1'!N$4:N$68,"x*")-0.5*(COUNTIFS('T1'!$C$4:$C$68,"C*",'T1'!N$4:N$68,"x/2")))))</f>
        <v>13</v>
      </c>
      <c r="F9" s="60">
        <f>IF(AND(D9="",E9=""),"",D9+E9)</f>
        <v>91</v>
      </c>
      <c r="G9" s="60">
        <f>IF(((COUNTIFS('T1'!$C$4:$C$68,"C*",'T1'!K$4:K$68,"&lt;&gt;")+COUNTIFS('T1'!$C$4:$C$68,"TC",'T1'!K$4:K$68,"&lt;&gt;")) + (COUNTIFS('T1'!$C$4:$C$68,"C*",'T1'!L$4:L$68,"&lt;&gt;")+COUNTIFS('T1'!$C$4:$C$68,"TC",'T1'!L$4:L$68,"&lt;&gt;")) + (COUNTIFS('T1'!$C$4:$C$68,"C*",'T1'!M$4:M$68,"&lt;&gt;")+COUNTIFS('T1'!$C$4:$C$68,"TC",'T1'!M$4:M$68,"&lt;&gt;")) + (COUNTIFS('T1'!$C$4:$C$68,"C*",'T1'!N$4:N$68,"&lt;&gt;")+COUNTIFS('T1'!$C$4:$C$68,"TC",'T1'!N$4:N$68,"&lt;&gt;")) + (COUNTIFS('T1'!$C$4:$C$68,"C*",'T1'!O$4:O$68,"&lt;&gt;")+COUNTIFS('T1'!$C$4:$C$68,"TC",'T1'!O$4:O$68,"&lt;&gt;")) + (COUNTIFS('T1'!$C$4:$C$68,"C*",'T1'!P$4:P$68,"&lt;&gt;")+COUNTIFS('T1'!$C$4:$C$68,"TC",'T1'!P$4:P$68,"&lt;&gt;")) + (COUNTIFS('T1'!$C$4:$C$68,"C*",'T1'!Q$4:Q$68,"&lt;&gt;")+COUNTIFS('T1'!$C$4:$C$68,"TC",'T1'!Q$4:Q$68,"&lt;&gt;")))=0,"",(SUMIF('T1'!$C$4:$C$68,"TC",'T1'!K$4:K$68))+(SUMIF('T1'!$C$4:$C$68,"TC",'T1'!L$4:L$68))+(SUMIF('T1'!$C$4:$C$68,"TC",'T1'!M$4:M$68))+(SUMIF('T1'!$C$4:$C$68,"TC",'T1'!O$4:O$68))+(SUMIF('T1'!$C$4:$C$68,"TC",'T1'!P$4:P$68))+(SUMIF('T1'!$C$4:$C$68,"TC",'T1'!Q$4:Q$68)))</f>
        <v>13</v>
      </c>
      <c r="H9" s="62">
        <f>IF(((COUNTIFS('T1'!$C$4:$C$68,"C*",'T1'!K$4:K$68,"&lt;&gt;")+COUNTIFS('T1'!$C$4:$C$68,"TC",'T1'!K$4:K$68,"&lt;&gt;")) + (COUNTIFS('T1'!$C$4:$C$68,"C*",'T1'!L$4:L$68,"&lt;&gt;")+COUNTIFS('T1'!$C$4:$C$68,"TC",'T1'!L$4:L$68,"&lt;&gt;")) + (COUNTIFS('T1'!$C$4:$C$68,"C*",'T1'!M$4:M$68,"&lt;&gt;")+COUNTIFS('T1'!$C$4:$C$68,"TC",'T1'!M$4:M$68,"&lt;&gt;")) + (COUNTIFS('T1'!$C$4:$C$68,"C*",'T1'!N$4:N$68,"&lt;&gt;")+COUNTIFS('T1'!$C$4:$C$68,"TC",'T1'!N$4:N$68,"&lt;&gt;")) + (COUNTIFS('T1'!$C$4:$C$68,"C*",'T1'!O$4:O$68,"&lt;&gt;")+COUNTIFS('T1'!$C$4:$C$68,"TC",'T1'!O$4:O$68,"&lt;&gt;")) + (COUNTIFS('T1'!$C$4:$C$68,"C*",'T1'!P$4:P$68,"&lt;&gt;")+COUNTIFS('T1'!$C$4:$C$68,"TC",'T1'!P$4:P$68,"&lt;&gt;")) + (COUNTIFS('T1'!$C$4:$C$68,"C*",'T1'!Q$4:Q$68,"&lt;&gt;")+COUNTIFS('T1'!$C$4:$C$68,"TC",'T1'!Q$4:Q$68,"&lt;&gt;")))=0,"",(SUMIF('T1'!$C$4:$C$68,"TC",'T1'!K$4:K$68))+(SUMIF('T1'!$C$4:$C$68,"TC",'T1'!L$4:L$68))+(SUMIF('T1'!$C$4:$C$68,"TC",'T1'!M$4:M$68))+(SUMIF('T1'!$C$4:$C$68,"TC",'T1'!N$4:N$68))+(SUMIF('T1'!$C$4:$C$68,"TC",'T1'!O$4:O$68))+(SUMIF('T1'!$C$4:$C$68,"TC",'T1'!P$4:P$68))+(SUMIF('T1'!$C$4:$C$68,"TC",'T1'!Q$4:Q$68)))</f>
        <v>13</v>
      </c>
      <c r="I9" s="60">
        <f>IF(H9="","",H9/8)</f>
        <v>1.625</v>
      </c>
      <c r="J9" s="57" t="str">
        <f>IF(((COUNTIFS('T1'!$C$4:$C$68,"C*",'T1'!K$4:K$68,"&lt;&gt;")+COUNTIFS('T1'!$C$4:$C$68,"TC",'T1'!K$4:K$68,"&lt;&gt;")) + (COUNTIFS('T1'!$C$4:$C$68,"C*",'T1'!L$4:L$68,"&lt;&gt;")+COUNTIFS('T1'!$C$4:$C$68,"TC",'T1'!L$4:L$68,"&lt;&gt;")) + (COUNTIFS('T1'!$C$4:$C$68,"C*",'T1'!M$4:M$68,"&lt;&gt;")+COUNTIFS('T1'!$C$4:$C$68,"TC",'T1'!M$4:M$68,"&lt;&gt;")) + (COUNTIFS('T1'!$C$4:$C$68,"C*",'T1'!N$4:N$68,"&lt;&gt;")+COUNTIFS('T1'!$C$4:$C$68,"TC",'T1'!N$4:N$68,"&lt;&gt;")) + (COUNTIFS('T1'!$C$4:$C$68,"C*",'T1'!O$4:O$68,"&lt;&gt;")+COUNTIFS('T1'!$C$4:$C$68,"TC",'T1'!O$4:O$68,"&lt;&gt;")) + (COUNTIFS('T1'!$C$4:$C$68,"C*",'T1'!P$4:P$68,"&lt;&gt;")+COUNTIFS('T1'!$C$4:$C$68,"TC",'T1'!P$4:P$68,"&lt;&gt;")) + (COUNTIFS('T1'!$C$4:$C$68,"C*",'T1'!Q$4:Q$68,"&lt;&gt;")+COUNTIFS('T1'!$C$4:$C$68,"TC",'T1'!Q$4:Q$68,"&lt;&gt;")))=0,"Chưa nhập","Đã cập nhật")</f>
        <v>Đã cập nhật</v>
      </c>
    </row>
    <row r="10" spans="1:10" x14ac:dyDescent="0.2">
      <c r="A10" s="57" t="s">
        <v>81</v>
      </c>
      <c r="B10" s="59">
        <v>46037</v>
      </c>
      <c r="C10" s="59">
        <v>46043</v>
      </c>
      <c r="D10" s="60">
        <f>IF(((COUNTIFS('T1'!$C$4:$C$68,"C*",'T1'!R$4:R$68,"&lt;&gt;")+COUNTIFS('T1'!$C$4:$C$68,"TC",'T1'!R$4:R$68,"&lt;&gt;")) + (COUNTIFS('T1'!$C$4:$C$68,"C*",'T1'!S$4:S$68,"&lt;&gt;")+COUNTIFS('T1'!$C$4:$C$68,"TC",'T1'!S$4:S$68,"&lt;&gt;")) + (COUNTIFS('T1'!$C$4:$C$68,"C*",'T1'!T$4:T$68,"&lt;&gt;")+COUNTIFS('T1'!$C$4:$C$68,"TC",'T1'!T$4:T$68,"&lt;&gt;")) + (COUNTIFS('T1'!$C$4:$C$68,"C*",'T1'!U$4:U$68,"&lt;&gt;")+COUNTIFS('T1'!$C$4:$C$68,"TC",'T1'!U$4:U$68,"&lt;&gt;")) + (COUNTIFS('T1'!$C$4:$C$68,"C*",'T1'!V$4:V$68,"&lt;&gt;")+COUNTIFS('T1'!$C$4:$C$68,"TC",'T1'!V$4:V$68,"&lt;&gt;")) + (COUNTIFS('T1'!$C$4:$C$68,"C*",'T1'!W$4:W$68,"&lt;&gt;")+COUNTIFS('T1'!$C$4:$C$68,"TC",'T1'!W$4:W$68,"&lt;&gt;")) + (COUNTIFS('T1'!$C$4:$C$68,"C*",'T1'!X$4:X$68,"&lt;&gt;")+COUNTIFS('T1'!$C$4:$C$68,"TC",'T1'!X$4:X$68,"&lt;&gt;")))=0,"",((COUNTIFS('T1'!$C$4:$C$68,"C*",'T1'!R$4:R$68,"x*")-0.5*(COUNTIFS('T1'!$C$4:$C$68,"C*",'T1'!R$4:R$68,"x/2")))+(COUNTIFS('T1'!$C$4:$C$68,"C*",'T1'!S$4:S$68,"x*")-0.5*(COUNTIFS('T1'!$C$4:$C$68,"C*",'T1'!S$4:S$68,"x/2")))+(COUNTIFS('T1'!$C$4:$C$68,"C*",'T1'!T$4:T$68,"x*")-0.5*(COUNTIFS('T1'!$C$4:$C$68,"C*",'T1'!T$4:T$68,"x/2")))+(COUNTIFS('T1'!$C$4:$C$68,"C*",'T1'!V$4:V$68,"x*")-0.5*(COUNTIFS('T1'!$C$4:$C$68,"C*",'T1'!V$4:V$68,"x/2")))+(COUNTIFS('T1'!$C$4:$C$68,"C*",'T1'!W$4:W$68,"x*")-0.5*(COUNTIFS('T1'!$C$4:$C$68,"C*",'T1'!W$4:W$68,"x/2")))+(COUNTIFS('T1'!$C$4:$C$68,"C*",'T1'!X$4:X$68,"x*")-0.5*(COUNTIFS('T1'!$C$4:$C$68,"C*",'T1'!X$4:X$68,"x/2")))))</f>
        <v>65</v>
      </c>
      <c r="E10" s="61">
        <f>IF(((COUNTIFS('T1'!$C$4:$C$68,"C*",'T1'!R$4:R$68,"&lt;&gt;")+COUNTIFS('T1'!$C$4:$C$68,"TC",'T1'!R$4:R$68,"&lt;&gt;")) + (COUNTIFS('T1'!$C$4:$C$68,"C*",'T1'!S$4:S$68,"&lt;&gt;")+COUNTIFS('T1'!$C$4:$C$68,"TC",'T1'!S$4:S$68,"&lt;&gt;")) + (COUNTIFS('T1'!$C$4:$C$68,"C*",'T1'!T$4:T$68,"&lt;&gt;")+COUNTIFS('T1'!$C$4:$C$68,"TC",'T1'!T$4:T$68,"&lt;&gt;")) + (COUNTIFS('T1'!$C$4:$C$68,"C*",'T1'!U$4:U$68,"&lt;&gt;")+COUNTIFS('T1'!$C$4:$C$68,"TC",'T1'!U$4:U$68,"&lt;&gt;")) + (COUNTIFS('T1'!$C$4:$C$68,"C*",'T1'!V$4:V$68,"&lt;&gt;")+COUNTIFS('T1'!$C$4:$C$68,"TC",'T1'!V$4:V$68,"&lt;&gt;")) + (COUNTIFS('T1'!$C$4:$C$68,"C*",'T1'!W$4:W$68,"&lt;&gt;")+COUNTIFS('T1'!$C$4:$C$68,"TC",'T1'!W$4:W$68,"&lt;&gt;")) + (COUNTIFS('T1'!$C$4:$C$68,"C*",'T1'!X$4:X$68,"&lt;&gt;")+COUNTIFS('T1'!$C$4:$C$68,"TC",'T1'!X$4:X$68,"&lt;&gt;")))=0,"",((COUNTIFS('T1'!$C$4:$C$68,"C*",'T1'!U$4:U$68,"x*")-0.5*(COUNTIFS('T1'!$C$4:$C$68,"C*",'T1'!U$4:U$68,"x/2")))))</f>
        <v>13</v>
      </c>
      <c r="F10" s="60">
        <f>IF(AND(D10="",E10=""),"",D10+E10)</f>
        <v>78</v>
      </c>
      <c r="G10" s="60">
        <f>IF(((COUNTIFS('T1'!$C$4:$C$68,"C*",'T1'!R$4:R$68,"&lt;&gt;")+COUNTIFS('T1'!$C$4:$C$68,"TC",'T1'!R$4:R$68,"&lt;&gt;")) + (COUNTIFS('T1'!$C$4:$C$68,"C*",'T1'!S$4:S$68,"&lt;&gt;")+COUNTIFS('T1'!$C$4:$C$68,"TC",'T1'!S$4:S$68,"&lt;&gt;")) + (COUNTIFS('T1'!$C$4:$C$68,"C*",'T1'!T$4:T$68,"&lt;&gt;")+COUNTIFS('T1'!$C$4:$C$68,"TC",'T1'!T$4:T$68,"&lt;&gt;")) + (COUNTIFS('T1'!$C$4:$C$68,"C*",'T1'!U$4:U$68,"&lt;&gt;")+COUNTIFS('T1'!$C$4:$C$68,"TC",'T1'!U$4:U$68,"&lt;&gt;")) + (COUNTIFS('T1'!$C$4:$C$68,"C*",'T1'!V$4:V$68,"&lt;&gt;")+COUNTIFS('T1'!$C$4:$C$68,"TC",'T1'!V$4:V$68,"&lt;&gt;")) + (COUNTIFS('T1'!$C$4:$C$68,"C*",'T1'!W$4:W$68,"&lt;&gt;")+COUNTIFS('T1'!$C$4:$C$68,"TC",'T1'!W$4:W$68,"&lt;&gt;")) + (COUNTIFS('T1'!$C$4:$C$68,"C*",'T1'!X$4:X$68,"&lt;&gt;")+COUNTIFS('T1'!$C$4:$C$68,"TC",'T1'!X$4:X$68,"&lt;&gt;")))=0,"",(SUMIF('T1'!$C$4:$C$68,"TC",'T1'!R$4:R$68))+(SUMIF('T1'!$C$4:$C$68,"TC",'T1'!S$4:S$68))+(SUMIF('T1'!$C$4:$C$68,"TC",'T1'!T$4:T$68))+(SUMIF('T1'!$C$4:$C$68,"TC",'T1'!V$4:V$68))+(SUMIF('T1'!$C$4:$C$68,"TC",'T1'!W$4:W$68))+(SUMIF('T1'!$C$4:$C$68,"TC",'T1'!X$4:X$68)))</f>
        <v>0</v>
      </c>
      <c r="H10" s="62">
        <f>IF(((COUNTIFS('T1'!$C$4:$C$68,"C*",'T1'!R$4:R$68,"&lt;&gt;")+COUNTIFS('T1'!$C$4:$C$68,"TC",'T1'!R$4:R$68,"&lt;&gt;")) + (COUNTIFS('T1'!$C$4:$C$68,"C*",'T1'!S$4:S$68,"&lt;&gt;")+COUNTIFS('T1'!$C$4:$C$68,"TC",'T1'!S$4:S$68,"&lt;&gt;")) + (COUNTIFS('T1'!$C$4:$C$68,"C*",'T1'!T$4:T$68,"&lt;&gt;")+COUNTIFS('T1'!$C$4:$C$68,"TC",'T1'!T$4:T$68,"&lt;&gt;")) + (COUNTIFS('T1'!$C$4:$C$68,"C*",'T1'!U$4:U$68,"&lt;&gt;")+COUNTIFS('T1'!$C$4:$C$68,"TC",'T1'!U$4:U$68,"&lt;&gt;")) + (COUNTIFS('T1'!$C$4:$C$68,"C*",'T1'!V$4:V$68,"&lt;&gt;")+COUNTIFS('T1'!$C$4:$C$68,"TC",'T1'!V$4:V$68,"&lt;&gt;")) + (COUNTIFS('T1'!$C$4:$C$68,"C*",'T1'!W$4:W$68,"&lt;&gt;")+COUNTIFS('T1'!$C$4:$C$68,"TC",'T1'!W$4:W$68,"&lt;&gt;")) + (COUNTIFS('T1'!$C$4:$C$68,"C*",'T1'!X$4:X$68,"&lt;&gt;")+COUNTIFS('T1'!$C$4:$C$68,"TC",'T1'!X$4:X$68,"&lt;&gt;")))=0,"",(SUMIF('T1'!$C$4:$C$68,"TC",'T1'!R$4:R$68))+(SUMIF('T1'!$C$4:$C$68,"TC",'T1'!S$4:S$68))+(SUMIF('T1'!$C$4:$C$68,"TC",'T1'!T$4:T$68))+(SUMIF('T1'!$C$4:$C$68,"TC",'T1'!U$4:U$68))+(SUMIF('T1'!$C$4:$C$68,"TC",'T1'!V$4:V$68))+(SUMIF('T1'!$C$4:$C$68,"TC",'T1'!W$4:W$68))+(SUMIF('T1'!$C$4:$C$68,"TC",'T1'!X$4:X$68)))</f>
        <v>0</v>
      </c>
      <c r="I10" s="60">
        <f>IF(H10="","",H10/8)</f>
        <v>0</v>
      </c>
      <c r="J10" s="57" t="str">
        <f>IF(((COUNTIFS('T1'!$C$4:$C$68,"C*",'T1'!R$4:R$68,"&lt;&gt;")+COUNTIFS('T1'!$C$4:$C$68,"TC",'T1'!R$4:R$68,"&lt;&gt;")) + (COUNTIFS('T1'!$C$4:$C$68,"C*",'T1'!S$4:S$68,"&lt;&gt;")+COUNTIFS('T1'!$C$4:$C$68,"TC",'T1'!S$4:S$68,"&lt;&gt;")) + (COUNTIFS('T1'!$C$4:$C$68,"C*",'T1'!T$4:T$68,"&lt;&gt;")+COUNTIFS('T1'!$C$4:$C$68,"TC",'T1'!T$4:T$68,"&lt;&gt;")) + (COUNTIFS('T1'!$C$4:$C$68,"C*",'T1'!U$4:U$68,"&lt;&gt;")+COUNTIFS('T1'!$C$4:$C$68,"TC",'T1'!U$4:U$68,"&lt;&gt;")) + (COUNTIFS('T1'!$C$4:$C$68,"C*",'T1'!V$4:V$68,"&lt;&gt;")+COUNTIFS('T1'!$C$4:$C$68,"TC",'T1'!V$4:V$68,"&lt;&gt;")) + (COUNTIFS('T1'!$C$4:$C$68,"C*",'T1'!W$4:W$68,"&lt;&gt;")+COUNTIFS('T1'!$C$4:$C$68,"TC",'T1'!W$4:W$68,"&lt;&gt;")) + (COUNTIFS('T1'!$C$4:$C$68,"C*",'T1'!X$4:X$68,"&lt;&gt;")+COUNTIFS('T1'!$C$4:$C$68,"TC",'T1'!X$4:X$68,"&lt;&gt;")))=0,"Chưa nhập","Đã cập nhật")</f>
        <v>Đã cập nhật</v>
      </c>
    </row>
    <row r="11" spans="1:10" x14ac:dyDescent="0.2">
      <c r="A11" s="57" t="s">
        <v>82</v>
      </c>
      <c r="B11" s="59">
        <v>46044</v>
      </c>
      <c r="C11" s="59">
        <v>46050</v>
      </c>
      <c r="D11" s="60">
        <f>IF(((COUNTIFS('T1'!$C$4:$C$68,"C*",'T1'!Y$4:Y$68,"&lt;&gt;")+COUNTIFS('T1'!$C$4:$C$68,"TC",'T1'!Y$4:Y$68,"&lt;&gt;")) + (COUNTIFS('T1'!$C$4:$C$68,"C*",'T1'!Z$4:Z$68,"&lt;&gt;")+COUNTIFS('T1'!$C$4:$C$68,"TC",'T1'!Z$4:Z$68,"&lt;&gt;")) + (COUNTIFS('T1'!$C$4:$C$68,"C*",'T1'!AA$4:AA$68,"&lt;&gt;")+COUNTIFS('T1'!$C$4:$C$68,"TC",'T1'!AA$4:AA$68,"&lt;&gt;")) + (COUNTIFS('T1'!$C$4:$C$68,"C*",'T1'!AB$4:AB$68,"&lt;&gt;")+COUNTIFS('T1'!$C$4:$C$68,"TC",'T1'!AB$4:AB$68,"&lt;&gt;")) + (COUNTIFS('T1'!$C$4:$C$68,"C*",'T1'!AC$4:AC$68,"&lt;&gt;")+COUNTIFS('T1'!$C$4:$C$68,"TC",'T1'!AC$4:AC$68,"&lt;&gt;")) + (COUNTIFS('T1'!$C$4:$C$68,"C*",'T1'!AD$4:AD$68,"&lt;&gt;")+COUNTIFS('T1'!$C$4:$C$68,"TC",'T1'!AD$4:AD$68,"&lt;&gt;")) + (COUNTIFS('T1'!$C$4:$C$68,"C*",'T1'!AE$4:AE$68,"&lt;&gt;")+COUNTIFS('T1'!$C$4:$C$68,"TC",'T1'!AE$4:AE$68,"&lt;&gt;")))=0,"",((COUNTIFS('T1'!$C$4:$C$68,"C*",'T1'!Y$4:Y$68,"x*")-0.5*(COUNTIFS('T1'!$C$4:$C$68,"C*",'T1'!Y$4:Y$68,"x/2")))+(COUNTIFS('T1'!$C$4:$C$68,"C*",'T1'!Z$4:Z$68,"x*")-0.5*(COUNTIFS('T1'!$C$4:$C$68,"C*",'T1'!Z$4:Z$68,"x/2")))+(COUNTIFS('T1'!$C$4:$C$68,"C*",'T1'!AA$4:AA$68,"x*")-0.5*(COUNTIFS('T1'!$C$4:$C$68,"C*",'T1'!AA$4:AA$68,"x/2")))+(COUNTIFS('T1'!$C$4:$C$68,"C*",'T1'!AC$4:AC$68,"x*")-0.5*(COUNTIFS('T1'!$C$4:$C$68,"C*",'T1'!AC$4:AC$68,"x/2")))+(COUNTIFS('T1'!$C$4:$C$68,"C*",'T1'!AD$4:AD$68,"x*")-0.5*(COUNTIFS('T1'!$C$4:$C$68,"C*",'T1'!AD$4:AD$68,"x/2")))+(COUNTIFS('T1'!$C$4:$C$68,"C*",'T1'!AE$4:AE$68,"x*")-0.5*(COUNTIFS('T1'!$C$4:$C$68,"C*",'T1'!AE$4:AE$68,"x/2")))))</f>
        <v>75</v>
      </c>
      <c r="E11" s="61">
        <f>IF(((COUNTIFS('T1'!$C$4:$C$68,"C*",'T1'!Y$4:Y$68,"&lt;&gt;")+COUNTIFS('T1'!$C$4:$C$68,"TC",'T1'!Y$4:Y$68,"&lt;&gt;")) + (COUNTIFS('T1'!$C$4:$C$68,"C*",'T1'!Z$4:Z$68,"&lt;&gt;")+COUNTIFS('T1'!$C$4:$C$68,"TC",'T1'!Z$4:Z$68,"&lt;&gt;")) + (COUNTIFS('T1'!$C$4:$C$68,"C*",'T1'!AA$4:AA$68,"&lt;&gt;")+COUNTIFS('T1'!$C$4:$C$68,"TC",'T1'!AA$4:AA$68,"&lt;&gt;")) + (COUNTIFS('T1'!$C$4:$C$68,"C*",'T1'!AB$4:AB$68,"&lt;&gt;")+COUNTIFS('T1'!$C$4:$C$68,"TC",'T1'!AB$4:AB$68,"&lt;&gt;")) + (COUNTIFS('T1'!$C$4:$C$68,"C*",'T1'!AC$4:AC$68,"&lt;&gt;")+COUNTIFS('T1'!$C$4:$C$68,"TC",'T1'!AC$4:AC$68,"&lt;&gt;")) + (COUNTIFS('T1'!$C$4:$C$68,"C*",'T1'!AD$4:AD$68,"&lt;&gt;")+COUNTIFS('T1'!$C$4:$C$68,"TC",'T1'!AD$4:AD$68,"&lt;&gt;")) + (COUNTIFS('T1'!$C$4:$C$68,"C*",'T1'!AE$4:AE$68,"&lt;&gt;")+COUNTIFS('T1'!$C$4:$C$68,"TC",'T1'!AE$4:AE$68,"&lt;&gt;")))=0,"",((COUNTIFS('T1'!$C$4:$C$68,"C*",'T1'!AB$4:AB$68,"x*")-0.5*(COUNTIFS('T1'!$C$4:$C$68,"C*",'T1'!AB$4:AB$68,"x/2")))))</f>
        <v>0</v>
      </c>
      <c r="F11" s="60">
        <f>IF(AND(D11="",E11=""),"",D11+E11)</f>
        <v>75</v>
      </c>
      <c r="G11" s="60">
        <f>IF(((COUNTIFS('T1'!$C$4:$C$68,"C*",'T1'!Y$4:Y$68,"&lt;&gt;")+COUNTIFS('T1'!$C$4:$C$68,"TC",'T1'!Y$4:Y$68,"&lt;&gt;")) + (COUNTIFS('T1'!$C$4:$C$68,"C*",'T1'!Z$4:Z$68,"&lt;&gt;")+COUNTIFS('T1'!$C$4:$C$68,"TC",'T1'!Z$4:Z$68,"&lt;&gt;")) + (COUNTIFS('T1'!$C$4:$C$68,"C*",'T1'!AA$4:AA$68,"&lt;&gt;")+COUNTIFS('T1'!$C$4:$C$68,"TC",'T1'!AA$4:AA$68,"&lt;&gt;")) + (COUNTIFS('T1'!$C$4:$C$68,"C*",'T1'!AB$4:AB$68,"&lt;&gt;")+COUNTIFS('T1'!$C$4:$C$68,"TC",'T1'!AB$4:AB$68,"&lt;&gt;")) + (COUNTIFS('T1'!$C$4:$C$68,"C*",'T1'!AC$4:AC$68,"&lt;&gt;")+COUNTIFS('T1'!$C$4:$C$68,"TC",'T1'!AC$4:AC$68,"&lt;&gt;")) + (COUNTIFS('T1'!$C$4:$C$68,"C*",'T1'!AD$4:AD$68,"&lt;&gt;")+COUNTIFS('T1'!$C$4:$C$68,"TC",'T1'!AD$4:AD$68,"&lt;&gt;")) + (COUNTIFS('T1'!$C$4:$C$68,"C*",'T1'!AE$4:AE$68,"&lt;&gt;")+COUNTIFS('T1'!$C$4:$C$68,"TC",'T1'!AE$4:AE$68,"&lt;&gt;")))=0,"",(SUMIF('T1'!$C$4:$C$68,"TC",'T1'!Y$4:Y$68))+(SUMIF('T1'!$C$4:$C$68,"TC",'T1'!Z$4:Z$68))+(SUMIF('T1'!$C$4:$C$68,"TC",'T1'!AA$4:AA$68))+(SUMIF('T1'!$C$4:$C$68,"TC",'T1'!AC$4:AC$68))+(SUMIF('T1'!$C$4:$C$68,"TC",'T1'!AD$4:AD$68))+(SUMIF('T1'!$C$4:$C$68,"TC",'T1'!AE$4:AE$68)))</f>
        <v>0</v>
      </c>
      <c r="H11" s="62">
        <f>IF(((COUNTIFS('T1'!$C$4:$C$68,"C*",'T1'!Y$4:Y$68,"&lt;&gt;")+COUNTIFS('T1'!$C$4:$C$68,"TC",'T1'!Y$4:Y$68,"&lt;&gt;")) + (COUNTIFS('T1'!$C$4:$C$68,"C*",'T1'!Z$4:Z$68,"&lt;&gt;")+COUNTIFS('T1'!$C$4:$C$68,"TC",'T1'!Z$4:Z$68,"&lt;&gt;")) + (COUNTIFS('T1'!$C$4:$C$68,"C*",'T1'!AA$4:AA$68,"&lt;&gt;")+COUNTIFS('T1'!$C$4:$C$68,"TC",'T1'!AA$4:AA$68,"&lt;&gt;")) + (COUNTIFS('T1'!$C$4:$C$68,"C*",'T1'!AB$4:AB$68,"&lt;&gt;")+COUNTIFS('T1'!$C$4:$C$68,"TC",'T1'!AB$4:AB$68,"&lt;&gt;")) + (COUNTIFS('T1'!$C$4:$C$68,"C*",'T1'!AC$4:AC$68,"&lt;&gt;")+COUNTIFS('T1'!$C$4:$C$68,"TC",'T1'!AC$4:AC$68,"&lt;&gt;")) + (COUNTIFS('T1'!$C$4:$C$68,"C*",'T1'!AD$4:AD$68,"&lt;&gt;")+COUNTIFS('T1'!$C$4:$C$68,"TC",'T1'!AD$4:AD$68,"&lt;&gt;")) + (COUNTIFS('T1'!$C$4:$C$68,"C*",'T1'!AE$4:AE$68,"&lt;&gt;")+COUNTIFS('T1'!$C$4:$C$68,"TC",'T1'!AE$4:AE$68,"&lt;&gt;")))=0,"",(SUMIF('T1'!$C$4:$C$68,"TC",'T1'!Y$4:Y$68))+(SUMIF('T1'!$C$4:$C$68,"TC",'T1'!Z$4:Z$68))+(SUMIF('T1'!$C$4:$C$68,"TC",'T1'!AA$4:AA$68))+(SUMIF('T1'!$C$4:$C$68,"TC",'T1'!AB$4:AB$68))+(SUMIF('T1'!$C$4:$C$68,"TC",'T1'!AC$4:AC$68))+(SUMIF('T1'!$C$4:$C$68,"TC",'T1'!AD$4:AD$68))+(SUMIF('T1'!$C$4:$C$68,"TC",'T1'!AE$4:AE$68)))</f>
        <v>68.25</v>
      </c>
      <c r="I11" s="60">
        <f>IF(H11="","",H11/8)</f>
        <v>8.53125</v>
      </c>
      <c r="J11" s="57" t="str">
        <f>IF(((COUNTIFS('T1'!$C$4:$C$68,"C*",'T1'!Y$4:Y$68,"&lt;&gt;")+COUNTIFS('T1'!$C$4:$C$68,"TC",'T1'!Y$4:Y$68,"&lt;&gt;")) + (COUNTIFS('T1'!$C$4:$C$68,"C*",'T1'!Z$4:Z$68,"&lt;&gt;")+COUNTIFS('T1'!$C$4:$C$68,"TC",'T1'!Z$4:Z$68,"&lt;&gt;")) + (COUNTIFS('T1'!$C$4:$C$68,"C*",'T1'!AA$4:AA$68,"&lt;&gt;")+COUNTIFS('T1'!$C$4:$C$68,"TC",'T1'!AA$4:AA$68,"&lt;&gt;")) + (COUNTIFS('T1'!$C$4:$C$68,"C*",'T1'!AB$4:AB$68,"&lt;&gt;")+COUNTIFS('T1'!$C$4:$C$68,"TC",'T1'!AB$4:AB$68,"&lt;&gt;")) + (COUNTIFS('T1'!$C$4:$C$68,"C*",'T1'!AC$4:AC$68,"&lt;&gt;")+COUNTIFS('T1'!$C$4:$C$68,"TC",'T1'!AC$4:AC$68,"&lt;&gt;")) + (COUNTIFS('T1'!$C$4:$C$68,"C*",'T1'!AD$4:AD$68,"&lt;&gt;")+COUNTIFS('T1'!$C$4:$C$68,"TC",'T1'!AD$4:AD$68,"&lt;&gt;")) + (COUNTIFS('T1'!$C$4:$C$68,"C*",'T1'!AE$4:AE$68,"&lt;&gt;")+COUNTIFS('T1'!$C$4:$C$68,"TC",'T1'!AE$4:AE$68,"&lt;&gt;")))=0,"Chưa nhập","Đã cập nhật")</f>
        <v>Đã cập nhật</v>
      </c>
    </row>
    <row r="12" spans="1:10" x14ac:dyDescent="0.2">
      <c r="A12" s="130" t="s">
        <v>83</v>
      </c>
      <c r="B12" s="131"/>
      <c r="C12" s="132"/>
      <c r="D12" s="60">
        <f t="shared" ref="D12:I12" si="0">IF(COUNT(D8:D11)=0,"",SUM(D8:D11))</f>
        <v>255</v>
      </c>
      <c r="E12" s="61">
        <f t="shared" si="0"/>
        <v>26</v>
      </c>
      <c r="F12" s="60">
        <f t="shared" si="0"/>
        <v>281</v>
      </c>
      <c r="G12" s="60">
        <f t="shared" si="0"/>
        <v>13</v>
      </c>
      <c r="H12" s="62">
        <f t="shared" si="0"/>
        <v>81.25</v>
      </c>
      <c r="I12" s="60">
        <f t="shared" si="0"/>
        <v>10.15625</v>
      </c>
      <c r="J12" s="57"/>
    </row>
    <row r="13" spans="1:10" ht="15" customHeight="1" x14ac:dyDescent="0.2">
      <c r="A13" s="133"/>
      <c r="B13" s="134"/>
      <c r="C13" s="135"/>
      <c r="D13" s="63">
        <f t="shared" ref="D13:I13" si="1">IF(COUNT(D8:D12)=0,"",SUM(D8:D12))</f>
        <v>510</v>
      </c>
      <c r="E13" s="63">
        <f t="shared" si="1"/>
        <v>52</v>
      </c>
      <c r="F13" s="63">
        <f t="shared" si="1"/>
        <v>562</v>
      </c>
      <c r="G13" s="63">
        <f t="shared" si="1"/>
        <v>26</v>
      </c>
      <c r="H13" s="63">
        <f t="shared" si="1"/>
        <v>162.5</v>
      </c>
      <c r="I13" s="63">
        <f t="shared" si="1"/>
        <v>20.3125</v>
      </c>
      <c r="J13" s="58"/>
    </row>
    <row r="15" spans="1:10" x14ac:dyDescent="0.2">
      <c r="A15" s="127" t="s">
        <v>84</v>
      </c>
      <c r="B15" s="125"/>
      <c r="C15" s="125"/>
      <c r="D15" s="125"/>
      <c r="E15" s="125"/>
      <c r="F15" s="125"/>
      <c r="G15" s="125"/>
      <c r="H15" s="125"/>
      <c r="I15" s="125"/>
      <c r="J15" s="125"/>
    </row>
  </sheetData>
  <mergeCells count="15">
    <mergeCell ref="A1:J1"/>
    <mergeCell ref="I4:J4"/>
    <mergeCell ref="A15:J15"/>
    <mergeCell ref="I5:J5"/>
    <mergeCell ref="A2:J2"/>
    <mergeCell ref="A12:C12"/>
    <mergeCell ref="C4:D4"/>
    <mergeCell ref="A13:C13"/>
    <mergeCell ref="C5:D5"/>
    <mergeCell ref="A5:B5"/>
    <mergeCell ref="G5:H5"/>
    <mergeCell ref="E5:F5"/>
    <mergeCell ref="A4:B4"/>
    <mergeCell ref="G4:H4"/>
    <mergeCell ref="E4:F4"/>
  </mergeCells>
  <conditionalFormatting sqref="F8:F12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2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2">
    <cfRule type="expression" dxfId="23" priority="1">
      <formula>$J8="Chưa nhập"</formula>
    </cfRule>
    <cfRule type="expression" dxfId="22" priority="2">
      <formula>$J8="Đã cập nhật"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5"/>
  <sheetViews>
    <sheetView workbookViewId="0">
      <selection sqref="A1:J1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85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>
        <f>F12</f>
        <v>202</v>
      </c>
      <c r="B5" s="125"/>
      <c r="C5" s="136">
        <f>E12</f>
        <v>13</v>
      </c>
      <c r="D5" s="125"/>
      <c r="E5" s="136">
        <f>IF(((COUNTIFS('T2'!$C$4:$C$68,"C*",'T2'!D$4:D$68,"&lt;&gt;")+COUNTIFS('T2'!$C$4:$C$68,"TC",'T2'!D$4:D$68,"&lt;&gt;"))+(COUNTIFS('T2'!$C$4:$C$68,"C*",'T2'!E$4:E$68,"&lt;&gt;")+COUNTIFS('T2'!$C$4:$C$68,"TC",'T2'!E$4:E$68,"&lt;&gt;"))+(COUNTIFS('T2'!$C$4:$C$68,"C*",'T2'!F$4:F$68,"&lt;&gt;")+COUNTIFS('T2'!$C$4:$C$68,"TC",'T2'!F$4:F$68,"&lt;&gt;"))+(COUNTIFS('T2'!$C$4:$C$68,"C*",'T2'!G$4:G$68,"&lt;&gt;")+COUNTIFS('T2'!$C$4:$C$68,"TC",'T2'!G$4:G$68,"&lt;&gt;"))+(COUNTIFS('T2'!$C$4:$C$68,"C*",'T2'!H$4:H$68,"&lt;&gt;")+COUNTIFS('T2'!$C$4:$C$68,"TC",'T2'!H$4:H$68,"&lt;&gt;"))+(COUNTIFS('T2'!$C$4:$C$68,"C*",'T2'!I$4:I$68,"&lt;&gt;")+COUNTIFS('T2'!$C$4:$C$68,"TC",'T2'!I$4:I$68,"&lt;&gt;"))+(COUNTIFS('T2'!$C$4:$C$68,"C*",'T2'!J$4:J$68,"&lt;&gt;")+COUNTIFS('T2'!$C$4:$C$68,"TC",'T2'!J$4:J$68,"&lt;&gt;"))+(COUNTIFS('T2'!$C$4:$C$68,"C*",'T2'!K$4:K$68,"&lt;&gt;")+COUNTIFS('T2'!$C$4:$C$68,"TC",'T2'!K$4:K$68,"&lt;&gt;"))+(COUNTIFS('T2'!$C$4:$C$68,"C*",'T2'!L$4:L$68,"&lt;&gt;")+COUNTIFS('T2'!$C$4:$C$68,"TC",'T2'!L$4:L$68,"&lt;&gt;"))+(COUNTIFS('T2'!$C$4:$C$68,"C*",'T2'!M$4:M$68,"&lt;&gt;")+COUNTIFS('T2'!$C$4:$C$68,"TC",'T2'!M$4:M$68,"&lt;&gt;"))+(COUNTIFS('T2'!$C$4:$C$68,"C*",'T2'!N$4:N$68,"&lt;&gt;")+COUNTIFS('T2'!$C$4:$C$68,"TC",'T2'!N$4:N$68,"&lt;&gt;"))+(COUNTIFS('T2'!$C$4:$C$68,"C*",'T2'!O$4:O$68,"&lt;&gt;")+COUNTIFS('T2'!$C$4:$C$68,"TC",'T2'!O$4:O$68,"&lt;&gt;"))+(COUNTIFS('T2'!$C$4:$C$68,"C*",'T2'!P$4:P$68,"&lt;&gt;")+COUNTIFS('T2'!$C$4:$C$68,"TC",'T2'!P$4:P$68,"&lt;&gt;"))+(COUNTIFS('T2'!$C$4:$C$68,"C*",'T2'!Q$4:Q$68,"&lt;&gt;")+COUNTIFS('T2'!$C$4:$C$68,"TC",'T2'!Q$4:Q$68,"&lt;&gt;"))+(COUNTIFS('T2'!$C$4:$C$68,"C*",'T2'!R$4:R$68,"&lt;&gt;")+COUNTIFS('T2'!$C$4:$C$68,"TC",'T2'!R$4:R$68,"&lt;&gt;"))+(COUNTIFS('T2'!$C$4:$C$68,"C*",'T2'!S$4:S$68,"&lt;&gt;")+COUNTIFS('T2'!$C$4:$C$68,"TC",'T2'!S$4:S$68,"&lt;&gt;"))+(COUNTIFS('T2'!$C$4:$C$68,"C*",'T2'!T$4:T$68,"&lt;&gt;")+COUNTIFS('T2'!$C$4:$C$68,"TC",'T2'!T$4:T$68,"&lt;&gt;"))+(COUNTIFS('T2'!$C$4:$C$68,"C*",'T2'!U$4:U$68,"&lt;&gt;")+COUNTIFS('T2'!$C$4:$C$68,"TC",'T2'!U$4:U$68,"&lt;&gt;"))+(COUNTIFS('T2'!$C$4:$C$68,"C*",'T2'!V$4:V$68,"&lt;&gt;")+COUNTIFS('T2'!$C$4:$C$68,"TC",'T2'!V$4:V$68,"&lt;&gt;"))+(COUNTIFS('T2'!$C$4:$C$68,"C*",'T2'!W$4:W$68,"&lt;&gt;")+COUNTIFS('T2'!$C$4:$C$68,"TC",'T2'!W$4:W$68,"&lt;&gt;"))+(COUNTIFS('T2'!$C$4:$C$68,"C*",'T2'!X$4:X$68,"&lt;&gt;")+COUNTIFS('T2'!$C$4:$C$68,"TC",'T2'!X$4:X$68,"&lt;&gt;"))+(COUNTIFS('T2'!$C$4:$C$68,"C*",'T2'!Y$4:Y$68,"&lt;&gt;")+COUNTIFS('T2'!$C$4:$C$68,"TC",'T2'!Y$4:Y$68,"&lt;&gt;"))+(COUNTIFS('T2'!$C$4:$C$68,"C*",'T2'!Z$4:Z$68,"&lt;&gt;")+COUNTIFS('T2'!$C$4:$C$68,"TC",'T2'!Z$4:Z$68,"&lt;&gt;"))+(COUNTIFS('T2'!$C$4:$C$68,"C*",'T2'!AA$4:AA$68,"&lt;&gt;")+COUNTIFS('T2'!$C$4:$C$68,"TC",'T2'!AA$4:AA$68,"&lt;&gt;"))+(COUNTIFS('T2'!$C$4:$C$68,"C*",'T2'!AB$4:AB$68,"&lt;&gt;")+COUNTIFS('T2'!$C$4:$C$68,"TC",'T2'!AB$4:AB$68,"&lt;&gt;"))+(COUNTIFS('T2'!$C$4:$C$68,"C*",'T2'!AC$4:AC$68,"&lt;&gt;")+COUNTIFS('T2'!$C$4:$C$68,"TC",'T2'!AC$4:AC$68,"&lt;&gt;"))+(COUNTIFS('T2'!$C$4:$C$68,"C*",'T2'!AD$4:AD$68,"&lt;&gt;")+COUNTIFS('T2'!$C$4:$C$68,"TC",'T2'!AD$4:AD$68,"&lt;&gt;"))+(COUNTIFS('T2'!$C$4:$C$68,"C*",'T2'!AE$4:AE$68,"&lt;&gt;")+COUNTIFS('T2'!$C$4:$C$68,"TC",'T2'!AE$4:AE$68,"&lt;&gt;")))=0,"",((SUMIF('T2'!$C$4:$C$68,"TC",'T2'!D$4:D$68))+(SUMIF('T2'!$C$4:$C$68,"TC",'T2'!E$4:E$68))+(SUMIF('T2'!$C$4:$C$68,"TC",'T2'!F$4:F$68))+(SUMIF('T2'!$C$4:$C$68,"TC",'T2'!G$4:G$68))+(SUMIF('T2'!$C$4:$C$68,"TC",'T2'!H$4:H$68))+(SUMIF('T2'!$C$4:$C$68,"TC",'T2'!I$4:I$68))+(SUMIF('T2'!$C$4:$C$68,"TC",'T2'!J$4:J$68))+(SUMIF('T2'!$C$4:$C$68,"TC",'T2'!K$4:K$68))+(SUMIF('T2'!$C$4:$C$68,"TC",'T2'!L$4:L$68))+(SUMIF('T2'!$C$4:$C$68,"TC",'T2'!M$4:M$68))+(SUMIF('T2'!$C$4:$C$68,"TC",'T2'!N$4:N$68))+(SUMIF('T2'!$C$4:$C$68,"TC",'T2'!O$4:O$68))+(SUMIF('T2'!$C$4:$C$68,"TC",'T2'!P$4:P$68))+(SUMIF('T2'!$C$4:$C$68,"TC",'T2'!Q$4:Q$68))+(SUMIF('T2'!$C$4:$C$68,"TC",'T2'!R$4:R$68))+(SUMIF('T2'!$C$4:$C$68,"TC",'T2'!S$4:S$68))+(SUMIF('T2'!$C$4:$C$68,"TC",'T2'!T$4:T$68))+(SUMIF('T2'!$C$4:$C$68,"TC",'T2'!U$4:U$68))+(SUMIF('T2'!$C$4:$C$68,"TC",'T2'!V$4:V$68))+(SUMIF('T2'!$C$4:$C$68,"TC",'T2'!W$4:W$68))+(SUMIF('T2'!$C$4:$C$68,"TC",'T2'!X$4:X$68))+(SUMIF('T2'!$C$4:$C$68,"TC",'T2'!Y$4:Y$68))+(SUMIF('T2'!$C$4:$C$68,"TC",'T2'!Z$4:Z$68))+(SUMIF('T2'!$C$4:$C$68,"TC",'T2'!AA$4:AA$68))+(SUMIF('T2'!$C$4:$C$68,"TC",'T2'!AB$4:AB$68))+(SUMIF('T2'!$C$4:$C$68,"TC",'T2'!AC$4:AC$68))+(SUMIF('T2'!$C$4:$C$68,"TC",'T2'!AD$4:AD$68))+(SUMIF('T2'!$C$4:$C$68,"TC",'T2'!AE$4:AE$68))))</f>
        <v>5</v>
      </c>
      <c r="F5" s="125"/>
      <c r="G5" s="137">
        <f>(COUNTIFS('T2'!$C$4:$C$68,"C*",'T2'!D$4:D$68,"&lt;&gt;")+COUNTIFS('T2'!$C$4:$C$68,"TC",'T2'!D$4:D$68,"&lt;&gt;")&gt;0) + (COUNTIFS('T2'!$C$4:$C$68,"C*",'T2'!E$4:E$68,"&lt;&gt;")+COUNTIFS('T2'!$C$4:$C$68,"TC",'T2'!E$4:E$68,"&lt;&gt;")&gt;0) + (COUNTIFS('T2'!$C$4:$C$68,"C*",'T2'!F$4:F$68,"&lt;&gt;")+COUNTIFS('T2'!$C$4:$C$68,"TC",'T2'!F$4:F$68,"&lt;&gt;")&gt;0) + (COUNTIFS('T2'!$C$4:$C$68,"C*",'T2'!G$4:G$68,"&lt;&gt;")+COUNTIFS('T2'!$C$4:$C$68,"TC",'T2'!G$4:G$68,"&lt;&gt;")&gt;0) + (COUNTIFS('T2'!$C$4:$C$68,"C*",'T2'!H$4:H$68,"&lt;&gt;")+COUNTIFS('T2'!$C$4:$C$68,"TC",'T2'!H$4:H$68,"&lt;&gt;")&gt;0) + (COUNTIFS('T2'!$C$4:$C$68,"C*",'T2'!I$4:I$68,"&lt;&gt;")+COUNTIFS('T2'!$C$4:$C$68,"TC",'T2'!I$4:I$68,"&lt;&gt;")&gt;0) + (COUNTIFS('T2'!$C$4:$C$68,"C*",'T2'!J$4:J$68,"&lt;&gt;")+COUNTIFS('T2'!$C$4:$C$68,"TC",'T2'!J$4:J$68,"&lt;&gt;")&gt;0) + (COUNTIFS('T2'!$C$4:$C$68,"C*",'T2'!K$4:K$68,"&lt;&gt;")+COUNTIFS('T2'!$C$4:$C$68,"TC",'T2'!K$4:K$68,"&lt;&gt;")&gt;0) + (COUNTIFS('T2'!$C$4:$C$68,"C*",'T2'!L$4:L$68,"&lt;&gt;")+COUNTIFS('T2'!$C$4:$C$68,"TC",'T2'!L$4:L$68,"&lt;&gt;")&gt;0) + (COUNTIFS('T2'!$C$4:$C$68,"C*",'T2'!M$4:M$68,"&lt;&gt;")+COUNTIFS('T2'!$C$4:$C$68,"TC",'T2'!M$4:M$68,"&lt;&gt;")&gt;0) + (COUNTIFS('T2'!$C$4:$C$68,"C*",'T2'!N$4:N$68,"&lt;&gt;")+COUNTIFS('T2'!$C$4:$C$68,"TC",'T2'!N$4:N$68,"&lt;&gt;")&gt;0) + (COUNTIFS('T2'!$C$4:$C$68,"C*",'T2'!O$4:O$68,"&lt;&gt;")+COUNTIFS('T2'!$C$4:$C$68,"TC",'T2'!O$4:O$68,"&lt;&gt;")&gt;0) + (COUNTIFS('T2'!$C$4:$C$68,"C*",'T2'!P$4:P$68,"&lt;&gt;")+COUNTIFS('T2'!$C$4:$C$68,"TC",'T2'!P$4:P$68,"&lt;&gt;")&gt;0) + (COUNTIFS('T2'!$C$4:$C$68,"C*",'T2'!Q$4:Q$68,"&lt;&gt;")+COUNTIFS('T2'!$C$4:$C$68,"TC",'T2'!Q$4:Q$68,"&lt;&gt;")&gt;0) + (COUNTIFS('T2'!$C$4:$C$68,"C*",'T2'!R$4:R$68,"&lt;&gt;")+COUNTIFS('T2'!$C$4:$C$68,"TC",'T2'!R$4:R$68,"&lt;&gt;")&gt;0) + (COUNTIFS('T2'!$C$4:$C$68,"C*",'T2'!S$4:S$68,"&lt;&gt;")+COUNTIFS('T2'!$C$4:$C$68,"TC",'T2'!S$4:S$68,"&lt;&gt;")&gt;0) + (COUNTIFS('T2'!$C$4:$C$68,"C*",'T2'!T$4:T$68,"&lt;&gt;")+COUNTIFS('T2'!$C$4:$C$68,"TC",'T2'!T$4:T$68,"&lt;&gt;")&gt;0) + (COUNTIFS('T2'!$C$4:$C$68,"C*",'T2'!U$4:U$68,"&lt;&gt;")+COUNTIFS('T2'!$C$4:$C$68,"TC",'T2'!U$4:U$68,"&lt;&gt;")&gt;0) + (COUNTIFS('T2'!$C$4:$C$68,"C*",'T2'!V$4:V$68,"&lt;&gt;")+COUNTIFS('T2'!$C$4:$C$68,"TC",'T2'!V$4:V$68,"&lt;&gt;")&gt;0) + (COUNTIFS('T2'!$C$4:$C$68,"C*",'T2'!W$4:W$68,"&lt;&gt;")+COUNTIFS('T2'!$C$4:$C$68,"TC",'T2'!W$4:W$68,"&lt;&gt;")&gt;0) + (COUNTIFS('T2'!$C$4:$C$68,"C*",'T2'!X$4:X$68,"&lt;&gt;")+COUNTIFS('T2'!$C$4:$C$68,"TC",'T2'!X$4:X$68,"&lt;&gt;")&gt;0) + (COUNTIFS('T2'!$C$4:$C$68,"C*",'T2'!Y$4:Y$68,"&lt;&gt;")+COUNTIFS('T2'!$C$4:$C$68,"TC",'T2'!Y$4:Y$68,"&lt;&gt;")&gt;0) + (COUNTIFS('T2'!$C$4:$C$68,"C*",'T2'!Z$4:Z$68,"&lt;&gt;")+COUNTIFS('T2'!$C$4:$C$68,"TC",'T2'!Z$4:Z$68,"&lt;&gt;")&gt;0) + (COUNTIFS('T2'!$C$4:$C$68,"C*",'T2'!AA$4:AA$68,"&lt;&gt;")+COUNTIFS('T2'!$C$4:$C$68,"TC",'T2'!AA$4:AA$68,"&lt;&gt;")&gt;0) + (COUNTIFS('T2'!$C$4:$C$68,"C*",'T2'!AB$4:AB$68,"&lt;&gt;")+COUNTIFS('T2'!$C$4:$C$68,"TC",'T2'!AB$4:AB$68,"&lt;&gt;")&gt;0) + (COUNTIFS('T2'!$C$4:$C$68,"C*",'T2'!AC$4:AC$68,"&lt;&gt;")+COUNTIFS('T2'!$C$4:$C$68,"TC",'T2'!AC$4:AC$68,"&lt;&gt;")&gt;0) + (COUNTIFS('T2'!$C$4:$C$68,"C*",'T2'!AD$4:AD$68,"&lt;&gt;")+COUNTIFS('T2'!$C$4:$C$68,"TC",'T2'!AD$4:AD$68,"&lt;&gt;")&gt;0) + (COUNTIFS('T2'!$C$4:$C$68,"C*",'T2'!AE$4:AE$68,"&lt;&gt;")+COUNTIFS('T2'!$C$4:$C$68,"TC",'T2'!AE$4:AE$68,"&lt;&gt;")&gt;0)</f>
        <v>27</v>
      </c>
      <c r="H5" s="125"/>
      <c r="I5" s="128">
        <f ca="1">NOW()</f>
        <v>46253.615729861114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46051</v>
      </c>
      <c r="C8" s="59">
        <v>46057</v>
      </c>
      <c r="D8" s="60">
        <f>IF(((COUNTIFS('T1'!$C$4:$C$68,"C*",'T1'!AF$4:AF$68,"&lt;&gt;")+COUNTIFS('T1'!$C$4:$C$68,"TC",'T1'!AF$4:AF$68,"&lt;&gt;")) + (COUNTIFS('T1'!$C$4:$C$68,"C*",'T1'!AG$4:AG$68,"&lt;&gt;")+COUNTIFS('T1'!$C$4:$C$68,"TC",'T1'!AG$4:AG$68,"&lt;&gt;")) + (COUNTIFS('T1'!$C$4:$C$68,"C*",'T1'!AH$4:AH$68,"&lt;&gt;")+COUNTIFS('T1'!$C$4:$C$68,"TC",'T1'!AH$4:AH$68,"&lt;&gt;")) + (COUNTIFS('T2'!$C$4:$C$68,"C*",'T2'!D$4:D$68,"&lt;&gt;")+COUNTIFS('T2'!$C$4:$C$68,"TC",'T2'!D$4:D$68,"&lt;&gt;")) + (COUNTIFS('T2'!$C$4:$C$68,"C*",'T2'!E$4:E$68,"&lt;&gt;")+COUNTIFS('T2'!$C$4:$C$68,"TC",'T2'!E$4:E$68,"&lt;&gt;")) + (COUNTIFS('T2'!$C$4:$C$68,"C*",'T2'!F$4:F$68,"&lt;&gt;")+COUNTIFS('T2'!$C$4:$C$68,"TC",'T2'!F$4:F$68,"&lt;&gt;")) + (COUNTIFS('T2'!$C$4:$C$68,"C*",'T2'!G$4:G$68,"&lt;&gt;")+COUNTIFS('T2'!$C$4:$C$68,"TC",'T2'!G$4:G$68,"&lt;&gt;")))=0,"",((COUNTIFS('T1'!$C$4:$C$68,"C*",'T1'!AF$4:AF$68,"x*")-0.5*(COUNTIFS('T1'!$C$4:$C$68,"C*",'T1'!AF$4:AF$68,"x/2")))+(COUNTIFS('T1'!$C$4:$C$68,"C*",'T1'!AG$4:AG$68,"x*")-0.5*(COUNTIFS('T1'!$C$4:$C$68,"C*",'T1'!AG$4:AG$68,"x/2")))+(COUNTIFS('T1'!$C$4:$C$68,"C*",'T1'!AH$4:AH$68,"x*")-0.5*(COUNTIFS('T1'!$C$4:$C$68,"C*",'T1'!AH$4:AH$68,"x/2")))+(COUNTIFS('T2'!$C$4:$C$68,"C*",'T2'!E$4:E$68,"x*")-0.5*(COUNTIFS('T2'!$C$4:$C$68,"C*",'T2'!E$4:E$68,"x/2")))+(COUNTIFS('T2'!$C$4:$C$68,"C*",'T2'!F$4:F$68,"x*")-0.5*(COUNTIFS('T2'!$C$4:$C$68,"C*",'T2'!F$4:F$68,"x/2")))+(COUNTIFS('T2'!$C$4:$C$68,"C*",'T2'!G$4:G$68,"x*")-0.5*(COUNTIFS('T2'!$C$4:$C$68,"C*",'T2'!G$4:G$68,"x/2")))))</f>
        <v>47</v>
      </c>
      <c r="E8" s="61">
        <f>IF(((COUNTIFS('T1'!$C$4:$C$68,"C*",'T1'!AF$4:AF$68,"&lt;&gt;")+COUNTIFS('T1'!$C$4:$C$68,"TC",'T1'!AF$4:AF$68,"&lt;&gt;")) + (COUNTIFS('T1'!$C$4:$C$68,"C*",'T1'!AG$4:AG$68,"&lt;&gt;")+COUNTIFS('T1'!$C$4:$C$68,"TC",'T1'!AG$4:AG$68,"&lt;&gt;")) + (COUNTIFS('T1'!$C$4:$C$68,"C*",'T1'!AH$4:AH$68,"&lt;&gt;")+COUNTIFS('T1'!$C$4:$C$68,"TC",'T1'!AH$4:AH$68,"&lt;&gt;")) + (COUNTIFS('T2'!$C$4:$C$68,"C*",'T2'!D$4:D$68,"&lt;&gt;")+COUNTIFS('T2'!$C$4:$C$68,"TC",'T2'!D$4:D$68,"&lt;&gt;")) + (COUNTIFS('T2'!$C$4:$C$68,"C*",'T2'!E$4:E$68,"&lt;&gt;")+COUNTIFS('T2'!$C$4:$C$68,"TC",'T2'!E$4:E$68,"&lt;&gt;")) + (COUNTIFS('T2'!$C$4:$C$68,"C*",'T2'!F$4:F$68,"&lt;&gt;")+COUNTIFS('T2'!$C$4:$C$68,"TC",'T2'!F$4:F$68,"&lt;&gt;")) + (COUNTIFS('T2'!$C$4:$C$68,"C*",'T2'!G$4:G$68,"&lt;&gt;")+COUNTIFS('T2'!$C$4:$C$68,"TC",'T2'!G$4:G$68,"&lt;&gt;")))=0,"",((COUNTIFS('T2'!$C$4:$C$68,"C*",'T2'!D$4:D$68,"x*")-0.5*(COUNTIFS('T2'!$C$4:$C$68,"C*",'T2'!D$4:D$68,"x/2")))))</f>
        <v>0</v>
      </c>
      <c r="F8" s="60">
        <f>IF(AND(D8="",E8=""),"",D8+E8)</f>
        <v>47</v>
      </c>
      <c r="G8" s="60">
        <f>IF(((COUNTIFS('T1'!$C$4:$C$68,"C*",'T1'!AF$4:AF$68,"&lt;&gt;")+COUNTIFS('T1'!$C$4:$C$68,"TC",'T1'!AF$4:AF$68,"&lt;&gt;")) + (COUNTIFS('T1'!$C$4:$C$68,"C*",'T1'!AG$4:AG$68,"&lt;&gt;")+COUNTIFS('T1'!$C$4:$C$68,"TC",'T1'!AG$4:AG$68,"&lt;&gt;")) + (COUNTIFS('T1'!$C$4:$C$68,"C*",'T1'!AH$4:AH$68,"&lt;&gt;")+COUNTIFS('T1'!$C$4:$C$68,"TC",'T1'!AH$4:AH$68,"&lt;&gt;")) + (COUNTIFS('T2'!$C$4:$C$68,"C*",'T2'!D$4:D$68,"&lt;&gt;")+COUNTIFS('T2'!$C$4:$C$68,"TC",'T2'!D$4:D$68,"&lt;&gt;")) + (COUNTIFS('T2'!$C$4:$C$68,"C*",'T2'!E$4:E$68,"&lt;&gt;")+COUNTIFS('T2'!$C$4:$C$68,"TC",'T2'!E$4:E$68,"&lt;&gt;")) + (COUNTIFS('T2'!$C$4:$C$68,"C*",'T2'!F$4:F$68,"&lt;&gt;")+COUNTIFS('T2'!$C$4:$C$68,"TC",'T2'!F$4:F$68,"&lt;&gt;")) + (COUNTIFS('T2'!$C$4:$C$68,"C*",'T2'!G$4:G$68,"&lt;&gt;")+COUNTIFS('T2'!$C$4:$C$68,"TC",'T2'!G$4:G$68,"&lt;&gt;")))=0,"",(SUMIF('T1'!$C$4:$C$68,"TC",'T1'!AF$4:AF$68))+(SUMIF('T1'!$C$4:$C$68,"TC",'T1'!AG$4:AG$68))+(SUMIF('T1'!$C$4:$C$68,"TC",'T1'!AH$4:AH$68))+(SUMIF('T2'!$C$4:$C$68,"TC",'T2'!E$4:E$68))+(SUMIF('T2'!$C$4:$C$68,"TC",'T2'!F$4:F$68))+(SUMIF('T2'!$C$4:$C$68,"TC",'T2'!G$4:G$68)))</f>
        <v>-1</v>
      </c>
      <c r="H8" s="62">
        <f>IF(((COUNTIFS('T1'!$C$4:$C$68,"C*",'T1'!AF$4:AF$68,"&lt;&gt;")+COUNTIFS('T1'!$C$4:$C$68,"TC",'T1'!AF$4:AF$68,"&lt;&gt;")) + (COUNTIFS('T1'!$C$4:$C$68,"C*",'T1'!AG$4:AG$68,"&lt;&gt;")+COUNTIFS('T1'!$C$4:$C$68,"TC",'T1'!AG$4:AG$68,"&lt;&gt;")) + (COUNTIFS('T1'!$C$4:$C$68,"C*",'T1'!AH$4:AH$68,"&lt;&gt;")+COUNTIFS('T1'!$C$4:$C$68,"TC",'T1'!AH$4:AH$68,"&lt;&gt;")) + (COUNTIFS('T2'!$C$4:$C$68,"C*",'T2'!D$4:D$68,"&lt;&gt;")+COUNTIFS('T2'!$C$4:$C$68,"TC",'T2'!D$4:D$68,"&lt;&gt;")) + (COUNTIFS('T2'!$C$4:$C$68,"C*",'T2'!E$4:E$68,"&lt;&gt;")+COUNTIFS('T2'!$C$4:$C$68,"TC",'T2'!E$4:E$68,"&lt;&gt;")) + (COUNTIFS('T2'!$C$4:$C$68,"C*",'T2'!F$4:F$68,"&lt;&gt;")+COUNTIFS('T2'!$C$4:$C$68,"TC",'T2'!F$4:F$68,"&lt;&gt;")) + (COUNTIFS('T2'!$C$4:$C$68,"C*",'T2'!G$4:G$68,"&lt;&gt;")+COUNTIFS('T2'!$C$4:$C$68,"TC",'T2'!G$4:G$68,"&lt;&gt;")))=0,"",(SUMIF('T1'!$C$4:$C$68,"TC",'T1'!AF$4:AF$68))+(SUMIF('T1'!$C$4:$C$68,"TC",'T1'!AG$4:AG$68))+(SUMIF('T1'!$C$4:$C$68,"TC",'T1'!AH$4:AH$68))+(SUMIF('T2'!$C$4:$C$68,"TC",'T2'!D$4:D$68))+(SUMIF('T2'!$C$4:$C$68,"TC",'T2'!E$4:E$68))+(SUMIF('T2'!$C$4:$C$68,"TC",'T2'!F$4:F$68))+(SUMIF('T2'!$C$4:$C$68,"TC",'T2'!G$4:G$68)))</f>
        <v>-1</v>
      </c>
      <c r="I8" s="60">
        <f>IF(H8="","",H8/8)</f>
        <v>-0.125</v>
      </c>
      <c r="J8" s="57" t="str">
        <f>IF(((COUNTIFS('T1'!$C$4:$C$68,"C*",'T1'!AF$4:AF$68,"&lt;&gt;")+COUNTIFS('T1'!$C$4:$C$68,"TC",'T1'!AF$4:AF$68,"&lt;&gt;")) + (COUNTIFS('T1'!$C$4:$C$68,"C*",'T1'!AG$4:AG$68,"&lt;&gt;")+COUNTIFS('T1'!$C$4:$C$68,"TC",'T1'!AG$4:AG$68,"&lt;&gt;")) + (COUNTIFS('T1'!$C$4:$C$68,"C*",'T1'!AH$4:AH$68,"&lt;&gt;")+COUNTIFS('T1'!$C$4:$C$68,"TC",'T1'!AH$4:AH$68,"&lt;&gt;")) + (COUNTIFS('T2'!$C$4:$C$68,"C*",'T2'!D$4:D$68,"&lt;&gt;")+COUNTIFS('T2'!$C$4:$C$68,"TC",'T2'!D$4:D$68,"&lt;&gt;")) + (COUNTIFS('T2'!$C$4:$C$68,"C*",'T2'!E$4:E$68,"&lt;&gt;")+COUNTIFS('T2'!$C$4:$C$68,"TC",'T2'!E$4:E$68,"&lt;&gt;")) + (COUNTIFS('T2'!$C$4:$C$68,"C*",'T2'!F$4:F$68,"&lt;&gt;")+COUNTIFS('T2'!$C$4:$C$68,"TC",'T2'!F$4:F$68,"&lt;&gt;")) + (COUNTIFS('T2'!$C$4:$C$68,"C*",'T2'!G$4:G$68,"&lt;&gt;")+COUNTIFS('T2'!$C$4:$C$68,"TC",'T2'!G$4:G$68,"&lt;&gt;")))=0,"Chưa nhập","Đã cập nhật")</f>
        <v>Đã cập nhật</v>
      </c>
    </row>
    <row r="9" spans="1:10" x14ac:dyDescent="0.2">
      <c r="A9" s="57" t="s">
        <v>80</v>
      </c>
      <c r="B9" s="59">
        <v>46058</v>
      </c>
      <c r="C9" s="59">
        <v>46064</v>
      </c>
      <c r="D9" s="60">
        <f>IF(((COUNTIFS('T2'!$C$4:$C$68,"C*",'T2'!H$4:H$68,"&lt;&gt;")+COUNTIFS('T2'!$C$4:$C$68,"TC",'T2'!H$4:H$68,"&lt;&gt;")) + (COUNTIFS('T2'!$C$4:$C$68,"C*",'T2'!I$4:I$68,"&lt;&gt;")+COUNTIFS('T2'!$C$4:$C$68,"TC",'T2'!I$4:I$68,"&lt;&gt;")) + (COUNTIFS('T2'!$C$4:$C$68,"C*",'T2'!J$4:J$68,"&lt;&gt;")+COUNTIFS('T2'!$C$4:$C$68,"TC",'T2'!J$4:J$68,"&lt;&gt;")) + (COUNTIFS('T2'!$C$4:$C$68,"C*",'T2'!K$4:K$68,"&lt;&gt;")+COUNTIFS('T2'!$C$4:$C$68,"TC",'T2'!K$4:K$68,"&lt;&gt;")) + (COUNTIFS('T2'!$C$4:$C$68,"C*",'T2'!L$4:L$68,"&lt;&gt;")+COUNTIFS('T2'!$C$4:$C$68,"TC",'T2'!L$4:L$68,"&lt;&gt;")) + (COUNTIFS('T2'!$C$4:$C$68,"C*",'T2'!M$4:M$68,"&lt;&gt;")+COUNTIFS('T2'!$C$4:$C$68,"TC",'T2'!M$4:M$68,"&lt;&gt;")) + (COUNTIFS('T2'!$C$4:$C$68,"C*",'T2'!N$4:N$68,"&lt;&gt;")+COUNTIFS('T2'!$C$4:$C$68,"TC",'T2'!N$4:N$68,"&lt;&gt;")))=0,"",((COUNTIFS('T2'!$C$4:$C$68,"C*",'T2'!H$4:H$68,"x*")-0.5*(COUNTIFS('T2'!$C$4:$C$68,"C*",'T2'!H$4:H$68,"x/2")))+(COUNTIFS('T2'!$C$4:$C$68,"C*",'T2'!I$4:I$68,"x*")-0.5*(COUNTIFS('T2'!$C$4:$C$68,"C*",'T2'!I$4:I$68,"x/2")))+(COUNTIFS('T2'!$C$4:$C$68,"C*",'T2'!J$4:J$68,"x*")-0.5*(COUNTIFS('T2'!$C$4:$C$68,"C*",'T2'!J$4:J$68,"x/2")))+(COUNTIFS('T2'!$C$4:$C$68,"C*",'T2'!L$4:L$68,"x*")-0.5*(COUNTIFS('T2'!$C$4:$C$68,"C*",'T2'!L$4:L$68,"x/2")))+(COUNTIFS('T2'!$C$4:$C$68,"C*",'T2'!M$4:M$68,"x*")-0.5*(COUNTIFS('T2'!$C$4:$C$68,"C*",'T2'!M$4:M$68,"x/2")))+(COUNTIFS('T2'!$C$4:$C$68,"C*",'T2'!N$4:N$68,"x*")-0.5*(COUNTIFS('T2'!$C$4:$C$68,"C*",'T2'!N$4:N$68,"x/2")))))</f>
        <v>70</v>
      </c>
      <c r="E9" s="61">
        <f>IF(((COUNTIFS('T2'!$C$4:$C$68,"C*",'T2'!H$4:H$68,"&lt;&gt;")+COUNTIFS('T2'!$C$4:$C$68,"TC",'T2'!H$4:H$68,"&lt;&gt;")) + (COUNTIFS('T2'!$C$4:$C$68,"C*",'T2'!I$4:I$68,"&lt;&gt;")+COUNTIFS('T2'!$C$4:$C$68,"TC",'T2'!I$4:I$68,"&lt;&gt;")) + (COUNTIFS('T2'!$C$4:$C$68,"C*",'T2'!J$4:J$68,"&lt;&gt;")+COUNTIFS('T2'!$C$4:$C$68,"TC",'T2'!J$4:J$68,"&lt;&gt;")) + (COUNTIFS('T2'!$C$4:$C$68,"C*",'T2'!K$4:K$68,"&lt;&gt;")+COUNTIFS('T2'!$C$4:$C$68,"TC",'T2'!K$4:K$68,"&lt;&gt;")) + (COUNTIFS('T2'!$C$4:$C$68,"C*",'T2'!L$4:L$68,"&lt;&gt;")+COUNTIFS('T2'!$C$4:$C$68,"TC",'T2'!L$4:L$68,"&lt;&gt;")) + (COUNTIFS('T2'!$C$4:$C$68,"C*",'T2'!M$4:M$68,"&lt;&gt;")+COUNTIFS('T2'!$C$4:$C$68,"TC",'T2'!M$4:M$68,"&lt;&gt;")) + (COUNTIFS('T2'!$C$4:$C$68,"C*",'T2'!N$4:N$68,"&lt;&gt;")+COUNTIFS('T2'!$C$4:$C$68,"TC",'T2'!N$4:N$68,"&lt;&gt;")))=0,"",((COUNTIFS('T2'!$C$4:$C$68,"C*",'T2'!K$4:K$68,"x*")-0.5*(COUNTIFS('T2'!$C$4:$C$68,"C*",'T2'!K$4:K$68,"x/2")))))</f>
        <v>4</v>
      </c>
      <c r="F9" s="60">
        <f>IF(AND(D9="",E9=""),"",D9+E9)</f>
        <v>74</v>
      </c>
      <c r="G9" s="60">
        <f>IF(((COUNTIFS('T2'!$C$4:$C$68,"C*",'T2'!H$4:H$68,"&lt;&gt;")+COUNTIFS('T2'!$C$4:$C$68,"TC",'T2'!H$4:H$68,"&lt;&gt;")) + (COUNTIFS('T2'!$C$4:$C$68,"C*",'T2'!I$4:I$68,"&lt;&gt;")+COUNTIFS('T2'!$C$4:$C$68,"TC",'T2'!I$4:I$68,"&lt;&gt;")) + (COUNTIFS('T2'!$C$4:$C$68,"C*",'T2'!J$4:J$68,"&lt;&gt;")+COUNTIFS('T2'!$C$4:$C$68,"TC",'T2'!J$4:J$68,"&lt;&gt;")) + (COUNTIFS('T2'!$C$4:$C$68,"C*",'T2'!K$4:K$68,"&lt;&gt;")+COUNTIFS('T2'!$C$4:$C$68,"TC",'T2'!K$4:K$68,"&lt;&gt;")) + (COUNTIFS('T2'!$C$4:$C$68,"C*",'T2'!L$4:L$68,"&lt;&gt;")+COUNTIFS('T2'!$C$4:$C$68,"TC",'T2'!L$4:L$68,"&lt;&gt;")) + (COUNTIFS('T2'!$C$4:$C$68,"C*",'T2'!M$4:M$68,"&lt;&gt;")+COUNTIFS('T2'!$C$4:$C$68,"TC",'T2'!M$4:M$68,"&lt;&gt;")) + (COUNTIFS('T2'!$C$4:$C$68,"C*",'T2'!N$4:N$68,"&lt;&gt;")+COUNTIFS('T2'!$C$4:$C$68,"TC",'T2'!N$4:N$68,"&lt;&gt;")))=0,"",(SUMIF('T2'!$C$4:$C$68,"TC",'T2'!H$4:H$68))+(SUMIF('T2'!$C$4:$C$68,"TC",'T2'!I$4:I$68))+(SUMIF('T2'!$C$4:$C$68,"TC",'T2'!J$4:J$68))+(SUMIF('T2'!$C$4:$C$68,"TC",'T2'!L$4:L$68))+(SUMIF('T2'!$C$4:$C$68,"TC",'T2'!M$4:M$68))+(SUMIF('T2'!$C$4:$C$68,"TC",'T2'!N$4:N$68)))</f>
        <v>0</v>
      </c>
      <c r="H9" s="62">
        <f>IF(((COUNTIFS('T2'!$C$4:$C$68,"C*",'T2'!H$4:H$68,"&lt;&gt;")+COUNTIFS('T2'!$C$4:$C$68,"TC",'T2'!H$4:H$68,"&lt;&gt;")) + (COUNTIFS('T2'!$C$4:$C$68,"C*",'T2'!I$4:I$68,"&lt;&gt;")+COUNTIFS('T2'!$C$4:$C$68,"TC",'T2'!I$4:I$68,"&lt;&gt;")) + (COUNTIFS('T2'!$C$4:$C$68,"C*",'T2'!J$4:J$68,"&lt;&gt;")+COUNTIFS('T2'!$C$4:$C$68,"TC",'T2'!J$4:J$68,"&lt;&gt;")) + (COUNTIFS('T2'!$C$4:$C$68,"C*",'T2'!K$4:K$68,"&lt;&gt;")+COUNTIFS('T2'!$C$4:$C$68,"TC",'T2'!K$4:K$68,"&lt;&gt;")) + (COUNTIFS('T2'!$C$4:$C$68,"C*",'T2'!L$4:L$68,"&lt;&gt;")+COUNTIFS('T2'!$C$4:$C$68,"TC",'T2'!L$4:L$68,"&lt;&gt;")) + (COUNTIFS('T2'!$C$4:$C$68,"C*",'T2'!M$4:M$68,"&lt;&gt;")+COUNTIFS('T2'!$C$4:$C$68,"TC",'T2'!M$4:M$68,"&lt;&gt;")) + (COUNTIFS('T2'!$C$4:$C$68,"C*",'T2'!N$4:N$68,"&lt;&gt;")+COUNTIFS('T2'!$C$4:$C$68,"TC",'T2'!N$4:N$68,"&lt;&gt;")))=0,"",(SUMIF('T2'!$C$4:$C$68,"TC",'T2'!H$4:H$68))+(SUMIF('T2'!$C$4:$C$68,"TC",'T2'!I$4:I$68))+(SUMIF('T2'!$C$4:$C$68,"TC",'T2'!J$4:J$68))+(SUMIF('T2'!$C$4:$C$68,"TC",'T2'!K$4:K$68))+(SUMIF('T2'!$C$4:$C$68,"TC",'T2'!L$4:L$68))+(SUMIF('T2'!$C$4:$C$68,"TC",'T2'!M$4:M$68))+(SUMIF('T2'!$C$4:$C$68,"TC",'T2'!N$4:N$68)))</f>
        <v>0.75</v>
      </c>
      <c r="I9" s="60">
        <f>IF(H9="","",H9/8)</f>
        <v>9.375E-2</v>
      </c>
      <c r="J9" s="57" t="str">
        <f>IF(((COUNTIFS('T2'!$C$4:$C$68,"C*",'T2'!H$4:H$68,"&lt;&gt;")+COUNTIFS('T2'!$C$4:$C$68,"TC",'T2'!H$4:H$68,"&lt;&gt;")) + (COUNTIFS('T2'!$C$4:$C$68,"C*",'T2'!I$4:I$68,"&lt;&gt;")+COUNTIFS('T2'!$C$4:$C$68,"TC",'T2'!I$4:I$68,"&lt;&gt;")) + (COUNTIFS('T2'!$C$4:$C$68,"C*",'T2'!J$4:J$68,"&lt;&gt;")+COUNTIFS('T2'!$C$4:$C$68,"TC",'T2'!J$4:J$68,"&lt;&gt;")) + (COUNTIFS('T2'!$C$4:$C$68,"C*",'T2'!K$4:K$68,"&lt;&gt;")+COUNTIFS('T2'!$C$4:$C$68,"TC",'T2'!K$4:K$68,"&lt;&gt;")) + (COUNTIFS('T2'!$C$4:$C$68,"C*",'T2'!L$4:L$68,"&lt;&gt;")+COUNTIFS('T2'!$C$4:$C$68,"TC",'T2'!L$4:L$68,"&lt;&gt;")) + (COUNTIFS('T2'!$C$4:$C$68,"C*",'T2'!M$4:M$68,"&lt;&gt;")+COUNTIFS('T2'!$C$4:$C$68,"TC",'T2'!M$4:M$68,"&lt;&gt;")) + (COUNTIFS('T2'!$C$4:$C$68,"C*",'T2'!N$4:N$68,"&lt;&gt;")+COUNTIFS('T2'!$C$4:$C$68,"TC",'T2'!N$4:N$68,"&lt;&gt;")))=0,"Chưa nhập","Đã cập nhật")</f>
        <v>Đã cập nhật</v>
      </c>
    </row>
    <row r="10" spans="1:10" x14ac:dyDescent="0.2">
      <c r="A10" s="57" t="s">
        <v>81</v>
      </c>
      <c r="B10" s="59">
        <v>46065</v>
      </c>
      <c r="C10" s="59">
        <v>46071</v>
      </c>
      <c r="D10" s="60">
        <f>IF(((COUNTIFS('T2'!$C$4:$C$68,"C*",'T2'!O$4:O$68,"&lt;&gt;")+COUNTIFS('T2'!$C$4:$C$68,"TC",'T2'!O$4:O$68,"&lt;&gt;")) + (COUNTIFS('T2'!$C$4:$C$68,"C*",'T2'!P$4:P$68,"&lt;&gt;")+COUNTIFS('T2'!$C$4:$C$68,"TC",'T2'!P$4:P$68,"&lt;&gt;")) + (COUNTIFS('T2'!$C$4:$C$68,"C*",'T2'!Q$4:Q$68,"&lt;&gt;")+COUNTIFS('T2'!$C$4:$C$68,"TC",'T2'!Q$4:Q$68,"&lt;&gt;")) + (COUNTIFS('T2'!$C$4:$C$68,"C*",'T2'!R$4:R$68,"&lt;&gt;")+COUNTIFS('T2'!$C$4:$C$68,"TC",'T2'!R$4:R$68,"&lt;&gt;")) + (COUNTIFS('T2'!$C$4:$C$68,"C*",'T2'!S$4:S$68,"&lt;&gt;")+COUNTIFS('T2'!$C$4:$C$68,"TC",'T2'!S$4:S$68,"&lt;&gt;")) + (COUNTIFS('T2'!$C$4:$C$68,"C*",'T2'!T$4:T$68,"&lt;&gt;")+COUNTIFS('T2'!$C$4:$C$68,"TC",'T2'!T$4:T$68,"&lt;&gt;")) + (COUNTIFS('T2'!$C$4:$C$68,"C*",'T2'!U$4:U$68,"&lt;&gt;")+COUNTIFS('T2'!$C$4:$C$68,"TC",'T2'!U$4:U$68,"&lt;&gt;")))=0,"",((COUNTIFS('T2'!$C$4:$C$68,"C*",'T2'!O$4:O$68,"x*")-0.5*(COUNTIFS('T2'!$C$4:$C$68,"C*",'T2'!O$4:O$68,"x/2")))+(COUNTIFS('T2'!$C$4:$C$68,"C*",'T2'!P$4:P$68,"x*")-0.5*(COUNTIFS('T2'!$C$4:$C$68,"C*",'T2'!P$4:P$68,"x/2")))+(COUNTIFS('T2'!$C$4:$C$68,"C*",'T2'!Q$4:Q$68,"x*")-0.5*(COUNTIFS('T2'!$C$4:$C$68,"C*",'T2'!Q$4:Q$68,"x/2")))+(COUNTIFS('T2'!$C$4:$C$68,"C*",'T2'!S$4:S$68,"x*")-0.5*(COUNTIFS('T2'!$C$4:$C$68,"C*",'T2'!S$4:S$68,"x/2")))+(COUNTIFS('T2'!$C$4:$C$68,"C*",'T2'!T$4:T$68,"x*")-0.5*(COUNTIFS('T2'!$C$4:$C$68,"C*",'T2'!T$4:T$68,"x/2")))+(COUNTIFS('T2'!$C$4:$C$68,"C*",'T2'!U$4:U$68,"x*")-0.5*(COUNTIFS('T2'!$C$4:$C$68,"C*",'T2'!U$4:U$68,"x/2")))))</f>
        <v>24.5</v>
      </c>
      <c r="E10" s="61">
        <f>IF(((COUNTIFS('T2'!$C$4:$C$68,"C*",'T2'!O$4:O$68,"&lt;&gt;")+COUNTIFS('T2'!$C$4:$C$68,"TC",'T2'!O$4:O$68,"&lt;&gt;")) + (COUNTIFS('T2'!$C$4:$C$68,"C*",'T2'!P$4:P$68,"&lt;&gt;")+COUNTIFS('T2'!$C$4:$C$68,"TC",'T2'!P$4:P$68,"&lt;&gt;")) + (COUNTIFS('T2'!$C$4:$C$68,"C*",'T2'!Q$4:Q$68,"&lt;&gt;")+COUNTIFS('T2'!$C$4:$C$68,"TC",'T2'!Q$4:Q$68,"&lt;&gt;")) + (COUNTIFS('T2'!$C$4:$C$68,"C*",'T2'!R$4:R$68,"&lt;&gt;")+COUNTIFS('T2'!$C$4:$C$68,"TC",'T2'!R$4:R$68,"&lt;&gt;")) + (COUNTIFS('T2'!$C$4:$C$68,"C*",'T2'!S$4:S$68,"&lt;&gt;")+COUNTIFS('T2'!$C$4:$C$68,"TC",'T2'!S$4:S$68,"&lt;&gt;")) + (COUNTIFS('T2'!$C$4:$C$68,"C*",'T2'!T$4:T$68,"&lt;&gt;")+COUNTIFS('T2'!$C$4:$C$68,"TC",'T2'!T$4:T$68,"&lt;&gt;")) + (COUNTIFS('T2'!$C$4:$C$68,"C*",'T2'!U$4:U$68,"&lt;&gt;")+COUNTIFS('T2'!$C$4:$C$68,"TC",'T2'!U$4:U$68,"&lt;&gt;")))=0,"",((COUNTIFS('T2'!$C$4:$C$68,"C*",'T2'!R$4:R$68,"x*")-0.5*(COUNTIFS('T2'!$C$4:$C$68,"C*",'T2'!R$4:R$68,"x/2")))))</f>
        <v>0</v>
      </c>
      <c r="F10" s="60">
        <f>IF(AND(D10="",E10=""),"",D10+E10)</f>
        <v>24.5</v>
      </c>
      <c r="G10" s="60">
        <f>IF(((COUNTIFS('T2'!$C$4:$C$68,"C*",'T2'!O$4:O$68,"&lt;&gt;")+COUNTIFS('T2'!$C$4:$C$68,"TC",'T2'!O$4:O$68,"&lt;&gt;")) + (COUNTIFS('T2'!$C$4:$C$68,"C*",'T2'!P$4:P$68,"&lt;&gt;")+COUNTIFS('T2'!$C$4:$C$68,"TC",'T2'!P$4:P$68,"&lt;&gt;")) + (COUNTIFS('T2'!$C$4:$C$68,"C*",'T2'!Q$4:Q$68,"&lt;&gt;")+COUNTIFS('T2'!$C$4:$C$68,"TC",'T2'!Q$4:Q$68,"&lt;&gt;")) + (COUNTIFS('T2'!$C$4:$C$68,"C*",'T2'!R$4:R$68,"&lt;&gt;")+COUNTIFS('T2'!$C$4:$C$68,"TC",'T2'!R$4:R$68,"&lt;&gt;")) + (COUNTIFS('T2'!$C$4:$C$68,"C*",'T2'!S$4:S$68,"&lt;&gt;")+COUNTIFS('T2'!$C$4:$C$68,"TC",'T2'!S$4:S$68,"&lt;&gt;")) + (COUNTIFS('T2'!$C$4:$C$68,"C*",'T2'!T$4:T$68,"&lt;&gt;")+COUNTIFS('T2'!$C$4:$C$68,"TC",'T2'!T$4:T$68,"&lt;&gt;")) + (COUNTIFS('T2'!$C$4:$C$68,"C*",'T2'!U$4:U$68,"&lt;&gt;")+COUNTIFS('T2'!$C$4:$C$68,"TC",'T2'!U$4:U$68,"&lt;&gt;")))=0,"",(SUMIF('T2'!$C$4:$C$68,"TC",'T2'!O$4:O$68))+(SUMIF('T2'!$C$4:$C$68,"TC",'T2'!P$4:P$68))+(SUMIF('T2'!$C$4:$C$68,"TC",'T2'!Q$4:Q$68))+(SUMIF('T2'!$C$4:$C$68,"TC",'T2'!S$4:S$68))+(SUMIF('T2'!$C$4:$C$68,"TC",'T2'!T$4:T$68))+(SUMIF('T2'!$C$4:$C$68,"TC",'T2'!U$4:U$68)))</f>
        <v>0</v>
      </c>
      <c r="H10" s="62">
        <f>IF(((COUNTIFS('T2'!$C$4:$C$68,"C*",'T2'!O$4:O$68,"&lt;&gt;")+COUNTIFS('T2'!$C$4:$C$68,"TC",'T2'!O$4:O$68,"&lt;&gt;")) + (COUNTIFS('T2'!$C$4:$C$68,"C*",'T2'!P$4:P$68,"&lt;&gt;")+COUNTIFS('T2'!$C$4:$C$68,"TC",'T2'!P$4:P$68,"&lt;&gt;")) + (COUNTIFS('T2'!$C$4:$C$68,"C*",'T2'!Q$4:Q$68,"&lt;&gt;")+COUNTIFS('T2'!$C$4:$C$68,"TC",'T2'!Q$4:Q$68,"&lt;&gt;")) + (COUNTIFS('T2'!$C$4:$C$68,"C*",'T2'!R$4:R$68,"&lt;&gt;")+COUNTIFS('T2'!$C$4:$C$68,"TC",'T2'!R$4:R$68,"&lt;&gt;")) + (COUNTIFS('T2'!$C$4:$C$68,"C*",'T2'!S$4:S$68,"&lt;&gt;")+COUNTIFS('T2'!$C$4:$C$68,"TC",'T2'!S$4:S$68,"&lt;&gt;")) + (COUNTIFS('T2'!$C$4:$C$68,"C*",'T2'!T$4:T$68,"&lt;&gt;")+COUNTIFS('T2'!$C$4:$C$68,"TC",'T2'!T$4:T$68,"&lt;&gt;")) + (COUNTIFS('T2'!$C$4:$C$68,"C*",'T2'!U$4:U$68,"&lt;&gt;")+COUNTIFS('T2'!$C$4:$C$68,"TC",'T2'!U$4:U$68,"&lt;&gt;")))=0,"",(SUMIF('T2'!$C$4:$C$68,"TC",'T2'!O$4:O$68))+(SUMIF('T2'!$C$4:$C$68,"TC",'T2'!P$4:P$68))+(SUMIF('T2'!$C$4:$C$68,"TC",'T2'!Q$4:Q$68))+(SUMIF('T2'!$C$4:$C$68,"TC",'T2'!R$4:R$68))+(SUMIF('T2'!$C$4:$C$68,"TC",'T2'!S$4:S$68))+(SUMIF('T2'!$C$4:$C$68,"TC",'T2'!T$4:T$68))+(SUMIF('T2'!$C$4:$C$68,"TC",'T2'!U$4:U$68)))</f>
        <v>0</v>
      </c>
      <c r="I10" s="60">
        <f>IF(H10="","",H10/8)</f>
        <v>0</v>
      </c>
      <c r="J10" s="57" t="str">
        <f>IF(((COUNTIFS('T2'!$C$4:$C$68,"C*",'T2'!O$4:O$68,"&lt;&gt;")+COUNTIFS('T2'!$C$4:$C$68,"TC",'T2'!O$4:O$68,"&lt;&gt;")) + (COUNTIFS('T2'!$C$4:$C$68,"C*",'T2'!P$4:P$68,"&lt;&gt;")+COUNTIFS('T2'!$C$4:$C$68,"TC",'T2'!P$4:P$68,"&lt;&gt;")) + (COUNTIFS('T2'!$C$4:$C$68,"C*",'T2'!Q$4:Q$68,"&lt;&gt;")+COUNTIFS('T2'!$C$4:$C$68,"TC",'T2'!Q$4:Q$68,"&lt;&gt;")) + (COUNTIFS('T2'!$C$4:$C$68,"C*",'T2'!R$4:R$68,"&lt;&gt;")+COUNTIFS('T2'!$C$4:$C$68,"TC",'T2'!R$4:R$68,"&lt;&gt;")) + (COUNTIFS('T2'!$C$4:$C$68,"C*",'T2'!S$4:S$68,"&lt;&gt;")+COUNTIFS('T2'!$C$4:$C$68,"TC",'T2'!S$4:S$68,"&lt;&gt;")) + (COUNTIFS('T2'!$C$4:$C$68,"C*",'T2'!T$4:T$68,"&lt;&gt;")+COUNTIFS('T2'!$C$4:$C$68,"TC",'T2'!T$4:T$68,"&lt;&gt;")) + (COUNTIFS('T2'!$C$4:$C$68,"C*",'T2'!U$4:U$68,"&lt;&gt;")+COUNTIFS('T2'!$C$4:$C$68,"TC",'T2'!U$4:U$68,"&lt;&gt;")))=0,"Chưa nhập","Đã cập nhật")</f>
        <v>Đã cập nhật</v>
      </c>
    </row>
    <row r="11" spans="1:10" x14ac:dyDescent="0.2">
      <c r="A11" s="57" t="s">
        <v>82</v>
      </c>
      <c r="B11" s="59">
        <v>46072</v>
      </c>
      <c r="C11" s="59">
        <v>46078</v>
      </c>
      <c r="D11" s="60">
        <f>IF(((COUNTIFS('T2'!$C$4:$C$68,"C*",'T2'!V$4:V$68,"&lt;&gt;")+COUNTIFS('T2'!$C$4:$C$68,"TC",'T2'!V$4:V$68,"&lt;&gt;")) + (COUNTIFS('T2'!$C$4:$C$68,"C*",'T2'!W$4:W$68,"&lt;&gt;")+COUNTIFS('T2'!$C$4:$C$68,"TC",'T2'!W$4:W$68,"&lt;&gt;")) + (COUNTIFS('T2'!$C$4:$C$68,"C*",'T2'!X$4:X$68,"&lt;&gt;")+COUNTIFS('T2'!$C$4:$C$68,"TC",'T2'!X$4:X$68,"&lt;&gt;")) + (COUNTIFS('T2'!$C$4:$C$68,"C*",'T2'!Y$4:Y$68,"&lt;&gt;")+COUNTIFS('T2'!$C$4:$C$68,"TC",'T2'!Y$4:Y$68,"&lt;&gt;")) + (COUNTIFS('T2'!$C$4:$C$68,"C*",'T2'!Z$4:Z$68,"&lt;&gt;")+COUNTIFS('T2'!$C$4:$C$68,"TC",'T2'!Z$4:Z$68,"&lt;&gt;")) + (COUNTIFS('T2'!$C$4:$C$68,"C*",'T2'!AA$4:AA$68,"&lt;&gt;")+COUNTIFS('T2'!$C$4:$C$68,"TC",'T2'!AA$4:AA$68,"&lt;&gt;")) + (COUNTIFS('T2'!$C$4:$C$68,"C*",'T2'!AB$4:AB$68,"&lt;&gt;")+COUNTIFS('T2'!$C$4:$C$68,"TC",'T2'!AB$4:AB$68,"&lt;&gt;")))=0,"",((COUNTIFS('T2'!$C$4:$C$68,"C*",'T2'!V$4:V$68,"x*")-0.5*(COUNTIFS('T2'!$C$4:$C$68,"C*",'T2'!V$4:V$68,"x/2")))+(COUNTIFS('T2'!$C$4:$C$68,"C*",'T2'!W$4:W$68,"x*")-0.5*(COUNTIFS('T2'!$C$4:$C$68,"C*",'T2'!W$4:W$68,"x/2")))+(COUNTIFS('T2'!$C$4:$C$68,"C*",'T2'!X$4:X$68,"x*")-0.5*(COUNTIFS('T2'!$C$4:$C$68,"C*",'T2'!X$4:X$68,"x/2")))+(COUNTIFS('T2'!$C$4:$C$68,"C*",'T2'!Z$4:Z$68,"x*")-0.5*(COUNTIFS('T2'!$C$4:$C$68,"C*",'T2'!Z$4:Z$68,"x/2")))+(COUNTIFS('T2'!$C$4:$C$68,"C*",'T2'!AA$4:AA$68,"x*")-0.5*(COUNTIFS('T2'!$C$4:$C$68,"C*",'T2'!AA$4:AA$68,"x/2")))+(COUNTIFS('T2'!$C$4:$C$68,"C*",'T2'!AB$4:AB$68,"x*")-0.5*(COUNTIFS('T2'!$C$4:$C$68,"C*",'T2'!AB$4:AB$68,"x/2")))))</f>
        <v>47.5</v>
      </c>
      <c r="E11" s="61">
        <f>IF(((COUNTIFS('T2'!$C$4:$C$68,"C*",'T2'!V$4:V$68,"&lt;&gt;")+COUNTIFS('T2'!$C$4:$C$68,"TC",'T2'!V$4:V$68,"&lt;&gt;")) + (COUNTIFS('T2'!$C$4:$C$68,"C*",'T2'!W$4:W$68,"&lt;&gt;")+COUNTIFS('T2'!$C$4:$C$68,"TC",'T2'!W$4:W$68,"&lt;&gt;")) + (COUNTIFS('T2'!$C$4:$C$68,"C*",'T2'!X$4:X$68,"&lt;&gt;")+COUNTIFS('T2'!$C$4:$C$68,"TC",'T2'!X$4:X$68,"&lt;&gt;")) + (COUNTIFS('T2'!$C$4:$C$68,"C*",'T2'!Y$4:Y$68,"&lt;&gt;")+COUNTIFS('T2'!$C$4:$C$68,"TC",'T2'!Y$4:Y$68,"&lt;&gt;")) + (COUNTIFS('T2'!$C$4:$C$68,"C*",'T2'!Z$4:Z$68,"&lt;&gt;")+COUNTIFS('T2'!$C$4:$C$68,"TC",'T2'!Z$4:Z$68,"&lt;&gt;")) + (COUNTIFS('T2'!$C$4:$C$68,"C*",'T2'!AA$4:AA$68,"&lt;&gt;")+COUNTIFS('T2'!$C$4:$C$68,"TC",'T2'!AA$4:AA$68,"&lt;&gt;")) + (COUNTIFS('T2'!$C$4:$C$68,"C*",'T2'!AB$4:AB$68,"&lt;&gt;")+COUNTIFS('T2'!$C$4:$C$68,"TC",'T2'!AB$4:AB$68,"&lt;&gt;")))=0,"",((COUNTIFS('T2'!$C$4:$C$68,"C*",'T2'!Y$4:Y$68,"x*")-0.5*(COUNTIFS('T2'!$C$4:$C$68,"C*",'T2'!Y$4:Y$68,"x/2")))))</f>
        <v>9</v>
      </c>
      <c r="F11" s="60">
        <f>IF(AND(D11="",E11=""),"",D11+E11)</f>
        <v>56.5</v>
      </c>
      <c r="G11" s="60">
        <f>IF(((COUNTIFS('T2'!$C$4:$C$68,"C*",'T2'!V$4:V$68,"&lt;&gt;")+COUNTIFS('T2'!$C$4:$C$68,"TC",'T2'!V$4:V$68,"&lt;&gt;")) + (COUNTIFS('T2'!$C$4:$C$68,"C*",'T2'!W$4:W$68,"&lt;&gt;")+COUNTIFS('T2'!$C$4:$C$68,"TC",'T2'!W$4:W$68,"&lt;&gt;")) + (COUNTIFS('T2'!$C$4:$C$68,"C*",'T2'!X$4:X$68,"&lt;&gt;")+COUNTIFS('T2'!$C$4:$C$68,"TC",'T2'!X$4:X$68,"&lt;&gt;")) + (COUNTIFS('T2'!$C$4:$C$68,"C*",'T2'!Y$4:Y$68,"&lt;&gt;")+COUNTIFS('T2'!$C$4:$C$68,"TC",'T2'!Y$4:Y$68,"&lt;&gt;")) + (COUNTIFS('T2'!$C$4:$C$68,"C*",'T2'!Z$4:Z$68,"&lt;&gt;")+COUNTIFS('T2'!$C$4:$C$68,"TC",'T2'!Z$4:Z$68,"&lt;&gt;")) + (COUNTIFS('T2'!$C$4:$C$68,"C*",'T2'!AA$4:AA$68,"&lt;&gt;")+COUNTIFS('T2'!$C$4:$C$68,"TC",'T2'!AA$4:AA$68,"&lt;&gt;")) + (COUNTIFS('T2'!$C$4:$C$68,"C*",'T2'!AB$4:AB$68,"&lt;&gt;")+COUNTIFS('T2'!$C$4:$C$68,"TC",'T2'!AB$4:AB$68,"&lt;&gt;")))=0,"",(SUMIF('T2'!$C$4:$C$68,"TC",'T2'!V$4:V$68))+(SUMIF('T2'!$C$4:$C$68,"TC",'T2'!W$4:W$68))+(SUMIF('T2'!$C$4:$C$68,"TC",'T2'!X$4:X$68))+(SUMIF('T2'!$C$4:$C$68,"TC",'T2'!Z$4:Z$68))+(SUMIF('T2'!$C$4:$C$68,"TC",'T2'!AA$4:AA$68))+(SUMIF('T2'!$C$4:$C$68,"TC",'T2'!AB$4:AB$68)))</f>
        <v>0</v>
      </c>
      <c r="H11" s="62">
        <f>IF(((COUNTIFS('T2'!$C$4:$C$68,"C*",'T2'!V$4:V$68,"&lt;&gt;")+COUNTIFS('T2'!$C$4:$C$68,"TC",'T2'!V$4:V$68,"&lt;&gt;")) + (COUNTIFS('T2'!$C$4:$C$68,"C*",'T2'!W$4:W$68,"&lt;&gt;")+COUNTIFS('T2'!$C$4:$C$68,"TC",'T2'!W$4:W$68,"&lt;&gt;")) + (COUNTIFS('T2'!$C$4:$C$68,"C*",'T2'!X$4:X$68,"&lt;&gt;")+COUNTIFS('T2'!$C$4:$C$68,"TC",'T2'!X$4:X$68,"&lt;&gt;")) + (COUNTIFS('T2'!$C$4:$C$68,"C*",'T2'!Y$4:Y$68,"&lt;&gt;")+COUNTIFS('T2'!$C$4:$C$68,"TC",'T2'!Y$4:Y$68,"&lt;&gt;")) + (COUNTIFS('T2'!$C$4:$C$68,"C*",'T2'!Z$4:Z$68,"&lt;&gt;")+COUNTIFS('T2'!$C$4:$C$68,"TC",'T2'!Z$4:Z$68,"&lt;&gt;")) + (COUNTIFS('T2'!$C$4:$C$68,"C*",'T2'!AA$4:AA$68,"&lt;&gt;")+COUNTIFS('T2'!$C$4:$C$68,"TC",'T2'!AA$4:AA$68,"&lt;&gt;")) + (COUNTIFS('T2'!$C$4:$C$68,"C*",'T2'!AB$4:AB$68,"&lt;&gt;")+COUNTIFS('T2'!$C$4:$C$68,"TC",'T2'!AB$4:AB$68,"&lt;&gt;")))=0,"",(SUMIF('T2'!$C$4:$C$68,"TC",'T2'!V$4:V$68))+(SUMIF('T2'!$C$4:$C$68,"TC",'T2'!W$4:W$68))+(SUMIF('T2'!$C$4:$C$68,"TC",'T2'!X$4:X$68))+(SUMIF('T2'!$C$4:$C$68,"TC",'T2'!Y$4:Y$68))+(SUMIF('T2'!$C$4:$C$68,"TC",'T2'!Z$4:Z$68))+(SUMIF('T2'!$C$4:$C$68,"TC",'T2'!AA$4:AA$68))+(SUMIF('T2'!$C$4:$C$68,"TC",'T2'!AB$4:AB$68)))</f>
        <v>5.25</v>
      </c>
      <c r="I11" s="60">
        <f>IF(H11="","",H11/8)</f>
        <v>0.65625</v>
      </c>
      <c r="J11" s="57" t="str">
        <f>IF(((COUNTIFS('T2'!$C$4:$C$68,"C*",'T2'!V$4:V$68,"&lt;&gt;")+COUNTIFS('T2'!$C$4:$C$68,"TC",'T2'!V$4:V$68,"&lt;&gt;")) + (COUNTIFS('T2'!$C$4:$C$68,"C*",'T2'!W$4:W$68,"&lt;&gt;")+COUNTIFS('T2'!$C$4:$C$68,"TC",'T2'!W$4:W$68,"&lt;&gt;")) + (COUNTIFS('T2'!$C$4:$C$68,"C*",'T2'!X$4:X$68,"&lt;&gt;")+COUNTIFS('T2'!$C$4:$C$68,"TC",'T2'!X$4:X$68,"&lt;&gt;")) + (COUNTIFS('T2'!$C$4:$C$68,"C*",'T2'!Y$4:Y$68,"&lt;&gt;")+COUNTIFS('T2'!$C$4:$C$68,"TC",'T2'!Y$4:Y$68,"&lt;&gt;")) + (COUNTIFS('T2'!$C$4:$C$68,"C*",'T2'!Z$4:Z$68,"&lt;&gt;")+COUNTIFS('T2'!$C$4:$C$68,"TC",'T2'!Z$4:Z$68,"&lt;&gt;")) + (COUNTIFS('T2'!$C$4:$C$68,"C*",'T2'!AA$4:AA$68,"&lt;&gt;")+COUNTIFS('T2'!$C$4:$C$68,"TC",'T2'!AA$4:AA$68,"&lt;&gt;")) + (COUNTIFS('T2'!$C$4:$C$68,"C*",'T2'!AB$4:AB$68,"&lt;&gt;")+COUNTIFS('T2'!$C$4:$C$68,"TC",'T2'!AB$4:AB$68,"&lt;&gt;")))=0,"Chưa nhập","Đã cập nhật")</f>
        <v>Đã cập nhật</v>
      </c>
    </row>
    <row r="12" spans="1:10" x14ac:dyDescent="0.2">
      <c r="A12" s="130" t="s">
        <v>83</v>
      </c>
      <c r="B12" s="131"/>
      <c r="C12" s="132"/>
      <c r="D12" s="60">
        <f t="shared" ref="D12:I12" si="0">IF(COUNT(D8:D11)=0,"",SUM(D8:D11))</f>
        <v>189</v>
      </c>
      <c r="E12" s="61">
        <f t="shared" si="0"/>
        <v>13</v>
      </c>
      <c r="F12" s="60">
        <f t="shared" si="0"/>
        <v>202</v>
      </c>
      <c r="G12" s="60">
        <f t="shared" si="0"/>
        <v>-1</v>
      </c>
      <c r="H12" s="62">
        <f t="shared" si="0"/>
        <v>5</v>
      </c>
      <c r="I12" s="60">
        <f t="shared" si="0"/>
        <v>0.625</v>
      </c>
      <c r="J12" s="57"/>
    </row>
    <row r="13" spans="1:10" ht="15" customHeight="1" x14ac:dyDescent="0.2">
      <c r="A13" s="133"/>
      <c r="B13" s="134"/>
      <c r="C13" s="135"/>
      <c r="D13" s="63">
        <f t="shared" ref="D13:I13" si="1">IF(COUNT(D8:D12)=0,"",SUM(D8:D12))</f>
        <v>378</v>
      </c>
      <c r="E13" s="63">
        <f t="shared" si="1"/>
        <v>26</v>
      </c>
      <c r="F13" s="63">
        <f t="shared" si="1"/>
        <v>404</v>
      </c>
      <c r="G13" s="63">
        <f t="shared" si="1"/>
        <v>-2</v>
      </c>
      <c r="H13" s="63">
        <f t="shared" si="1"/>
        <v>10</v>
      </c>
      <c r="I13" s="63">
        <f t="shared" si="1"/>
        <v>1.25</v>
      </c>
      <c r="J13" s="58"/>
    </row>
    <row r="15" spans="1:10" x14ac:dyDescent="0.2">
      <c r="A15" s="127" t="s">
        <v>84</v>
      </c>
      <c r="B15" s="125"/>
      <c r="C15" s="125"/>
      <c r="D15" s="125"/>
      <c r="E15" s="125"/>
      <c r="F15" s="125"/>
      <c r="G15" s="125"/>
      <c r="H15" s="125"/>
      <c r="I15" s="125"/>
      <c r="J15" s="125"/>
    </row>
  </sheetData>
  <mergeCells count="15">
    <mergeCell ref="A1:J1"/>
    <mergeCell ref="I4:J4"/>
    <mergeCell ref="A15:J15"/>
    <mergeCell ref="I5:J5"/>
    <mergeCell ref="A2:J2"/>
    <mergeCell ref="A12:C12"/>
    <mergeCell ref="C4:D4"/>
    <mergeCell ref="A13:C13"/>
    <mergeCell ref="C5:D5"/>
    <mergeCell ref="A5:B5"/>
    <mergeCell ref="G5:H5"/>
    <mergeCell ref="E5:F5"/>
    <mergeCell ref="A4:B4"/>
    <mergeCell ref="G4:H4"/>
    <mergeCell ref="E4:F4"/>
  </mergeCells>
  <conditionalFormatting sqref="F8:F12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2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2">
    <cfRule type="expression" dxfId="21" priority="1">
      <formula>$J8="Chưa nhập"</formula>
    </cfRule>
    <cfRule type="expression" dxfId="20" priority="2">
      <formula>$J8="Đã cập nhật"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5"/>
  <sheetViews>
    <sheetView workbookViewId="0">
      <selection sqref="A1:J1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86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>
        <f>F12</f>
        <v>332.5</v>
      </c>
      <c r="B5" s="125"/>
      <c r="C5" s="136">
        <f>E12</f>
        <v>52</v>
      </c>
      <c r="D5" s="125"/>
      <c r="E5" s="136">
        <f>IF(((COUNTIFS('T3'!$C$4:$C$68,"C*",'T3'!D$4:D$68,"&lt;&gt;")+COUNTIFS('T3'!$C$4:$C$68,"TC",'T3'!D$4:D$68,"&lt;&gt;"))+(COUNTIFS('T3'!$C$4:$C$68,"C*",'T3'!E$4:E$68,"&lt;&gt;")+COUNTIFS('T3'!$C$4:$C$68,"TC",'T3'!E$4:E$68,"&lt;&gt;"))+(COUNTIFS('T3'!$C$4:$C$68,"C*",'T3'!F$4:F$68,"&lt;&gt;")+COUNTIFS('T3'!$C$4:$C$68,"TC",'T3'!F$4:F$68,"&lt;&gt;"))+(COUNTIFS('T3'!$C$4:$C$68,"C*",'T3'!G$4:G$68,"&lt;&gt;")+COUNTIFS('T3'!$C$4:$C$68,"TC",'T3'!G$4:G$68,"&lt;&gt;"))+(COUNTIFS('T3'!$C$4:$C$68,"C*",'T3'!H$4:H$68,"&lt;&gt;")+COUNTIFS('T3'!$C$4:$C$68,"TC",'T3'!H$4:H$68,"&lt;&gt;"))+(COUNTIFS('T3'!$C$4:$C$68,"C*",'T3'!I$4:I$68,"&lt;&gt;")+COUNTIFS('T3'!$C$4:$C$68,"TC",'T3'!I$4:I$68,"&lt;&gt;"))+(COUNTIFS('T3'!$C$4:$C$68,"C*",'T3'!J$4:J$68,"&lt;&gt;")+COUNTIFS('T3'!$C$4:$C$68,"TC",'T3'!J$4:J$68,"&lt;&gt;"))+(COUNTIFS('T3'!$C$4:$C$68,"C*",'T3'!K$4:K$68,"&lt;&gt;")+COUNTIFS('T3'!$C$4:$C$68,"TC",'T3'!K$4:K$68,"&lt;&gt;"))+(COUNTIFS('T3'!$C$4:$C$68,"C*",'T3'!L$4:L$68,"&lt;&gt;")+COUNTIFS('T3'!$C$4:$C$68,"TC",'T3'!L$4:L$68,"&lt;&gt;"))+(COUNTIFS('T3'!$C$4:$C$68,"C*",'T3'!M$4:M$68,"&lt;&gt;")+COUNTIFS('T3'!$C$4:$C$68,"TC",'T3'!M$4:M$68,"&lt;&gt;"))+(COUNTIFS('T3'!$C$4:$C$68,"C*",'T3'!N$4:N$68,"&lt;&gt;")+COUNTIFS('T3'!$C$4:$C$68,"TC",'T3'!N$4:N$68,"&lt;&gt;"))+(COUNTIFS('T3'!$C$4:$C$68,"C*",'T3'!O$4:O$68,"&lt;&gt;")+COUNTIFS('T3'!$C$4:$C$68,"TC",'T3'!O$4:O$68,"&lt;&gt;"))+(COUNTIFS('T3'!$C$4:$C$68,"C*",'T3'!P$4:P$68,"&lt;&gt;")+COUNTIFS('T3'!$C$4:$C$68,"TC",'T3'!P$4:P$68,"&lt;&gt;"))+(COUNTIFS('T3'!$C$4:$C$68,"C*",'T3'!Q$4:Q$68,"&lt;&gt;")+COUNTIFS('T3'!$C$4:$C$68,"TC",'T3'!Q$4:Q$68,"&lt;&gt;"))+(COUNTIFS('T3'!$C$4:$C$68,"C*",'T3'!R$4:R$68,"&lt;&gt;")+COUNTIFS('T3'!$C$4:$C$68,"TC",'T3'!R$4:R$68,"&lt;&gt;"))+(COUNTIFS('T3'!$C$4:$C$68,"C*",'T3'!S$4:S$68,"&lt;&gt;")+COUNTIFS('T3'!$C$4:$C$68,"TC",'T3'!S$4:S$68,"&lt;&gt;"))+(COUNTIFS('T3'!$C$4:$C$68,"C*",'T3'!T$4:T$68,"&lt;&gt;")+COUNTIFS('T3'!$C$4:$C$68,"TC",'T3'!T$4:T$68,"&lt;&gt;"))+(COUNTIFS('T3'!$C$4:$C$68,"C*",'T3'!U$4:U$68,"&lt;&gt;")+COUNTIFS('T3'!$C$4:$C$68,"TC",'T3'!U$4:U$68,"&lt;&gt;"))+(COUNTIFS('T3'!$C$4:$C$68,"C*",'T3'!V$4:V$68,"&lt;&gt;")+COUNTIFS('T3'!$C$4:$C$68,"TC",'T3'!V$4:V$68,"&lt;&gt;"))+(COUNTIFS('T3'!$C$4:$C$68,"C*",'T3'!W$4:W$68,"&lt;&gt;")+COUNTIFS('T3'!$C$4:$C$68,"TC",'T3'!W$4:W$68,"&lt;&gt;"))+(COUNTIFS('T3'!$C$4:$C$68,"C*",'T3'!X$4:X$68,"&lt;&gt;")+COUNTIFS('T3'!$C$4:$C$68,"TC",'T3'!X$4:X$68,"&lt;&gt;"))+(COUNTIFS('T3'!$C$4:$C$68,"C*",'T3'!Y$4:Y$68,"&lt;&gt;")+COUNTIFS('T3'!$C$4:$C$68,"TC",'T3'!Y$4:Y$68,"&lt;&gt;"))+(COUNTIFS('T3'!$C$4:$C$68,"C*",'T3'!Z$4:Z$68,"&lt;&gt;")+COUNTIFS('T3'!$C$4:$C$68,"TC",'T3'!Z$4:Z$68,"&lt;&gt;"))+(COUNTIFS('T3'!$C$4:$C$68,"C*",'T3'!AA$4:AA$68,"&lt;&gt;")+COUNTIFS('T3'!$C$4:$C$68,"TC",'T3'!AA$4:AA$68,"&lt;&gt;"))+(COUNTIFS('T3'!$C$4:$C$68,"C*",'T3'!AB$4:AB$68,"&lt;&gt;")+COUNTIFS('T3'!$C$4:$C$68,"TC",'T3'!AB$4:AB$68,"&lt;&gt;"))+(COUNTIFS('T3'!$C$4:$C$68,"C*",'T3'!AC$4:AC$68,"&lt;&gt;")+COUNTIFS('T3'!$C$4:$C$68,"TC",'T3'!AC$4:AC$68,"&lt;&gt;"))+(COUNTIFS('T3'!$C$4:$C$68,"C*",'T3'!AD$4:AD$68,"&lt;&gt;")+COUNTIFS('T3'!$C$4:$C$68,"TC",'T3'!AD$4:AD$68,"&lt;&gt;"))+(COUNTIFS('T3'!$C$4:$C$68,"C*",'T3'!AE$4:AE$68,"&lt;&gt;")+COUNTIFS('T3'!$C$4:$C$68,"TC",'T3'!AE$4:AE$68,"&lt;&gt;"))+(COUNTIFS('T3'!$C$4:$C$68,"C*",'T3'!AF$4:AF$68,"&lt;&gt;")+COUNTIFS('T3'!$C$4:$C$68,"TC",'T3'!AF$4:AF$68,"&lt;&gt;"))+(COUNTIFS('T3'!$C$4:$C$68,"C*",'T3'!AG$4:AG$68,"&lt;&gt;")+COUNTIFS('T3'!$C$4:$C$68,"TC",'T3'!AG$4:AG$68,"&lt;&gt;"))+(COUNTIFS('T3'!$C$4:$C$68,"C*",'T3'!AH$4:AH$68,"&lt;&gt;")+COUNTIFS('T3'!$C$4:$C$68,"TC",'T3'!AH$4:AH$68,"&lt;&gt;")))=0,"",((SUMIF('T3'!$C$4:$C$68,"TC",'T3'!D$4:D$68))+(SUMIF('T3'!$C$4:$C$68,"TC",'T3'!E$4:E$68))+(SUMIF('T3'!$C$4:$C$68,"TC",'T3'!F$4:F$68))+(SUMIF('T3'!$C$4:$C$68,"TC",'T3'!G$4:G$68))+(SUMIF('T3'!$C$4:$C$68,"TC",'T3'!H$4:H$68))+(SUMIF('T3'!$C$4:$C$68,"TC",'T3'!I$4:I$68))+(SUMIF('T3'!$C$4:$C$68,"TC",'T3'!J$4:J$68))+(SUMIF('T3'!$C$4:$C$68,"TC",'T3'!K$4:K$68))+(SUMIF('T3'!$C$4:$C$68,"TC",'T3'!L$4:L$68))+(SUMIF('T3'!$C$4:$C$68,"TC",'T3'!M$4:M$68))+(SUMIF('T3'!$C$4:$C$68,"TC",'T3'!N$4:N$68))+(SUMIF('T3'!$C$4:$C$68,"TC",'T3'!O$4:O$68))+(SUMIF('T3'!$C$4:$C$68,"TC",'T3'!P$4:P$68))+(SUMIF('T3'!$C$4:$C$68,"TC",'T3'!Q$4:Q$68))+(SUMIF('T3'!$C$4:$C$68,"TC",'T3'!R$4:R$68))+(SUMIF('T3'!$C$4:$C$68,"TC",'T3'!S$4:S$68))+(SUMIF('T3'!$C$4:$C$68,"TC",'T3'!T$4:T$68))+(SUMIF('T3'!$C$4:$C$68,"TC",'T3'!U$4:U$68))+(SUMIF('T3'!$C$4:$C$68,"TC",'T3'!V$4:V$68))+(SUMIF('T3'!$C$4:$C$68,"TC",'T3'!W$4:W$68))+(SUMIF('T3'!$C$4:$C$68,"TC",'T3'!X$4:X$68))+(SUMIF('T3'!$C$4:$C$68,"TC",'T3'!Y$4:Y$68))+(SUMIF('T3'!$C$4:$C$68,"TC",'T3'!Z$4:Z$68))+(SUMIF('T3'!$C$4:$C$68,"TC",'T3'!AA$4:AA$68))+(SUMIF('T3'!$C$4:$C$68,"TC",'T3'!AB$4:AB$68))+(SUMIF('T3'!$C$4:$C$68,"TC",'T3'!AC$4:AC$68))+(SUMIF('T3'!$C$4:$C$68,"TC",'T3'!AD$4:AD$68))+(SUMIF('T3'!$C$4:$C$68,"TC",'T3'!AE$4:AE$68))+(SUMIF('T3'!$C$4:$C$68,"TC",'T3'!AF$4:AF$68))+(SUMIF('T3'!$C$4:$C$68,"TC",'T3'!AG$4:AG$68))+(SUMIF('T3'!$C$4:$C$68,"TC",'T3'!AH$4:AH$68))))</f>
        <v>174.5</v>
      </c>
      <c r="F5" s="125"/>
      <c r="G5" s="137">
        <f>(COUNTIFS('T3'!$C$4:$C$68,"C*",'T3'!D$4:D$68,"&lt;&gt;")+COUNTIFS('T3'!$C$4:$C$68,"TC",'T3'!D$4:D$68,"&lt;&gt;")&gt;0) + (COUNTIFS('T3'!$C$4:$C$68,"C*",'T3'!E$4:E$68,"&lt;&gt;")+COUNTIFS('T3'!$C$4:$C$68,"TC",'T3'!E$4:E$68,"&lt;&gt;")&gt;0) + (COUNTIFS('T3'!$C$4:$C$68,"C*",'T3'!F$4:F$68,"&lt;&gt;")+COUNTIFS('T3'!$C$4:$C$68,"TC",'T3'!F$4:F$68,"&lt;&gt;")&gt;0) + (COUNTIFS('T3'!$C$4:$C$68,"C*",'T3'!G$4:G$68,"&lt;&gt;")+COUNTIFS('T3'!$C$4:$C$68,"TC",'T3'!G$4:G$68,"&lt;&gt;")&gt;0) + (COUNTIFS('T3'!$C$4:$C$68,"C*",'T3'!H$4:H$68,"&lt;&gt;")+COUNTIFS('T3'!$C$4:$C$68,"TC",'T3'!H$4:H$68,"&lt;&gt;")&gt;0) + (COUNTIFS('T3'!$C$4:$C$68,"C*",'T3'!I$4:I$68,"&lt;&gt;")+COUNTIFS('T3'!$C$4:$C$68,"TC",'T3'!I$4:I$68,"&lt;&gt;")&gt;0) + (COUNTIFS('T3'!$C$4:$C$68,"C*",'T3'!J$4:J$68,"&lt;&gt;")+COUNTIFS('T3'!$C$4:$C$68,"TC",'T3'!J$4:J$68,"&lt;&gt;")&gt;0) + (COUNTIFS('T3'!$C$4:$C$68,"C*",'T3'!K$4:K$68,"&lt;&gt;")+COUNTIFS('T3'!$C$4:$C$68,"TC",'T3'!K$4:K$68,"&lt;&gt;")&gt;0) + (COUNTIFS('T3'!$C$4:$C$68,"C*",'T3'!L$4:L$68,"&lt;&gt;")+COUNTIFS('T3'!$C$4:$C$68,"TC",'T3'!L$4:L$68,"&lt;&gt;")&gt;0) + (COUNTIFS('T3'!$C$4:$C$68,"C*",'T3'!M$4:M$68,"&lt;&gt;")+COUNTIFS('T3'!$C$4:$C$68,"TC",'T3'!M$4:M$68,"&lt;&gt;")&gt;0) + (COUNTIFS('T3'!$C$4:$C$68,"C*",'T3'!N$4:N$68,"&lt;&gt;")+COUNTIFS('T3'!$C$4:$C$68,"TC",'T3'!N$4:N$68,"&lt;&gt;")&gt;0) + (COUNTIFS('T3'!$C$4:$C$68,"C*",'T3'!O$4:O$68,"&lt;&gt;")+COUNTIFS('T3'!$C$4:$C$68,"TC",'T3'!O$4:O$68,"&lt;&gt;")&gt;0) + (COUNTIFS('T3'!$C$4:$C$68,"C*",'T3'!P$4:P$68,"&lt;&gt;")+COUNTIFS('T3'!$C$4:$C$68,"TC",'T3'!P$4:P$68,"&lt;&gt;")&gt;0) + (COUNTIFS('T3'!$C$4:$C$68,"C*",'T3'!Q$4:Q$68,"&lt;&gt;")+COUNTIFS('T3'!$C$4:$C$68,"TC",'T3'!Q$4:Q$68,"&lt;&gt;")&gt;0) + (COUNTIFS('T3'!$C$4:$C$68,"C*",'T3'!R$4:R$68,"&lt;&gt;")+COUNTIFS('T3'!$C$4:$C$68,"TC",'T3'!R$4:R$68,"&lt;&gt;")&gt;0) + (COUNTIFS('T3'!$C$4:$C$68,"C*",'T3'!S$4:S$68,"&lt;&gt;")+COUNTIFS('T3'!$C$4:$C$68,"TC",'T3'!S$4:S$68,"&lt;&gt;")&gt;0) + (COUNTIFS('T3'!$C$4:$C$68,"C*",'T3'!T$4:T$68,"&lt;&gt;")+COUNTIFS('T3'!$C$4:$C$68,"TC",'T3'!T$4:T$68,"&lt;&gt;")&gt;0) + (COUNTIFS('T3'!$C$4:$C$68,"C*",'T3'!U$4:U$68,"&lt;&gt;")+COUNTIFS('T3'!$C$4:$C$68,"TC",'T3'!U$4:U$68,"&lt;&gt;")&gt;0) + (COUNTIFS('T3'!$C$4:$C$68,"C*",'T3'!V$4:V$68,"&lt;&gt;")+COUNTIFS('T3'!$C$4:$C$68,"TC",'T3'!V$4:V$68,"&lt;&gt;")&gt;0) + (COUNTIFS('T3'!$C$4:$C$68,"C*",'T3'!W$4:W$68,"&lt;&gt;")+COUNTIFS('T3'!$C$4:$C$68,"TC",'T3'!W$4:W$68,"&lt;&gt;")&gt;0) + (COUNTIFS('T3'!$C$4:$C$68,"C*",'T3'!X$4:X$68,"&lt;&gt;")+COUNTIFS('T3'!$C$4:$C$68,"TC",'T3'!X$4:X$68,"&lt;&gt;")&gt;0) + (COUNTIFS('T3'!$C$4:$C$68,"C*",'T3'!Y$4:Y$68,"&lt;&gt;")+COUNTIFS('T3'!$C$4:$C$68,"TC",'T3'!Y$4:Y$68,"&lt;&gt;")&gt;0) + (COUNTIFS('T3'!$C$4:$C$68,"C*",'T3'!Z$4:Z$68,"&lt;&gt;")+COUNTIFS('T3'!$C$4:$C$68,"TC",'T3'!Z$4:Z$68,"&lt;&gt;")&gt;0) + (COUNTIFS('T3'!$C$4:$C$68,"C*",'T3'!AA$4:AA$68,"&lt;&gt;")+COUNTIFS('T3'!$C$4:$C$68,"TC",'T3'!AA$4:AA$68,"&lt;&gt;")&gt;0) + (COUNTIFS('T3'!$C$4:$C$68,"C*",'T3'!AB$4:AB$68,"&lt;&gt;")+COUNTIFS('T3'!$C$4:$C$68,"TC",'T3'!AB$4:AB$68,"&lt;&gt;")&gt;0) + (COUNTIFS('T3'!$C$4:$C$68,"C*",'T3'!AC$4:AC$68,"&lt;&gt;")+COUNTIFS('T3'!$C$4:$C$68,"TC",'T3'!AC$4:AC$68,"&lt;&gt;")&gt;0) + (COUNTIFS('T3'!$C$4:$C$68,"C*",'T3'!AD$4:AD$68,"&lt;&gt;")+COUNTIFS('T3'!$C$4:$C$68,"TC",'T3'!AD$4:AD$68,"&lt;&gt;")&gt;0) + (COUNTIFS('T3'!$C$4:$C$68,"C*",'T3'!AE$4:AE$68,"&lt;&gt;")+COUNTIFS('T3'!$C$4:$C$68,"TC",'T3'!AE$4:AE$68,"&lt;&gt;")&gt;0) + (COUNTIFS('T3'!$C$4:$C$68,"C*",'T3'!AF$4:AF$68,"&lt;&gt;")+COUNTIFS('T3'!$C$4:$C$68,"TC",'T3'!AF$4:AF$68,"&lt;&gt;")&gt;0) + (COUNTIFS('T3'!$C$4:$C$68,"C*",'T3'!AG$4:AG$68,"&lt;&gt;")+COUNTIFS('T3'!$C$4:$C$68,"TC",'T3'!AG$4:AG$68,"&lt;&gt;")&gt;0) + (COUNTIFS('T3'!$C$4:$C$68,"C*",'T3'!AH$4:AH$68,"&lt;&gt;")+COUNTIFS('T3'!$C$4:$C$68,"TC",'T3'!AH$4:AH$68,"&lt;&gt;")&gt;0)</f>
        <v>29</v>
      </c>
      <c r="H5" s="125"/>
      <c r="I5" s="128">
        <f ca="1">NOW()</f>
        <v>46253.615729745368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46079</v>
      </c>
      <c r="C8" s="59">
        <v>46085</v>
      </c>
      <c r="D8" s="60">
        <f>IF(((COUNTIFS('T2'!$C$4:$C$68,"C*",'T2'!AC$4:AC$68,"&lt;&gt;")+COUNTIFS('T2'!$C$4:$C$68,"TC",'T2'!AC$4:AC$68,"&lt;&gt;")) + (COUNTIFS('T2'!$C$4:$C$68,"C*",'T2'!AD$4:AD$68,"&lt;&gt;")+COUNTIFS('T2'!$C$4:$C$68,"TC",'T2'!AD$4:AD$68,"&lt;&gt;")) + (COUNTIFS('T2'!$C$4:$C$68,"C*",'T2'!AE$4:AE$68,"&lt;&gt;")+COUNTIFS('T2'!$C$4:$C$68,"TC",'T2'!AE$4:AE$68,"&lt;&gt;")) + (COUNTIFS('T3'!$C$4:$C$68,"C*",'T3'!D$4:D$68,"&lt;&gt;")+COUNTIFS('T3'!$C$4:$C$68,"TC",'T3'!D$4:D$68,"&lt;&gt;")) + (COUNTIFS('T3'!$C$4:$C$68,"C*",'T3'!E$4:E$68,"&lt;&gt;")+COUNTIFS('T3'!$C$4:$C$68,"TC",'T3'!E$4:E$68,"&lt;&gt;")) + (COUNTIFS('T3'!$C$4:$C$68,"C*",'T3'!F$4:F$68,"&lt;&gt;")+COUNTIFS('T3'!$C$4:$C$68,"TC",'T3'!F$4:F$68,"&lt;&gt;")) + (COUNTIFS('T3'!$C$4:$C$68,"C*",'T3'!G$4:G$68,"&lt;&gt;")+COUNTIFS('T3'!$C$4:$C$68,"TC",'T3'!G$4:G$68,"&lt;&gt;")))=0,"",((COUNTIFS('T2'!$C$4:$C$68,"C*",'T2'!AC$4:AC$68,"x*")-0.5*(COUNTIFS('T2'!$C$4:$C$68,"C*",'T2'!AC$4:AC$68,"x/2")))+(COUNTIFS('T2'!$C$4:$C$68,"C*",'T2'!AD$4:AD$68,"x*")-0.5*(COUNTIFS('T2'!$C$4:$C$68,"C*",'T2'!AD$4:AD$68,"x/2")))+(COUNTIFS('T2'!$C$4:$C$68,"C*",'T2'!AE$4:AE$68,"x*")-0.5*(COUNTIFS('T2'!$C$4:$C$68,"C*",'T2'!AE$4:AE$68,"x/2")))+(COUNTIFS('T3'!$C$4:$C$68,"C*",'T3'!E$4:E$68,"x*")-0.5*(COUNTIFS('T3'!$C$4:$C$68,"C*",'T3'!E$4:E$68,"x/2")))+(COUNTIFS('T3'!$C$4:$C$68,"C*",'T3'!F$4:F$68,"x*")-0.5*(COUNTIFS('T3'!$C$4:$C$68,"C*",'T3'!F$4:F$68,"x/2")))+(COUNTIFS('T3'!$C$4:$C$68,"C*",'T3'!G$4:G$68,"x*")-0.5*(COUNTIFS('T3'!$C$4:$C$68,"C*",'T3'!G$4:G$68,"x/2")))))</f>
        <v>62</v>
      </c>
      <c r="E8" s="61">
        <f>IF(((COUNTIFS('T2'!$C$4:$C$68,"C*",'T2'!AC$4:AC$68,"&lt;&gt;")+COUNTIFS('T2'!$C$4:$C$68,"TC",'T2'!AC$4:AC$68,"&lt;&gt;")) + (COUNTIFS('T2'!$C$4:$C$68,"C*",'T2'!AD$4:AD$68,"&lt;&gt;")+COUNTIFS('T2'!$C$4:$C$68,"TC",'T2'!AD$4:AD$68,"&lt;&gt;")) + (COUNTIFS('T2'!$C$4:$C$68,"C*",'T2'!AE$4:AE$68,"&lt;&gt;")+COUNTIFS('T2'!$C$4:$C$68,"TC",'T2'!AE$4:AE$68,"&lt;&gt;")) + (COUNTIFS('T3'!$C$4:$C$68,"C*",'T3'!D$4:D$68,"&lt;&gt;")+COUNTIFS('T3'!$C$4:$C$68,"TC",'T3'!D$4:D$68,"&lt;&gt;")) + (COUNTIFS('T3'!$C$4:$C$68,"C*",'T3'!E$4:E$68,"&lt;&gt;")+COUNTIFS('T3'!$C$4:$C$68,"TC",'T3'!E$4:E$68,"&lt;&gt;")) + (COUNTIFS('T3'!$C$4:$C$68,"C*",'T3'!F$4:F$68,"&lt;&gt;")+COUNTIFS('T3'!$C$4:$C$68,"TC",'T3'!F$4:F$68,"&lt;&gt;")) + (COUNTIFS('T3'!$C$4:$C$68,"C*",'T3'!G$4:G$68,"&lt;&gt;")+COUNTIFS('T3'!$C$4:$C$68,"TC",'T3'!G$4:G$68,"&lt;&gt;")))=0,"",((COUNTIFS('T3'!$C$4:$C$68,"C*",'T3'!D$4:D$68,"x*")-0.5*(COUNTIFS('T3'!$C$4:$C$68,"C*",'T3'!D$4:D$68,"x/2")))))</f>
        <v>13</v>
      </c>
      <c r="F8" s="60">
        <f>IF(AND(D8="",E8=""),"",D8+E8)</f>
        <v>75</v>
      </c>
      <c r="G8" s="60">
        <f>IF(((COUNTIFS('T2'!$C$4:$C$68,"C*",'T2'!AC$4:AC$68,"&lt;&gt;")+COUNTIFS('T2'!$C$4:$C$68,"TC",'T2'!AC$4:AC$68,"&lt;&gt;")) + (COUNTIFS('T2'!$C$4:$C$68,"C*",'T2'!AD$4:AD$68,"&lt;&gt;")+COUNTIFS('T2'!$C$4:$C$68,"TC",'T2'!AD$4:AD$68,"&lt;&gt;")) + (COUNTIFS('T2'!$C$4:$C$68,"C*",'T2'!AE$4:AE$68,"&lt;&gt;")+COUNTIFS('T2'!$C$4:$C$68,"TC",'T2'!AE$4:AE$68,"&lt;&gt;")) + (COUNTIFS('T3'!$C$4:$C$68,"C*",'T3'!D$4:D$68,"&lt;&gt;")+COUNTIFS('T3'!$C$4:$C$68,"TC",'T3'!D$4:D$68,"&lt;&gt;")) + (COUNTIFS('T3'!$C$4:$C$68,"C*",'T3'!E$4:E$68,"&lt;&gt;")+COUNTIFS('T3'!$C$4:$C$68,"TC",'T3'!E$4:E$68,"&lt;&gt;")) + (COUNTIFS('T3'!$C$4:$C$68,"C*",'T3'!F$4:F$68,"&lt;&gt;")+COUNTIFS('T3'!$C$4:$C$68,"TC",'T3'!F$4:F$68,"&lt;&gt;")) + (COUNTIFS('T3'!$C$4:$C$68,"C*",'T3'!G$4:G$68,"&lt;&gt;")+COUNTIFS('T3'!$C$4:$C$68,"TC",'T3'!G$4:G$68,"&lt;&gt;")))=0,"",(SUMIF('T2'!$C$4:$C$68,"TC",'T2'!AC$4:AC$68))+(SUMIF('T2'!$C$4:$C$68,"TC",'T2'!AD$4:AD$68))+(SUMIF('T2'!$C$4:$C$68,"TC",'T2'!AE$4:AE$68))+(SUMIF('T3'!$C$4:$C$68,"TC",'T3'!E$4:E$68))+(SUMIF('T3'!$C$4:$C$68,"TC",'T3'!F$4:F$68))+(SUMIF('T3'!$C$4:$C$68,"TC",'T3'!G$4:G$68)))</f>
        <v>0</v>
      </c>
      <c r="H8" s="62">
        <f>IF(((COUNTIFS('T2'!$C$4:$C$68,"C*",'T2'!AC$4:AC$68,"&lt;&gt;")+COUNTIFS('T2'!$C$4:$C$68,"TC",'T2'!AC$4:AC$68,"&lt;&gt;")) + (COUNTIFS('T2'!$C$4:$C$68,"C*",'T2'!AD$4:AD$68,"&lt;&gt;")+COUNTIFS('T2'!$C$4:$C$68,"TC",'T2'!AD$4:AD$68,"&lt;&gt;")) + (COUNTIFS('T2'!$C$4:$C$68,"C*",'T2'!AE$4:AE$68,"&lt;&gt;")+COUNTIFS('T2'!$C$4:$C$68,"TC",'T2'!AE$4:AE$68,"&lt;&gt;")) + (COUNTIFS('T3'!$C$4:$C$68,"C*",'T3'!D$4:D$68,"&lt;&gt;")+COUNTIFS('T3'!$C$4:$C$68,"TC",'T3'!D$4:D$68,"&lt;&gt;")) + (COUNTIFS('T3'!$C$4:$C$68,"C*",'T3'!E$4:E$68,"&lt;&gt;")+COUNTIFS('T3'!$C$4:$C$68,"TC",'T3'!E$4:E$68,"&lt;&gt;")) + (COUNTIFS('T3'!$C$4:$C$68,"C*",'T3'!F$4:F$68,"&lt;&gt;")+COUNTIFS('T3'!$C$4:$C$68,"TC",'T3'!F$4:F$68,"&lt;&gt;")) + (COUNTIFS('T3'!$C$4:$C$68,"C*",'T3'!G$4:G$68,"&lt;&gt;")+COUNTIFS('T3'!$C$4:$C$68,"TC",'T3'!G$4:G$68,"&lt;&gt;")))=0,"",(SUMIF('T2'!$C$4:$C$68,"TC",'T2'!AC$4:AC$68))+(SUMIF('T2'!$C$4:$C$68,"TC",'T2'!AD$4:AD$68))+(SUMIF('T2'!$C$4:$C$68,"TC",'T2'!AE$4:AE$68))+(SUMIF('T3'!$C$4:$C$68,"TC",'T3'!D$4:D$68))+(SUMIF('T3'!$C$4:$C$68,"TC",'T3'!E$4:E$68))+(SUMIF('T3'!$C$4:$C$68,"TC",'T3'!F$4:F$68))+(SUMIF('T3'!$C$4:$C$68,"TC",'T3'!G$4:G$68)))</f>
        <v>0</v>
      </c>
      <c r="I8" s="60">
        <f>IF(H8="","",H8/8)</f>
        <v>0</v>
      </c>
      <c r="J8" s="57" t="str">
        <f>IF(((COUNTIFS('T2'!$C$4:$C$68,"C*",'T2'!AC$4:AC$68,"&lt;&gt;")+COUNTIFS('T2'!$C$4:$C$68,"TC",'T2'!AC$4:AC$68,"&lt;&gt;")) + (COUNTIFS('T2'!$C$4:$C$68,"C*",'T2'!AD$4:AD$68,"&lt;&gt;")+COUNTIFS('T2'!$C$4:$C$68,"TC",'T2'!AD$4:AD$68,"&lt;&gt;")) + (COUNTIFS('T2'!$C$4:$C$68,"C*",'T2'!AE$4:AE$68,"&lt;&gt;")+COUNTIFS('T2'!$C$4:$C$68,"TC",'T2'!AE$4:AE$68,"&lt;&gt;")) + (COUNTIFS('T3'!$C$4:$C$68,"C*",'T3'!D$4:D$68,"&lt;&gt;")+COUNTIFS('T3'!$C$4:$C$68,"TC",'T3'!D$4:D$68,"&lt;&gt;")) + (COUNTIFS('T3'!$C$4:$C$68,"C*",'T3'!E$4:E$68,"&lt;&gt;")+COUNTIFS('T3'!$C$4:$C$68,"TC",'T3'!E$4:E$68,"&lt;&gt;")) + (COUNTIFS('T3'!$C$4:$C$68,"C*",'T3'!F$4:F$68,"&lt;&gt;")+COUNTIFS('T3'!$C$4:$C$68,"TC",'T3'!F$4:F$68,"&lt;&gt;")) + (COUNTIFS('T3'!$C$4:$C$68,"C*",'T3'!G$4:G$68,"&lt;&gt;")+COUNTIFS('T3'!$C$4:$C$68,"TC",'T3'!G$4:G$68,"&lt;&gt;")))=0,"Chưa nhập","Đã cập nhật")</f>
        <v>Đã cập nhật</v>
      </c>
    </row>
    <row r="9" spans="1:10" x14ac:dyDescent="0.2">
      <c r="A9" s="57" t="s">
        <v>80</v>
      </c>
      <c r="B9" s="59">
        <v>46086</v>
      </c>
      <c r="C9" s="59">
        <v>46092</v>
      </c>
      <c r="D9" s="60">
        <f>IF(((COUNTIFS('T3'!$C$4:$C$68,"C*",'T3'!H$4:H$68,"&lt;&gt;")+COUNTIFS('T3'!$C$4:$C$68,"TC",'T3'!H$4:H$68,"&lt;&gt;")) + (COUNTIFS('T3'!$C$4:$C$68,"C*",'T3'!I$4:I$68,"&lt;&gt;")+COUNTIFS('T3'!$C$4:$C$68,"TC",'T3'!I$4:I$68,"&lt;&gt;")) + (COUNTIFS('T3'!$C$4:$C$68,"C*",'T3'!J$4:J$68,"&lt;&gt;")+COUNTIFS('T3'!$C$4:$C$68,"TC",'T3'!J$4:J$68,"&lt;&gt;")) + (COUNTIFS('T3'!$C$4:$C$68,"C*",'T3'!K$4:K$68,"&lt;&gt;")+COUNTIFS('T3'!$C$4:$C$68,"TC",'T3'!K$4:K$68,"&lt;&gt;")) + (COUNTIFS('T3'!$C$4:$C$68,"C*",'T3'!L$4:L$68,"&lt;&gt;")+COUNTIFS('T3'!$C$4:$C$68,"TC",'T3'!L$4:L$68,"&lt;&gt;")) + (COUNTIFS('T3'!$C$4:$C$68,"C*",'T3'!M$4:M$68,"&lt;&gt;")+COUNTIFS('T3'!$C$4:$C$68,"TC",'T3'!M$4:M$68,"&lt;&gt;")) + (COUNTIFS('T3'!$C$4:$C$68,"C*",'T3'!N$4:N$68,"&lt;&gt;")+COUNTIFS('T3'!$C$4:$C$68,"TC",'T3'!N$4:N$68,"&lt;&gt;")))=0,"",((COUNTIFS('T3'!$C$4:$C$68,"C*",'T3'!H$4:H$68,"x*")-0.5*(COUNTIFS('T3'!$C$4:$C$68,"C*",'T3'!H$4:H$68,"x/2")))+(COUNTIFS('T3'!$C$4:$C$68,"C*",'T3'!I$4:I$68,"x*")-0.5*(COUNTIFS('T3'!$C$4:$C$68,"C*",'T3'!I$4:I$68,"x/2")))+(COUNTIFS('T3'!$C$4:$C$68,"C*",'T3'!J$4:J$68,"x*")-0.5*(COUNTIFS('T3'!$C$4:$C$68,"C*",'T3'!J$4:J$68,"x/2")))+(COUNTIFS('T3'!$C$4:$C$68,"C*",'T3'!L$4:L$68,"x*")-0.5*(COUNTIFS('T3'!$C$4:$C$68,"C*",'T3'!L$4:L$68,"x/2")))+(COUNTIFS('T3'!$C$4:$C$68,"C*",'T3'!M$4:M$68,"x*")-0.5*(COUNTIFS('T3'!$C$4:$C$68,"C*",'T3'!M$4:M$68,"x/2")))+(COUNTIFS('T3'!$C$4:$C$68,"C*",'T3'!N$4:N$68,"x*")-0.5*(COUNTIFS('T3'!$C$4:$C$68,"C*",'T3'!N$4:N$68,"x/2")))))</f>
        <v>78</v>
      </c>
      <c r="E9" s="61">
        <f>IF(((COUNTIFS('T3'!$C$4:$C$68,"C*",'T3'!H$4:H$68,"&lt;&gt;")+COUNTIFS('T3'!$C$4:$C$68,"TC",'T3'!H$4:H$68,"&lt;&gt;")) + (COUNTIFS('T3'!$C$4:$C$68,"C*",'T3'!I$4:I$68,"&lt;&gt;")+COUNTIFS('T3'!$C$4:$C$68,"TC",'T3'!I$4:I$68,"&lt;&gt;")) + (COUNTIFS('T3'!$C$4:$C$68,"C*",'T3'!J$4:J$68,"&lt;&gt;")+COUNTIFS('T3'!$C$4:$C$68,"TC",'T3'!J$4:J$68,"&lt;&gt;")) + (COUNTIFS('T3'!$C$4:$C$68,"C*",'T3'!K$4:K$68,"&lt;&gt;")+COUNTIFS('T3'!$C$4:$C$68,"TC",'T3'!K$4:K$68,"&lt;&gt;")) + (COUNTIFS('T3'!$C$4:$C$68,"C*",'T3'!L$4:L$68,"&lt;&gt;")+COUNTIFS('T3'!$C$4:$C$68,"TC",'T3'!L$4:L$68,"&lt;&gt;")) + (COUNTIFS('T3'!$C$4:$C$68,"C*",'T3'!M$4:M$68,"&lt;&gt;")+COUNTIFS('T3'!$C$4:$C$68,"TC",'T3'!M$4:M$68,"&lt;&gt;")) + (COUNTIFS('T3'!$C$4:$C$68,"C*",'T3'!N$4:N$68,"&lt;&gt;")+COUNTIFS('T3'!$C$4:$C$68,"TC",'T3'!N$4:N$68,"&lt;&gt;")))=0,"",((COUNTIFS('T3'!$C$4:$C$68,"C*",'T3'!K$4:K$68,"x*")-0.5*(COUNTIFS('T3'!$C$4:$C$68,"C*",'T3'!K$4:K$68,"x/2")))))</f>
        <v>13</v>
      </c>
      <c r="F9" s="60">
        <f>IF(AND(D9="",E9=""),"",D9+E9)</f>
        <v>91</v>
      </c>
      <c r="G9" s="60">
        <f>IF(((COUNTIFS('T3'!$C$4:$C$68,"C*",'T3'!H$4:H$68,"&lt;&gt;")+COUNTIFS('T3'!$C$4:$C$68,"TC",'T3'!H$4:H$68,"&lt;&gt;")) + (COUNTIFS('T3'!$C$4:$C$68,"C*",'T3'!I$4:I$68,"&lt;&gt;")+COUNTIFS('T3'!$C$4:$C$68,"TC",'T3'!I$4:I$68,"&lt;&gt;")) + (COUNTIFS('T3'!$C$4:$C$68,"C*",'T3'!J$4:J$68,"&lt;&gt;")+COUNTIFS('T3'!$C$4:$C$68,"TC",'T3'!J$4:J$68,"&lt;&gt;")) + (COUNTIFS('T3'!$C$4:$C$68,"C*",'T3'!K$4:K$68,"&lt;&gt;")+COUNTIFS('T3'!$C$4:$C$68,"TC",'T3'!K$4:K$68,"&lt;&gt;")) + (COUNTIFS('T3'!$C$4:$C$68,"C*",'T3'!L$4:L$68,"&lt;&gt;")+COUNTIFS('T3'!$C$4:$C$68,"TC",'T3'!L$4:L$68,"&lt;&gt;")) + (COUNTIFS('T3'!$C$4:$C$68,"C*",'T3'!M$4:M$68,"&lt;&gt;")+COUNTIFS('T3'!$C$4:$C$68,"TC",'T3'!M$4:M$68,"&lt;&gt;")) + (COUNTIFS('T3'!$C$4:$C$68,"C*",'T3'!N$4:N$68,"&lt;&gt;")+COUNTIFS('T3'!$C$4:$C$68,"TC",'T3'!N$4:N$68,"&lt;&gt;")))=0,"",(SUMIF('T3'!$C$4:$C$68,"TC",'T3'!H$4:H$68))+(SUMIF('T3'!$C$4:$C$68,"TC",'T3'!I$4:I$68))+(SUMIF('T3'!$C$4:$C$68,"TC",'T3'!J$4:J$68))+(SUMIF('T3'!$C$4:$C$68,"TC",'T3'!L$4:L$68))+(SUMIF('T3'!$C$4:$C$68,"TC",'T3'!M$4:M$68))+(SUMIF('T3'!$C$4:$C$68,"TC",'T3'!N$4:N$68)))</f>
        <v>0</v>
      </c>
      <c r="H9" s="62">
        <f>IF(((COUNTIFS('T3'!$C$4:$C$68,"C*",'T3'!H$4:H$68,"&lt;&gt;")+COUNTIFS('T3'!$C$4:$C$68,"TC",'T3'!H$4:H$68,"&lt;&gt;")) + (COUNTIFS('T3'!$C$4:$C$68,"C*",'T3'!I$4:I$68,"&lt;&gt;")+COUNTIFS('T3'!$C$4:$C$68,"TC",'T3'!I$4:I$68,"&lt;&gt;")) + (COUNTIFS('T3'!$C$4:$C$68,"C*",'T3'!J$4:J$68,"&lt;&gt;")+COUNTIFS('T3'!$C$4:$C$68,"TC",'T3'!J$4:J$68,"&lt;&gt;")) + (COUNTIFS('T3'!$C$4:$C$68,"C*",'T3'!K$4:K$68,"&lt;&gt;")+COUNTIFS('T3'!$C$4:$C$68,"TC",'T3'!K$4:K$68,"&lt;&gt;")) + (COUNTIFS('T3'!$C$4:$C$68,"C*",'T3'!L$4:L$68,"&lt;&gt;")+COUNTIFS('T3'!$C$4:$C$68,"TC",'T3'!L$4:L$68,"&lt;&gt;")) + (COUNTIFS('T3'!$C$4:$C$68,"C*",'T3'!M$4:M$68,"&lt;&gt;")+COUNTIFS('T3'!$C$4:$C$68,"TC",'T3'!M$4:M$68,"&lt;&gt;")) + (COUNTIFS('T3'!$C$4:$C$68,"C*",'T3'!N$4:N$68,"&lt;&gt;")+COUNTIFS('T3'!$C$4:$C$68,"TC",'T3'!N$4:N$68,"&lt;&gt;")))=0,"",(SUMIF('T3'!$C$4:$C$68,"TC",'T3'!H$4:H$68))+(SUMIF('T3'!$C$4:$C$68,"TC",'T3'!I$4:I$68))+(SUMIF('T3'!$C$4:$C$68,"TC",'T3'!J$4:J$68))+(SUMIF('T3'!$C$4:$C$68,"TC",'T3'!K$4:K$68))+(SUMIF('T3'!$C$4:$C$68,"TC",'T3'!L$4:L$68))+(SUMIF('T3'!$C$4:$C$68,"TC",'T3'!M$4:M$68))+(SUMIF('T3'!$C$4:$C$68,"TC",'T3'!N$4:N$68)))</f>
        <v>0</v>
      </c>
      <c r="I9" s="60">
        <f>IF(H9="","",H9/8)</f>
        <v>0</v>
      </c>
      <c r="J9" s="57" t="str">
        <f>IF(((COUNTIFS('T3'!$C$4:$C$68,"C*",'T3'!H$4:H$68,"&lt;&gt;")+COUNTIFS('T3'!$C$4:$C$68,"TC",'T3'!H$4:H$68,"&lt;&gt;")) + (COUNTIFS('T3'!$C$4:$C$68,"C*",'T3'!I$4:I$68,"&lt;&gt;")+COUNTIFS('T3'!$C$4:$C$68,"TC",'T3'!I$4:I$68,"&lt;&gt;")) + (COUNTIFS('T3'!$C$4:$C$68,"C*",'T3'!J$4:J$68,"&lt;&gt;")+COUNTIFS('T3'!$C$4:$C$68,"TC",'T3'!J$4:J$68,"&lt;&gt;")) + (COUNTIFS('T3'!$C$4:$C$68,"C*",'T3'!K$4:K$68,"&lt;&gt;")+COUNTIFS('T3'!$C$4:$C$68,"TC",'T3'!K$4:K$68,"&lt;&gt;")) + (COUNTIFS('T3'!$C$4:$C$68,"C*",'T3'!L$4:L$68,"&lt;&gt;")+COUNTIFS('T3'!$C$4:$C$68,"TC",'T3'!L$4:L$68,"&lt;&gt;")) + (COUNTIFS('T3'!$C$4:$C$68,"C*",'T3'!M$4:M$68,"&lt;&gt;")+COUNTIFS('T3'!$C$4:$C$68,"TC",'T3'!M$4:M$68,"&lt;&gt;")) + (COUNTIFS('T3'!$C$4:$C$68,"C*",'T3'!N$4:N$68,"&lt;&gt;")+COUNTIFS('T3'!$C$4:$C$68,"TC",'T3'!N$4:N$68,"&lt;&gt;")))=0,"Chưa nhập","Đã cập nhật")</f>
        <v>Đã cập nhật</v>
      </c>
    </row>
    <row r="10" spans="1:10" x14ac:dyDescent="0.2">
      <c r="A10" s="57" t="s">
        <v>81</v>
      </c>
      <c r="B10" s="59">
        <v>46093</v>
      </c>
      <c r="C10" s="59">
        <v>46099</v>
      </c>
      <c r="D10" s="60">
        <f>IF(((COUNTIFS('T3'!$C$4:$C$68,"C*",'T3'!O$4:O$68,"&lt;&gt;")+COUNTIFS('T3'!$C$4:$C$68,"TC",'T3'!O$4:O$68,"&lt;&gt;")) + (COUNTIFS('T3'!$C$4:$C$68,"C*",'T3'!P$4:P$68,"&lt;&gt;")+COUNTIFS('T3'!$C$4:$C$68,"TC",'T3'!P$4:P$68,"&lt;&gt;")) + (COUNTIFS('T3'!$C$4:$C$68,"C*",'T3'!Q$4:Q$68,"&lt;&gt;")+COUNTIFS('T3'!$C$4:$C$68,"TC",'T3'!Q$4:Q$68,"&lt;&gt;")) + (COUNTIFS('T3'!$C$4:$C$68,"C*",'T3'!R$4:R$68,"&lt;&gt;")+COUNTIFS('T3'!$C$4:$C$68,"TC",'T3'!R$4:R$68,"&lt;&gt;")) + (COUNTIFS('T3'!$C$4:$C$68,"C*",'T3'!S$4:S$68,"&lt;&gt;")+COUNTIFS('T3'!$C$4:$C$68,"TC",'T3'!S$4:S$68,"&lt;&gt;")) + (COUNTIFS('T3'!$C$4:$C$68,"C*",'T3'!T$4:T$68,"&lt;&gt;")+COUNTIFS('T3'!$C$4:$C$68,"TC",'T3'!T$4:T$68,"&lt;&gt;")) + (COUNTIFS('T3'!$C$4:$C$68,"C*",'T3'!U$4:U$68,"&lt;&gt;")+COUNTIFS('T3'!$C$4:$C$68,"TC",'T3'!U$4:U$68,"&lt;&gt;")))=0,"",((COUNTIFS('T3'!$C$4:$C$68,"C*",'T3'!O$4:O$68,"x*")-0.5*(COUNTIFS('T3'!$C$4:$C$68,"C*",'T3'!O$4:O$68,"x/2")))+(COUNTIFS('T3'!$C$4:$C$68,"C*",'T3'!P$4:P$68,"x*")-0.5*(COUNTIFS('T3'!$C$4:$C$68,"C*",'T3'!P$4:P$68,"x/2")))+(COUNTIFS('T3'!$C$4:$C$68,"C*",'T3'!Q$4:Q$68,"x*")-0.5*(COUNTIFS('T3'!$C$4:$C$68,"C*",'T3'!Q$4:Q$68,"x/2")))+(COUNTIFS('T3'!$C$4:$C$68,"C*",'T3'!S$4:S$68,"x*")-0.5*(COUNTIFS('T3'!$C$4:$C$68,"C*",'T3'!S$4:S$68,"x/2")))+(COUNTIFS('T3'!$C$4:$C$68,"C*",'T3'!T$4:T$68,"x*")-0.5*(COUNTIFS('T3'!$C$4:$C$68,"C*",'T3'!T$4:T$68,"x/2")))+(COUNTIFS('T3'!$C$4:$C$68,"C*",'T3'!U$4:U$68,"x*")-0.5*(COUNTIFS('T3'!$C$4:$C$68,"C*",'T3'!U$4:U$68,"x/2")))))</f>
        <v>78</v>
      </c>
      <c r="E10" s="61">
        <f>IF(((COUNTIFS('T3'!$C$4:$C$68,"C*",'T3'!O$4:O$68,"&lt;&gt;")+COUNTIFS('T3'!$C$4:$C$68,"TC",'T3'!O$4:O$68,"&lt;&gt;")) + (COUNTIFS('T3'!$C$4:$C$68,"C*",'T3'!P$4:P$68,"&lt;&gt;")+COUNTIFS('T3'!$C$4:$C$68,"TC",'T3'!P$4:P$68,"&lt;&gt;")) + (COUNTIFS('T3'!$C$4:$C$68,"C*",'T3'!Q$4:Q$68,"&lt;&gt;")+COUNTIFS('T3'!$C$4:$C$68,"TC",'T3'!Q$4:Q$68,"&lt;&gt;")) + (COUNTIFS('T3'!$C$4:$C$68,"C*",'T3'!R$4:R$68,"&lt;&gt;")+COUNTIFS('T3'!$C$4:$C$68,"TC",'T3'!R$4:R$68,"&lt;&gt;")) + (COUNTIFS('T3'!$C$4:$C$68,"C*",'T3'!S$4:S$68,"&lt;&gt;")+COUNTIFS('T3'!$C$4:$C$68,"TC",'T3'!S$4:S$68,"&lt;&gt;")) + (COUNTIFS('T3'!$C$4:$C$68,"C*",'T3'!T$4:T$68,"&lt;&gt;")+COUNTIFS('T3'!$C$4:$C$68,"TC",'T3'!T$4:T$68,"&lt;&gt;")) + (COUNTIFS('T3'!$C$4:$C$68,"C*",'T3'!U$4:U$68,"&lt;&gt;")+COUNTIFS('T3'!$C$4:$C$68,"TC",'T3'!U$4:U$68,"&lt;&gt;")))=0,"",((COUNTIFS('T3'!$C$4:$C$68,"C*",'T3'!R$4:R$68,"x*")-0.5*(COUNTIFS('T3'!$C$4:$C$68,"C*",'T3'!R$4:R$68,"x/2")))))</f>
        <v>13</v>
      </c>
      <c r="F10" s="60">
        <f>IF(AND(D10="",E10=""),"",D10+E10)</f>
        <v>91</v>
      </c>
      <c r="G10" s="60">
        <f>IF(((COUNTIFS('T3'!$C$4:$C$68,"C*",'T3'!O$4:O$68,"&lt;&gt;")+COUNTIFS('T3'!$C$4:$C$68,"TC",'T3'!O$4:O$68,"&lt;&gt;")) + (COUNTIFS('T3'!$C$4:$C$68,"C*",'T3'!P$4:P$68,"&lt;&gt;")+COUNTIFS('T3'!$C$4:$C$68,"TC",'T3'!P$4:P$68,"&lt;&gt;")) + (COUNTIFS('T3'!$C$4:$C$68,"C*",'T3'!Q$4:Q$68,"&lt;&gt;")+COUNTIFS('T3'!$C$4:$C$68,"TC",'T3'!Q$4:Q$68,"&lt;&gt;")) + (COUNTIFS('T3'!$C$4:$C$68,"C*",'T3'!R$4:R$68,"&lt;&gt;")+COUNTIFS('T3'!$C$4:$C$68,"TC",'T3'!R$4:R$68,"&lt;&gt;")) + (COUNTIFS('T3'!$C$4:$C$68,"C*",'T3'!S$4:S$68,"&lt;&gt;")+COUNTIFS('T3'!$C$4:$C$68,"TC",'T3'!S$4:S$68,"&lt;&gt;")) + (COUNTIFS('T3'!$C$4:$C$68,"C*",'T3'!T$4:T$68,"&lt;&gt;")+COUNTIFS('T3'!$C$4:$C$68,"TC",'T3'!T$4:T$68,"&lt;&gt;")) + (COUNTIFS('T3'!$C$4:$C$68,"C*",'T3'!U$4:U$68,"&lt;&gt;")+COUNTIFS('T3'!$C$4:$C$68,"TC",'T3'!U$4:U$68,"&lt;&gt;")))=0,"",(SUMIF('T3'!$C$4:$C$68,"TC",'T3'!O$4:O$68))+(SUMIF('T3'!$C$4:$C$68,"TC",'T3'!P$4:P$68))+(SUMIF('T3'!$C$4:$C$68,"TC",'T3'!Q$4:Q$68))+(SUMIF('T3'!$C$4:$C$68,"TC",'T3'!S$4:S$68))+(SUMIF('T3'!$C$4:$C$68,"TC",'T3'!T$4:T$68))+(SUMIF('T3'!$C$4:$C$68,"TC",'T3'!U$4:U$68)))</f>
        <v>0</v>
      </c>
      <c r="H10" s="62">
        <f>IF(((COUNTIFS('T3'!$C$4:$C$68,"C*",'T3'!O$4:O$68,"&lt;&gt;")+COUNTIFS('T3'!$C$4:$C$68,"TC",'T3'!O$4:O$68,"&lt;&gt;")) + (COUNTIFS('T3'!$C$4:$C$68,"C*",'T3'!P$4:P$68,"&lt;&gt;")+COUNTIFS('T3'!$C$4:$C$68,"TC",'T3'!P$4:P$68,"&lt;&gt;")) + (COUNTIFS('T3'!$C$4:$C$68,"C*",'T3'!Q$4:Q$68,"&lt;&gt;")+COUNTIFS('T3'!$C$4:$C$68,"TC",'T3'!Q$4:Q$68,"&lt;&gt;")) + (COUNTIFS('T3'!$C$4:$C$68,"C*",'T3'!R$4:R$68,"&lt;&gt;")+COUNTIFS('T3'!$C$4:$C$68,"TC",'T3'!R$4:R$68,"&lt;&gt;")) + (COUNTIFS('T3'!$C$4:$C$68,"C*",'T3'!S$4:S$68,"&lt;&gt;")+COUNTIFS('T3'!$C$4:$C$68,"TC",'T3'!S$4:S$68,"&lt;&gt;")) + (COUNTIFS('T3'!$C$4:$C$68,"C*",'T3'!T$4:T$68,"&lt;&gt;")+COUNTIFS('T3'!$C$4:$C$68,"TC",'T3'!T$4:T$68,"&lt;&gt;")) + (COUNTIFS('T3'!$C$4:$C$68,"C*",'T3'!U$4:U$68,"&lt;&gt;")+COUNTIFS('T3'!$C$4:$C$68,"TC",'T3'!U$4:U$68,"&lt;&gt;")))=0,"",(SUMIF('T3'!$C$4:$C$68,"TC",'T3'!O$4:O$68))+(SUMIF('T3'!$C$4:$C$68,"TC",'T3'!P$4:P$68))+(SUMIF('T3'!$C$4:$C$68,"TC",'T3'!Q$4:Q$68))+(SUMIF('T3'!$C$4:$C$68,"TC",'T3'!R$4:R$68))+(SUMIF('T3'!$C$4:$C$68,"TC",'T3'!S$4:S$68))+(SUMIF('T3'!$C$4:$C$68,"TC",'T3'!T$4:T$68))+(SUMIF('T3'!$C$4:$C$68,"TC",'T3'!U$4:U$68)))</f>
        <v>0</v>
      </c>
      <c r="I10" s="60">
        <f>IF(H10="","",H10/8)</f>
        <v>0</v>
      </c>
      <c r="J10" s="57" t="str">
        <f>IF(((COUNTIFS('T3'!$C$4:$C$68,"C*",'T3'!O$4:O$68,"&lt;&gt;")+COUNTIFS('T3'!$C$4:$C$68,"TC",'T3'!O$4:O$68,"&lt;&gt;")) + (COUNTIFS('T3'!$C$4:$C$68,"C*",'T3'!P$4:P$68,"&lt;&gt;")+COUNTIFS('T3'!$C$4:$C$68,"TC",'T3'!P$4:P$68,"&lt;&gt;")) + (COUNTIFS('T3'!$C$4:$C$68,"C*",'T3'!Q$4:Q$68,"&lt;&gt;")+COUNTIFS('T3'!$C$4:$C$68,"TC",'T3'!Q$4:Q$68,"&lt;&gt;")) + (COUNTIFS('T3'!$C$4:$C$68,"C*",'T3'!R$4:R$68,"&lt;&gt;")+COUNTIFS('T3'!$C$4:$C$68,"TC",'T3'!R$4:R$68,"&lt;&gt;")) + (COUNTIFS('T3'!$C$4:$C$68,"C*",'T3'!S$4:S$68,"&lt;&gt;")+COUNTIFS('T3'!$C$4:$C$68,"TC",'T3'!S$4:S$68,"&lt;&gt;")) + (COUNTIFS('T3'!$C$4:$C$68,"C*",'T3'!T$4:T$68,"&lt;&gt;")+COUNTIFS('T3'!$C$4:$C$68,"TC",'T3'!T$4:T$68,"&lt;&gt;")) + (COUNTIFS('T3'!$C$4:$C$68,"C*",'T3'!U$4:U$68,"&lt;&gt;")+COUNTIFS('T3'!$C$4:$C$68,"TC",'T3'!U$4:U$68,"&lt;&gt;")))=0,"Chưa nhập","Đã cập nhật")</f>
        <v>Đã cập nhật</v>
      </c>
    </row>
    <row r="11" spans="1:10" x14ac:dyDescent="0.2">
      <c r="A11" s="57" t="s">
        <v>82</v>
      </c>
      <c r="B11" s="59">
        <v>46100</v>
      </c>
      <c r="C11" s="59">
        <v>46106</v>
      </c>
      <c r="D11" s="60">
        <f>IF(((COUNTIFS('T3'!$C$4:$C$68,"C*",'T3'!V$4:V$68,"&lt;&gt;")+COUNTIFS('T3'!$C$4:$C$68,"TC",'T3'!V$4:V$68,"&lt;&gt;")) + (COUNTIFS('T3'!$C$4:$C$68,"C*",'T3'!W$4:W$68,"&lt;&gt;")+COUNTIFS('T3'!$C$4:$C$68,"TC",'T3'!W$4:W$68,"&lt;&gt;")) + (COUNTIFS('T3'!$C$4:$C$68,"C*",'T3'!X$4:X$68,"&lt;&gt;")+COUNTIFS('T3'!$C$4:$C$68,"TC",'T3'!X$4:X$68,"&lt;&gt;")) + (COUNTIFS('T3'!$C$4:$C$68,"C*",'T3'!Y$4:Y$68,"&lt;&gt;")+COUNTIFS('T3'!$C$4:$C$68,"TC",'T3'!Y$4:Y$68,"&lt;&gt;")) + (COUNTIFS('T3'!$C$4:$C$68,"C*",'T3'!Z$4:Z$68,"&lt;&gt;")+COUNTIFS('T3'!$C$4:$C$68,"TC",'T3'!Z$4:Z$68,"&lt;&gt;")) + (COUNTIFS('T3'!$C$4:$C$68,"C*",'T3'!AA$4:AA$68,"&lt;&gt;")+COUNTIFS('T3'!$C$4:$C$68,"TC",'T3'!AA$4:AA$68,"&lt;&gt;")) + (COUNTIFS('T3'!$C$4:$C$68,"C*",'T3'!AB$4:AB$68,"&lt;&gt;")+COUNTIFS('T3'!$C$4:$C$68,"TC",'T3'!AB$4:AB$68,"&lt;&gt;")))=0,"",((COUNTIFS('T3'!$C$4:$C$68,"C*",'T3'!V$4:V$68,"x*")-0.5*(COUNTIFS('T3'!$C$4:$C$68,"C*",'T3'!V$4:V$68,"x/2")))+(COUNTIFS('T3'!$C$4:$C$68,"C*",'T3'!W$4:W$68,"x*")-0.5*(COUNTIFS('T3'!$C$4:$C$68,"C*",'T3'!W$4:W$68,"x/2")))+(COUNTIFS('T3'!$C$4:$C$68,"C*",'T3'!X$4:X$68,"x*")-0.5*(COUNTIFS('T3'!$C$4:$C$68,"C*",'T3'!X$4:X$68,"x/2")))+(COUNTIFS('T3'!$C$4:$C$68,"C*",'T3'!Z$4:Z$68,"x*")-0.5*(COUNTIFS('T3'!$C$4:$C$68,"C*",'T3'!Z$4:Z$68,"x/2")))+(COUNTIFS('T3'!$C$4:$C$68,"C*",'T3'!AA$4:AA$68,"x*")-0.5*(COUNTIFS('T3'!$C$4:$C$68,"C*",'T3'!AA$4:AA$68,"x/2")))+(COUNTIFS('T3'!$C$4:$C$68,"C*",'T3'!AB$4:AB$68,"x*")-0.5*(COUNTIFS('T3'!$C$4:$C$68,"C*",'T3'!AB$4:AB$68,"x/2")))))</f>
        <v>62.5</v>
      </c>
      <c r="E11" s="61">
        <f>IF(((COUNTIFS('T3'!$C$4:$C$68,"C*",'T3'!V$4:V$68,"&lt;&gt;")+COUNTIFS('T3'!$C$4:$C$68,"TC",'T3'!V$4:V$68,"&lt;&gt;")) + (COUNTIFS('T3'!$C$4:$C$68,"C*",'T3'!W$4:W$68,"&lt;&gt;")+COUNTIFS('T3'!$C$4:$C$68,"TC",'T3'!W$4:W$68,"&lt;&gt;")) + (COUNTIFS('T3'!$C$4:$C$68,"C*",'T3'!X$4:X$68,"&lt;&gt;")+COUNTIFS('T3'!$C$4:$C$68,"TC",'T3'!X$4:X$68,"&lt;&gt;")) + (COUNTIFS('T3'!$C$4:$C$68,"C*",'T3'!Y$4:Y$68,"&lt;&gt;")+COUNTIFS('T3'!$C$4:$C$68,"TC",'T3'!Y$4:Y$68,"&lt;&gt;")) + (COUNTIFS('T3'!$C$4:$C$68,"C*",'T3'!Z$4:Z$68,"&lt;&gt;")+COUNTIFS('T3'!$C$4:$C$68,"TC",'T3'!Z$4:Z$68,"&lt;&gt;")) + (COUNTIFS('T3'!$C$4:$C$68,"C*",'T3'!AA$4:AA$68,"&lt;&gt;")+COUNTIFS('T3'!$C$4:$C$68,"TC",'T3'!AA$4:AA$68,"&lt;&gt;")) + (COUNTIFS('T3'!$C$4:$C$68,"C*",'T3'!AB$4:AB$68,"&lt;&gt;")+COUNTIFS('T3'!$C$4:$C$68,"TC",'T3'!AB$4:AB$68,"&lt;&gt;")))=0,"",((COUNTIFS('T3'!$C$4:$C$68,"C*",'T3'!Y$4:Y$68,"x*")-0.5*(COUNTIFS('T3'!$C$4:$C$68,"C*",'T3'!Y$4:Y$68,"x/2")))))</f>
        <v>13</v>
      </c>
      <c r="F11" s="60">
        <f>IF(AND(D11="",E11=""),"",D11+E11)</f>
        <v>75.5</v>
      </c>
      <c r="G11" s="60">
        <f>IF(((COUNTIFS('T3'!$C$4:$C$68,"C*",'T3'!V$4:V$68,"&lt;&gt;")+COUNTIFS('T3'!$C$4:$C$68,"TC",'T3'!V$4:V$68,"&lt;&gt;")) + (COUNTIFS('T3'!$C$4:$C$68,"C*",'T3'!W$4:W$68,"&lt;&gt;")+COUNTIFS('T3'!$C$4:$C$68,"TC",'T3'!W$4:W$68,"&lt;&gt;")) + (COUNTIFS('T3'!$C$4:$C$68,"C*",'T3'!X$4:X$68,"&lt;&gt;")+COUNTIFS('T3'!$C$4:$C$68,"TC",'T3'!X$4:X$68,"&lt;&gt;")) + (COUNTIFS('T3'!$C$4:$C$68,"C*",'T3'!Y$4:Y$68,"&lt;&gt;")+COUNTIFS('T3'!$C$4:$C$68,"TC",'T3'!Y$4:Y$68,"&lt;&gt;")) + (COUNTIFS('T3'!$C$4:$C$68,"C*",'T3'!Z$4:Z$68,"&lt;&gt;")+COUNTIFS('T3'!$C$4:$C$68,"TC",'T3'!Z$4:Z$68,"&lt;&gt;")) + (COUNTIFS('T3'!$C$4:$C$68,"C*",'T3'!AA$4:AA$68,"&lt;&gt;")+COUNTIFS('T3'!$C$4:$C$68,"TC",'T3'!AA$4:AA$68,"&lt;&gt;")) + (COUNTIFS('T3'!$C$4:$C$68,"C*",'T3'!AB$4:AB$68,"&lt;&gt;")+COUNTIFS('T3'!$C$4:$C$68,"TC",'T3'!AB$4:AB$68,"&lt;&gt;")))=0,"",(SUMIF('T3'!$C$4:$C$68,"TC",'T3'!V$4:V$68))+(SUMIF('T3'!$C$4:$C$68,"TC",'T3'!W$4:W$68))+(SUMIF('T3'!$C$4:$C$68,"TC",'T3'!X$4:X$68))+(SUMIF('T3'!$C$4:$C$68,"TC",'T3'!Z$4:Z$68))+(SUMIF('T3'!$C$4:$C$68,"TC",'T3'!AA$4:AA$68))+(SUMIF('T3'!$C$4:$C$68,"TC",'T3'!AB$4:AB$68)))</f>
        <v>0</v>
      </c>
      <c r="H11" s="62">
        <f>IF(((COUNTIFS('T3'!$C$4:$C$68,"C*",'T3'!V$4:V$68,"&lt;&gt;")+COUNTIFS('T3'!$C$4:$C$68,"TC",'T3'!V$4:V$68,"&lt;&gt;")) + (COUNTIFS('T3'!$C$4:$C$68,"C*",'T3'!W$4:W$68,"&lt;&gt;")+COUNTIFS('T3'!$C$4:$C$68,"TC",'T3'!W$4:W$68,"&lt;&gt;")) + (COUNTIFS('T3'!$C$4:$C$68,"C*",'T3'!X$4:X$68,"&lt;&gt;")+COUNTIFS('T3'!$C$4:$C$68,"TC",'T3'!X$4:X$68,"&lt;&gt;")) + (COUNTIFS('T3'!$C$4:$C$68,"C*",'T3'!Y$4:Y$68,"&lt;&gt;")+COUNTIFS('T3'!$C$4:$C$68,"TC",'T3'!Y$4:Y$68,"&lt;&gt;")) + (COUNTIFS('T3'!$C$4:$C$68,"C*",'T3'!Z$4:Z$68,"&lt;&gt;")+COUNTIFS('T3'!$C$4:$C$68,"TC",'T3'!Z$4:Z$68,"&lt;&gt;")) + (COUNTIFS('T3'!$C$4:$C$68,"C*",'T3'!AA$4:AA$68,"&lt;&gt;")+COUNTIFS('T3'!$C$4:$C$68,"TC",'T3'!AA$4:AA$68,"&lt;&gt;")) + (COUNTIFS('T3'!$C$4:$C$68,"C*",'T3'!AB$4:AB$68,"&lt;&gt;")+COUNTIFS('T3'!$C$4:$C$68,"TC",'T3'!AB$4:AB$68,"&lt;&gt;")))=0,"",(SUMIF('T3'!$C$4:$C$68,"TC",'T3'!V$4:V$68))+(SUMIF('T3'!$C$4:$C$68,"TC",'T3'!W$4:W$68))+(SUMIF('T3'!$C$4:$C$68,"TC",'T3'!X$4:X$68))+(SUMIF('T3'!$C$4:$C$68,"TC",'T3'!Y$4:Y$68))+(SUMIF('T3'!$C$4:$C$68,"TC",'T3'!Z$4:Z$68))+(SUMIF('T3'!$C$4:$C$68,"TC",'T3'!AA$4:AA$68))+(SUMIF('T3'!$C$4:$C$68,"TC",'T3'!AB$4:AB$68)))</f>
        <v>0</v>
      </c>
      <c r="I11" s="60">
        <f>IF(H11="","",H11/8)</f>
        <v>0</v>
      </c>
      <c r="J11" s="57" t="str">
        <f>IF(((COUNTIFS('T3'!$C$4:$C$68,"C*",'T3'!V$4:V$68,"&lt;&gt;")+COUNTIFS('T3'!$C$4:$C$68,"TC",'T3'!V$4:V$68,"&lt;&gt;")) + (COUNTIFS('T3'!$C$4:$C$68,"C*",'T3'!W$4:W$68,"&lt;&gt;")+COUNTIFS('T3'!$C$4:$C$68,"TC",'T3'!W$4:W$68,"&lt;&gt;")) + (COUNTIFS('T3'!$C$4:$C$68,"C*",'T3'!X$4:X$68,"&lt;&gt;")+COUNTIFS('T3'!$C$4:$C$68,"TC",'T3'!X$4:X$68,"&lt;&gt;")) + (COUNTIFS('T3'!$C$4:$C$68,"C*",'T3'!Y$4:Y$68,"&lt;&gt;")+COUNTIFS('T3'!$C$4:$C$68,"TC",'T3'!Y$4:Y$68,"&lt;&gt;")) + (COUNTIFS('T3'!$C$4:$C$68,"C*",'T3'!Z$4:Z$68,"&lt;&gt;")+COUNTIFS('T3'!$C$4:$C$68,"TC",'T3'!Z$4:Z$68,"&lt;&gt;")) + (COUNTIFS('T3'!$C$4:$C$68,"C*",'T3'!AA$4:AA$68,"&lt;&gt;")+COUNTIFS('T3'!$C$4:$C$68,"TC",'T3'!AA$4:AA$68,"&lt;&gt;")) + (COUNTIFS('T3'!$C$4:$C$68,"C*",'T3'!AB$4:AB$68,"&lt;&gt;")+COUNTIFS('T3'!$C$4:$C$68,"TC",'T3'!AB$4:AB$68,"&lt;&gt;")))=0,"Chưa nhập","Đã cập nhật")</f>
        <v>Đã cập nhật</v>
      </c>
    </row>
    <row r="12" spans="1:10" x14ac:dyDescent="0.2">
      <c r="A12" s="130" t="s">
        <v>83</v>
      </c>
      <c r="B12" s="131"/>
      <c r="C12" s="132"/>
      <c r="D12" s="60">
        <f t="shared" ref="D12:I12" si="0">IF(COUNT(D8:D11)=0,"",SUM(D8:D11))</f>
        <v>280.5</v>
      </c>
      <c r="E12" s="61">
        <f t="shared" si="0"/>
        <v>52</v>
      </c>
      <c r="F12" s="60">
        <f t="shared" si="0"/>
        <v>332.5</v>
      </c>
      <c r="G12" s="60">
        <f t="shared" si="0"/>
        <v>0</v>
      </c>
      <c r="H12" s="62">
        <f t="shared" si="0"/>
        <v>0</v>
      </c>
      <c r="I12" s="60">
        <f t="shared" si="0"/>
        <v>0</v>
      </c>
      <c r="J12" s="57"/>
    </row>
    <row r="13" spans="1:10" ht="15" customHeight="1" x14ac:dyDescent="0.2">
      <c r="A13" s="133"/>
      <c r="B13" s="134"/>
      <c r="C13" s="135"/>
      <c r="D13" s="63">
        <f t="shared" ref="D13:I13" si="1">IF(COUNT(D8:D12)=0,"",SUM(D8:D12))</f>
        <v>561</v>
      </c>
      <c r="E13" s="63">
        <f t="shared" si="1"/>
        <v>104</v>
      </c>
      <c r="F13" s="63">
        <f t="shared" si="1"/>
        <v>665</v>
      </c>
      <c r="G13" s="63">
        <f t="shared" si="1"/>
        <v>0</v>
      </c>
      <c r="H13" s="63">
        <f t="shared" si="1"/>
        <v>0</v>
      </c>
      <c r="I13" s="63">
        <f t="shared" si="1"/>
        <v>0</v>
      </c>
      <c r="J13" s="58"/>
    </row>
    <row r="15" spans="1:10" x14ac:dyDescent="0.2">
      <c r="A15" s="127" t="s">
        <v>84</v>
      </c>
      <c r="B15" s="125"/>
      <c r="C15" s="125"/>
      <c r="D15" s="125"/>
      <c r="E15" s="125"/>
      <c r="F15" s="125"/>
      <c r="G15" s="125"/>
      <c r="H15" s="125"/>
      <c r="I15" s="125"/>
      <c r="J15" s="125"/>
    </row>
  </sheetData>
  <mergeCells count="15">
    <mergeCell ref="A1:J1"/>
    <mergeCell ref="I4:J4"/>
    <mergeCell ref="A15:J15"/>
    <mergeCell ref="I5:J5"/>
    <mergeCell ref="A2:J2"/>
    <mergeCell ref="A12:C12"/>
    <mergeCell ref="C4:D4"/>
    <mergeCell ref="A13:C13"/>
    <mergeCell ref="C5:D5"/>
    <mergeCell ref="A5:B5"/>
    <mergeCell ref="G5:H5"/>
    <mergeCell ref="E5:F5"/>
    <mergeCell ref="A4:B4"/>
    <mergeCell ref="G4:H4"/>
    <mergeCell ref="E4:F4"/>
  </mergeCells>
  <conditionalFormatting sqref="F8:F12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2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2">
    <cfRule type="expression" dxfId="19" priority="1">
      <formula>$J8="Chưa nhập"</formula>
    </cfRule>
    <cfRule type="expression" dxfId="18" priority="2">
      <formula>$J8="Đã cập nhật"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6"/>
  <sheetViews>
    <sheetView workbookViewId="0">
      <selection sqref="A1:J1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87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>
        <f>F13</f>
        <v>409</v>
      </c>
      <c r="B5" s="125"/>
      <c r="C5" s="136">
        <f>E13</f>
        <v>41</v>
      </c>
      <c r="D5" s="125"/>
      <c r="E5" s="136">
        <f>IF(((COUNTIFS('T4'!$C$4:$C$68,"C*",'T4'!D$4:D$68,"&lt;&gt;")+COUNTIFS('T4'!$C$4:$C$68,"TC",'T4'!D$4:D$68,"&lt;&gt;"))+(COUNTIFS('T4'!$C$4:$C$68,"C*",'T4'!E$4:E$68,"&lt;&gt;")+COUNTIFS('T4'!$C$4:$C$68,"TC",'T4'!E$4:E$68,"&lt;&gt;"))+(COUNTIFS('T4'!$C$4:$C$68,"C*",'T4'!F$4:F$68,"&lt;&gt;")+COUNTIFS('T4'!$C$4:$C$68,"TC",'T4'!F$4:F$68,"&lt;&gt;"))+(COUNTIFS('T4'!$C$4:$C$68,"C*",'T4'!G$4:G$68,"&lt;&gt;")+COUNTIFS('T4'!$C$4:$C$68,"TC",'T4'!G$4:G$68,"&lt;&gt;"))+(COUNTIFS('T4'!$C$4:$C$68,"C*",'T4'!H$4:H$68,"&lt;&gt;")+COUNTIFS('T4'!$C$4:$C$68,"TC",'T4'!H$4:H$68,"&lt;&gt;"))+(COUNTIFS('T4'!$C$4:$C$68,"C*",'T4'!I$4:I$68,"&lt;&gt;")+COUNTIFS('T4'!$C$4:$C$68,"TC",'T4'!I$4:I$68,"&lt;&gt;"))+(COUNTIFS('T4'!$C$4:$C$68,"C*",'T4'!J$4:J$68,"&lt;&gt;")+COUNTIFS('T4'!$C$4:$C$68,"TC",'T4'!J$4:J$68,"&lt;&gt;"))+(COUNTIFS('T4'!$C$4:$C$68,"C*",'T4'!K$4:K$68,"&lt;&gt;")+COUNTIFS('T4'!$C$4:$C$68,"TC",'T4'!K$4:K$68,"&lt;&gt;"))+(COUNTIFS('T4'!$C$4:$C$68,"C*",'T4'!L$4:L$68,"&lt;&gt;")+COUNTIFS('T4'!$C$4:$C$68,"TC",'T4'!L$4:L$68,"&lt;&gt;"))+(COUNTIFS('T4'!$C$4:$C$68,"C*",'T4'!M$4:M$68,"&lt;&gt;")+COUNTIFS('T4'!$C$4:$C$68,"TC",'T4'!M$4:M$68,"&lt;&gt;"))+(COUNTIFS('T4'!$C$4:$C$68,"C*",'T4'!N$4:N$68,"&lt;&gt;")+COUNTIFS('T4'!$C$4:$C$68,"TC",'T4'!N$4:N$68,"&lt;&gt;"))+(COUNTIFS('T4'!$C$4:$C$68,"C*",'T4'!O$4:O$68,"&lt;&gt;")+COUNTIFS('T4'!$C$4:$C$68,"TC",'T4'!O$4:O$68,"&lt;&gt;"))+(COUNTIFS('T4'!$C$4:$C$68,"C*",'T4'!P$4:P$68,"&lt;&gt;")+COUNTIFS('T4'!$C$4:$C$68,"TC",'T4'!P$4:P$68,"&lt;&gt;"))+(COUNTIFS('T4'!$C$4:$C$68,"C*",'T4'!Q$4:Q$68,"&lt;&gt;")+COUNTIFS('T4'!$C$4:$C$68,"TC",'T4'!Q$4:Q$68,"&lt;&gt;"))+(COUNTIFS('T4'!$C$4:$C$68,"C*",'T4'!R$4:R$68,"&lt;&gt;")+COUNTIFS('T4'!$C$4:$C$68,"TC",'T4'!R$4:R$68,"&lt;&gt;"))+(COUNTIFS('T4'!$C$4:$C$68,"C*",'T4'!S$4:S$68,"&lt;&gt;")+COUNTIFS('T4'!$C$4:$C$68,"TC",'T4'!S$4:S$68,"&lt;&gt;"))+(COUNTIFS('T4'!$C$4:$C$68,"C*",'T4'!T$4:T$68,"&lt;&gt;")+COUNTIFS('T4'!$C$4:$C$68,"TC",'T4'!T$4:T$68,"&lt;&gt;"))+(COUNTIFS('T4'!$C$4:$C$68,"C*",'T4'!U$4:U$68,"&lt;&gt;")+COUNTIFS('T4'!$C$4:$C$68,"TC",'T4'!U$4:U$68,"&lt;&gt;"))+(COUNTIFS('T4'!$C$4:$C$68,"C*",'T4'!V$4:V$68,"&lt;&gt;")+COUNTIFS('T4'!$C$4:$C$68,"TC",'T4'!V$4:V$68,"&lt;&gt;"))+(COUNTIFS('T4'!$C$4:$C$68,"C*",'T4'!W$4:W$68,"&lt;&gt;")+COUNTIFS('T4'!$C$4:$C$68,"TC",'T4'!W$4:W$68,"&lt;&gt;"))+(COUNTIFS('T4'!$C$4:$C$68,"C*",'T4'!X$4:X$68,"&lt;&gt;")+COUNTIFS('T4'!$C$4:$C$68,"TC",'T4'!X$4:X$68,"&lt;&gt;"))+(COUNTIFS('T4'!$C$4:$C$68,"C*",'T4'!Y$4:Y$68,"&lt;&gt;")+COUNTIFS('T4'!$C$4:$C$68,"TC",'T4'!Y$4:Y$68,"&lt;&gt;"))+(COUNTIFS('T4'!$C$4:$C$68,"C*",'T4'!Z$4:Z$68,"&lt;&gt;")+COUNTIFS('T4'!$C$4:$C$68,"TC",'T4'!Z$4:Z$68,"&lt;&gt;"))+(COUNTIFS('T4'!$C$4:$C$68,"C*",'T4'!AA$4:AA$68,"&lt;&gt;")+COUNTIFS('T4'!$C$4:$C$68,"TC",'T4'!AA$4:AA$68,"&lt;&gt;"))+(COUNTIFS('T4'!$C$4:$C$68,"C*",'T4'!AB$4:AB$68,"&lt;&gt;")+COUNTIFS('T4'!$C$4:$C$68,"TC",'T4'!AB$4:AB$68,"&lt;&gt;"))+(COUNTIFS('T4'!$C$4:$C$68,"C*",'T4'!AC$4:AC$68,"&lt;&gt;")+COUNTIFS('T4'!$C$4:$C$68,"TC",'T4'!AC$4:AC$68,"&lt;&gt;"))+(COUNTIFS('T4'!$C$4:$C$68,"C*",'T4'!AD$4:AD$68,"&lt;&gt;")+COUNTIFS('T4'!$C$4:$C$68,"TC",'T4'!AD$4:AD$68,"&lt;&gt;"))+(COUNTIFS('T4'!$C$4:$C$68,"C*",'T4'!AE$4:AE$68,"&lt;&gt;")+COUNTIFS('T4'!$C$4:$C$68,"TC",'T4'!AE$4:AE$68,"&lt;&gt;"))+(COUNTIFS('T4'!$C$4:$C$68,"C*",'T4'!AF$4:AF$68,"&lt;&gt;")+COUNTIFS('T4'!$C$4:$C$68,"TC",'T4'!AF$4:AF$68,"&lt;&gt;"))+(COUNTIFS('T4'!$C$4:$C$68,"C*",'T4'!AG$4:AG$68,"&lt;&gt;")+COUNTIFS('T4'!$C$4:$C$68,"TC",'T4'!AG$4:AG$68,"&lt;&gt;")))=0,"",((SUMIF('T4'!$C$4:$C$68,"TC",'T4'!D$4:D$68))+(SUMIF('T4'!$C$4:$C$68,"TC",'T4'!E$4:E$68))+(SUMIF('T4'!$C$4:$C$68,"TC",'T4'!F$4:F$68))+(SUMIF('T4'!$C$4:$C$68,"TC",'T4'!G$4:G$68))+(SUMIF('T4'!$C$4:$C$68,"TC",'T4'!H$4:H$68))+(SUMIF('T4'!$C$4:$C$68,"TC",'T4'!I$4:I$68))+(SUMIF('T4'!$C$4:$C$68,"TC",'T4'!J$4:J$68))+(SUMIF('T4'!$C$4:$C$68,"TC",'T4'!K$4:K$68))+(SUMIF('T4'!$C$4:$C$68,"TC",'T4'!L$4:L$68))+(SUMIF('T4'!$C$4:$C$68,"TC",'T4'!M$4:M$68))+(SUMIF('T4'!$C$4:$C$68,"TC",'T4'!N$4:N$68))+(SUMIF('T4'!$C$4:$C$68,"TC",'T4'!O$4:O$68))+(SUMIF('T4'!$C$4:$C$68,"TC",'T4'!P$4:P$68))+(SUMIF('T4'!$C$4:$C$68,"TC",'T4'!Q$4:Q$68))+(SUMIF('T4'!$C$4:$C$68,"TC",'T4'!R$4:R$68))+(SUMIF('T4'!$C$4:$C$68,"TC",'T4'!S$4:S$68))+(SUMIF('T4'!$C$4:$C$68,"TC",'T4'!T$4:T$68))+(SUMIF('T4'!$C$4:$C$68,"TC",'T4'!U$4:U$68))+(SUMIF('T4'!$C$4:$C$68,"TC",'T4'!V$4:V$68))+(SUMIF('T4'!$C$4:$C$68,"TC",'T4'!W$4:W$68))+(SUMIF('T4'!$C$4:$C$68,"TC",'T4'!X$4:X$68))+(SUMIF('T4'!$C$4:$C$68,"TC",'T4'!Y$4:Y$68))+(SUMIF('T4'!$C$4:$C$68,"TC",'T4'!Z$4:Z$68))+(SUMIF('T4'!$C$4:$C$68,"TC",'T4'!AA$4:AA$68))+(SUMIF('T4'!$C$4:$C$68,"TC",'T4'!AB$4:AB$68))+(SUMIF('T4'!$C$4:$C$68,"TC",'T4'!AC$4:AC$68))+(SUMIF('T4'!$C$4:$C$68,"TC",'T4'!AD$4:AD$68))+(SUMIF('T4'!$C$4:$C$68,"TC",'T4'!AE$4:AE$68))+(SUMIF('T4'!$C$4:$C$68,"TC",'T4'!AF$4:AF$68))+(SUMIF('T4'!$C$4:$C$68,"TC",'T4'!AG$4:AG$68))))</f>
        <v>274.12</v>
      </c>
      <c r="F5" s="125"/>
      <c r="G5" s="137">
        <f>(COUNTIFS('T4'!$C$4:$C$68,"C*",'T4'!D$4:D$68,"&lt;&gt;")+COUNTIFS('T4'!$C$4:$C$68,"TC",'T4'!D$4:D$68,"&lt;&gt;")&gt;0) + (COUNTIFS('T4'!$C$4:$C$68,"C*",'T4'!E$4:E$68,"&lt;&gt;")+COUNTIFS('T4'!$C$4:$C$68,"TC",'T4'!E$4:E$68,"&lt;&gt;")&gt;0) + (COUNTIFS('T4'!$C$4:$C$68,"C*",'T4'!F$4:F$68,"&lt;&gt;")+COUNTIFS('T4'!$C$4:$C$68,"TC",'T4'!F$4:F$68,"&lt;&gt;")&gt;0) + (COUNTIFS('T4'!$C$4:$C$68,"C*",'T4'!G$4:G$68,"&lt;&gt;")+COUNTIFS('T4'!$C$4:$C$68,"TC",'T4'!G$4:G$68,"&lt;&gt;")&gt;0) + (COUNTIFS('T4'!$C$4:$C$68,"C*",'T4'!H$4:H$68,"&lt;&gt;")+COUNTIFS('T4'!$C$4:$C$68,"TC",'T4'!H$4:H$68,"&lt;&gt;")&gt;0) + (COUNTIFS('T4'!$C$4:$C$68,"C*",'T4'!I$4:I$68,"&lt;&gt;")+COUNTIFS('T4'!$C$4:$C$68,"TC",'T4'!I$4:I$68,"&lt;&gt;")&gt;0) + (COUNTIFS('T4'!$C$4:$C$68,"C*",'T4'!J$4:J$68,"&lt;&gt;")+COUNTIFS('T4'!$C$4:$C$68,"TC",'T4'!J$4:J$68,"&lt;&gt;")&gt;0) + (COUNTIFS('T4'!$C$4:$C$68,"C*",'T4'!K$4:K$68,"&lt;&gt;")+COUNTIFS('T4'!$C$4:$C$68,"TC",'T4'!K$4:K$68,"&lt;&gt;")&gt;0) + (COUNTIFS('T4'!$C$4:$C$68,"C*",'T4'!L$4:L$68,"&lt;&gt;")+COUNTIFS('T4'!$C$4:$C$68,"TC",'T4'!L$4:L$68,"&lt;&gt;")&gt;0) + (COUNTIFS('T4'!$C$4:$C$68,"C*",'T4'!M$4:M$68,"&lt;&gt;")+COUNTIFS('T4'!$C$4:$C$68,"TC",'T4'!M$4:M$68,"&lt;&gt;")&gt;0) + (COUNTIFS('T4'!$C$4:$C$68,"C*",'T4'!N$4:N$68,"&lt;&gt;")+COUNTIFS('T4'!$C$4:$C$68,"TC",'T4'!N$4:N$68,"&lt;&gt;")&gt;0) + (COUNTIFS('T4'!$C$4:$C$68,"C*",'T4'!O$4:O$68,"&lt;&gt;")+COUNTIFS('T4'!$C$4:$C$68,"TC",'T4'!O$4:O$68,"&lt;&gt;")&gt;0) + (COUNTIFS('T4'!$C$4:$C$68,"C*",'T4'!P$4:P$68,"&lt;&gt;")+COUNTIFS('T4'!$C$4:$C$68,"TC",'T4'!P$4:P$68,"&lt;&gt;")&gt;0) + (COUNTIFS('T4'!$C$4:$C$68,"C*",'T4'!Q$4:Q$68,"&lt;&gt;")+COUNTIFS('T4'!$C$4:$C$68,"TC",'T4'!Q$4:Q$68,"&lt;&gt;")&gt;0) + (COUNTIFS('T4'!$C$4:$C$68,"C*",'T4'!R$4:R$68,"&lt;&gt;")+COUNTIFS('T4'!$C$4:$C$68,"TC",'T4'!R$4:R$68,"&lt;&gt;")&gt;0) + (COUNTIFS('T4'!$C$4:$C$68,"C*",'T4'!S$4:S$68,"&lt;&gt;")+COUNTIFS('T4'!$C$4:$C$68,"TC",'T4'!S$4:S$68,"&lt;&gt;")&gt;0) + (COUNTIFS('T4'!$C$4:$C$68,"C*",'T4'!T$4:T$68,"&lt;&gt;")+COUNTIFS('T4'!$C$4:$C$68,"TC",'T4'!T$4:T$68,"&lt;&gt;")&gt;0) + (COUNTIFS('T4'!$C$4:$C$68,"C*",'T4'!U$4:U$68,"&lt;&gt;")+COUNTIFS('T4'!$C$4:$C$68,"TC",'T4'!U$4:U$68,"&lt;&gt;")&gt;0) + (COUNTIFS('T4'!$C$4:$C$68,"C*",'T4'!V$4:V$68,"&lt;&gt;")+COUNTIFS('T4'!$C$4:$C$68,"TC",'T4'!V$4:V$68,"&lt;&gt;")&gt;0) + (COUNTIFS('T4'!$C$4:$C$68,"C*",'T4'!W$4:W$68,"&lt;&gt;")+COUNTIFS('T4'!$C$4:$C$68,"TC",'T4'!W$4:W$68,"&lt;&gt;")&gt;0) + (COUNTIFS('T4'!$C$4:$C$68,"C*",'T4'!X$4:X$68,"&lt;&gt;")+COUNTIFS('T4'!$C$4:$C$68,"TC",'T4'!X$4:X$68,"&lt;&gt;")&gt;0) + (COUNTIFS('T4'!$C$4:$C$68,"C*",'T4'!Y$4:Y$68,"&lt;&gt;")+COUNTIFS('T4'!$C$4:$C$68,"TC",'T4'!Y$4:Y$68,"&lt;&gt;")&gt;0) + (COUNTIFS('T4'!$C$4:$C$68,"C*",'T4'!Z$4:Z$68,"&lt;&gt;")+COUNTIFS('T4'!$C$4:$C$68,"TC",'T4'!Z$4:Z$68,"&lt;&gt;")&gt;0) + (COUNTIFS('T4'!$C$4:$C$68,"C*",'T4'!AA$4:AA$68,"&lt;&gt;")+COUNTIFS('T4'!$C$4:$C$68,"TC",'T4'!AA$4:AA$68,"&lt;&gt;")&gt;0) + (COUNTIFS('T4'!$C$4:$C$68,"C*",'T4'!AB$4:AB$68,"&lt;&gt;")+COUNTIFS('T4'!$C$4:$C$68,"TC",'T4'!AB$4:AB$68,"&lt;&gt;")&gt;0) + (COUNTIFS('T4'!$C$4:$C$68,"C*",'T4'!AC$4:AC$68,"&lt;&gt;")+COUNTIFS('T4'!$C$4:$C$68,"TC",'T4'!AC$4:AC$68,"&lt;&gt;")&gt;0) + (COUNTIFS('T4'!$C$4:$C$68,"C*",'T4'!AD$4:AD$68,"&lt;&gt;")+COUNTIFS('T4'!$C$4:$C$68,"TC",'T4'!AD$4:AD$68,"&lt;&gt;")&gt;0) + (COUNTIFS('T4'!$C$4:$C$68,"C*",'T4'!AE$4:AE$68,"&lt;&gt;")+COUNTIFS('T4'!$C$4:$C$68,"TC",'T4'!AE$4:AE$68,"&lt;&gt;")&gt;0) + (COUNTIFS('T4'!$C$4:$C$68,"C*",'T4'!AF$4:AF$68,"&lt;&gt;")+COUNTIFS('T4'!$C$4:$C$68,"TC",'T4'!AF$4:AF$68,"&lt;&gt;")&gt;0) + (COUNTIFS('T4'!$C$4:$C$68,"C*",'T4'!AG$4:AG$68,"&lt;&gt;")+COUNTIFS('T4'!$C$4:$C$68,"TC",'T4'!AG$4:AG$68,"&lt;&gt;")&gt;0)</f>
        <v>29</v>
      </c>
      <c r="H5" s="125"/>
      <c r="I5" s="128">
        <f ca="1">NOW()</f>
        <v>46253.615729745368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46107</v>
      </c>
      <c r="C8" s="59">
        <v>46113</v>
      </c>
      <c r="D8" s="60">
        <f>IF(((COUNTIFS('T3'!$C$4:$C$68,"C*",'T3'!AC$4:AC$68,"&lt;&gt;")+COUNTIFS('T3'!$C$4:$C$68,"TC",'T3'!AC$4:AC$68,"&lt;&gt;")) + (COUNTIFS('T3'!$C$4:$C$68,"C*",'T3'!AD$4:AD$68,"&lt;&gt;")+COUNTIFS('T3'!$C$4:$C$68,"TC",'T3'!AD$4:AD$68,"&lt;&gt;")) + (COUNTIFS('T3'!$C$4:$C$68,"C*",'T3'!AE$4:AE$68,"&lt;&gt;")+COUNTIFS('T3'!$C$4:$C$68,"TC",'T3'!AE$4:AE$68,"&lt;&gt;")) + (COUNTIFS('T3'!$C$4:$C$68,"C*",'T3'!AF$4:AF$68,"&lt;&gt;")+COUNTIFS('T3'!$C$4:$C$68,"TC",'T3'!AF$4:AF$68,"&lt;&gt;")) + (COUNTIFS('T3'!$C$4:$C$68,"C*",'T3'!AG$4:AG$68,"&lt;&gt;")+COUNTIFS('T3'!$C$4:$C$68,"TC",'T3'!AG$4:AG$68,"&lt;&gt;")) + (COUNTIFS('T3'!$C$4:$C$68,"C*",'T3'!AH$4:AH$68,"&lt;&gt;")+COUNTIFS('T3'!$C$4:$C$68,"TC",'T3'!AH$4:AH$68,"&lt;&gt;")) + (COUNTIFS('T4'!$C$4:$C$68,"C*",'T4'!D$4:D$68,"&lt;&gt;")+COUNTIFS('T4'!$C$4:$C$68,"TC",'T4'!D$4:D$68,"&lt;&gt;")))=0,"",((COUNTIFS('T3'!$C$4:$C$68,"C*",'T3'!AC$4:AC$68,"x*")-0.5*(COUNTIFS('T3'!$C$4:$C$68,"C*",'T3'!AC$4:AC$68,"x/2")))+(COUNTIFS('T3'!$C$4:$C$68,"C*",'T3'!AD$4:AD$68,"x*")-0.5*(COUNTIFS('T3'!$C$4:$C$68,"C*",'T3'!AD$4:AD$68,"x/2")))+(COUNTIFS('T3'!$C$4:$C$68,"C*",'T3'!AE$4:AE$68,"x*")-0.5*(COUNTIFS('T3'!$C$4:$C$68,"C*",'T3'!AE$4:AE$68,"x/2")))+(COUNTIFS('T3'!$C$4:$C$68,"C*",'T3'!AG$4:AG$68,"x*")-0.5*(COUNTIFS('T3'!$C$4:$C$68,"C*",'T3'!AG$4:AG$68,"x/2")))+(COUNTIFS('T3'!$C$4:$C$68,"C*",'T3'!AH$4:AH$68,"x*")-0.5*(COUNTIFS('T3'!$C$4:$C$68,"C*",'T3'!AH$4:AH$68,"x/2")))+(COUNTIFS('T4'!$C$4:$C$68,"C*",'T4'!D$4:D$68,"x*")-0.5*(COUNTIFS('T4'!$C$4:$C$68,"C*",'T4'!D$4:D$68,"x/2")))))</f>
        <v>63</v>
      </c>
      <c r="E8" s="61">
        <f>IF(((COUNTIFS('T3'!$C$4:$C$68,"C*",'T3'!AC$4:AC$68,"&lt;&gt;")+COUNTIFS('T3'!$C$4:$C$68,"TC",'T3'!AC$4:AC$68,"&lt;&gt;")) + (COUNTIFS('T3'!$C$4:$C$68,"C*",'T3'!AD$4:AD$68,"&lt;&gt;")+COUNTIFS('T3'!$C$4:$C$68,"TC",'T3'!AD$4:AD$68,"&lt;&gt;")) + (COUNTIFS('T3'!$C$4:$C$68,"C*",'T3'!AE$4:AE$68,"&lt;&gt;")+COUNTIFS('T3'!$C$4:$C$68,"TC",'T3'!AE$4:AE$68,"&lt;&gt;")) + (COUNTIFS('T3'!$C$4:$C$68,"C*",'T3'!AF$4:AF$68,"&lt;&gt;")+COUNTIFS('T3'!$C$4:$C$68,"TC",'T3'!AF$4:AF$68,"&lt;&gt;")) + (COUNTIFS('T3'!$C$4:$C$68,"C*",'T3'!AG$4:AG$68,"&lt;&gt;")+COUNTIFS('T3'!$C$4:$C$68,"TC",'T3'!AG$4:AG$68,"&lt;&gt;")) + (COUNTIFS('T3'!$C$4:$C$68,"C*",'T3'!AH$4:AH$68,"&lt;&gt;")+COUNTIFS('T3'!$C$4:$C$68,"TC",'T3'!AH$4:AH$68,"&lt;&gt;")) + (COUNTIFS('T4'!$C$4:$C$68,"C*",'T4'!D$4:D$68,"&lt;&gt;")+COUNTIFS('T4'!$C$4:$C$68,"TC",'T4'!D$4:D$68,"&lt;&gt;")))=0,"",((COUNTIFS('T3'!$C$4:$C$68,"C*",'T3'!AF$4:AF$68,"x*")-0.5*(COUNTIFS('T3'!$C$4:$C$68,"C*",'T3'!AF$4:AF$68,"x/2")))))</f>
        <v>13</v>
      </c>
      <c r="F8" s="60">
        <f t="shared" ref="F8:F13" si="0">IF(AND(D8="",E8=""),"",D8+E8)</f>
        <v>76</v>
      </c>
      <c r="G8" s="60">
        <f>IF(((COUNTIFS('T3'!$C$4:$C$68,"C*",'T3'!AC$4:AC$68,"&lt;&gt;")+COUNTIFS('T3'!$C$4:$C$68,"TC",'T3'!AC$4:AC$68,"&lt;&gt;")) + (COUNTIFS('T3'!$C$4:$C$68,"C*",'T3'!AD$4:AD$68,"&lt;&gt;")+COUNTIFS('T3'!$C$4:$C$68,"TC",'T3'!AD$4:AD$68,"&lt;&gt;")) + (COUNTIFS('T3'!$C$4:$C$68,"C*",'T3'!AE$4:AE$68,"&lt;&gt;")+COUNTIFS('T3'!$C$4:$C$68,"TC",'T3'!AE$4:AE$68,"&lt;&gt;")) + (COUNTIFS('T3'!$C$4:$C$68,"C*",'T3'!AF$4:AF$68,"&lt;&gt;")+COUNTIFS('T3'!$C$4:$C$68,"TC",'T3'!AF$4:AF$68,"&lt;&gt;")) + (COUNTIFS('T3'!$C$4:$C$68,"C*",'T3'!AG$4:AG$68,"&lt;&gt;")+COUNTIFS('T3'!$C$4:$C$68,"TC",'T3'!AG$4:AG$68,"&lt;&gt;")) + (COUNTIFS('T3'!$C$4:$C$68,"C*",'T3'!AH$4:AH$68,"&lt;&gt;")+COUNTIFS('T3'!$C$4:$C$68,"TC",'T3'!AH$4:AH$68,"&lt;&gt;")) + (COUNTIFS('T4'!$C$4:$C$68,"C*",'T4'!D$4:D$68,"&lt;&gt;")+COUNTIFS('T4'!$C$4:$C$68,"TC",'T4'!D$4:D$68,"&lt;&gt;")))=0,"",(SUMIF('T3'!$C$4:$C$68,"TC",'T3'!AC$4:AC$68))+(SUMIF('T3'!$C$4:$C$68,"TC",'T3'!AD$4:AD$68))+(SUMIF('T3'!$C$4:$C$68,"TC",'T3'!AE$4:AE$68))+(SUMIF('T3'!$C$4:$C$68,"TC",'T3'!AG$4:AG$68))+(SUMIF('T3'!$C$4:$C$68,"TC",'T3'!AH$4:AH$68))+(SUMIF('T4'!$C$4:$C$68,"TC",'T4'!D$4:D$68)))</f>
        <v>174.5</v>
      </c>
      <c r="H8" s="62">
        <f>IF(((COUNTIFS('T3'!$C$4:$C$68,"C*",'T3'!AC$4:AC$68,"&lt;&gt;")+COUNTIFS('T3'!$C$4:$C$68,"TC",'T3'!AC$4:AC$68,"&lt;&gt;")) + (COUNTIFS('T3'!$C$4:$C$68,"C*",'T3'!AD$4:AD$68,"&lt;&gt;")+COUNTIFS('T3'!$C$4:$C$68,"TC",'T3'!AD$4:AD$68,"&lt;&gt;")) + (COUNTIFS('T3'!$C$4:$C$68,"C*",'T3'!AE$4:AE$68,"&lt;&gt;")+COUNTIFS('T3'!$C$4:$C$68,"TC",'T3'!AE$4:AE$68,"&lt;&gt;")) + (COUNTIFS('T3'!$C$4:$C$68,"C*",'T3'!AF$4:AF$68,"&lt;&gt;")+COUNTIFS('T3'!$C$4:$C$68,"TC",'T3'!AF$4:AF$68,"&lt;&gt;")) + (COUNTIFS('T3'!$C$4:$C$68,"C*",'T3'!AG$4:AG$68,"&lt;&gt;")+COUNTIFS('T3'!$C$4:$C$68,"TC",'T3'!AG$4:AG$68,"&lt;&gt;")) + (COUNTIFS('T3'!$C$4:$C$68,"C*",'T3'!AH$4:AH$68,"&lt;&gt;")+COUNTIFS('T3'!$C$4:$C$68,"TC",'T3'!AH$4:AH$68,"&lt;&gt;")) + (COUNTIFS('T4'!$C$4:$C$68,"C*",'T4'!D$4:D$68,"&lt;&gt;")+COUNTIFS('T4'!$C$4:$C$68,"TC",'T4'!D$4:D$68,"&lt;&gt;")))=0,"",(SUMIF('T3'!$C$4:$C$68,"TC",'T3'!AC$4:AC$68))+(SUMIF('T3'!$C$4:$C$68,"TC",'T3'!AD$4:AD$68))+(SUMIF('T3'!$C$4:$C$68,"TC",'T3'!AE$4:AE$68))+(SUMIF('T3'!$C$4:$C$68,"TC",'T3'!AF$4:AF$68))+(SUMIF('T3'!$C$4:$C$68,"TC",'T3'!AG$4:AG$68))+(SUMIF('T3'!$C$4:$C$68,"TC",'T3'!AH$4:AH$68))+(SUMIF('T4'!$C$4:$C$68,"TC",'T4'!D$4:D$68)))</f>
        <v>174.5</v>
      </c>
      <c r="I8" s="60">
        <f t="shared" ref="I8:I13" si="1">IF(H8="","",H8/8)</f>
        <v>21.8125</v>
      </c>
      <c r="J8" s="57" t="str">
        <f>IF(((COUNTIFS('T3'!$C$4:$C$68,"C*",'T3'!AC$4:AC$68,"&lt;&gt;")+COUNTIFS('T3'!$C$4:$C$68,"TC",'T3'!AC$4:AC$68,"&lt;&gt;")) + (COUNTIFS('T3'!$C$4:$C$68,"C*",'T3'!AD$4:AD$68,"&lt;&gt;")+COUNTIFS('T3'!$C$4:$C$68,"TC",'T3'!AD$4:AD$68,"&lt;&gt;")) + (COUNTIFS('T3'!$C$4:$C$68,"C*",'T3'!AE$4:AE$68,"&lt;&gt;")+COUNTIFS('T3'!$C$4:$C$68,"TC",'T3'!AE$4:AE$68,"&lt;&gt;")) + (COUNTIFS('T3'!$C$4:$C$68,"C*",'T3'!AF$4:AF$68,"&lt;&gt;")+COUNTIFS('T3'!$C$4:$C$68,"TC",'T3'!AF$4:AF$68,"&lt;&gt;")) + (COUNTIFS('T3'!$C$4:$C$68,"C*",'T3'!AG$4:AG$68,"&lt;&gt;")+COUNTIFS('T3'!$C$4:$C$68,"TC",'T3'!AG$4:AG$68,"&lt;&gt;")) + (COUNTIFS('T3'!$C$4:$C$68,"C*",'T3'!AH$4:AH$68,"&lt;&gt;")+COUNTIFS('T3'!$C$4:$C$68,"TC",'T3'!AH$4:AH$68,"&lt;&gt;")) + (COUNTIFS('T4'!$C$4:$C$68,"C*",'T4'!D$4:D$68,"&lt;&gt;")+COUNTIFS('T4'!$C$4:$C$68,"TC",'T4'!D$4:D$68,"&lt;&gt;")))=0,"Chưa nhập","Đã cập nhật")</f>
        <v>Đã cập nhật</v>
      </c>
    </row>
    <row r="9" spans="1:10" x14ac:dyDescent="0.2">
      <c r="A9" s="57" t="s">
        <v>80</v>
      </c>
      <c r="B9" s="59">
        <v>46114</v>
      </c>
      <c r="C9" s="59">
        <v>46120</v>
      </c>
      <c r="D9" s="60">
        <f>IF(((COUNTIFS('T4'!$C$4:$C$68,"C*",'T4'!E$4:E$68,"&lt;&gt;")+COUNTIFS('T4'!$C$4:$C$68,"TC",'T4'!E$4:E$68,"&lt;&gt;")) + (COUNTIFS('T4'!$C$4:$C$68,"C*",'T4'!F$4:F$68,"&lt;&gt;")+COUNTIFS('T4'!$C$4:$C$68,"TC",'T4'!F$4:F$68,"&lt;&gt;")) + (COUNTIFS('T4'!$C$4:$C$68,"C*",'T4'!G$4:G$68,"&lt;&gt;")+COUNTIFS('T4'!$C$4:$C$68,"TC",'T4'!G$4:G$68,"&lt;&gt;")) + (COUNTIFS('T4'!$C$4:$C$68,"C*",'T4'!H$4:H$68,"&lt;&gt;")+COUNTIFS('T4'!$C$4:$C$68,"TC",'T4'!H$4:H$68,"&lt;&gt;")) + (COUNTIFS('T4'!$C$4:$C$68,"C*",'T4'!I$4:I$68,"&lt;&gt;")+COUNTIFS('T4'!$C$4:$C$68,"TC",'T4'!I$4:I$68,"&lt;&gt;")) + (COUNTIFS('T4'!$C$4:$C$68,"C*",'T4'!J$4:J$68,"&lt;&gt;")+COUNTIFS('T4'!$C$4:$C$68,"TC",'T4'!J$4:J$68,"&lt;&gt;")) + (COUNTIFS('T4'!$C$4:$C$68,"C*",'T4'!K$4:K$68,"&lt;&gt;")+COUNTIFS('T4'!$C$4:$C$68,"TC",'T4'!K$4:K$68,"&lt;&gt;")))=0,"",((COUNTIFS('T4'!$C$4:$C$68,"C*",'T4'!E$4:E$68,"x*")-0.5*(COUNTIFS('T4'!$C$4:$C$68,"C*",'T4'!E$4:E$68,"x/2")))+(COUNTIFS('T4'!$C$4:$C$68,"C*",'T4'!F$4:F$68,"x*")-0.5*(COUNTIFS('T4'!$C$4:$C$68,"C*",'T4'!F$4:F$68,"x/2")))+(COUNTIFS('T4'!$C$4:$C$68,"C*",'T4'!G$4:G$68,"x*")-0.5*(COUNTIFS('T4'!$C$4:$C$68,"C*",'T4'!G$4:G$68,"x/2")))+(COUNTIFS('T4'!$C$4:$C$68,"C*",'T4'!I$4:I$68,"x*")-0.5*(COUNTIFS('T4'!$C$4:$C$68,"C*",'T4'!I$4:I$68,"x/2")))+(COUNTIFS('T4'!$C$4:$C$68,"C*",'T4'!J$4:J$68,"x*")-0.5*(COUNTIFS('T4'!$C$4:$C$68,"C*",'T4'!J$4:J$68,"x/2")))+(COUNTIFS('T4'!$C$4:$C$68,"C*",'T4'!K$4:K$68,"x*")-0.5*(COUNTIFS('T4'!$C$4:$C$68,"C*",'T4'!K$4:K$68,"x/2")))))</f>
        <v>77.5</v>
      </c>
      <c r="E9" s="61">
        <f>IF(((COUNTIFS('T4'!$C$4:$C$68,"C*",'T4'!E$4:E$68,"&lt;&gt;")+COUNTIFS('T4'!$C$4:$C$68,"TC",'T4'!E$4:E$68,"&lt;&gt;")) + (COUNTIFS('T4'!$C$4:$C$68,"C*",'T4'!F$4:F$68,"&lt;&gt;")+COUNTIFS('T4'!$C$4:$C$68,"TC",'T4'!F$4:F$68,"&lt;&gt;")) + (COUNTIFS('T4'!$C$4:$C$68,"C*",'T4'!G$4:G$68,"&lt;&gt;")+COUNTIFS('T4'!$C$4:$C$68,"TC",'T4'!G$4:G$68,"&lt;&gt;")) + (COUNTIFS('T4'!$C$4:$C$68,"C*",'T4'!H$4:H$68,"&lt;&gt;")+COUNTIFS('T4'!$C$4:$C$68,"TC",'T4'!H$4:H$68,"&lt;&gt;")) + (COUNTIFS('T4'!$C$4:$C$68,"C*",'T4'!I$4:I$68,"&lt;&gt;")+COUNTIFS('T4'!$C$4:$C$68,"TC",'T4'!I$4:I$68,"&lt;&gt;")) + (COUNTIFS('T4'!$C$4:$C$68,"C*",'T4'!J$4:J$68,"&lt;&gt;")+COUNTIFS('T4'!$C$4:$C$68,"TC",'T4'!J$4:J$68,"&lt;&gt;")) + (COUNTIFS('T4'!$C$4:$C$68,"C*",'T4'!K$4:K$68,"&lt;&gt;")+COUNTIFS('T4'!$C$4:$C$68,"TC",'T4'!K$4:K$68,"&lt;&gt;")))=0,"",((COUNTIFS('T4'!$C$4:$C$68,"C*",'T4'!H$4:H$68,"x*")-0.5*(COUNTIFS('T4'!$C$4:$C$68,"C*",'T4'!H$4:H$68,"x/2")))))</f>
        <v>7</v>
      </c>
      <c r="F9" s="60">
        <f t="shared" si="0"/>
        <v>84.5</v>
      </c>
      <c r="G9" s="60">
        <f>IF(((COUNTIFS('T4'!$C$4:$C$68,"C*",'T4'!E$4:E$68,"&lt;&gt;")+COUNTIFS('T4'!$C$4:$C$68,"TC",'T4'!E$4:E$68,"&lt;&gt;")) + (COUNTIFS('T4'!$C$4:$C$68,"C*",'T4'!F$4:F$68,"&lt;&gt;")+COUNTIFS('T4'!$C$4:$C$68,"TC",'T4'!F$4:F$68,"&lt;&gt;")) + (COUNTIFS('T4'!$C$4:$C$68,"C*",'T4'!G$4:G$68,"&lt;&gt;")+COUNTIFS('T4'!$C$4:$C$68,"TC",'T4'!G$4:G$68,"&lt;&gt;")) + (COUNTIFS('T4'!$C$4:$C$68,"C*",'T4'!H$4:H$68,"&lt;&gt;")+COUNTIFS('T4'!$C$4:$C$68,"TC",'T4'!H$4:H$68,"&lt;&gt;")) + (COUNTIFS('T4'!$C$4:$C$68,"C*",'T4'!I$4:I$68,"&lt;&gt;")+COUNTIFS('T4'!$C$4:$C$68,"TC",'T4'!I$4:I$68,"&lt;&gt;")) + (COUNTIFS('T4'!$C$4:$C$68,"C*",'T4'!J$4:J$68,"&lt;&gt;")+COUNTIFS('T4'!$C$4:$C$68,"TC",'T4'!J$4:J$68,"&lt;&gt;")) + (COUNTIFS('T4'!$C$4:$C$68,"C*",'T4'!K$4:K$68,"&lt;&gt;")+COUNTIFS('T4'!$C$4:$C$68,"TC",'T4'!K$4:K$68,"&lt;&gt;")))=0,"",(SUMIF('T4'!$C$4:$C$68,"TC",'T4'!E$4:E$68))+(SUMIF('T4'!$C$4:$C$68,"TC",'T4'!F$4:F$68))+(SUMIF('T4'!$C$4:$C$68,"TC",'T4'!G$4:G$68))+(SUMIF('T4'!$C$4:$C$68,"TC",'T4'!I$4:I$68))+(SUMIF('T4'!$C$4:$C$68,"TC",'T4'!J$4:J$68))+(SUMIF('T4'!$C$4:$C$68,"TC",'T4'!K$4:K$68)))</f>
        <v>-0.08</v>
      </c>
      <c r="H9" s="62">
        <f>IF(((COUNTIFS('T4'!$C$4:$C$68,"C*",'T4'!E$4:E$68,"&lt;&gt;")+COUNTIFS('T4'!$C$4:$C$68,"TC",'T4'!E$4:E$68,"&lt;&gt;")) + (COUNTIFS('T4'!$C$4:$C$68,"C*",'T4'!F$4:F$68,"&lt;&gt;")+COUNTIFS('T4'!$C$4:$C$68,"TC",'T4'!F$4:F$68,"&lt;&gt;")) + (COUNTIFS('T4'!$C$4:$C$68,"C*",'T4'!G$4:G$68,"&lt;&gt;")+COUNTIFS('T4'!$C$4:$C$68,"TC",'T4'!G$4:G$68,"&lt;&gt;")) + (COUNTIFS('T4'!$C$4:$C$68,"C*",'T4'!H$4:H$68,"&lt;&gt;")+COUNTIFS('T4'!$C$4:$C$68,"TC",'T4'!H$4:H$68,"&lt;&gt;")) + (COUNTIFS('T4'!$C$4:$C$68,"C*",'T4'!I$4:I$68,"&lt;&gt;")+COUNTIFS('T4'!$C$4:$C$68,"TC",'T4'!I$4:I$68,"&lt;&gt;")) + (COUNTIFS('T4'!$C$4:$C$68,"C*",'T4'!J$4:J$68,"&lt;&gt;")+COUNTIFS('T4'!$C$4:$C$68,"TC",'T4'!J$4:J$68,"&lt;&gt;")) + (COUNTIFS('T4'!$C$4:$C$68,"C*",'T4'!K$4:K$68,"&lt;&gt;")+COUNTIFS('T4'!$C$4:$C$68,"TC",'T4'!K$4:K$68,"&lt;&gt;")))=0,"",(SUMIF('T4'!$C$4:$C$68,"TC",'T4'!E$4:E$68))+(SUMIF('T4'!$C$4:$C$68,"TC",'T4'!F$4:F$68))+(SUMIF('T4'!$C$4:$C$68,"TC",'T4'!G$4:G$68))+(SUMIF('T4'!$C$4:$C$68,"TC",'T4'!H$4:H$68))+(SUMIF('T4'!$C$4:$C$68,"TC",'T4'!I$4:I$68))+(SUMIF('T4'!$C$4:$C$68,"TC",'T4'!J$4:J$68))+(SUMIF('T4'!$C$4:$C$68,"TC",'T4'!K$4:K$68)))</f>
        <v>-0.08</v>
      </c>
      <c r="I9" s="60">
        <f t="shared" si="1"/>
        <v>-0.01</v>
      </c>
      <c r="J9" s="57" t="str">
        <f>IF(((COUNTIFS('T4'!$C$4:$C$68,"C*",'T4'!E$4:E$68,"&lt;&gt;")+COUNTIFS('T4'!$C$4:$C$68,"TC",'T4'!E$4:E$68,"&lt;&gt;")) + (COUNTIFS('T4'!$C$4:$C$68,"C*",'T4'!F$4:F$68,"&lt;&gt;")+COUNTIFS('T4'!$C$4:$C$68,"TC",'T4'!F$4:F$68,"&lt;&gt;")) + (COUNTIFS('T4'!$C$4:$C$68,"C*",'T4'!G$4:G$68,"&lt;&gt;")+COUNTIFS('T4'!$C$4:$C$68,"TC",'T4'!G$4:G$68,"&lt;&gt;")) + (COUNTIFS('T4'!$C$4:$C$68,"C*",'T4'!H$4:H$68,"&lt;&gt;")+COUNTIFS('T4'!$C$4:$C$68,"TC",'T4'!H$4:H$68,"&lt;&gt;")) + (COUNTIFS('T4'!$C$4:$C$68,"C*",'T4'!I$4:I$68,"&lt;&gt;")+COUNTIFS('T4'!$C$4:$C$68,"TC",'T4'!I$4:I$68,"&lt;&gt;")) + (COUNTIFS('T4'!$C$4:$C$68,"C*",'T4'!J$4:J$68,"&lt;&gt;")+COUNTIFS('T4'!$C$4:$C$68,"TC",'T4'!J$4:J$68,"&lt;&gt;")) + (COUNTIFS('T4'!$C$4:$C$68,"C*",'T4'!K$4:K$68,"&lt;&gt;")+COUNTIFS('T4'!$C$4:$C$68,"TC",'T4'!K$4:K$68,"&lt;&gt;")))=0,"Chưa nhập","Đã cập nhật")</f>
        <v>Đã cập nhật</v>
      </c>
    </row>
    <row r="10" spans="1:10" x14ac:dyDescent="0.2">
      <c r="A10" s="57" t="s">
        <v>81</v>
      </c>
      <c r="B10" s="59">
        <v>46121</v>
      </c>
      <c r="C10" s="59">
        <v>46127</v>
      </c>
      <c r="D10" s="60">
        <f>IF(((COUNTIFS('T4'!$C$4:$C$68,"C*",'T4'!L$4:L$68,"&lt;&gt;")+COUNTIFS('T4'!$C$4:$C$68,"TC",'T4'!L$4:L$68,"&lt;&gt;")) + (COUNTIFS('T4'!$C$4:$C$68,"C*",'T4'!M$4:M$68,"&lt;&gt;")+COUNTIFS('T4'!$C$4:$C$68,"TC",'T4'!M$4:M$68,"&lt;&gt;")) + (COUNTIFS('T4'!$C$4:$C$68,"C*",'T4'!N$4:N$68,"&lt;&gt;")+COUNTIFS('T4'!$C$4:$C$68,"TC",'T4'!N$4:N$68,"&lt;&gt;")) + (COUNTIFS('T4'!$C$4:$C$68,"C*",'T4'!O$4:O$68,"&lt;&gt;")+COUNTIFS('T4'!$C$4:$C$68,"TC",'T4'!O$4:O$68,"&lt;&gt;")) + (COUNTIFS('T4'!$C$4:$C$68,"C*",'T4'!P$4:P$68,"&lt;&gt;")+COUNTIFS('T4'!$C$4:$C$68,"TC",'T4'!P$4:P$68,"&lt;&gt;")) + (COUNTIFS('T4'!$C$4:$C$68,"C*",'T4'!Q$4:Q$68,"&lt;&gt;")+COUNTIFS('T4'!$C$4:$C$68,"TC",'T4'!Q$4:Q$68,"&lt;&gt;")) + (COUNTIFS('T4'!$C$4:$C$68,"C*",'T4'!R$4:R$68,"&lt;&gt;")+COUNTIFS('T4'!$C$4:$C$68,"TC",'T4'!R$4:R$68,"&lt;&gt;")))=0,"",((COUNTIFS('T4'!$C$4:$C$68,"C*",'T4'!L$4:L$68,"x*")-0.5*(COUNTIFS('T4'!$C$4:$C$68,"C*",'T4'!L$4:L$68,"x/2")))+(COUNTIFS('T4'!$C$4:$C$68,"C*",'T4'!M$4:M$68,"x*")-0.5*(COUNTIFS('T4'!$C$4:$C$68,"C*",'T4'!M$4:M$68,"x/2")))+(COUNTIFS('T4'!$C$4:$C$68,"C*",'T4'!N$4:N$68,"x*")-0.5*(COUNTIFS('T4'!$C$4:$C$68,"C*",'T4'!N$4:N$68,"x/2")))+(COUNTIFS('T4'!$C$4:$C$68,"C*",'T4'!P$4:P$68,"x*")-0.5*(COUNTIFS('T4'!$C$4:$C$68,"C*",'T4'!P$4:P$68,"x/2")))+(COUNTIFS('T4'!$C$4:$C$68,"C*",'T4'!Q$4:Q$68,"x*")-0.5*(COUNTIFS('T4'!$C$4:$C$68,"C*",'T4'!Q$4:Q$68,"x/2")))+(COUNTIFS('T4'!$C$4:$C$68,"C*",'T4'!R$4:R$68,"x*")-0.5*(COUNTIFS('T4'!$C$4:$C$68,"C*",'T4'!R$4:R$68,"x/2")))))</f>
        <v>76.5</v>
      </c>
      <c r="E10" s="61">
        <f>IF(((COUNTIFS('T4'!$C$4:$C$68,"C*",'T4'!L$4:L$68,"&lt;&gt;")+COUNTIFS('T4'!$C$4:$C$68,"TC",'T4'!L$4:L$68,"&lt;&gt;")) + (COUNTIFS('T4'!$C$4:$C$68,"C*",'T4'!M$4:M$68,"&lt;&gt;")+COUNTIFS('T4'!$C$4:$C$68,"TC",'T4'!M$4:M$68,"&lt;&gt;")) + (COUNTIFS('T4'!$C$4:$C$68,"C*",'T4'!N$4:N$68,"&lt;&gt;")+COUNTIFS('T4'!$C$4:$C$68,"TC",'T4'!N$4:N$68,"&lt;&gt;")) + (COUNTIFS('T4'!$C$4:$C$68,"C*",'T4'!O$4:O$68,"&lt;&gt;")+COUNTIFS('T4'!$C$4:$C$68,"TC",'T4'!O$4:O$68,"&lt;&gt;")) + (COUNTIFS('T4'!$C$4:$C$68,"C*",'T4'!P$4:P$68,"&lt;&gt;")+COUNTIFS('T4'!$C$4:$C$68,"TC",'T4'!P$4:P$68,"&lt;&gt;")) + (COUNTIFS('T4'!$C$4:$C$68,"C*",'T4'!Q$4:Q$68,"&lt;&gt;")+COUNTIFS('T4'!$C$4:$C$68,"TC",'T4'!Q$4:Q$68,"&lt;&gt;")) + (COUNTIFS('T4'!$C$4:$C$68,"C*",'T4'!R$4:R$68,"&lt;&gt;")+COUNTIFS('T4'!$C$4:$C$68,"TC",'T4'!R$4:R$68,"&lt;&gt;")))=0,"",((COUNTIFS('T4'!$C$4:$C$68,"C*",'T4'!O$4:O$68,"x*")-0.5*(COUNTIFS('T4'!$C$4:$C$68,"C*",'T4'!O$4:O$68,"x/2")))))</f>
        <v>10</v>
      </c>
      <c r="F10" s="60">
        <f t="shared" si="0"/>
        <v>86.5</v>
      </c>
      <c r="G10" s="60">
        <f>IF(((COUNTIFS('T4'!$C$4:$C$68,"C*",'T4'!L$4:L$68,"&lt;&gt;")+COUNTIFS('T4'!$C$4:$C$68,"TC",'T4'!L$4:L$68,"&lt;&gt;")) + (COUNTIFS('T4'!$C$4:$C$68,"C*",'T4'!M$4:M$68,"&lt;&gt;")+COUNTIFS('T4'!$C$4:$C$68,"TC",'T4'!M$4:M$68,"&lt;&gt;")) + (COUNTIFS('T4'!$C$4:$C$68,"C*",'T4'!N$4:N$68,"&lt;&gt;")+COUNTIFS('T4'!$C$4:$C$68,"TC",'T4'!N$4:N$68,"&lt;&gt;")) + (COUNTIFS('T4'!$C$4:$C$68,"C*",'T4'!O$4:O$68,"&lt;&gt;")+COUNTIFS('T4'!$C$4:$C$68,"TC",'T4'!O$4:O$68,"&lt;&gt;")) + (COUNTIFS('T4'!$C$4:$C$68,"C*",'T4'!P$4:P$68,"&lt;&gt;")+COUNTIFS('T4'!$C$4:$C$68,"TC",'T4'!P$4:P$68,"&lt;&gt;")) + (COUNTIFS('T4'!$C$4:$C$68,"C*",'T4'!Q$4:Q$68,"&lt;&gt;")+COUNTIFS('T4'!$C$4:$C$68,"TC",'T4'!Q$4:Q$68,"&lt;&gt;")) + (COUNTIFS('T4'!$C$4:$C$68,"C*",'T4'!R$4:R$68,"&lt;&gt;")+COUNTIFS('T4'!$C$4:$C$68,"TC",'T4'!R$4:R$68,"&lt;&gt;")))=0,"",(SUMIF('T4'!$C$4:$C$68,"TC",'T4'!L$4:L$68))+(SUMIF('T4'!$C$4:$C$68,"TC",'T4'!M$4:M$68))+(SUMIF('T4'!$C$4:$C$68,"TC",'T4'!N$4:N$68))+(SUMIF('T4'!$C$4:$C$68,"TC",'T4'!P$4:P$68))+(SUMIF('T4'!$C$4:$C$68,"TC",'T4'!Q$4:Q$68))+(SUMIF('T4'!$C$4:$C$68,"TC",'T4'!R$4:R$68)))</f>
        <v>2</v>
      </c>
      <c r="H10" s="62">
        <f>IF(((COUNTIFS('T4'!$C$4:$C$68,"C*",'T4'!L$4:L$68,"&lt;&gt;")+COUNTIFS('T4'!$C$4:$C$68,"TC",'T4'!L$4:L$68,"&lt;&gt;")) + (COUNTIFS('T4'!$C$4:$C$68,"C*",'T4'!M$4:M$68,"&lt;&gt;")+COUNTIFS('T4'!$C$4:$C$68,"TC",'T4'!M$4:M$68,"&lt;&gt;")) + (COUNTIFS('T4'!$C$4:$C$68,"C*",'T4'!N$4:N$68,"&lt;&gt;")+COUNTIFS('T4'!$C$4:$C$68,"TC",'T4'!N$4:N$68,"&lt;&gt;")) + (COUNTIFS('T4'!$C$4:$C$68,"C*",'T4'!O$4:O$68,"&lt;&gt;")+COUNTIFS('T4'!$C$4:$C$68,"TC",'T4'!O$4:O$68,"&lt;&gt;")) + (COUNTIFS('T4'!$C$4:$C$68,"C*",'T4'!P$4:P$68,"&lt;&gt;")+COUNTIFS('T4'!$C$4:$C$68,"TC",'T4'!P$4:P$68,"&lt;&gt;")) + (COUNTIFS('T4'!$C$4:$C$68,"C*",'T4'!Q$4:Q$68,"&lt;&gt;")+COUNTIFS('T4'!$C$4:$C$68,"TC",'T4'!Q$4:Q$68,"&lt;&gt;")) + (COUNTIFS('T4'!$C$4:$C$68,"C*",'T4'!R$4:R$68,"&lt;&gt;")+COUNTIFS('T4'!$C$4:$C$68,"TC",'T4'!R$4:R$68,"&lt;&gt;")))=0,"",(SUMIF('T4'!$C$4:$C$68,"TC",'T4'!L$4:L$68))+(SUMIF('T4'!$C$4:$C$68,"TC",'T4'!M$4:M$68))+(SUMIF('T4'!$C$4:$C$68,"TC",'T4'!N$4:N$68))+(SUMIF('T4'!$C$4:$C$68,"TC",'T4'!O$4:O$68))+(SUMIF('T4'!$C$4:$C$68,"TC",'T4'!P$4:P$68))+(SUMIF('T4'!$C$4:$C$68,"TC",'T4'!Q$4:Q$68))+(SUMIF('T4'!$C$4:$C$68,"TC",'T4'!R$4:R$68)))</f>
        <v>2</v>
      </c>
      <c r="I10" s="60">
        <f t="shared" si="1"/>
        <v>0.25</v>
      </c>
      <c r="J10" s="57" t="str">
        <f>IF(((COUNTIFS('T4'!$C$4:$C$68,"C*",'T4'!L$4:L$68,"&lt;&gt;")+COUNTIFS('T4'!$C$4:$C$68,"TC",'T4'!L$4:L$68,"&lt;&gt;")) + (COUNTIFS('T4'!$C$4:$C$68,"C*",'T4'!M$4:M$68,"&lt;&gt;")+COUNTIFS('T4'!$C$4:$C$68,"TC",'T4'!M$4:M$68,"&lt;&gt;")) + (COUNTIFS('T4'!$C$4:$C$68,"C*",'T4'!N$4:N$68,"&lt;&gt;")+COUNTIFS('T4'!$C$4:$C$68,"TC",'T4'!N$4:N$68,"&lt;&gt;")) + (COUNTIFS('T4'!$C$4:$C$68,"C*",'T4'!O$4:O$68,"&lt;&gt;")+COUNTIFS('T4'!$C$4:$C$68,"TC",'T4'!O$4:O$68,"&lt;&gt;")) + (COUNTIFS('T4'!$C$4:$C$68,"C*",'T4'!P$4:P$68,"&lt;&gt;")+COUNTIFS('T4'!$C$4:$C$68,"TC",'T4'!P$4:P$68,"&lt;&gt;")) + (COUNTIFS('T4'!$C$4:$C$68,"C*",'T4'!Q$4:Q$68,"&lt;&gt;")+COUNTIFS('T4'!$C$4:$C$68,"TC",'T4'!Q$4:Q$68,"&lt;&gt;")) + (COUNTIFS('T4'!$C$4:$C$68,"C*",'T4'!R$4:R$68,"&lt;&gt;")+COUNTIFS('T4'!$C$4:$C$68,"TC",'T4'!R$4:R$68,"&lt;&gt;")))=0,"Chưa nhập","Đã cập nhật")</f>
        <v>Đã cập nhật</v>
      </c>
    </row>
    <row r="11" spans="1:10" x14ac:dyDescent="0.2">
      <c r="A11" s="57" t="s">
        <v>82</v>
      </c>
      <c r="B11" s="59">
        <v>46128</v>
      </c>
      <c r="C11" s="59">
        <v>46134</v>
      </c>
      <c r="D11" s="60">
        <f>IF(((COUNTIFS('T4'!$C$4:$C$68,"C*",'T4'!S$4:S$68,"&lt;&gt;")+COUNTIFS('T4'!$C$4:$C$68,"TC",'T4'!S$4:S$68,"&lt;&gt;")) + (COUNTIFS('T4'!$C$4:$C$68,"C*",'T4'!T$4:T$68,"&lt;&gt;")+COUNTIFS('T4'!$C$4:$C$68,"TC",'T4'!T$4:T$68,"&lt;&gt;")) + (COUNTIFS('T4'!$C$4:$C$68,"C*",'T4'!U$4:U$68,"&lt;&gt;")+COUNTIFS('T4'!$C$4:$C$68,"TC",'T4'!U$4:U$68,"&lt;&gt;")) + (COUNTIFS('T4'!$C$4:$C$68,"C*",'T4'!V$4:V$68,"&lt;&gt;")+COUNTIFS('T4'!$C$4:$C$68,"TC",'T4'!V$4:V$68,"&lt;&gt;")) + (COUNTIFS('T4'!$C$4:$C$68,"C*",'T4'!W$4:W$68,"&lt;&gt;")+COUNTIFS('T4'!$C$4:$C$68,"TC",'T4'!W$4:W$68,"&lt;&gt;")) + (COUNTIFS('T4'!$C$4:$C$68,"C*",'T4'!X$4:X$68,"&lt;&gt;")+COUNTIFS('T4'!$C$4:$C$68,"TC",'T4'!X$4:X$68,"&lt;&gt;")) + (COUNTIFS('T4'!$C$4:$C$68,"C*",'T4'!Y$4:Y$68,"&lt;&gt;")+COUNTIFS('T4'!$C$4:$C$68,"TC",'T4'!Y$4:Y$68,"&lt;&gt;")))=0,"",((COUNTIFS('T4'!$C$4:$C$68,"C*",'T4'!S$4:S$68,"x*")-0.5*(COUNTIFS('T4'!$C$4:$C$68,"C*",'T4'!S$4:S$68,"x/2")))+(COUNTIFS('T4'!$C$4:$C$68,"C*",'T4'!T$4:T$68,"x*")-0.5*(COUNTIFS('T4'!$C$4:$C$68,"C*",'T4'!T$4:T$68,"x/2")))+(COUNTIFS('T4'!$C$4:$C$68,"C*",'T4'!U$4:U$68,"x*")-0.5*(COUNTIFS('T4'!$C$4:$C$68,"C*",'T4'!U$4:U$68,"x/2")))+(COUNTIFS('T4'!$C$4:$C$68,"C*",'T4'!W$4:W$68,"x*")-0.5*(COUNTIFS('T4'!$C$4:$C$68,"C*",'T4'!W$4:W$68,"x/2")))+(COUNTIFS('T4'!$C$4:$C$68,"C*",'T4'!X$4:X$68,"x*")-0.5*(COUNTIFS('T4'!$C$4:$C$68,"C*",'T4'!X$4:X$68,"x/2")))+(COUNTIFS('T4'!$C$4:$C$68,"C*",'T4'!Y$4:Y$68,"x*")-0.5*(COUNTIFS('T4'!$C$4:$C$68,"C*",'T4'!Y$4:Y$68,"x/2")))))</f>
        <v>74</v>
      </c>
      <c r="E11" s="61">
        <f>IF(((COUNTIFS('T4'!$C$4:$C$68,"C*",'T4'!S$4:S$68,"&lt;&gt;")+COUNTIFS('T4'!$C$4:$C$68,"TC",'T4'!S$4:S$68,"&lt;&gt;")) + (COUNTIFS('T4'!$C$4:$C$68,"C*",'T4'!T$4:T$68,"&lt;&gt;")+COUNTIFS('T4'!$C$4:$C$68,"TC",'T4'!T$4:T$68,"&lt;&gt;")) + (COUNTIFS('T4'!$C$4:$C$68,"C*",'T4'!U$4:U$68,"&lt;&gt;")+COUNTIFS('T4'!$C$4:$C$68,"TC",'T4'!U$4:U$68,"&lt;&gt;")) + (COUNTIFS('T4'!$C$4:$C$68,"C*",'T4'!V$4:V$68,"&lt;&gt;")+COUNTIFS('T4'!$C$4:$C$68,"TC",'T4'!V$4:V$68,"&lt;&gt;")) + (COUNTIFS('T4'!$C$4:$C$68,"C*",'T4'!W$4:W$68,"&lt;&gt;")+COUNTIFS('T4'!$C$4:$C$68,"TC",'T4'!W$4:W$68,"&lt;&gt;")) + (COUNTIFS('T4'!$C$4:$C$68,"C*",'T4'!X$4:X$68,"&lt;&gt;")+COUNTIFS('T4'!$C$4:$C$68,"TC",'T4'!X$4:X$68,"&lt;&gt;")) + (COUNTIFS('T4'!$C$4:$C$68,"C*",'T4'!Y$4:Y$68,"&lt;&gt;")+COUNTIFS('T4'!$C$4:$C$68,"TC",'T4'!Y$4:Y$68,"&lt;&gt;")))=0,"",((COUNTIFS('T4'!$C$4:$C$68,"C*",'T4'!V$4:V$68,"x*")-0.5*(COUNTIFS('T4'!$C$4:$C$68,"C*",'T4'!V$4:V$68,"x/2")))))</f>
        <v>9</v>
      </c>
      <c r="F11" s="60">
        <f t="shared" si="0"/>
        <v>83</v>
      </c>
      <c r="G11" s="60">
        <f>IF(((COUNTIFS('T4'!$C$4:$C$68,"C*",'T4'!S$4:S$68,"&lt;&gt;")+COUNTIFS('T4'!$C$4:$C$68,"TC",'T4'!S$4:S$68,"&lt;&gt;")) + (COUNTIFS('T4'!$C$4:$C$68,"C*",'T4'!T$4:T$68,"&lt;&gt;")+COUNTIFS('T4'!$C$4:$C$68,"TC",'T4'!T$4:T$68,"&lt;&gt;")) + (COUNTIFS('T4'!$C$4:$C$68,"C*",'T4'!U$4:U$68,"&lt;&gt;")+COUNTIFS('T4'!$C$4:$C$68,"TC",'T4'!U$4:U$68,"&lt;&gt;")) + (COUNTIFS('T4'!$C$4:$C$68,"C*",'T4'!V$4:V$68,"&lt;&gt;")+COUNTIFS('T4'!$C$4:$C$68,"TC",'T4'!V$4:V$68,"&lt;&gt;")) + (COUNTIFS('T4'!$C$4:$C$68,"C*",'T4'!W$4:W$68,"&lt;&gt;")+COUNTIFS('T4'!$C$4:$C$68,"TC",'T4'!W$4:W$68,"&lt;&gt;")) + (COUNTIFS('T4'!$C$4:$C$68,"C*",'T4'!X$4:X$68,"&lt;&gt;")+COUNTIFS('T4'!$C$4:$C$68,"TC",'T4'!X$4:X$68,"&lt;&gt;")) + (COUNTIFS('T4'!$C$4:$C$68,"C*",'T4'!Y$4:Y$68,"&lt;&gt;")+COUNTIFS('T4'!$C$4:$C$68,"TC",'T4'!Y$4:Y$68,"&lt;&gt;")))=0,"",(SUMIF('T4'!$C$4:$C$68,"TC",'T4'!S$4:S$68))+(SUMIF('T4'!$C$4:$C$68,"TC",'T4'!T$4:T$68))+(SUMIF('T4'!$C$4:$C$68,"TC",'T4'!U$4:U$68))+(SUMIF('T4'!$C$4:$C$68,"TC",'T4'!W$4:W$68))+(SUMIF('T4'!$C$4:$C$68,"TC",'T4'!X$4:X$68))+(SUMIF('T4'!$C$4:$C$68,"TC",'T4'!Y$4:Y$68)))</f>
        <v>10.95</v>
      </c>
      <c r="H11" s="62">
        <f>IF(((COUNTIFS('T4'!$C$4:$C$68,"C*",'T4'!S$4:S$68,"&lt;&gt;")+COUNTIFS('T4'!$C$4:$C$68,"TC",'T4'!S$4:S$68,"&lt;&gt;")) + (COUNTIFS('T4'!$C$4:$C$68,"C*",'T4'!T$4:T$68,"&lt;&gt;")+COUNTIFS('T4'!$C$4:$C$68,"TC",'T4'!T$4:T$68,"&lt;&gt;")) + (COUNTIFS('T4'!$C$4:$C$68,"C*",'T4'!U$4:U$68,"&lt;&gt;")+COUNTIFS('T4'!$C$4:$C$68,"TC",'T4'!U$4:U$68,"&lt;&gt;")) + (COUNTIFS('T4'!$C$4:$C$68,"C*",'T4'!V$4:V$68,"&lt;&gt;")+COUNTIFS('T4'!$C$4:$C$68,"TC",'T4'!V$4:V$68,"&lt;&gt;")) + (COUNTIFS('T4'!$C$4:$C$68,"C*",'T4'!W$4:W$68,"&lt;&gt;")+COUNTIFS('T4'!$C$4:$C$68,"TC",'T4'!W$4:W$68,"&lt;&gt;")) + (COUNTIFS('T4'!$C$4:$C$68,"C*",'T4'!X$4:X$68,"&lt;&gt;")+COUNTIFS('T4'!$C$4:$C$68,"TC",'T4'!X$4:X$68,"&lt;&gt;")) + (COUNTIFS('T4'!$C$4:$C$68,"C*",'T4'!Y$4:Y$68,"&lt;&gt;")+COUNTIFS('T4'!$C$4:$C$68,"TC",'T4'!Y$4:Y$68,"&lt;&gt;")))=0,"",(SUMIF('T4'!$C$4:$C$68,"TC",'T4'!S$4:S$68))+(SUMIF('T4'!$C$4:$C$68,"TC",'T4'!T$4:T$68))+(SUMIF('T4'!$C$4:$C$68,"TC",'T4'!U$4:U$68))+(SUMIF('T4'!$C$4:$C$68,"TC",'T4'!V$4:V$68))+(SUMIF('T4'!$C$4:$C$68,"TC",'T4'!W$4:W$68))+(SUMIF('T4'!$C$4:$C$68,"TC",'T4'!X$4:X$68))+(SUMIF('T4'!$C$4:$C$68,"TC",'T4'!Y$4:Y$68)))</f>
        <v>10.95</v>
      </c>
      <c r="I11" s="60">
        <f t="shared" si="1"/>
        <v>1.3687499999999999</v>
      </c>
      <c r="J11" s="57" t="str">
        <f>IF(((COUNTIFS('T4'!$C$4:$C$68,"C*",'T4'!S$4:S$68,"&lt;&gt;")+COUNTIFS('T4'!$C$4:$C$68,"TC",'T4'!S$4:S$68,"&lt;&gt;")) + (COUNTIFS('T4'!$C$4:$C$68,"C*",'T4'!T$4:T$68,"&lt;&gt;")+COUNTIFS('T4'!$C$4:$C$68,"TC",'T4'!T$4:T$68,"&lt;&gt;")) + (COUNTIFS('T4'!$C$4:$C$68,"C*",'T4'!U$4:U$68,"&lt;&gt;")+COUNTIFS('T4'!$C$4:$C$68,"TC",'T4'!U$4:U$68,"&lt;&gt;")) + (COUNTIFS('T4'!$C$4:$C$68,"C*",'T4'!V$4:V$68,"&lt;&gt;")+COUNTIFS('T4'!$C$4:$C$68,"TC",'T4'!V$4:V$68,"&lt;&gt;")) + (COUNTIFS('T4'!$C$4:$C$68,"C*",'T4'!W$4:W$68,"&lt;&gt;")+COUNTIFS('T4'!$C$4:$C$68,"TC",'T4'!W$4:W$68,"&lt;&gt;")) + (COUNTIFS('T4'!$C$4:$C$68,"C*",'T4'!X$4:X$68,"&lt;&gt;")+COUNTIFS('T4'!$C$4:$C$68,"TC",'T4'!X$4:X$68,"&lt;&gt;")) + (COUNTIFS('T4'!$C$4:$C$68,"C*",'T4'!Y$4:Y$68,"&lt;&gt;")+COUNTIFS('T4'!$C$4:$C$68,"TC",'T4'!Y$4:Y$68,"&lt;&gt;")))=0,"Chưa nhập","Đã cập nhật")</f>
        <v>Đã cập nhật</v>
      </c>
    </row>
    <row r="12" spans="1:10" x14ac:dyDescent="0.2">
      <c r="A12" s="57" t="s">
        <v>88</v>
      </c>
      <c r="B12" s="59">
        <v>46135</v>
      </c>
      <c r="C12" s="59">
        <v>46141</v>
      </c>
      <c r="D12" s="60">
        <f>IF(((COUNTIFS('T4'!$C$4:$C$68,"C*",'T4'!Z$4:Z$68,"&lt;&gt;")+COUNTIFS('T4'!$C$4:$C$68,"TC",'T4'!Z$4:Z$68,"&lt;&gt;")) + (COUNTIFS('T4'!$C$4:$C$68,"C*",'T4'!AA$4:AA$68,"&lt;&gt;")+COUNTIFS('T4'!$C$4:$C$68,"TC",'T4'!AA$4:AA$68,"&lt;&gt;")) + (COUNTIFS('T4'!$C$4:$C$68,"C*",'T4'!AB$4:AB$68,"&lt;&gt;")+COUNTIFS('T4'!$C$4:$C$68,"TC",'T4'!AB$4:AB$68,"&lt;&gt;")) + (COUNTIFS('T4'!$C$4:$C$68,"C*",'T4'!AC$4:AC$68,"&lt;&gt;")+COUNTIFS('T4'!$C$4:$C$68,"TC",'T4'!AC$4:AC$68,"&lt;&gt;")) + (COUNTIFS('T4'!$C$4:$C$68,"C*",'T4'!AD$4:AD$68,"&lt;&gt;")+COUNTIFS('T4'!$C$4:$C$68,"TC",'T4'!AD$4:AD$68,"&lt;&gt;")) + (COUNTIFS('T4'!$C$4:$C$68,"C*",'T4'!AE$4:AE$68,"&lt;&gt;")+COUNTIFS('T4'!$C$4:$C$68,"TC",'T4'!AE$4:AE$68,"&lt;&gt;")) + (COUNTIFS('T4'!$C$4:$C$68,"C*",'T4'!AF$4:AF$68,"&lt;&gt;")+COUNTIFS('T4'!$C$4:$C$68,"TC",'T4'!AF$4:AF$68,"&lt;&gt;")))=0,"",((COUNTIFS('T4'!$C$4:$C$68,"C*",'T4'!Z$4:Z$68,"x*")-0.5*(COUNTIFS('T4'!$C$4:$C$68,"C*",'T4'!Z$4:Z$68,"x/2")))+(COUNTIFS('T4'!$C$4:$C$68,"C*",'T4'!AA$4:AA$68,"x*")-0.5*(COUNTIFS('T4'!$C$4:$C$68,"C*",'T4'!AA$4:AA$68,"x/2")))+(COUNTIFS('T4'!$C$4:$C$68,"C*",'T4'!AB$4:AB$68,"x*")-0.5*(COUNTIFS('T4'!$C$4:$C$68,"C*",'T4'!AB$4:AB$68,"x/2")))+(COUNTIFS('T4'!$C$4:$C$68,"C*",'T4'!AD$4:AD$68,"x*")-0.5*(COUNTIFS('T4'!$C$4:$C$68,"C*",'T4'!AD$4:AD$68,"x/2")))+(COUNTIFS('T4'!$C$4:$C$68,"C*",'T4'!AE$4:AE$68,"x*")-0.5*(COUNTIFS('T4'!$C$4:$C$68,"C*",'T4'!AE$4:AE$68,"x/2")))+(COUNTIFS('T4'!$C$4:$C$68,"C*",'T4'!AF$4:AF$68,"x*")-0.5*(COUNTIFS('T4'!$C$4:$C$68,"C*",'T4'!AF$4:AF$68,"x/2")))))</f>
        <v>77</v>
      </c>
      <c r="E12" s="61">
        <f>IF(((COUNTIFS('T4'!$C$4:$C$68,"C*",'T4'!Z$4:Z$68,"&lt;&gt;")+COUNTIFS('T4'!$C$4:$C$68,"TC",'T4'!Z$4:Z$68,"&lt;&gt;")) + (COUNTIFS('T4'!$C$4:$C$68,"C*",'T4'!AA$4:AA$68,"&lt;&gt;")+COUNTIFS('T4'!$C$4:$C$68,"TC",'T4'!AA$4:AA$68,"&lt;&gt;")) + (COUNTIFS('T4'!$C$4:$C$68,"C*",'T4'!AB$4:AB$68,"&lt;&gt;")+COUNTIFS('T4'!$C$4:$C$68,"TC",'T4'!AB$4:AB$68,"&lt;&gt;")) + (COUNTIFS('T4'!$C$4:$C$68,"C*",'T4'!AC$4:AC$68,"&lt;&gt;")+COUNTIFS('T4'!$C$4:$C$68,"TC",'T4'!AC$4:AC$68,"&lt;&gt;")) + (COUNTIFS('T4'!$C$4:$C$68,"C*",'T4'!AD$4:AD$68,"&lt;&gt;")+COUNTIFS('T4'!$C$4:$C$68,"TC",'T4'!AD$4:AD$68,"&lt;&gt;")) + (COUNTIFS('T4'!$C$4:$C$68,"C*",'T4'!AE$4:AE$68,"&lt;&gt;")+COUNTIFS('T4'!$C$4:$C$68,"TC",'T4'!AE$4:AE$68,"&lt;&gt;")) + (COUNTIFS('T4'!$C$4:$C$68,"C*",'T4'!AF$4:AF$68,"&lt;&gt;")+COUNTIFS('T4'!$C$4:$C$68,"TC",'T4'!AF$4:AF$68,"&lt;&gt;")))=0,"",((COUNTIFS('T4'!$C$4:$C$68,"C*",'T4'!AC$4:AC$68,"x*")-0.5*(COUNTIFS('T4'!$C$4:$C$68,"C*",'T4'!AC$4:AC$68,"x/2")))))</f>
        <v>2</v>
      </c>
      <c r="F12" s="60">
        <f t="shared" si="0"/>
        <v>79</v>
      </c>
      <c r="G12" s="60">
        <f>IF(((COUNTIFS('T4'!$C$4:$C$68,"C*",'T4'!Z$4:Z$68,"&lt;&gt;")+COUNTIFS('T4'!$C$4:$C$68,"TC",'T4'!Z$4:Z$68,"&lt;&gt;")) + (COUNTIFS('T4'!$C$4:$C$68,"C*",'T4'!AA$4:AA$68,"&lt;&gt;")+COUNTIFS('T4'!$C$4:$C$68,"TC",'T4'!AA$4:AA$68,"&lt;&gt;")) + (COUNTIFS('T4'!$C$4:$C$68,"C*",'T4'!AB$4:AB$68,"&lt;&gt;")+COUNTIFS('T4'!$C$4:$C$68,"TC",'T4'!AB$4:AB$68,"&lt;&gt;")) + (COUNTIFS('T4'!$C$4:$C$68,"C*",'T4'!AC$4:AC$68,"&lt;&gt;")+COUNTIFS('T4'!$C$4:$C$68,"TC",'T4'!AC$4:AC$68,"&lt;&gt;")) + (COUNTIFS('T4'!$C$4:$C$68,"C*",'T4'!AD$4:AD$68,"&lt;&gt;")+COUNTIFS('T4'!$C$4:$C$68,"TC",'T4'!AD$4:AD$68,"&lt;&gt;")) + (COUNTIFS('T4'!$C$4:$C$68,"C*",'T4'!AE$4:AE$68,"&lt;&gt;")+COUNTIFS('T4'!$C$4:$C$68,"TC",'T4'!AE$4:AE$68,"&lt;&gt;")) + (COUNTIFS('T4'!$C$4:$C$68,"C*",'T4'!AF$4:AF$68,"&lt;&gt;")+COUNTIFS('T4'!$C$4:$C$68,"TC",'T4'!AF$4:AF$68,"&lt;&gt;")))=0,"",(SUMIF('T4'!$C$4:$C$68,"TC",'T4'!Z$4:Z$68))+(SUMIF('T4'!$C$4:$C$68,"TC",'T4'!AA$4:AA$68))+(SUMIF('T4'!$C$4:$C$68,"TC",'T4'!AB$4:AB$68))+(SUMIF('T4'!$C$4:$C$68,"TC",'T4'!AD$4:AD$68))+(SUMIF('T4'!$C$4:$C$68,"TC",'T4'!AE$4:AE$68))+(SUMIF('T4'!$C$4:$C$68,"TC",'T4'!AF$4:AF$68)))</f>
        <v>261.25</v>
      </c>
      <c r="H12" s="62">
        <f>IF(((COUNTIFS('T4'!$C$4:$C$68,"C*",'T4'!Z$4:Z$68,"&lt;&gt;")+COUNTIFS('T4'!$C$4:$C$68,"TC",'T4'!Z$4:Z$68,"&lt;&gt;")) + (COUNTIFS('T4'!$C$4:$C$68,"C*",'T4'!AA$4:AA$68,"&lt;&gt;")+COUNTIFS('T4'!$C$4:$C$68,"TC",'T4'!AA$4:AA$68,"&lt;&gt;")) + (COUNTIFS('T4'!$C$4:$C$68,"C*",'T4'!AB$4:AB$68,"&lt;&gt;")+COUNTIFS('T4'!$C$4:$C$68,"TC",'T4'!AB$4:AB$68,"&lt;&gt;")) + (COUNTIFS('T4'!$C$4:$C$68,"C*",'T4'!AC$4:AC$68,"&lt;&gt;")+COUNTIFS('T4'!$C$4:$C$68,"TC",'T4'!AC$4:AC$68,"&lt;&gt;")) + (COUNTIFS('T4'!$C$4:$C$68,"C*",'T4'!AD$4:AD$68,"&lt;&gt;")+COUNTIFS('T4'!$C$4:$C$68,"TC",'T4'!AD$4:AD$68,"&lt;&gt;")) + (COUNTIFS('T4'!$C$4:$C$68,"C*",'T4'!AE$4:AE$68,"&lt;&gt;")+COUNTIFS('T4'!$C$4:$C$68,"TC",'T4'!AE$4:AE$68,"&lt;&gt;")) + (COUNTIFS('T4'!$C$4:$C$68,"C*",'T4'!AF$4:AF$68,"&lt;&gt;")+COUNTIFS('T4'!$C$4:$C$68,"TC",'T4'!AF$4:AF$68,"&lt;&gt;")))=0,"",(SUMIF('T4'!$C$4:$C$68,"TC",'T4'!Z$4:Z$68))+(SUMIF('T4'!$C$4:$C$68,"TC",'T4'!AA$4:AA$68))+(SUMIF('T4'!$C$4:$C$68,"TC",'T4'!AB$4:AB$68))+(SUMIF('T4'!$C$4:$C$68,"TC",'T4'!AC$4:AC$68))+(SUMIF('T4'!$C$4:$C$68,"TC",'T4'!AD$4:AD$68))+(SUMIF('T4'!$C$4:$C$68,"TC",'T4'!AE$4:AE$68))+(SUMIF('T4'!$C$4:$C$68,"TC",'T4'!AF$4:AF$68)))</f>
        <v>261.25</v>
      </c>
      <c r="I12" s="60">
        <f t="shared" si="1"/>
        <v>32.65625</v>
      </c>
      <c r="J12" s="57" t="str">
        <f>IF(((COUNTIFS('T4'!$C$4:$C$68,"C*",'T4'!Z$4:Z$68,"&lt;&gt;")+COUNTIFS('T4'!$C$4:$C$68,"TC",'T4'!Z$4:Z$68,"&lt;&gt;")) + (COUNTIFS('T4'!$C$4:$C$68,"C*",'T4'!AA$4:AA$68,"&lt;&gt;")+COUNTIFS('T4'!$C$4:$C$68,"TC",'T4'!AA$4:AA$68,"&lt;&gt;")) + (COUNTIFS('T4'!$C$4:$C$68,"C*",'T4'!AB$4:AB$68,"&lt;&gt;")+COUNTIFS('T4'!$C$4:$C$68,"TC",'T4'!AB$4:AB$68,"&lt;&gt;")) + (COUNTIFS('T4'!$C$4:$C$68,"C*",'T4'!AC$4:AC$68,"&lt;&gt;")+COUNTIFS('T4'!$C$4:$C$68,"TC",'T4'!AC$4:AC$68,"&lt;&gt;")) + (COUNTIFS('T4'!$C$4:$C$68,"C*",'T4'!AD$4:AD$68,"&lt;&gt;")+COUNTIFS('T4'!$C$4:$C$68,"TC",'T4'!AD$4:AD$68,"&lt;&gt;")) + (COUNTIFS('T4'!$C$4:$C$68,"C*",'T4'!AE$4:AE$68,"&lt;&gt;")+COUNTIFS('T4'!$C$4:$C$68,"TC",'T4'!AE$4:AE$68,"&lt;&gt;")) + (COUNTIFS('T4'!$C$4:$C$68,"C*",'T4'!AF$4:AF$68,"&lt;&gt;")+COUNTIFS('T4'!$C$4:$C$68,"TC",'T4'!AF$4:AF$68,"&lt;&gt;")))=0,"Chưa nhập","Đã cập nhật")</f>
        <v>Đã cập nhật</v>
      </c>
    </row>
    <row r="13" spans="1:10" x14ac:dyDescent="0.2">
      <c r="A13" s="130" t="s">
        <v>83</v>
      </c>
      <c r="B13" s="131"/>
      <c r="C13" s="132"/>
      <c r="D13" s="60">
        <f>IF(COUNT(D8:D12)=0,"",SUM(D8:D12))</f>
        <v>368</v>
      </c>
      <c r="E13" s="61">
        <f>IF(COUNT(E8:E12)=0,"",SUM(E8:E12))</f>
        <v>41</v>
      </c>
      <c r="F13" s="60">
        <f t="shared" si="0"/>
        <v>409</v>
      </c>
      <c r="G13" s="60">
        <f>IF(COUNT(G8:G12)=0,"",SUM(G8:G12))</f>
        <v>448.62</v>
      </c>
      <c r="H13" s="62">
        <f>IF(COUNT(H8:H12)=0,"",SUM(H8:H12))</f>
        <v>448.62</v>
      </c>
      <c r="I13" s="60">
        <f t="shared" si="1"/>
        <v>56.077500000000001</v>
      </c>
      <c r="J13" s="57"/>
    </row>
    <row r="14" spans="1:10" ht="15" customHeight="1" x14ac:dyDescent="0.2">
      <c r="A14" s="133"/>
      <c r="B14" s="134"/>
      <c r="C14" s="135"/>
      <c r="D14" s="63">
        <f t="shared" ref="D14:I14" si="2">IF(COUNT(D8:D13)=0,"",SUM(D8:D13))</f>
        <v>736</v>
      </c>
      <c r="E14" s="63">
        <f t="shared" si="2"/>
        <v>82</v>
      </c>
      <c r="F14" s="63">
        <f t="shared" si="2"/>
        <v>818</v>
      </c>
      <c r="G14" s="63">
        <f t="shared" si="2"/>
        <v>897.24</v>
      </c>
      <c r="H14" s="63">
        <f t="shared" si="2"/>
        <v>897.24</v>
      </c>
      <c r="I14" s="63">
        <f t="shared" si="2"/>
        <v>112.155</v>
      </c>
      <c r="J14" s="58"/>
    </row>
    <row r="16" spans="1:10" x14ac:dyDescent="0.2">
      <c r="A16" s="127" t="s">
        <v>84</v>
      </c>
      <c r="B16" s="125"/>
      <c r="C16" s="125"/>
      <c r="D16" s="125"/>
      <c r="E16" s="125"/>
      <c r="F16" s="125"/>
      <c r="G16" s="125"/>
      <c r="H16" s="125"/>
      <c r="I16" s="125"/>
      <c r="J16" s="125"/>
    </row>
  </sheetData>
  <mergeCells count="15">
    <mergeCell ref="A4:B4"/>
    <mergeCell ref="G4:H4"/>
    <mergeCell ref="E4:F4"/>
    <mergeCell ref="A1:J1"/>
    <mergeCell ref="I4:J4"/>
    <mergeCell ref="A2:J2"/>
    <mergeCell ref="C4:D4"/>
    <mergeCell ref="A13:C13"/>
    <mergeCell ref="A16:J16"/>
    <mergeCell ref="A14:C14"/>
    <mergeCell ref="C5:D5"/>
    <mergeCell ref="A5:B5"/>
    <mergeCell ref="G5:H5"/>
    <mergeCell ref="E5:F5"/>
    <mergeCell ref="I5:J5"/>
  </mergeCells>
  <conditionalFormatting sqref="F8:F13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3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3">
    <cfRule type="expression" dxfId="17" priority="1">
      <formula>$J8="Chưa nhập"</formula>
    </cfRule>
    <cfRule type="expression" dxfId="16" priority="2">
      <formula>$J8="Đã cập nhật"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5"/>
  <sheetViews>
    <sheetView workbookViewId="0">
      <selection sqref="A1:J1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89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>
        <f>F12</f>
        <v>311.5</v>
      </c>
      <c r="B5" s="125"/>
      <c r="C5" s="136">
        <f>E12</f>
        <v>35.5</v>
      </c>
      <c r="D5" s="125"/>
      <c r="E5" s="136">
        <f>IF(((COUNTIFS('T5'!$C$4:$C$68,"C*",'T5'!D$4:D$68,"&lt;&gt;")+COUNTIFS('T5'!$C$4:$C$68,"TC",'T5'!D$4:D$68,"&lt;&gt;"))+(COUNTIFS('T5'!$C$4:$C$68,"C*",'T5'!E$4:E$68,"&lt;&gt;")+COUNTIFS('T5'!$C$4:$C$68,"TC",'T5'!E$4:E$68,"&lt;&gt;"))+(COUNTIFS('T5'!$C$4:$C$68,"C*",'T5'!F$4:F$68,"&lt;&gt;")+COUNTIFS('T5'!$C$4:$C$68,"TC",'T5'!F$4:F$68,"&lt;&gt;"))+(COUNTIFS('T5'!$C$4:$C$68,"C*",'T5'!G$4:G$68,"&lt;&gt;")+COUNTIFS('T5'!$C$4:$C$68,"TC",'T5'!G$4:G$68,"&lt;&gt;"))+(COUNTIFS('T5'!$C$4:$C$68,"C*",'T5'!H$4:H$68,"&lt;&gt;")+COUNTIFS('T5'!$C$4:$C$68,"TC",'T5'!H$4:H$68,"&lt;&gt;"))+(COUNTIFS('T5'!$C$4:$C$68,"C*",'T5'!I$4:I$68,"&lt;&gt;")+COUNTIFS('T5'!$C$4:$C$68,"TC",'T5'!I$4:I$68,"&lt;&gt;"))+(COUNTIFS('T5'!$C$4:$C$68,"C*",'T5'!J$4:J$68,"&lt;&gt;")+COUNTIFS('T5'!$C$4:$C$68,"TC",'T5'!J$4:J$68,"&lt;&gt;"))+(COUNTIFS('T5'!$C$4:$C$68,"C*",'T5'!K$4:K$68,"&lt;&gt;")+COUNTIFS('T5'!$C$4:$C$68,"TC",'T5'!K$4:K$68,"&lt;&gt;"))+(COUNTIFS('T5'!$C$4:$C$68,"C*",'T5'!L$4:L$68,"&lt;&gt;")+COUNTIFS('T5'!$C$4:$C$68,"TC",'T5'!L$4:L$68,"&lt;&gt;"))+(COUNTIFS('T5'!$C$4:$C$68,"C*",'T5'!M$4:M$68,"&lt;&gt;")+COUNTIFS('T5'!$C$4:$C$68,"TC",'T5'!M$4:M$68,"&lt;&gt;"))+(COUNTIFS('T5'!$C$4:$C$68,"C*",'T5'!N$4:N$68,"&lt;&gt;")+COUNTIFS('T5'!$C$4:$C$68,"TC",'T5'!N$4:N$68,"&lt;&gt;"))+(COUNTIFS('T5'!$C$4:$C$68,"C*",'T5'!O$4:O$68,"&lt;&gt;")+COUNTIFS('T5'!$C$4:$C$68,"TC",'T5'!O$4:O$68,"&lt;&gt;"))+(COUNTIFS('T5'!$C$4:$C$68,"C*",'T5'!P$4:P$68,"&lt;&gt;")+COUNTIFS('T5'!$C$4:$C$68,"TC",'T5'!P$4:P$68,"&lt;&gt;"))+(COUNTIFS('T5'!$C$4:$C$68,"C*",'T5'!Q$4:Q$68,"&lt;&gt;")+COUNTIFS('T5'!$C$4:$C$68,"TC",'T5'!Q$4:Q$68,"&lt;&gt;"))+(COUNTIFS('T5'!$C$4:$C$68,"C*",'T5'!R$4:R$68,"&lt;&gt;")+COUNTIFS('T5'!$C$4:$C$68,"TC",'T5'!R$4:R$68,"&lt;&gt;"))+(COUNTIFS('T5'!$C$4:$C$68,"C*",'T5'!S$4:S$68,"&lt;&gt;")+COUNTIFS('T5'!$C$4:$C$68,"TC",'T5'!S$4:S$68,"&lt;&gt;"))+(COUNTIFS('T5'!$C$4:$C$68,"C*",'T5'!T$4:T$68,"&lt;&gt;")+COUNTIFS('T5'!$C$4:$C$68,"TC",'T5'!T$4:T$68,"&lt;&gt;"))+(COUNTIFS('T5'!$C$4:$C$68,"C*",'T5'!U$4:U$68,"&lt;&gt;")+COUNTIFS('T5'!$C$4:$C$68,"TC",'T5'!U$4:U$68,"&lt;&gt;"))+(COUNTIFS('T5'!$C$4:$C$68,"C*",'T5'!V$4:V$68,"&lt;&gt;")+COUNTIFS('T5'!$C$4:$C$68,"TC",'T5'!V$4:V$68,"&lt;&gt;"))+(COUNTIFS('T5'!$C$4:$C$68,"C*",'T5'!W$4:W$68,"&lt;&gt;")+COUNTIFS('T5'!$C$4:$C$68,"TC",'T5'!W$4:W$68,"&lt;&gt;"))+(COUNTIFS('T5'!$C$4:$C$68,"C*",'T5'!X$4:X$68,"&lt;&gt;")+COUNTIFS('T5'!$C$4:$C$68,"TC",'T5'!X$4:X$68,"&lt;&gt;"))+(COUNTIFS('T5'!$C$4:$C$68,"C*",'T5'!Y$4:Y$68,"&lt;&gt;")+COUNTIFS('T5'!$C$4:$C$68,"TC",'T5'!Y$4:Y$68,"&lt;&gt;"))+(COUNTIFS('T5'!$C$4:$C$68,"C*",'T5'!Z$4:Z$68,"&lt;&gt;")+COUNTIFS('T5'!$C$4:$C$68,"TC",'T5'!Z$4:Z$68,"&lt;&gt;"))+(COUNTIFS('T5'!$C$4:$C$68,"C*",'T5'!AA$4:AA$68,"&lt;&gt;")+COUNTIFS('T5'!$C$4:$C$68,"TC",'T5'!AA$4:AA$68,"&lt;&gt;"))+(COUNTIFS('T5'!$C$4:$C$68,"C*",'T5'!AB$4:AB$68,"&lt;&gt;")+COUNTIFS('T5'!$C$4:$C$68,"TC",'T5'!AB$4:AB$68,"&lt;&gt;"))+(COUNTIFS('T5'!$C$4:$C$68,"C*",'T5'!AC$4:AC$68,"&lt;&gt;")+COUNTIFS('T5'!$C$4:$C$68,"TC",'T5'!AC$4:AC$68,"&lt;&gt;"))+(COUNTIFS('T5'!$C$4:$C$68,"C*",'T5'!AD$4:AD$68,"&lt;&gt;")+COUNTIFS('T5'!$C$4:$C$68,"TC",'T5'!AD$4:AD$68,"&lt;&gt;"))+(COUNTIFS('T5'!$C$4:$C$68,"C*",'T5'!AE$4:AE$68,"&lt;&gt;")+COUNTIFS('T5'!$C$4:$C$68,"TC",'T5'!AE$4:AE$68,"&lt;&gt;"))+(COUNTIFS('T5'!$C$4:$C$68,"C*",'T5'!AF$4:AF$68,"&lt;&gt;")+COUNTIFS('T5'!$C$4:$C$68,"TC",'T5'!AF$4:AF$68,"&lt;&gt;"))+(COUNTIFS('T5'!$C$4:$C$68,"C*",'T5'!AG$4:AG$68,"&lt;&gt;")+COUNTIFS('T5'!$C$4:$C$68,"TC",'T5'!AG$4:AG$68,"&lt;&gt;"))+(COUNTIFS('T5'!$C$4:$C$68,"C*",'T5'!AH$4:AH$68,"&lt;&gt;")+COUNTIFS('T5'!$C$4:$C$68,"TC",'T5'!AH$4:AH$68,"&lt;&gt;")))=0,"",((SUMIF('T5'!$C$4:$C$68,"TC",'T5'!D$4:D$68))+(SUMIF('T5'!$C$4:$C$68,"TC",'T5'!E$4:E$68))+(SUMIF('T5'!$C$4:$C$68,"TC",'T5'!F$4:F$68))+(SUMIF('T5'!$C$4:$C$68,"TC",'T5'!G$4:G$68))+(SUMIF('T5'!$C$4:$C$68,"TC",'T5'!H$4:H$68))+(SUMIF('T5'!$C$4:$C$68,"TC",'T5'!I$4:I$68))+(SUMIF('T5'!$C$4:$C$68,"TC",'T5'!J$4:J$68))+(SUMIF('T5'!$C$4:$C$68,"TC",'T5'!K$4:K$68))+(SUMIF('T5'!$C$4:$C$68,"TC",'T5'!L$4:L$68))+(SUMIF('T5'!$C$4:$C$68,"TC",'T5'!M$4:M$68))+(SUMIF('T5'!$C$4:$C$68,"TC",'T5'!N$4:N$68))+(SUMIF('T5'!$C$4:$C$68,"TC",'T5'!O$4:O$68))+(SUMIF('T5'!$C$4:$C$68,"TC",'T5'!P$4:P$68))+(SUMIF('T5'!$C$4:$C$68,"TC",'T5'!Q$4:Q$68))+(SUMIF('T5'!$C$4:$C$68,"TC",'T5'!R$4:R$68))+(SUMIF('T5'!$C$4:$C$68,"TC",'T5'!S$4:S$68))+(SUMIF('T5'!$C$4:$C$68,"TC",'T5'!T$4:T$68))+(SUMIF('T5'!$C$4:$C$68,"TC",'T5'!U$4:U$68))+(SUMIF('T5'!$C$4:$C$68,"TC",'T5'!V$4:V$68))+(SUMIF('T5'!$C$4:$C$68,"TC",'T5'!W$4:W$68))+(SUMIF('T5'!$C$4:$C$68,"TC",'T5'!X$4:X$68))+(SUMIF('T5'!$C$4:$C$68,"TC",'T5'!Y$4:Y$68))+(SUMIF('T5'!$C$4:$C$68,"TC",'T5'!Z$4:Z$68))+(SUMIF('T5'!$C$4:$C$68,"TC",'T5'!AA$4:AA$68))+(SUMIF('T5'!$C$4:$C$68,"TC",'T5'!AB$4:AB$68))+(SUMIF('T5'!$C$4:$C$68,"TC",'T5'!AC$4:AC$68))+(SUMIF('T5'!$C$4:$C$68,"TC",'T5'!AD$4:AD$68))+(SUMIF('T5'!$C$4:$C$68,"TC",'T5'!AE$4:AE$68))+(SUMIF('T5'!$C$4:$C$68,"TC",'T5'!AF$4:AF$68))+(SUMIF('T5'!$C$4:$C$68,"TC",'T5'!AG$4:AG$68))+(SUMIF('T5'!$C$4:$C$68,"TC",'T5'!AH$4:AH$68))))</f>
        <v>1</v>
      </c>
      <c r="F5" s="125"/>
      <c r="G5" s="137">
        <f>(COUNTIFS('T5'!$C$4:$C$68,"C*",'T5'!D$4:D$68,"&lt;&gt;")+COUNTIFS('T5'!$C$4:$C$68,"TC",'T5'!D$4:D$68,"&lt;&gt;")&gt;0) + (COUNTIFS('T5'!$C$4:$C$68,"C*",'T5'!E$4:E$68,"&lt;&gt;")+COUNTIFS('T5'!$C$4:$C$68,"TC",'T5'!E$4:E$68,"&lt;&gt;")&gt;0) + (COUNTIFS('T5'!$C$4:$C$68,"C*",'T5'!F$4:F$68,"&lt;&gt;")+COUNTIFS('T5'!$C$4:$C$68,"TC",'T5'!F$4:F$68,"&lt;&gt;")&gt;0) + (COUNTIFS('T5'!$C$4:$C$68,"C*",'T5'!G$4:G$68,"&lt;&gt;")+COUNTIFS('T5'!$C$4:$C$68,"TC",'T5'!G$4:G$68,"&lt;&gt;")&gt;0) + (COUNTIFS('T5'!$C$4:$C$68,"C*",'T5'!H$4:H$68,"&lt;&gt;")+COUNTIFS('T5'!$C$4:$C$68,"TC",'T5'!H$4:H$68,"&lt;&gt;")&gt;0) + (COUNTIFS('T5'!$C$4:$C$68,"C*",'T5'!I$4:I$68,"&lt;&gt;")+COUNTIFS('T5'!$C$4:$C$68,"TC",'T5'!I$4:I$68,"&lt;&gt;")&gt;0) + (COUNTIFS('T5'!$C$4:$C$68,"C*",'T5'!J$4:J$68,"&lt;&gt;")+COUNTIFS('T5'!$C$4:$C$68,"TC",'T5'!J$4:J$68,"&lt;&gt;")&gt;0) + (COUNTIFS('T5'!$C$4:$C$68,"C*",'T5'!K$4:K$68,"&lt;&gt;")+COUNTIFS('T5'!$C$4:$C$68,"TC",'T5'!K$4:K$68,"&lt;&gt;")&gt;0) + (COUNTIFS('T5'!$C$4:$C$68,"C*",'T5'!L$4:L$68,"&lt;&gt;")+COUNTIFS('T5'!$C$4:$C$68,"TC",'T5'!L$4:L$68,"&lt;&gt;")&gt;0) + (COUNTIFS('T5'!$C$4:$C$68,"C*",'T5'!M$4:M$68,"&lt;&gt;")+COUNTIFS('T5'!$C$4:$C$68,"TC",'T5'!M$4:M$68,"&lt;&gt;")&gt;0) + (COUNTIFS('T5'!$C$4:$C$68,"C*",'T5'!N$4:N$68,"&lt;&gt;")+COUNTIFS('T5'!$C$4:$C$68,"TC",'T5'!N$4:N$68,"&lt;&gt;")&gt;0) + (COUNTIFS('T5'!$C$4:$C$68,"C*",'T5'!O$4:O$68,"&lt;&gt;")+COUNTIFS('T5'!$C$4:$C$68,"TC",'T5'!O$4:O$68,"&lt;&gt;")&gt;0) + (COUNTIFS('T5'!$C$4:$C$68,"C*",'T5'!P$4:P$68,"&lt;&gt;")+COUNTIFS('T5'!$C$4:$C$68,"TC",'T5'!P$4:P$68,"&lt;&gt;")&gt;0) + (COUNTIFS('T5'!$C$4:$C$68,"C*",'T5'!Q$4:Q$68,"&lt;&gt;")+COUNTIFS('T5'!$C$4:$C$68,"TC",'T5'!Q$4:Q$68,"&lt;&gt;")&gt;0) + (COUNTIFS('T5'!$C$4:$C$68,"C*",'T5'!R$4:R$68,"&lt;&gt;")+COUNTIFS('T5'!$C$4:$C$68,"TC",'T5'!R$4:R$68,"&lt;&gt;")&gt;0) + (COUNTIFS('T5'!$C$4:$C$68,"C*",'T5'!S$4:S$68,"&lt;&gt;")+COUNTIFS('T5'!$C$4:$C$68,"TC",'T5'!S$4:S$68,"&lt;&gt;")&gt;0) + (COUNTIFS('T5'!$C$4:$C$68,"C*",'T5'!T$4:T$68,"&lt;&gt;")+COUNTIFS('T5'!$C$4:$C$68,"TC",'T5'!T$4:T$68,"&lt;&gt;")&gt;0) + (COUNTIFS('T5'!$C$4:$C$68,"C*",'T5'!U$4:U$68,"&lt;&gt;")+COUNTIFS('T5'!$C$4:$C$68,"TC",'T5'!U$4:U$68,"&lt;&gt;")&gt;0) + (COUNTIFS('T5'!$C$4:$C$68,"C*",'T5'!V$4:V$68,"&lt;&gt;")+COUNTIFS('T5'!$C$4:$C$68,"TC",'T5'!V$4:V$68,"&lt;&gt;")&gt;0) + (COUNTIFS('T5'!$C$4:$C$68,"C*",'T5'!W$4:W$68,"&lt;&gt;")+COUNTIFS('T5'!$C$4:$C$68,"TC",'T5'!W$4:W$68,"&lt;&gt;")&gt;0) + (COUNTIFS('T5'!$C$4:$C$68,"C*",'T5'!X$4:X$68,"&lt;&gt;")+COUNTIFS('T5'!$C$4:$C$68,"TC",'T5'!X$4:X$68,"&lt;&gt;")&gt;0) + (COUNTIFS('T5'!$C$4:$C$68,"C*",'T5'!Y$4:Y$68,"&lt;&gt;")+COUNTIFS('T5'!$C$4:$C$68,"TC",'T5'!Y$4:Y$68,"&lt;&gt;")&gt;0) + (COUNTIFS('T5'!$C$4:$C$68,"C*",'T5'!Z$4:Z$68,"&lt;&gt;")+COUNTIFS('T5'!$C$4:$C$68,"TC",'T5'!Z$4:Z$68,"&lt;&gt;")&gt;0) + (COUNTIFS('T5'!$C$4:$C$68,"C*",'T5'!AA$4:AA$68,"&lt;&gt;")+COUNTIFS('T5'!$C$4:$C$68,"TC",'T5'!AA$4:AA$68,"&lt;&gt;")&gt;0) + (COUNTIFS('T5'!$C$4:$C$68,"C*",'T5'!AB$4:AB$68,"&lt;&gt;")+COUNTIFS('T5'!$C$4:$C$68,"TC",'T5'!AB$4:AB$68,"&lt;&gt;")&gt;0) + (COUNTIFS('T5'!$C$4:$C$68,"C*",'T5'!AC$4:AC$68,"&lt;&gt;")+COUNTIFS('T5'!$C$4:$C$68,"TC",'T5'!AC$4:AC$68,"&lt;&gt;")&gt;0) + (COUNTIFS('T5'!$C$4:$C$68,"C*",'T5'!AD$4:AD$68,"&lt;&gt;")+COUNTIFS('T5'!$C$4:$C$68,"TC",'T5'!AD$4:AD$68,"&lt;&gt;")&gt;0) + (COUNTIFS('T5'!$C$4:$C$68,"C*",'T5'!AE$4:AE$68,"&lt;&gt;")+COUNTIFS('T5'!$C$4:$C$68,"TC",'T5'!AE$4:AE$68,"&lt;&gt;")&gt;0) + (COUNTIFS('T5'!$C$4:$C$68,"C*",'T5'!AF$4:AF$68,"&lt;&gt;")+COUNTIFS('T5'!$C$4:$C$68,"TC",'T5'!AF$4:AF$68,"&lt;&gt;")&gt;0) + (COUNTIFS('T5'!$C$4:$C$68,"C*",'T5'!AG$4:AG$68,"&lt;&gt;")+COUNTIFS('T5'!$C$4:$C$68,"TC",'T5'!AG$4:AG$68,"&lt;&gt;")&gt;0) + (COUNTIFS('T5'!$C$4:$C$68,"C*",'T5'!AH$4:AH$68,"&lt;&gt;")+COUNTIFS('T5'!$C$4:$C$68,"TC",'T5'!AH$4:AH$68,"&lt;&gt;")&gt;0)</f>
        <v>30</v>
      </c>
      <c r="H5" s="125"/>
      <c r="I5" s="128">
        <f ca="1">NOW()</f>
        <v>46253.615729745368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46142</v>
      </c>
      <c r="C8" s="59">
        <v>46148</v>
      </c>
      <c r="D8" s="60">
        <f>IF(((COUNTIFS('T4'!$C$4:$C$68,"C*",'T4'!AG$4:AG$68,"&lt;&gt;")+COUNTIFS('T4'!$C$4:$C$68,"TC",'T4'!AG$4:AG$68,"&lt;&gt;")) + (COUNTIFS('T5'!$C$4:$C$68,"C*",'T5'!D$4:D$68,"&lt;&gt;")+COUNTIFS('T5'!$C$4:$C$68,"TC",'T5'!D$4:D$68,"&lt;&gt;")) + (COUNTIFS('T5'!$C$4:$C$68,"C*",'T5'!E$4:E$68,"&lt;&gt;")+COUNTIFS('T5'!$C$4:$C$68,"TC",'T5'!E$4:E$68,"&lt;&gt;")) + (COUNTIFS('T5'!$C$4:$C$68,"C*",'T5'!F$4:F$68,"&lt;&gt;")+COUNTIFS('T5'!$C$4:$C$68,"TC",'T5'!F$4:F$68,"&lt;&gt;")) + (COUNTIFS('T5'!$C$4:$C$68,"C*",'T5'!G$4:G$68,"&lt;&gt;")+COUNTIFS('T5'!$C$4:$C$68,"TC",'T5'!G$4:G$68,"&lt;&gt;")) + (COUNTIFS('T5'!$C$4:$C$68,"C*",'T5'!H$4:H$68,"&lt;&gt;")+COUNTIFS('T5'!$C$4:$C$68,"TC",'T5'!H$4:H$68,"&lt;&gt;")) + (COUNTIFS('T5'!$C$4:$C$68,"C*",'T5'!I$4:I$68,"&lt;&gt;")+COUNTIFS('T5'!$C$4:$C$68,"TC",'T5'!I$4:I$68,"&lt;&gt;")))=0,"",((COUNTIFS('T4'!$C$4:$C$68,"C*",'T4'!AG$4:AG$68,"x*")-0.5*(COUNTIFS('T4'!$C$4:$C$68,"C*",'T4'!AG$4:AG$68,"x/2")))+(COUNTIFS('T5'!$C$4:$C$68,"C*",'T5'!D$4:D$68,"x*")-0.5*(COUNTIFS('T5'!$C$4:$C$68,"C*",'T5'!D$4:D$68,"x/2")))+(COUNTIFS('T5'!$C$4:$C$68,"C*",'T5'!E$4:E$68,"x*")-0.5*(COUNTIFS('T5'!$C$4:$C$68,"C*",'T5'!E$4:E$68,"x/2")))+(COUNTIFS('T5'!$C$4:$C$68,"C*",'T5'!G$4:G$68,"x*")-0.5*(COUNTIFS('T5'!$C$4:$C$68,"C*",'T5'!G$4:G$68,"x/2")))+(COUNTIFS('T5'!$C$4:$C$68,"C*",'T5'!H$4:H$68,"x*")-0.5*(COUNTIFS('T5'!$C$4:$C$68,"C*",'T5'!H$4:H$68,"x/2")))+(COUNTIFS('T5'!$C$4:$C$68,"C*",'T5'!I$4:I$68,"x*")-0.5*(COUNTIFS('T5'!$C$4:$C$68,"C*",'T5'!I$4:I$68,"x/2")))))</f>
        <v>47</v>
      </c>
      <c r="E8" s="61">
        <f>IF(((COUNTIFS('T4'!$C$4:$C$68,"C*",'T4'!AG$4:AG$68,"&lt;&gt;")+COUNTIFS('T4'!$C$4:$C$68,"TC",'T4'!AG$4:AG$68,"&lt;&gt;")) + (COUNTIFS('T5'!$C$4:$C$68,"C*",'T5'!D$4:D$68,"&lt;&gt;")+COUNTIFS('T5'!$C$4:$C$68,"TC",'T5'!D$4:D$68,"&lt;&gt;")) + (COUNTIFS('T5'!$C$4:$C$68,"C*",'T5'!E$4:E$68,"&lt;&gt;")+COUNTIFS('T5'!$C$4:$C$68,"TC",'T5'!E$4:E$68,"&lt;&gt;")) + (COUNTIFS('T5'!$C$4:$C$68,"C*",'T5'!F$4:F$68,"&lt;&gt;")+COUNTIFS('T5'!$C$4:$C$68,"TC",'T5'!F$4:F$68,"&lt;&gt;")) + (COUNTIFS('T5'!$C$4:$C$68,"C*",'T5'!G$4:G$68,"&lt;&gt;")+COUNTIFS('T5'!$C$4:$C$68,"TC",'T5'!G$4:G$68,"&lt;&gt;")) + (COUNTIFS('T5'!$C$4:$C$68,"C*",'T5'!H$4:H$68,"&lt;&gt;")+COUNTIFS('T5'!$C$4:$C$68,"TC",'T5'!H$4:H$68,"&lt;&gt;")) + (COUNTIFS('T5'!$C$4:$C$68,"C*",'T5'!I$4:I$68,"&lt;&gt;")+COUNTIFS('T5'!$C$4:$C$68,"TC",'T5'!I$4:I$68,"&lt;&gt;")))=0,"",((COUNTIFS('T5'!$C$4:$C$68,"C*",'T5'!F$4:F$68,"x*")-0.5*(COUNTIFS('T5'!$C$4:$C$68,"C*",'T5'!F$4:F$68,"x/2")))))</f>
        <v>9</v>
      </c>
      <c r="F8" s="60">
        <f>IF(AND(D8="",E8=""),"",D8+E8)</f>
        <v>56</v>
      </c>
      <c r="G8" s="60">
        <f>IF(((COUNTIFS('T4'!$C$4:$C$68,"C*",'T4'!AG$4:AG$68,"&lt;&gt;")+COUNTIFS('T4'!$C$4:$C$68,"TC",'T4'!AG$4:AG$68,"&lt;&gt;")) + (COUNTIFS('T5'!$C$4:$C$68,"C*",'T5'!D$4:D$68,"&lt;&gt;")+COUNTIFS('T5'!$C$4:$C$68,"TC",'T5'!D$4:D$68,"&lt;&gt;")) + (COUNTIFS('T5'!$C$4:$C$68,"C*",'T5'!E$4:E$68,"&lt;&gt;")+COUNTIFS('T5'!$C$4:$C$68,"TC",'T5'!E$4:E$68,"&lt;&gt;")) + (COUNTIFS('T5'!$C$4:$C$68,"C*",'T5'!F$4:F$68,"&lt;&gt;")+COUNTIFS('T5'!$C$4:$C$68,"TC",'T5'!F$4:F$68,"&lt;&gt;")) + (COUNTIFS('T5'!$C$4:$C$68,"C*",'T5'!G$4:G$68,"&lt;&gt;")+COUNTIFS('T5'!$C$4:$C$68,"TC",'T5'!G$4:G$68,"&lt;&gt;")) + (COUNTIFS('T5'!$C$4:$C$68,"C*",'T5'!H$4:H$68,"&lt;&gt;")+COUNTIFS('T5'!$C$4:$C$68,"TC",'T5'!H$4:H$68,"&lt;&gt;")) + (COUNTIFS('T5'!$C$4:$C$68,"C*",'T5'!I$4:I$68,"&lt;&gt;")+COUNTIFS('T5'!$C$4:$C$68,"TC",'T5'!I$4:I$68,"&lt;&gt;")))=0,"",(SUMIF('T4'!$C$4:$C$68,"TC",'T4'!AG$4:AG$68))+(SUMIF('T5'!$C$4:$C$68,"TC",'T5'!D$4:D$68))+(SUMIF('T5'!$C$4:$C$68,"TC",'T5'!E$4:E$68))+(SUMIF('T5'!$C$4:$C$68,"TC",'T5'!G$4:G$68))+(SUMIF('T5'!$C$4:$C$68,"TC",'T5'!H$4:H$68))+(SUMIF('T5'!$C$4:$C$68,"TC",'T5'!I$4:I$68)))</f>
        <v>0</v>
      </c>
      <c r="H8" s="62">
        <f>IF(((COUNTIFS('T4'!$C$4:$C$68,"C*",'T4'!AG$4:AG$68,"&lt;&gt;")+COUNTIFS('T4'!$C$4:$C$68,"TC",'T4'!AG$4:AG$68,"&lt;&gt;")) + (COUNTIFS('T5'!$C$4:$C$68,"C*",'T5'!D$4:D$68,"&lt;&gt;")+COUNTIFS('T5'!$C$4:$C$68,"TC",'T5'!D$4:D$68,"&lt;&gt;")) + (COUNTIFS('T5'!$C$4:$C$68,"C*",'T5'!E$4:E$68,"&lt;&gt;")+COUNTIFS('T5'!$C$4:$C$68,"TC",'T5'!E$4:E$68,"&lt;&gt;")) + (COUNTIFS('T5'!$C$4:$C$68,"C*",'T5'!F$4:F$68,"&lt;&gt;")+COUNTIFS('T5'!$C$4:$C$68,"TC",'T5'!F$4:F$68,"&lt;&gt;")) + (COUNTIFS('T5'!$C$4:$C$68,"C*",'T5'!G$4:G$68,"&lt;&gt;")+COUNTIFS('T5'!$C$4:$C$68,"TC",'T5'!G$4:G$68,"&lt;&gt;")) + (COUNTIFS('T5'!$C$4:$C$68,"C*",'T5'!H$4:H$68,"&lt;&gt;")+COUNTIFS('T5'!$C$4:$C$68,"TC",'T5'!H$4:H$68,"&lt;&gt;")) + (COUNTIFS('T5'!$C$4:$C$68,"C*",'T5'!I$4:I$68,"&lt;&gt;")+COUNTIFS('T5'!$C$4:$C$68,"TC",'T5'!I$4:I$68,"&lt;&gt;")))=0,"",(SUMIF('T4'!$C$4:$C$68,"TC",'T4'!AG$4:AG$68))+(SUMIF('T5'!$C$4:$C$68,"TC",'T5'!D$4:D$68))+(SUMIF('T5'!$C$4:$C$68,"TC",'T5'!E$4:E$68))+(SUMIF('T5'!$C$4:$C$68,"TC",'T5'!F$4:F$68))+(SUMIF('T5'!$C$4:$C$68,"TC",'T5'!G$4:G$68))+(SUMIF('T5'!$C$4:$C$68,"TC",'T5'!H$4:H$68))+(SUMIF('T5'!$C$4:$C$68,"TC",'T5'!I$4:I$68)))</f>
        <v>0</v>
      </c>
      <c r="I8" s="60">
        <f>IF(H8="","",H8/8)</f>
        <v>0</v>
      </c>
      <c r="J8" s="57" t="str">
        <f>IF(((COUNTIFS('T4'!$C$4:$C$68,"C*",'T4'!AG$4:AG$68,"&lt;&gt;")+COUNTIFS('T4'!$C$4:$C$68,"TC",'T4'!AG$4:AG$68,"&lt;&gt;")) + (COUNTIFS('T5'!$C$4:$C$68,"C*",'T5'!D$4:D$68,"&lt;&gt;")+COUNTIFS('T5'!$C$4:$C$68,"TC",'T5'!D$4:D$68,"&lt;&gt;")) + (COUNTIFS('T5'!$C$4:$C$68,"C*",'T5'!E$4:E$68,"&lt;&gt;")+COUNTIFS('T5'!$C$4:$C$68,"TC",'T5'!E$4:E$68,"&lt;&gt;")) + (COUNTIFS('T5'!$C$4:$C$68,"C*",'T5'!F$4:F$68,"&lt;&gt;")+COUNTIFS('T5'!$C$4:$C$68,"TC",'T5'!F$4:F$68,"&lt;&gt;")) + (COUNTIFS('T5'!$C$4:$C$68,"C*",'T5'!G$4:G$68,"&lt;&gt;")+COUNTIFS('T5'!$C$4:$C$68,"TC",'T5'!G$4:G$68,"&lt;&gt;")) + (COUNTIFS('T5'!$C$4:$C$68,"C*",'T5'!H$4:H$68,"&lt;&gt;")+COUNTIFS('T5'!$C$4:$C$68,"TC",'T5'!H$4:H$68,"&lt;&gt;")) + (COUNTIFS('T5'!$C$4:$C$68,"C*",'T5'!I$4:I$68,"&lt;&gt;")+COUNTIFS('T5'!$C$4:$C$68,"TC",'T5'!I$4:I$68,"&lt;&gt;")))=0,"Chưa nhập","Đã cập nhật")</f>
        <v>Đã cập nhật</v>
      </c>
    </row>
    <row r="9" spans="1:10" x14ac:dyDescent="0.2">
      <c r="A9" s="57" t="s">
        <v>80</v>
      </c>
      <c r="B9" s="59">
        <v>46149</v>
      </c>
      <c r="C9" s="59">
        <v>46155</v>
      </c>
      <c r="D9" s="60">
        <f>IF(((COUNTIFS('T5'!$C$4:$C$68,"C*",'T5'!J$4:J$68,"&lt;&gt;")+COUNTIFS('T5'!$C$4:$C$68,"TC",'T5'!J$4:J$68,"&lt;&gt;")) + (COUNTIFS('T5'!$C$4:$C$68,"C*",'T5'!K$4:K$68,"&lt;&gt;")+COUNTIFS('T5'!$C$4:$C$68,"TC",'T5'!K$4:K$68,"&lt;&gt;")) + (COUNTIFS('T5'!$C$4:$C$68,"C*",'T5'!L$4:L$68,"&lt;&gt;")+COUNTIFS('T5'!$C$4:$C$68,"TC",'T5'!L$4:L$68,"&lt;&gt;")) + (COUNTIFS('T5'!$C$4:$C$68,"C*",'T5'!M$4:M$68,"&lt;&gt;")+COUNTIFS('T5'!$C$4:$C$68,"TC",'T5'!M$4:M$68,"&lt;&gt;")) + (COUNTIFS('T5'!$C$4:$C$68,"C*",'T5'!N$4:N$68,"&lt;&gt;")+COUNTIFS('T5'!$C$4:$C$68,"TC",'T5'!N$4:N$68,"&lt;&gt;")) + (COUNTIFS('T5'!$C$4:$C$68,"C*",'T5'!O$4:O$68,"&lt;&gt;")+COUNTIFS('T5'!$C$4:$C$68,"TC",'T5'!O$4:O$68,"&lt;&gt;")) + (COUNTIFS('T5'!$C$4:$C$68,"C*",'T5'!P$4:P$68,"&lt;&gt;")+COUNTIFS('T5'!$C$4:$C$68,"TC",'T5'!P$4:P$68,"&lt;&gt;")))=0,"",((COUNTIFS('T5'!$C$4:$C$68,"C*",'T5'!J$4:J$68,"x*")-0.5*(COUNTIFS('T5'!$C$4:$C$68,"C*",'T5'!J$4:J$68,"x/2")))+(COUNTIFS('T5'!$C$4:$C$68,"C*",'T5'!K$4:K$68,"x*")-0.5*(COUNTIFS('T5'!$C$4:$C$68,"C*",'T5'!K$4:K$68,"x/2")))+(COUNTIFS('T5'!$C$4:$C$68,"C*",'T5'!L$4:L$68,"x*")-0.5*(COUNTIFS('T5'!$C$4:$C$68,"C*",'T5'!L$4:L$68,"x/2")))+(COUNTIFS('T5'!$C$4:$C$68,"C*",'T5'!N$4:N$68,"x*")-0.5*(COUNTIFS('T5'!$C$4:$C$68,"C*",'T5'!N$4:N$68,"x/2")))+(COUNTIFS('T5'!$C$4:$C$68,"C*",'T5'!O$4:O$68,"x*")-0.5*(COUNTIFS('T5'!$C$4:$C$68,"C*",'T5'!O$4:O$68,"x/2")))+(COUNTIFS('T5'!$C$4:$C$68,"C*",'T5'!P$4:P$68,"x*")-0.5*(COUNTIFS('T5'!$C$4:$C$68,"C*",'T5'!P$4:P$68,"x/2")))))</f>
        <v>76</v>
      </c>
      <c r="E9" s="61">
        <f>IF(((COUNTIFS('T5'!$C$4:$C$68,"C*",'T5'!J$4:J$68,"&lt;&gt;")+COUNTIFS('T5'!$C$4:$C$68,"TC",'T5'!J$4:J$68,"&lt;&gt;")) + (COUNTIFS('T5'!$C$4:$C$68,"C*",'T5'!K$4:K$68,"&lt;&gt;")+COUNTIFS('T5'!$C$4:$C$68,"TC",'T5'!K$4:K$68,"&lt;&gt;")) + (COUNTIFS('T5'!$C$4:$C$68,"C*",'T5'!L$4:L$68,"&lt;&gt;")+COUNTIFS('T5'!$C$4:$C$68,"TC",'T5'!L$4:L$68,"&lt;&gt;")) + (COUNTIFS('T5'!$C$4:$C$68,"C*",'T5'!M$4:M$68,"&lt;&gt;")+COUNTIFS('T5'!$C$4:$C$68,"TC",'T5'!M$4:M$68,"&lt;&gt;")) + (COUNTIFS('T5'!$C$4:$C$68,"C*",'T5'!N$4:N$68,"&lt;&gt;")+COUNTIFS('T5'!$C$4:$C$68,"TC",'T5'!N$4:N$68,"&lt;&gt;")) + (COUNTIFS('T5'!$C$4:$C$68,"C*",'T5'!O$4:O$68,"&lt;&gt;")+COUNTIFS('T5'!$C$4:$C$68,"TC",'T5'!O$4:O$68,"&lt;&gt;")) + (COUNTIFS('T5'!$C$4:$C$68,"C*",'T5'!P$4:P$68,"&lt;&gt;")+COUNTIFS('T5'!$C$4:$C$68,"TC",'T5'!P$4:P$68,"&lt;&gt;")))=0,"",((COUNTIFS('T5'!$C$4:$C$68,"C*",'T5'!M$4:M$68,"x*")-0.5*(COUNTIFS('T5'!$C$4:$C$68,"C*",'T5'!M$4:M$68,"x/2")))))</f>
        <v>8</v>
      </c>
      <c r="F9" s="60">
        <f>IF(AND(D9="",E9=""),"",D9+E9)</f>
        <v>84</v>
      </c>
      <c r="G9" s="60">
        <f>IF(((COUNTIFS('T5'!$C$4:$C$68,"C*",'T5'!J$4:J$68,"&lt;&gt;")+COUNTIFS('T5'!$C$4:$C$68,"TC",'T5'!J$4:J$68,"&lt;&gt;")) + (COUNTIFS('T5'!$C$4:$C$68,"C*",'T5'!K$4:K$68,"&lt;&gt;")+COUNTIFS('T5'!$C$4:$C$68,"TC",'T5'!K$4:K$68,"&lt;&gt;")) + (COUNTIFS('T5'!$C$4:$C$68,"C*",'T5'!L$4:L$68,"&lt;&gt;")+COUNTIFS('T5'!$C$4:$C$68,"TC",'T5'!L$4:L$68,"&lt;&gt;")) + (COUNTIFS('T5'!$C$4:$C$68,"C*",'T5'!M$4:M$68,"&lt;&gt;")+COUNTIFS('T5'!$C$4:$C$68,"TC",'T5'!M$4:M$68,"&lt;&gt;")) + (COUNTIFS('T5'!$C$4:$C$68,"C*",'T5'!N$4:N$68,"&lt;&gt;")+COUNTIFS('T5'!$C$4:$C$68,"TC",'T5'!N$4:N$68,"&lt;&gt;")) + (COUNTIFS('T5'!$C$4:$C$68,"C*",'T5'!O$4:O$68,"&lt;&gt;")+COUNTIFS('T5'!$C$4:$C$68,"TC",'T5'!O$4:O$68,"&lt;&gt;")) + (COUNTIFS('T5'!$C$4:$C$68,"C*",'T5'!P$4:P$68,"&lt;&gt;")+COUNTIFS('T5'!$C$4:$C$68,"TC",'T5'!P$4:P$68,"&lt;&gt;")))=0,"",(SUMIF('T5'!$C$4:$C$68,"TC",'T5'!J$4:J$68))+(SUMIF('T5'!$C$4:$C$68,"TC",'T5'!K$4:K$68))+(SUMIF('T5'!$C$4:$C$68,"TC",'T5'!L$4:L$68))+(SUMIF('T5'!$C$4:$C$68,"TC",'T5'!N$4:N$68))+(SUMIF('T5'!$C$4:$C$68,"TC",'T5'!O$4:O$68))+(SUMIF('T5'!$C$4:$C$68,"TC",'T5'!P$4:P$68)))</f>
        <v>0</v>
      </c>
      <c r="H9" s="62">
        <f>IF(((COUNTIFS('T5'!$C$4:$C$68,"C*",'T5'!J$4:J$68,"&lt;&gt;")+COUNTIFS('T5'!$C$4:$C$68,"TC",'T5'!J$4:J$68,"&lt;&gt;")) + (COUNTIFS('T5'!$C$4:$C$68,"C*",'T5'!K$4:K$68,"&lt;&gt;")+COUNTIFS('T5'!$C$4:$C$68,"TC",'T5'!K$4:K$68,"&lt;&gt;")) + (COUNTIFS('T5'!$C$4:$C$68,"C*",'T5'!L$4:L$68,"&lt;&gt;")+COUNTIFS('T5'!$C$4:$C$68,"TC",'T5'!L$4:L$68,"&lt;&gt;")) + (COUNTIFS('T5'!$C$4:$C$68,"C*",'T5'!M$4:M$68,"&lt;&gt;")+COUNTIFS('T5'!$C$4:$C$68,"TC",'T5'!M$4:M$68,"&lt;&gt;")) + (COUNTIFS('T5'!$C$4:$C$68,"C*",'T5'!N$4:N$68,"&lt;&gt;")+COUNTIFS('T5'!$C$4:$C$68,"TC",'T5'!N$4:N$68,"&lt;&gt;")) + (COUNTIFS('T5'!$C$4:$C$68,"C*",'T5'!O$4:O$68,"&lt;&gt;")+COUNTIFS('T5'!$C$4:$C$68,"TC",'T5'!O$4:O$68,"&lt;&gt;")) + (COUNTIFS('T5'!$C$4:$C$68,"C*",'T5'!P$4:P$68,"&lt;&gt;")+COUNTIFS('T5'!$C$4:$C$68,"TC",'T5'!P$4:P$68,"&lt;&gt;")))=0,"",(SUMIF('T5'!$C$4:$C$68,"TC",'T5'!J$4:J$68))+(SUMIF('T5'!$C$4:$C$68,"TC",'T5'!K$4:K$68))+(SUMIF('T5'!$C$4:$C$68,"TC",'T5'!L$4:L$68))+(SUMIF('T5'!$C$4:$C$68,"TC",'T5'!M$4:M$68))+(SUMIF('T5'!$C$4:$C$68,"TC",'T5'!N$4:N$68))+(SUMIF('T5'!$C$4:$C$68,"TC",'T5'!O$4:O$68))+(SUMIF('T5'!$C$4:$C$68,"TC",'T5'!P$4:P$68)))</f>
        <v>0</v>
      </c>
      <c r="I9" s="60">
        <f>IF(H9="","",H9/8)</f>
        <v>0</v>
      </c>
      <c r="J9" s="57" t="str">
        <f>IF(((COUNTIFS('T5'!$C$4:$C$68,"C*",'T5'!J$4:J$68,"&lt;&gt;")+COUNTIFS('T5'!$C$4:$C$68,"TC",'T5'!J$4:J$68,"&lt;&gt;")) + (COUNTIFS('T5'!$C$4:$C$68,"C*",'T5'!K$4:K$68,"&lt;&gt;")+COUNTIFS('T5'!$C$4:$C$68,"TC",'T5'!K$4:K$68,"&lt;&gt;")) + (COUNTIFS('T5'!$C$4:$C$68,"C*",'T5'!L$4:L$68,"&lt;&gt;")+COUNTIFS('T5'!$C$4:$C$68,"TC",'T5'!L$4:L$68,"&lt;&gt;")) + (COUNTIFS('T5'!$C$4:$C$68,"C*",'T5'!M$4:M$68,"&lt;&gt;")+COUNTIFS('T5'!$C$4:$C$68,"TC",'T5'!M$4:M$68,"&lt;&gt;")) + (COUNTIFS('T5'!$C$4:$C$68,"C*",'T5'!N$4:N$68,"&lt;&gt;")+COUNTIFS('T5'!$C$4:$C$68,"TC",'T5'!N$4:N$68,"&lt;&gt;")) + (COUNTIFS('T5'!$C$4:$C$68,"C*",'T5'!O$4:O$68,"&lt;&gt;")+COUNTIFS('T5'!$C$4:$C$68,"TC",'T5'!O$4:O$68,"&lt;&gt;")) + (COUNTIFS('T5'!$C$4:$C$68,"C*",'T5'!P$4:P$68,"&lt;&gt;")+COUNTIFS('T5'!$C$4:$C$68,"TC",'T5'!P$4:P$68,"&lt;&gt;")))=0,"Chưa nhập","Đã cập nhật")</f>
        <v>Đã cập nhật</v>
      </c>
    </row>
    <row r="10" spans="1:10" x14ac:dyDescent="0.2">
      <c r="A10" s="57" t="s">
        <v>81</v>
      </c>
      <c r="B10" s="59">
        <v>46156</v>
      </c>
      <c r="C10" s="59">
        <v>46162</v>
      </c>
      <c r="D10" s="60">
        <f>IF(((COUNTIFS('T5'!$C$4:$C$68,"C*",'T5'!Q$4:Q$68,"&lt;&gt;")+COUNTIFS('T5'!$C$4:$C$68,"TC",'T5'!Q$4:Q$68,"&lt;&gt;")) + (COUNTIFS('T5'!$C$4:$C$68,"C*",'T5'!R$4:R$68,"&lt;&gt;")+COUNTIFS('T5'!$C$4:$C$68,"TC",'T5'!R$4:R$68,"&lt;&gt;")) + (COUNTIFS('T5'!$C$4:$C$68,"C*",'T5'!S$4:S$68,"&lt;&gt;")+COUNTIFS('T5'!$C$4:$C$68,"TC",'T5'!S$4:S$68,"&lt;&gt;")) + (COUNTIFS('T5'!$C$4:$C$68,"C*",'T5'!T$4:T$68,"&lt;&gt;")+COUNTIFS('T5'!$C$4:$C$68,"TC",'T5'!T$4:T$68,"&lt;&gt;")) + (COUNTIFS('T5'!$C$4:$C$68,"C*",'T5'!U$4:U$68,"&lt;&gt;")+COUNTIFS('T5'!$C$4:$C$68,"TC",'T5'!U$4:U$68,"&lt;&gt;")) + (COUNTIFS('T5'!$C$4:$C$68,"C*",'T5'!V$4:V$68,"&lt;&gt;")+COUNTIFS('T5'!$C$4:$C$68,"TC",'T5'!V$4:V$68,"&lt;&gt;")) + (COUNTIFS('T5'!$C$4:$C$68,"C*",'T5'!W$4:W$68,"&lt;&gt;")+COUNTIFS('T5'!$C$4:$C$68,"TC",'T5'!W$4:W$68,"&lt;&gt;")))=0,"",((COUNTIFS('T5'!$C$4:$C$68,"C*",'T5'!Q$4:Q$68,"x*")-0.5*(COUNTIFS('T5'!$C$4:$C$68,"C*",'T5'!Q$4:Q$68,"x/2")))+(COUNTIFS('T5'!$C$4:$C$68,"C*",'T5'!R$4:R$68,"x*")-0.5*(COUNTIFS('T5'!$C$4:$C$68,"C*",'T5'!R$4:R$68,"x/2")))+(COUNTIFS('T5'!$C$4:$C$68,"C*",'T5'!S$4:S$68,"x*")-0.5*(COUNTIFS('T5'!$C$4:$C$68,"C*",'T5'!S$4:S$68,"x/2")))+(COUNTIFS('T5'!$C$4:$C$68,"C*",'T5'!U$4:U$68,"x*")-0.5*(COUNTIFS('T5'!$C$4:$C$68,"C*",'T5'!U$4:U$68,"x/2")))+(COUNTIFS('T5'!$C$4:$C$68,"C*",'T5'!V$4:V$68,"x*")-0.5*(COUNTIFS('T5'!$C$4:$C$68,"C*",'T5'!V$4:V$68,"x/2")))+(COUNTIFS('T5'!$C$4:$C$68,"C*",'T5'!W$4:W$68,"x*")-0.5*(COUNTIFS('T5'!$C$4:$C$68,"C*",'T5'!W$4:W$68,"x/2")))))</f>
        <v>75.5</v>
      </c>
      <c r="E10" s="61">
        <f>IF(((COUNTIFS('T5'!$C$4:$C$68,"C*",'T5'!Q$4:Q$68,"&lt;&gt;")+COUNTIFS('T5'!$C$4:$C$68,"TC",'T5'!Q$4:Q$68,"&lt;&gt;")) + (COUNTIFS('T5'!$C$4:$C$68,"C*",'T5'!R$4:R$68,"&lt;&gt;")+COUNTIFS('T5'!$C$4:$C$68,"TC",'T5'!R$4:R$68,"&lt;&gt;")) + (COUNTIFS('T5'!$C$4:$C$68,"C*",'T5'!S$4:S$68,"&lt;&gt;")+COUNTIFS('T5'!$C$4:$C$68,"TC",'T5'!S$4:S$68,"&lt;&gt;")) + (COUNTIFS('T5'!$C$4:$C$68,"C*",'T5'!T$4:T$68,"&lt;&gt;")+COUNTIFS('T5'!$C$4:$C$68,"TC",'T5'!T$4:T$68,"&lt;&gt;")) + (COUNTIFS('T5'!$C$4:$C$68,"C*",'T5'!U$4:U$68,"&lt;&gt;")+COUNTIFS('T5'!$C$4:$C$68,"TC",'T5'!U$4:U$68,"&lt;&gt;")) + (COUNTIFS('T5'!$C$4:$C$68,"C*",'T5'!V$4:V$68,"&lt;&gt;")+COUNTIFS('T5'!$C$4:$C$68,"TC",'T5'!V$4:V$68,"&lt;&gt;")) + (COUNTIFS('T5'!$C$4:$C$68,"C*",'T5'!W$4:W$68,"&lt;&gt;")+COUNTIFS('T5'!$C$4:$C$68,"TC",'T5'!W$4:W$68,"&lt;&gt;")))=0,"",((COUNTIFS('T5'!$C$4:$C$68,"C*",'T5'!T$4:T$68,"x*")-0.5*(COUNTIFS('T5'!$C$4:$C$68,"C*",'T5'!T$4:T$68,"x/2")))))</f>
        <v>9.5</v>
      </c>
      <c r="F10" s="60">
        <f>IF(AND(D10="",E10=""),"",D10+E10)</f>
        <v>85</v>
      </c>
      <c r="G10" s="60">
        <f>IF(((COUNTIFS('T5'!$C$4:$C$68,"C*",'T5'!Q$4:Q$68,"&lt;&gt;")+COUNTIFS('T5'!$C$4:$C$68,"TC",'T5'!Q$4:Q$68,"&lt;&gt;")) + (COUNTIFS('T5'!$C$4:$C$68,"C*",'T5'!R$4:R$68,"&lt;&gt;")+COUNTIFS('T5'!$C$4:$C$68,"TC",'T5'!R$4:R$68,"&lt;&gt;")) + (COUNTIFS('T5'!$C$4:$C$68,"C*",'T5'!S$4:S$68,"&lt;&gt;")+COUNTIFS('T5'!$C$4:$C$68,"TC",'T5'!S$4:S$68,"&lt;&gt;")) + (COUNTIFS('T5'!$C$4:$C$68,"C*",'T5'!T$4:T$68,"&lt;&gt;")+COUNTIFS('T5'!$C$4:$C$68,"TC",'T5'!T$4:T$68,"&lt;&gt;")) + (COUNTIFS('T5'!$C$4:$C$68,"C*",'T5'!U$4:U$68,"&lt;&gt;")+COUNTIFS('T5'!$C$4:$C$68,"TC",'T5'!U$4:U$68,"&lt;&gt;")) + (COUNTIFS('T5'!$C$4:$C$68,"C*",'T5'!V$4:V$68,"&lt;&gt;")+COUNTIFS('T5'!$C$4:$C$68,"TC",'T5'!V$4:V$68,"&lt;&gt;")) + (COUNTIFS('T5'!$C$4:$C$68,"C*",'T5'!W$4:W$68,"&lt;&gt;")+COUNTIFS('T5'!$C$4:$C$68,"TC",'T5'!W$4:W$68,"&lt;&gt;")))=0,"",(SUMIF('T5'!$C$4:$C$68,"TC",'T5'!Q$4:Q$68))+(SUMIF('T5'!$C$4:$C$68,"TC",'T5'!R$4:R$68))+(SUMIF('T5'!$C$4:$C$68,"TC",'T5'!S$4:S$68))+(SUMIF('T5'!$C$4:$C$68,"TC",'T5'!U$4:U$68))+(SUMIF('T5'!$C$4:$C$68,"TC",'T5'!V$4:V$68))+(SUMIF('T5'!$C$4:$C$68,"TC",'T5'!W$4:W$68)))</f>
        <v>0</v>
      </c>
      <c r="H10" s="62">
        <f>IF(((COUNTIFS('T5'!$C$4:$C$68,"C*",'T5'!Q$4:Q$68,"&lt;&gt;")+COUNTIFS('T5'!$C$4:$C$68,"TC",'T5'!Q$4:Q$68,"&lt;&gt;")) + (COUNTIFS('T5'!$C$4:$C$68,"C*",'T5'!R$4:R$68,"&lt;&gt;")+COUNTIFS('T5'!$C$4:$C$68,"TC",'T5'!R$4:R$68,"&lt;&gt;")) + (COUNTIFS('T5'!$C$4:$C$68,"C*",'T5'!S$4:S$68,"&lt;&gt;")+COUNTIFS('T5'!$C$4:$C$68,"TC",'T5'!S$4:S$68,"&lt;&gt;")) + (COUNTIFS('T5'!$C$4:$C$68,"C*",'T5'!T$4:T$68,"&lt;&gt;")+COUNTIFS('T5'!$C$4:$C$68,"TC",'T5'!T$4:T$68,"&lt;&gt;")) + (COUNTIFS('T5'!$C$4:$C$68,"C*",'T5'!U$4:U$68,"&lt;&gt;")+COUNTIFS('T5'!$C$4:$C$68,"TC",'T5'!U$4:U$68,"&lt;&gt;")) + (COUNTIFS('T5'!$C$4:$C$68,"C*",'T5'!V$4:V$68,"&lt;&gt;")+COUNTIFS('T5'!$C$4:$C$68,"TC",'T5'!V$4:V$68,"&lt;&gt;")) + (COUNTIFS('T5'!$C$4:$C$68,"C*",'T5'!W$4:W$68,"&lt;&gt;")+COUNTIFS('T5'!$C$4:$C$68,"TC",'T5'!W$4:W$68,"&lt;&gt;")))=0,"",(SUMIF('T5'!$C$4:$C$68,"TC",'T5'!Q$4:Q$68))+(SUMIF('T5'!$C$4:$C$68,"TC",'T5'!R$4:R$68))+(SUMIF('T5'!$C$4:$C$68,"TC",'T5'!S$4:S$68))+(SUMIF('T5'!$C$4:$C$68,"TC",'T5'!T$4:T$68))+(SUMIF('T5'!$C$4:$C$68,"TC",'T5'!U$4:U$68))+(SUMIF('T5'!$C$4:$C$68,"TC",'T5'!V$4:V$68))+(SUMIF('T5'!$C$4:$C$68,"TC",'T5'!W$4:W$68)))</f>
        <v>0</v>
      </c>
      <c r="I10" s="60">
        <f>IF(H10="","",H10/8)</f>
        <v>0</v>
      </c>
      <c r="J10" s="57" t="str">
        <f>IF(((COUNTIFS('T5'!$C$4:$C$68,"C*",'T5'!Q$4:Q$68,"&lt;&gt;")+COUNTIFS('T5'!$C$4:$C$68,"TC",'T5'!Q$4:Q$68,"&lt;&gt;")) + (COUNTIFS('T5'!$C$4:$C$68,"C*",'T5'!R$4:R$68,"&lt;&gt;")+COUNTIFS('T5'!$C$4:$C$68,"TC",'T5'!R$4:R$68,"&lt;&gt;")) + (COUNTIFS('T5'!$C$4:$C$68,"C*",'T5'!S$4:S$68,"&lt;&gt;")+COUNTIFS('T5'!$C$4:$C$68,"TC",'T5'!S$4:S$68,"&lt;&gt;")) + (COUNTIFS('T5'!$C$4:$C$68,"C*",'T5'!T$4:T$68,"&lt;&gt;")+COUNTIFS('T5'!$C$4:$C$68,"TC",'T5'!T$4:T$68,"&lt;&gt;")) + (COUNTIFS('T5'!$C$4:$C$68,"C*",'T5'!U$4:U$68,"&lt;&gt;")+COUNTIFS('T5'!$C$4:$C$68,"TC",'T5'!U$4:U$68,"&lt;&gt;")) + (COUNTIFS('T5'!$C$4:$C$68,"C*",'T5'!V$4:V$68,"&lt;&gt;")+COUNTIFS('T5'!$C$4:$C$68,"TC",'T5'!V$4:V$68,"&lt;&gt;")) + (COUNTIFS('T5'!$C$4:$C$68,"C*",'T5'!W$4:W$68,"&lt;&gt;")+COUNTIFS('T5'!$C$4:$C$68,"TC",'T5'!W$4:W$68,"&lt;&gt;")))=0,"Chưa nhập","Đã cập nhật")</f>
        <v>Đã cập nhật</v>
      </c>
    </row>
    <row r="11" spans="1:10" x14ac:dyDescent="0.2">
      <c r="A11" s="57" t="s">
        <v>82</v>
      </c>
      <c r="B11" s="59">
        <v>46163</v>
      </c>
      <c r="C11" s="59">
        <v>46169</v>
      </c>
      <c r="D11" s="60">
        <f>IF(((COUNTIFS('T5'!$C$4:$C$68,"C*",'T5'!X$4:X$68,"&lt;&gt;")+COUNTIFS('T5'!$C$4:$C$68,"TC",'T5'!X$4:X$68,"&lt;&gt;")) + (COUNTIFS('T5'!$C$4:$C$68,"C*",'T5'!Y$4:Y$68,"&lt;&gt;")+COUNTIFS('T5'!$C$4:$C$68,"TC",'T5'!Y$4:Y$68,"&lt;&gt;")) + (COUNTIFS('T5'!$C$4:$C$68,"C*",'T5'!Z$4:Z$68,"&lt;&gt;")+COUNTIFS('T5'!$C$4:$C$68,"TC",'T5'!Z$4:Z$68,"&lt;&gt;")) + (COUNTIFS('T5'!$C$4:$C$68,"C*",'T5'!AA$4:AA$68,"&lt;&gt;")+COUNTIFS('T5'!$C$4:$C$68,"TC",'T5'!AA$4:AA$68,"&lt;&gt;")) + (COUNTIFS('T5'!$C$4:$C$68,"C*",'T5'!AB$4:AB$68,"&lt;&gt;")+COUNTIFS('T5'!$C$4:$C$68,"TC",'T5'!AB$4:AB$68,"&lt;&gt;")) + (COUNTIFS('T5'!$C$4:$C$68,"C*",'T5'!AC$4:AC$68,"&lt;&gt;")+COUNTIFS('T5'!$C$4:$C$68,"TC",'T5'!AC$4:AC$68,"&lt;&gt;")) + (COUNTIFS('T5'!$C$4:$C$68,"C*",'T5'!AD$4:AD$68,"&lt;&gt;")+COUNTIFS('T5'!$C$4:$C$68,"TC",'T5'!AD$4:AD$68,"&lt;&gt;")))=0,"",((COUNTIFS('T5'!$C$4:$C$68,"C*",'T5'!X$4:X$68,"x*")-0.5*(COUNTIFS('T5'!$C$4:$C$68,"C*",'T5'!X$4:X$68,"x/2")))+(COUNTIFS('T5'!$C$4:$C$68,"C*",'T5'!Y$4:Y$68,"x*")-0.5*(COUNTIFS('T5'!$C$4:$C$68,"C*",'T5'!Y$4:Y$68,"x/2")))+(COUNTIFS('T5'!$C$4:$C$68,"C*",'T5'!Z$4:Z$68,"x*")-0.5*(COUNTIFS('T5'!$C$4:$C$68,"C*",'T5'!Z$4:Z$68,"x/2")))+(COUNTIFS('T5'!$C$4:$C$68,"C*",'T5'!AB$4:AB$68,"x*")-0.5*(COUNTIFS('T5'!$C$4:$C$68,"C*",'T5'!AB$4:AB$68,"x/2")))+(COUNTIFS('T5'!$C$4:$C$68,"C*",'T5'!AC$4:AC$68,"x*")-0.5*(COUNTIFS('T5'!$C$4:$C$68,"C*",'T5'!AC$4:AC$68,"x/2")))+(COUNTIFS('T5'!$C$4:$C$68,"C*",'T5'!AD$4:AD$68,"x*")-0.5*(COUNTIFS('T5'!$C$4:$C$68,"C*",'T5'!AD$4:AD$68,"x/2")))))</f>
        <v>77.5</v>
      </c>
      <c r="E11" s="61">
        <f>IF(((COUNTIFS('T5'!$C$4:$C$68,"C*",'T5'!X$4:X$68,"&lt;&gt;")+COUNTIFS('T5'!$C$4:$C$68,"TC",'T5'!X$4:X$68,"&lt;&gt;")) + (COUNTIFS('T5'!$C$4:$C$68,"C*",'T5'!Y$4:Y$68,"&lt;&gt;")+COUNTIFS('T5'!$C$4:$C$68,"TC",'T5'!Y$4:Y$68,"&lt;&gt;")) + (COUNTIFS('T5'!$C$4:$C$68,"C*",'T5'!Z$4:Z$68,"&lt;&gt;")+COUNTIFS('T5'!$C$4:$C$68,"TC",'T5'!Z$4:Z$68,"&lt;&gt;")) + (COUNTIFS('T5'!$C$4:$C$68,"C*",'T5'!AA$4:AA$68,"&lt;&gt;")+COUNTIFS('T5'!$C$4:$C$68,"TC",'T5'!AA$4:AA$68,"&lt;&gt;")) + (COUNTIFS('T5'!$C$4:$C$68,"C*",'T5'!AB$4:AB$68,"&lt;&gt;")+COUNTIFS('T5'!$C$4:$C$68,"TC",'T5'!AB$4:AB$68,"&lt;&gt;")) + (COUNTIFS('T5'!$C$4:$C$68,"C*",'T5'!AC$4:AC$68,"&lt;&gt;")+COUNTIFS('T5'!$C$4:$C$68,"TC",'T5'!AC$4:AC$68,"&lt;&gt;")) + (COUNTIFS('T5'!$C$4:$C$68,"C*",'T5'!AD$4:AD$68,"&lt;&gt;")+COUNTIFS('T5'!$C$4:$C$68,"TC",'T5'!AD$4:AD$68,"&lt;&gt;")))=0,"",((COUNTIFS('T5'!$C$4:$C$68,"C*",'T5'!AA$4:AA$68,"x*")-0.5*(COUNTIFS('T5'!$C$4:$C$68,"C*",'T5'!AA$4:AA$68,"x/2")))))</f>
        <v>9</v>
      </c>
      <c r="F11" s="60">
        <f>IF(AND(D11="",E11=""),"",D11+E11)</f>
        <v>86.5</v>
      </c>
      <c r="G11" s="60">
        <f>IF(((COUNTIFS('T5'!$C$4:$C$68,"C*",'T5'!X$4:X$68,"&lt;&gt;")+COUNTIFS('T5'!$C$4:$C$68,"TC",'T5'!X$4:X$68,"&lt;&gt;")) + (COUNTIFS('T5'!$C$4:$C$68,"C*",'T5'!Y$4:Y$68,"&lt;&gt;")+COUNTIFS('T5'!$C$4:$C$68,"TC",'T5'!Y$4:Y$68,"&lt;&gt;")) + (COUNTIFS('T5'!$C$4:$C$68,"C*",'T5'!Z$4:Z$68,"&lt;&gt;")+COUNTIFS('T5'!$C$4:$C$68,"TC",'T5'!Z$4:Z$68,"&lt;&gt;")) + (COUNTIFS('T5'!$C$4:$C$68,"C*",'T5'!AA$4:AA$68,"&lt;&gt;")+COUNTIFS('T5'!$C$4:$C$68,"TC",'T5'!AA$4:AA$68,"&lt;&gt;")) + (COUNTIFS('T5'!$C$4:$C$68,"C*",'T5'!AB$4:AB$68,"&lt;&gt;")+COUNTIFS('T5'!$C$4:$C$68,"TC",'T5'!AB$4:AB$68,"&lt;&gt;")) + (COUNTIFS('T5'!$C$4:$C$68,"C*",'T5'!AC$4:AC$68,"&lt;&gt;")+COUNTIFS('T5'!$C$4:$C$68,"TC",'T5'!AC$4:AC$68,"&lt;&gt;")) + (COUNTIFS('T5'!$C$4:$C$68,"C*",'T5'!AD$4:AD$68,"&lt;&gt;")+COUNTIFS('T5'!$C$4:$C$68,"TC",'T5'!AD$4:AD$68,"&lt;&gt;")))=0,"",(SUMIF('T5'!$C$4:$C$68,"TC",'T5'!X$4:X$68))+(SUMIF('T5'!$C$4:$C$68,"TC",'T5'!Y$4:Y$68))+(SUMIF('T5'!$C$4:$C$68,"TC",'T5'!Z$4:Z$68))+(SUMIF('T5'!$C$4:$C$68,"TC",'T5'!AB$4:AB$68))+(SUMIF('T5'!$C$4:$C$68,"TC",'T5'!AC$4:AC$68))+(SUMIF('T5'!$C$4:$C$68,"TC",'T5'!AD$4:AD$68)))</f>
        <v>0</v>
      </c>
      <c r="H11" s="62">
        <f>IF(((COUNTIFS('T5'!$C$4:$C$68,"C*",'T5'!X$4:X$68,"&lt;&gt;")+COUNTIFS('T5'!$C$4:$C$68,"TC",'T5'!X$4:X$68,"&lt;&gt;")) + (COUNTIFS('T5'!$C$4:$C$68,"C*",'T5'!Y$4:Y$68,"&lt;&gt;")+COUNTIFS('T5'!$C$4:$C$68,"TC",'T5'!Y$4:Y$68,"&lt;&gt;")) + (COUNTIFS('T5'!$C$4:$C$68,"C*",'T5'!Z$4:Z$68,"&lt;&gt;")+COUNTIFS('T5'!$C$4:$C$68,"TC",'T5'!Z$4:Z$68,"&lt;&gt;")) + (COUNTIFS('T5'!$C$4:$C$68,"C*",'T5'!AA$4:AA$68,"&lt;&gt;")+COUNTIFS('T5'!$C$4:$C$68,"TC",'T5'!AA$4:AA$68,"&lt;&gt;")) + (COUNTIFS('T5'!$C$4:$C$68,"C*",'T5'!AB$4:AB$68,"&lt;&gt;")+COUNTIFS('T5'!$C$4:$C$68,"TC",'T5'!AB$4:AB$68,"&lt;&gt;")) + (COUNTIFS('T5'!$C$4:$C$68,"C*",'T5'!AC$4:AC$68,"&lt;&gt;")+COUNTIFS('T5'!$C$4:$C$68,"TC",'T5'!AC$4:AC$68,"&lt;&gt;")) + (COUNTIFS('T5'!$C$4:$C$68,"C*",'T5'!AD$4:AD$68,"&lt;&gt;")+COUNTIFS('T5'!$C$4:$C$68,"TC",'T5'!AD$4:AD$68,"&lt;&gt;")))=0,"",(SUMIF('T5'!$C$4:$C$68,"TC",'T5'!X$4:X$68))+(SUMIF('T5'!$C$4:$C$68,"TC",'T5'!Y$4:Y$68))+(SUMIF('T5'!$C$4:$C$68,"TC",'T5'!Z$4:Z$68))+(SUMIF('T5'!$C$4:$C$68,"TC",'T5'!AA$4:AA$68))+(SUMIF('T5'!$C$4:$C$68,"TC",'T5'!AB$4:AB$68))+(SUMIF('T5'!$C$4:$C$68,"TC",'T5'!AC$4:AC$68))+(SUMIF('T5'!$C$4:$C$68,"TC",'T5'!AD$4:AD$68)))</f>
        <v>0</v>
      </c>
      <c r="I11" s="60">
        <f>IF(H11="","",H11/8)</f>
        <v>0</v>
      </c>
      <c r="J11" s="57" t="str">
        <f>IF(((COUNTIFS('T5'!$C$4:$C$68,"C*",'T5'!X$4:X$68,"&lt;&gt;")+COUNTIFS('T5'!$C$4:$C$68,"TC",'T5'!X$4:X$68,"&lt;&gt;")) + (COUNTIFS('T5'!$C$4:$C$68,"C*",'T5'!Y$4:Y$68,"&lt;&gt;")+COUNTIFS('T5'!$C$4:$C$68,"TC",'T5'!Y$4:Y$68,"&lt;&gt;")) + (COUNTIFS('T5'!$C$4:$C$68,"C*",'T5'!Z$4:Z$68,"&lt;&gt;")+COUNTIFS('T5'!$C$4:$C$68,"TC",'T5'!Z$4:Z$68,"&lt;&gt;")) + (COUNTIFS('T5'!$C$4:$C$68,"C*",'T5'!AA$4:AA$68,"&lt;&gt;")+COUNTIFS('T5'!$C$4:$C$68,"TC",'T5'!AA$4:AA$68,"&lt;&gt;")) + (COUNTIFS('T5'!$C$4:$C$68,"C*",'T5'!AB$4:AB$68,"&lt;&gt;")+COUNTIFS('T5'!$C$4:$C$68,"TC",'T5'!AB$4:AB$68,"&lt;&gt;")) + (COUNTIFS('T5'!$C$4:$C$68,"C*",'T5'!AC$4:AC$68,"&lt;&gt;")+COUNTIFS('T5'!$C$4:$C$68,"TC",'T5'!AC$4:AC$68,"&lt;&gt;")) + (COUNTIFS('T5'!$C$4:$C$68,"C*",'T5'!AD$4:AD$68,"&lt;&gt;")+COUNTIFS('T5'!$C$4:$C$68,"TC",'T5'!AD$4:AD$68,"&lt;&gt;")))=0,"Chưa nhập","Đã cập nhật")</f>
        <v>Đã cập nhật</v>
      </c>
    </row>
    <row r="12" spans="1:10" x14ac:dyDescent="0.2">
      <c r="A12" s="130" t="s">
        <v>83</v>
      </c>
      <c r="B12" s="131"/>
      <c r="C12" s="132"/>
      <c r="D12" s="60">
        <f t="shared" ref="D12:I12" si="0">IF(COUNT(D8:D11)=0,"",SUM(D8:D11))</f>
        <v>276</v>
      </c>
      <c r="E12" s="61">
        <f t="shared" si="0"/>
        <v>35.5</v>
      </c>
      <c r="F12" s="60">
        <f t="shared" si="0"/>
        <v>311.5</v>
      </c>
      <c r="G12" s="60">
        <f t="shared" si="0"/>
        <v>0</v>
      </c>
      <c r="H12" s="62">
        <f t="shared" si="0"/>
        <v>0</v>
      </c>
      <c r="I12" s="60">
        <f t="shared" si="0"/>
        <v>0</v>
      </c>
      <c r="J12" s="57"/>
    </row>
    <row r="13" spans="1:10" ht="15" customHeight="1" x14ac:dyDescent="0.2">
      <c r="A13" s="133"/>
      <c r="B13" s="134"/>
      <c r="C13" s="135"/>
      <c r="D13" s="63">
        <f t="shared" ref="D13:I13" si="1">IF(COUNT(D8:D12)=0,"",SUM(D8:D12))</f>
        <v>552</v>
      </c>
      <c r="E13" s="63">
        <f t="shared" si="1"/>
        <v>71</v>
      </c>
      <c r="F13" s="63">
        <f t="shared" si="1"/>
        <v>623</v>
      </c>
      <c r="G13" s="63">
        <f t="shared" si="1"/>
        <v>0</v>
      </c>
      <c r="H13" s="63">
        <f t="shared" si="1"/>
        <v>0</v>
      </c>
      <c r="I13" s="63">
        <f t="shared" si="1"/>
        <v>0</v>
      </c>
      <c r="J13" s="58"/>
    </row>
    <row r="15" spans="1:10" x14ac:dyDescent="0.2">
      <c r="A15" s="127" t="s">
        <v>84</v>
      </c>
      <c r="B15" s="125"/>
      <c r="C15" s="125"/>
      <c r="D15" s="125"/>
      <c r="E15" s="125"/>
      <c r="F15" s="125"/>
      <c r="G15" s="125"/>
      <c r="H15" s="125"/>
      <c r="I15" s="125"/>
      <c r="J15" s="125"/>
    </row>
  </sheetData>
  <mergeCells count="15">
    <mergeCell ref="A1:J1"/>
    <mergeCell ref="I4:J4"/>
    <mergeCell ref="A15:J15"/>
    <mergeCell ref="I5:J5"/>
    <mergeCell ref="A2:J2"/>
    <mergeCell ref="A12:C12"/>
    <mergeCell ref="C4:D4"/>
    <mergeCell ref="A13:C13"/>
    <mergeCell ref="C5:D5"/>
    <mergeCell ref="A5:B5"/>
    <mergeCell ref="G5:H5"/>
    <mergeCell ref="E5:F5"/>
    <mergeCell ref="A4:B4"/>
    <mergeCell ref="G4:H4"/>
    <mergeCell ref="E4:F4"/>
  </mergeCells>
  <conditionalFormatting sqref="F8:F12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2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2">
    <cfRule type="expression" dxfId="15" priority="1">
      <formula>$J8="Chưa nhập"</formula>
    </cfRule>
    <cfRule type="expression" dxfId="14" priority="2">
      <formula>$J8="Đã cập nhật"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5"/>
  <sheetViews>
    <sheetView workbookViewId="0">
      <selection sqref="A1:J1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90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>
        <f>F12</f>
        <v>315.5</v>
      </c>
      <c r="B5" s="125"/>
      <c r="C5" s="136">
        <f>E12</f>
        <v>26.5</v>
      </c>
      <c r="D5" s="125"/>
      <c r="E5" s="136">
        <f>IF(((COUNTIFS('T6'!$C$4:$C$68,"C*",'T6'!D$4:D$68,"&lt;&gt;")+COUNTIFS('T6'!$C$4:$C$68,"TC",'T6'!D$4:D$68,"&lt;&gt;"))+(COUNTIFS('T6'!$C$4:$C$68,"C*",'T6'!E$4:E$68,"&lt;&gt;")+COUNTIFS('T6'!$C$4:$C$68,"TC",'T6'!E$4:E$68,"&lt;&gt;"))+(COUNTIFS('T6'!$C$4:$C$68,"C*",'T6'!F$4:F$68,"&lt;&gt;")+COUNTIFS('T6'!$C$4:$C$68,"TC",'T6'!F$4:F$68,"&lt;&gt;"))+(COUNTIFS('T6'!$C$4:$C$68,"C*",'T6'!G$4:G$68,"&lt;&gt;")+COUNTIFS('T6'!$C$4:$C$68,"TC",'T6'!G$4:G$68,"&lt;&gt;"))+(COUNTIFS('T6'!$C$4:$C$68,"C*",'T6'!H$4:H$68,"&lt;&gt;")+COUNTIFS('T6'!$C$4:$C$68,"TC",'T6'!H$4:H$68,"&lt;&gt;"))+(COUNTIFS('T6'!$C$4:$C$68,"C*",'T6'!I$4:I$68,"&lt;&gt;")+COUNTIFS('T6'!$C$4:$C$68,"TC",'T6'!I$4:I$68,"&lt;&gt;"))+(COUNTIFS('T6'!$C$4:$C$68,"C*",'T6'!J$4:J$68,"&lt;&gt;")+COUNTIFS('T6'!$C$4:$C$68,"TC",'T6'!J$4:J$68,"&lt;&gt;"))+(COUNTIFS('T6'!$C$4:$C$68,"C*",'T6'!K$4:K$68,"&lt;&gt;")+COUNTIFS('T6'!$C$4:$C$68,"TC",'T6'!K$4:K$68,"&lt;&gt;"))+(COUNTIFS('T6'!$C$4:$C$68,"C*",'T6'!L$4:L$68,"&lt;&gt;")+COUNTIFS('T6'!$C$4:$C$68,"TC",'T6'!L$4:L$68,"&lt;&gt;"))+(COUNTIFS('T6'!$C$4:$C$68,"C*",'T6'!M$4:M$68,"&lt;&gt;")+COUNTIFS('T6'!$C$4:$C$68,"TC",'T6'!M$4:M$68,"&lt;&gt;"))+(COUNTIFS('T6'!$C$4:$C$68,"C*",'T6'!N$4:N$68,"&lt;&gt;")+COUNTIFS('T6'!$C$4:$C$68,"TC",'T6'!N$4:N$68,"&lt;&gt;"))+(COUNTIFS('T6'!$C$4:$C$68,"C*",'T6'!O$4:O$68,"&lt;&gt;")+COUNTIFS('T6'!$C$4:$C$68,"TC",'T6'!O$4:O$68,"&lt;&gt;"))+(COUNTIFS('T6'!$C$4:$C$68,"C*",'T6'!P$4:P$68,"&lt;&gt;")+COUNTIFS('T6'!$C$4:$C$68,"TC",'T6'!P$4:P$68,"&lt;&gt;"))+(COUNTIFS('T6'!$C$4:$C$68,"C*",'T6'!Q$4:Q$68,"&lt;&gt;")+COUNTIFS('T6'!$C$4:$C$68,"TC",'T6'!Q$4:Q$68,"&lt;&gt;"))+(COUNTIFS('T6'!$C$4:$C$68,"C*",'T6'!R$4:R$68,"&lt;&gt;")+COUNTIFS('T6'!$C$4:$C$68,"TC",'T6'!R$4:R$68,"&lt;&gt;"))+(COUNTIFS('T6'!$C$4:$C$68,"C*",'T6'!S$4:S$68,"&lt;&gt;")+COUNTIFS('T6'!$C$4:$C$68,"TC",'T6'!S$4:S$68,"&lt;&gt;"))+(COUNTIFS('T6'!$C$4:$C$68,"C*",'T6'!T$4:T$68,"&lt;&gt;")+COUNTIFS('T6'!$C$4:$C$68,"TC",'T6'!T$4:T$68,"&lt;&gt;"))+(COUNTIFS('T6'!$C$4:$C$68,"C*",'T6'!U$4:U$68,"&lt;&gt;")+COUNTIFS('T6'!$C$4:$C$68,"TC",'T6'!U$4:U$68,"&lt;&gt;"))+(COUNTIFS('T6'!$C$4:$C$68,"C*",'T6'!V$4:V$68,"&lt;&gt;")+COUNTIFS('T6'!$C$4:$C$68,"TC",'T6'!V$4:V$68,"&lt;&gt;"))+(COUNTIFS('T6'!$C$4:$C$68,"C*",'T6'!W$4:W$68,"&lt;&gt;")+COUNTIFS('T6'!$C$4:$C$68,"TC",'T6'!W$4:W$68,"&lt;&gt;"))+(COUNTIFS('T6'!$C$4:$C$68,"C*",'T6'!X$4:X$68,"&lt;&gt;")+COUNTIFS('T6'!$C$4:$C$68,"TC",'T6'!X$4:X$68,"&lt;&gt;"))+(COUNTIFS('T6'!$C$4:$C$68,"C*",'T6'!Y$4:Y$68,"&lt;&gt;")+COUNTIFS('T6'!$C$4:$C$68,"TC",'T6'!Y$4:Y$68,"&lt;&gt;"))+(COUNTIFS('T6'!$C$4:$C$68,"C*",'T6'!Z$4:Z$68,"&lt;&gt;")+COUNTIFS('T6'!$C$4:$C$68,"TC",'T6'!Z$4:Z$68,"&lt;&gt;"))+(COUNTIFS('T6'!$C$4:$C$68,"C*",'T6'!AA$4:AA$68,"&lt;&gt;")+COUNTIFS('T6'!$C$4:$C$68,"TC",'T6'!AA$4:AA$68,"&lt;&gt;"))+(COUNTIFS('T6'!$C$4:$C$68,"C*",'T6'!AB$4:AB$68,"&lt;&gt;")+COUNTIFS('T6'!$C$4:$C$68,"TC",'T6'!AB$4:AB$68,"&lt;&gt;"))+(COUNTIFS('T6'!$C$4:$C$68,"C*",'T6'!AC$4:AC$68,"&lt;&gt;")+COUNTIFS('T6'!$C$4:$C$68,"TC",'T6'!AC$4:AC$68,"&lt;&gt;"))+(COUNTIFS('T6'!$C$4:$C$68,"C*",'T6'!AD$4:AD$68,"&lt;&gt;")+COUNTIFS('T6'!$C$4:$C$68,"TC",'T6'!AD$4:AD$68,"&lt;&gt;"))+(COUNTIFS('T6'!$C$4:$C$68,"C*",'T6'!AE$4:AE$68,"&lt;&gt;")+COUNTIFS('T6'!$C$4:$C$68,"TC",'T6'!AE$4:AE$68,"&lt;&gt;"))+(COUNTIFS('T6'!$C$4:$C$68,"C*",'T6'!AF$4:AF$68,"&lt;&gt;")+COUNTIFS('T6'!$C$4:$C$68,"TC",'T6'!AF$4:AF$68,"&lt;&gt;"))+(COUNTIFS('T6'!$C$4:$C$68,"C*",'T6'!AG$4:AG$68,"&lt;&gt;")+COUNTIFS('T6'!$C$4:$C$68,"TC",'T6'!AG$4:AG$68,"&lt;&gt;")))=0,"",((SUMIF('T6'!$C$4:$C$68,"TC",'T6'!D$4:D$68))+(SUMIF('T6'!$C$4:$C$68,"TC",'T6'!E$4:E$68))+(SUMIF('T6'!$C$4:$C$68,"TC",'T6'!F$4:F$68))+(SUMIF('T6'!$C$4:$C$68,"TC",'T6'!G$4:G$68))+(SUMIF('T6'!$C$4:$C$68,"TC",'T6'!H$4:H$68))+(SUMIF('T6'!$C$4:$C$68,"TC",'T6'!I$4:I$68))+(SUMIF('T6'!$C$4:$C$68,"TC",'T6'!J$4:J$68))+(SUMIF('T6'!$C$4:$C$68,"TC",'T6'!K$4:K$68))+(SUMIF('T6'!$C$4:$C$68,"TC",'T6'!L$4:L$68))+(SUMIF('T6'!$C$4:$C$68,"TC",'T6'!M$4:M$68))+(SUMIF('T6'!$C$4:$C$68,"TC",'T6'!N$4:N$68))+(SUMIF('T6'!$C$4:$C$68,"TC",'T6'!O$4:O$68))+(SUMIF('T6'!$C$4:$C$68,"TC",'T6'!P$4:P$68))+(SUMIF('T6'!$C$4:$C$68,"TC",'T6'!Q$4:Q$68))+(SUMIF('T6'!$C$4:$C$68,"TC",'T6'!R$4:R$68))+(SUMIF('T6'!$C$4:$C$68,"TC",'T6'!S$4:S$68))+(SUMIF('T6'!$C$4:$C$68,"TC",'T6'!T$4:T$68))+(SUMIF('T6'!$C$4:$C$68,"TC",'T6'!U$4:U$68))+(SUMIF('T6'!$C$4:$C$68,"TC",'T6'!V$4:V$68))+(SUMIF('T6'!$C$4:$C$68,"TC",'T6'!W$4:W$68))+(SUMIF('T6'!$C$4:$C$68,"TC",'T6'!X$4:X$68))+(SUMIF('T6'!$C$4:$C$68,"TC",'T6'!Y$4:Y$68))+(SUMIF('T6'!$C$4:$C$68,"TC",'T6'!Z$4:Z$68))+(SUMIF('T6'!$C$4:$C$68,"TC",'T6'!AA$4:AA$68))+(SUMIF('T6'!$C$4:$C$68,"TC",'T6'!AB$4:AB$68))+(SUMIF('T6'!$C$4:$C$68,"TC",'T6'!AC$4:AC$68))+(SUMIF('T6'!$C$4:$C$68,"TC",'T6'!AD$4:AD$68))+(SUMIF('T6'!$C$4:$C$68,"TC",'T6'!AE$4:AE$68))+(SUMIF('T6'!$C$4:$C$68,"TC",'T6'!AF$4:AF$68))+(SUMIF('T6'!$C$4:$C$68,"TC",'T6'!AG$4:AG$68))))</f>
        <v>315.25</v>
      </c>
      <c r="F5" s="125"/>
      <c r="G5" s="137">
        <f>(COUNTIFS('T6'!$C$4:$C$68,"C*",'T6'!D$4:D$68,"&lt;&gt;")+COUNTIFS('T6'!$C$4:$C$68,"TC",'T6'!D$4:D$68,"&lt;&gt;")&gt;0) + (COUNTIFS('T6'!$C$4:$C$68,"C*",'T6'!E$4:E$68,"&lt;&gt;")+COUNTIFS('T6'!$C$4:$C$68,"TC",'T6'!E$4:E$68,"&lt;&gt;")&gt;0) + (COUNTIFS('T6'!$C$4:$C$68,"C*",'T6'!F$4:F$68,"&lt;&gt;")+COUNTIFS('T6'!$C$4:$C$68,"TC",'T6'!F$4:F$68,"&lt;&gt;")&gt;0) + (COUNTIFS('T6'!$C$4:$C$68,"C*",'T6'!G$4:G$68,"&lt;&gt;")+COUNTIFS('T6'!$C$4:$C$68,"TC",'T6'!G$4:G$68,"&lt;&gt;")&gt;0) + (COUNTIFS('T6'!$C$4:$C$68,"C*",'T6'!H$4:H$68,"&lt;&gt;")+COUNTIFS('T6'!$C$4:$C$68,"TC",'T6'!H$4:H$68,"&lt;&gt;")&gt;0) + (COUNTIFS('T6'!$C$4:$C$68,"C*",'T6'!I$4:I$68,"&lt;&gt;")+COUNTIFS('T6'!$C$4:$C$68,"TC",'T6'!I$4:I$68,"&lt;&gt;")&gt;0) + (COUNTIFS('T6'!$C$4:$C$68,"C*",'T6'!J$4:J$68,"&lt;&gt;")+COUNTIFS('T6'!$C$4:$C$68,"TC",'T6'!J$4:J$68,"&lt;&gt;")&gt;0) + (COUNTIFS('T6'!$C$4:$C$68,"C*",'T6'!K$4:K$68,"&lt;&gt;")+COUNTIFS('T6'!$C$4:$C$68,"TC",'T6'!K$4:K$68,"&lt;&gt;")&gt;0) + (COUNTIFS('T6'!$C$4:$C$68,"C*",'T6'!L$4:L$68,"&lt;&gt;")+COUNTIFS('T6'!$C$4:$C$68,"TC",'T6'!L$4:L$68,"&lt;&gt;")&gt;0) + (COUNTIFS('T6'!$C$4:$C$68,"C*",'T6'!M$4:M$68,"&lt;&gt;")+COUNTIFS('T6'!$C$4:$C$68,"TC",'T6'!M$4:M$68,"&lt;&gt;")&gt;0) + (COUNTIFS('T6'!$C$4:$C$68,"C*",'T6'!N$4:N$68,"&lt;&gt;")+COUNTIFS('T6'!$C$4:$C$68,"TC",'T6'!N$4:N$68,"&lt;&gt;")&gt;0) + (COUNTIFS('T6'!$C$4:$C$68,"C*",'T6'!O$4:O$68,"&lt;&gt;")+COUNTIFS('T6'!$C$4:$C$68,"TC",'T6'!O$4:O$68,"&lt;&gt;")&gt;0) + (COUNTIFS('T6'!$C$4:$C$68,"C*",'T6'!P$4:P$68,"&lt;&gt;")+COUNTIFS('T6'!$C$4:$C$68,"TC",'T6'!P$4:P$68,"&lt;&gt;")&gt;0) + (COUNTIFS('T6'!$C$4:$C$68,"C*",'T6'!Q$4:Q$68,"&lt;&gt;")+COUNTIFS('T6'!$C$4:$C$68,"TC",'T6'!Q$4:Q$68,"&lt;&gt;")&gt;0) + (COUNTIFS('T6'!$C$4:$C$68,"C*",'T6'!R$4:R$68,"&lt;&gt;")+COUNTIFS('T6'!$C$4:$C$68,"TC",'T6'!R$4:R$68,"&lt;&gt;")&gt;0) + (COUNTIFS('T6'!$C$4:$C$68,"C*",'T6'!S$4:S$68,"&lt;&gt;")+COUNTIFS('T6'!$C$4:$C$68,"TC",'T6'!S$4:S$68,"&lt;&gt;")&gt;0) + (COUNTIFS('T6'!$C$4:$C$68,"C*",'T6'!T$4:T$68,"&lt;&gt;")+COUNTIFS('T6'!$C$4:$C$68,"TC",'T6'!T$4:T$68,"&lt;&gt;")&gt;0) + (COUNTIFS('T6'!$C$4:$C$68,"C*",'T6'!U$4:U$68,"&lt;&gt;")+COUNTIFS('T6'!$C$4:$C$68,"TC",'T6'!U$4:U$68,"&lt;&gt;")&gt;0) + (COUNTIFS('T6'!$C$4:$C$68,"C*",'T6'!V$4:V$68,"&lt;&gt;")+COUNTIFS('T6'!$C$4:$C$68,"TC",'T6'!V$4:V$68,"&lt;&gt;")&gt;0) + (COUNTIFS('T6'!$C$4:$C$68,"C*",'T6'!W$4:W$68,"&lt;&gt;")+COUNTIFS('T6'!$C$4:$C$68,"TC",'T6'!W$4:W$68,"&lt;&gt;")&gt;0) + (COUNTIFS('T6'!$C$4:$C$68,"C*",'T6'!X$4:X$68,"&lt;&gt;")+COUNTIFS('T6'!$C$4:$C$68,"TC",'T6'!X$4:X$68,"&lt;&gt;")&gt;0) + (COUNTIFS('T6'!$C$4:$C$68,"C*",'T6'!Y$4:Y$68,"&lt;&gt;")+COUNTIFS('T6'!$C$4:$C$68,"TC",'T6'!Y$4:Y$68,"&lt;&gt;")&gt;0) + (COUNTIFS('T6'!$C$4:$C$68,"C*",'T6'!Z$4:Z$68,"&lt;&gt;")+COUNTIFS('T6'!$C$4:$C$68,"TC",'T6'!Z$4:Z$68,"&lt;&gt;")&gt;0) + (COUNTIFS('T6'!$C$4:$C$68,"C*",'T6'!AA$4:AA$68,"&lt;&gt;")+COUNTIFS('T6'!$C$4:$C$68,"TC",'T6'!AA$4:AA$68,"&lt;&gt;")&gt;0) + (COUNTIFS('T6'!$C$4:$C$68,"C*",'T6'!AB$4:AB$68,"&lt;&gt;")+COUNTIFS('T6'!$C$4:$C$68,"TC",'T6'!AB$4:AB$68,"&lt;&gt;")&gt;0) + (COUNTIFS('T6'!$C$4:$C$68,"C*",'T6'!AC$4:AC$68,"&lt;&gt;")+COUNTIFS('T6'!$C$4:$C$68,"TC",'T6'!AC$4:AC$68,"&lt;&gt;")&gt;0) + (COUNTIFS('T6'!$C$4:$C$68,"C*",'T6'!AD$4:AD$68,"&lt;&gt;")+COUNTIFS('T6'!$C$4:$C$68,"TC",'T6'!AD$4:AD$68,"&lt;&gt;")&gt;0) + (COUNTIFS('T6'!$C$4:$C$68,"C*",'T6'!AE$4:AE$68,"&lt;&gt;")+COUNTIFS('T6'!$C$4:$C$68,"TC",'T6'!AE$4:AE$68,"&lt;&gt;")&gt;0) + (COUNTIFS('T6'!$C$4:$C$68,"C*",'T6'!AF$4:AF$68,"&lt;&gt;")+COUNTIFS('T6'!$C$4:$C$68,"TC",'T6'!AF$4:AF$68,"&lt;&gt;")&gt;0) + (COUNTIFS('T6'!$C$4:$C$68,"C*",'T6'!AG$4:AG$68,"&lt;&gt;")+COUNTIFS('T6'!$C$4:$C$68,"TC",'T6'!AG$4:AG$68,"&lt;&gt;")&gt;0)</f>
        <v>28</v>
      </c>
      <c r="H5" s="125"/>
      <c r="I5" s="128">
        <f ca="1">NOW()</f>
        <v>46253.615729861114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46170</v>
      </c>
      <c r="C8" s="59">
        <v>46176</v>
      </c>
      <c r="D8" s="60">
        <f>IF(((COUNTIFS('T5'!$C$4:$C$68,"C*",'T5'!AE$4:AE$68,"&lt;&gt;")+COUNTIFS('T5'!$C$4:$C$68,"TC",'T5'!AE$4:AE$68,"&lt;&gt;")) + (COUNTIFS('T5'!$C$4:$C$68,"C*",'T5'!AF$4:AF$68,"&lt;&gt;")+COUNTIFS('T5'!$C$4:$C$68,"TC",'T5'!AF$4:AF$68,"&lt;&gt;")) + (COUNTIFS('T5'!$C$4:$C$68,"C*",'T5'!AG$4:AG$68,"&lt;&gt;")+COUNTIFS('T5'!$C$4:$C$68,"TC",'T5'!AG$4:AG$68,"&lt;&gt;")) + (COUNTIFS('T5'!$C$4:$C$68,"C*",'T5'!AH$4:AH$68,"&lt;&gt;")+COUNTIFS('T5'!$C$4:$C$68,"TC",'T5'!AH$4:AH$68,"&lt;&gt;")) + (COUNTIFS('T6'!$C$4:$C$68,"C*",'T6'!D$4:D$68,"&lt;&gt;")+COUNTIFS('T6'!$C$4:$C$68,"TC",'T6'!D$4:D$68,"&lt;&gt;")) + (COUNTIFS('T6'!$C$4:$C$68,"C*",'T6'!E$4:E$68,"&lt;&gt;")+COUNTIFS('T6'!$C$4:$C$68,"TC",'T6'!E$4:E$68,"&lt;&gt;")) + (COUNTIFS('T6'!$C$4:$C$68,"C*",'T6'!F$4:F$68,"&lt;&gt;")+COUNTIFS('T6'!$C$4:$C$68,"TC",'T6'!F$4:F$68,"&lt;&gt;")))=0,"",((COUNTIFS('T5'!$C$4:$C$68,"C*",'T5'!AE$4:AE$68,"x*")-0.5*(COUNTIFS('T5'!$C$4:$C$68,"C*",'T5'!AE$4:AE$68,"x/2")))+(COUNTIFS('T5'!$C$4:$C$68,"C*",'T5'!AF$4:AF$68,"x*")-0.5*(COUNTIFS('T5'!$C$4:$C$68,"C*",'T5'!AF$4:AF$68,"x/2")))+(COUNTIFS('T5'!$C$4:$C$68,"C*",'T5'!AG$4:AG$68,"x*")-0.5*(COUNTIFS('T5'!$C$4:$C$68,"C*",'T5'!AG$4:AG$68,"x/2")))+(COUNTIFS('T6'!$C$4:$C$68,"C*",'T6'!D$4:D$68,"x*")-0.5*(COUNTIFS('T6'!$C$4:$C$68,"C*",'T6'!D$4:D$68,"x/2")))+(COUNTIFS('T6'!$C$4:$C$68,"C*",'T6'!E$4:E$68,"x*")-0.5*(COUNTIFS('T6'!$C$4:$C$68,"C*",'T6'!E$4:E$68,"x/2")))+(COUNTIFS('T6'!$C$4:$C$68,"C*",'T6'!F$4:F$68,"x*")-0.5*(COUNTIFS('T6'!$C$4:$C$68,"C*",'T6'!F$4:F$68,"x/2")))))</f>
        <v>76.5</v>
      </c>
      <c r="E8" s="61">
        <f>IF(((COUNTIFS('T5'!$C$4:$C$68,"C*",'T5'!AE$4:AE$68,"&lt;&gt;")+COUNTIFS('T5'!$C$4:$C$68,"TC",'T5'!AE$4:AE$68,"&lt;&gt;")) + (COUNTIFS('T5'!$C$4:$C$68,"C*",'T5'!AF$4:AF$68,"&lt;&gt;")+COUNTIFS('T5'!$C$4:$C$68,"TC",'T5'!AF$4:AF$68,"&lt;&gt;")) + (COUNTIFS('T5'!$C$4:$C$68,"C*",'T5'!AG$4:AG$68,"&lt;&gt;")+COUNTIFS('T5'!$C$4:$C$68,"TC",'T5'!AG$4:AG$68,"&lt;&gt;")) + (COUNTIFS('T5'!$C$4:$C$68,"C*",'T5'!AH$4:AH$68,"&lt;&gt;")+COUNTIFS('T5'!$C$4:$C$68,"TC",'T5'!AH$4:AH$68,"&lt;&gt;")) + (COUNTIFS('T6'!$C$4:$C$68,"C*",'T6'!D$4:D$68,"&lt;&gt;")+COUNTIFS('T6'!$C$4:$C$68,"TC",'T6'!D$4:D$68,"&lt;&gt;")) + (COUNTIFS('T6'!$C$4:$C$68,"C*",'T6'!E$4:E$68,"&lt;&gt;")+COUNTIFS('T6'!$C$4:$C$68,"TC",'T6'!E$4:E$68,"&lt;&gt;")) + (COUNTIFS('T6'!$C$4:$C$68,"C*",'T6'!F$4:F$68,"&lt;&gt;")+COUNTIFS('T6'!$C$4:$C$68,"TC",'T6'!F$4:F$68,"&lt;&gt;")))=0,"",((COUNTIFS('T5'!$C$4:$C$68,"C*",'T5'!AH$4:AH$68,"x*")-0.5*(COUNTIFS('T5'!$C$4:$C$68,"C*",'T5'!AH$4:AH$68,"x/2")))))</f>
        <v>9</v>
      </c>
      <c r="F8" s="60">
        <f>IF(AND(D8="",E8=""),"",D8+E8)</f>
        <v>85.5</v>
      </c>
      <c r="G8" s="60">
        <f>IF(((COUNTIFS('T5'!$C$4:$C$68,"C*",'T5'!AE$4:AE$68,"&lt;&gt;")+COUNTIFS('T5'!$C$4:$C$68,"TC",'T5'!AE$4:AE$68,"&lt;&gt;")) + (COUNTIFS('T5'!$C$4:$C$68,"C*",'T5'!AF$4:AF$68,"&lt;&gt;")+COUNTIFS('T5'!$C$4:$C$68,"TC",'T5'!AF$4:AF$68,"&lt;&gt;")) + (COUNTIFS('T5'!$C$4:$C$68,"C*",'T5'!AG$4:AG$68,"&lt;&gt;")+COUNTIFS('T5'!$C$4:$C$68,"TC",'T5'!AG$4:AG$68,"&lt;&gt;")) + (COUNTIFS('T5'!$C$4:$C$68,"C*",'T5'!AH$4:AH$68,"&lt;&gt;")+COUNTIFS('T5'!$C$4:$C$68,"TC",'T5'!AH$4:AH$68,"&lt;&gt;")) + (COUNTIFS('T6'!$C$4:$C$68,"C*",'T6'!D$4:D$68,"&lt;&gt;")+COUNTIFS('T6'!$C$4:$C$68,"TC",'T6'!D$4:D$68,"&lt;&gt;")) + (COUNTIFS('T6'!$C$4:$C$68,"C*",'T6'!E$4:E$68,"&lt;&gt;")+COUNTIFS('T6'!$C$4:$C$68,"TC",'T6'!E$4:E$68,"&lt;&gt;")) + (COUNTIFS('T6'!$C$4:$C$68,"C*",'T6'!F$4:F$68,"&lt;&gt;")+COUNTIFS('T6'!$C$4:$C$68,"TC",'T6'!F$4:F$68,"&lt;&gt;")))=0,"",(SUMIF('T5'!$C$4:$C$68,"TC",'T5'!AE$4:AE$68))+(SUMIF('T5'!$C$4:$C$68,"TC",'T5'!AF$4:AF$68))+(SUMIF('T5'!$C$4:$C$68,"TC",'T5'!AG$4:AG$68))+(SUMIF('T6'!$C$4:$C$68,"TC",'T6'!D$4:D$68))+(SUMIF('T6'!$C$4:$C$68,"TC",'T6'!E$4:E$68))+(SUMIF('T6'!$C$4:$C$68,"TC",'T6'!F$4:F$68)))</f>
        <v>1</v>
      </c>
      <c r="H8" s="62">
        <f>IF(((COUNTIFS('T5'!$C$4:$C$68,"C*",'T5'!AE$4:AE$68,"&lt;&gt;")+COUNTIFS('T5'!$C$4:$C$68,"TC",'T5'!AE$4:AE$68,"&lt;&gt;")) + (COUNTIFS('T5'!$C$4:$C$68,"C*",'T5'!AF$4:AF$68,"&lt;&gt;")+COUNTIFS('T5'!$C$4:$C$68,"TC",'T5'!AF$4:AF$68,"&lt;&gt;")) + (COUNTIFS('T5'!$C$4:$C$68,"C*",'T5'!AG$4:AG$68,"&lt;&gt;")+COUNTIFS('T5'!$C$4:$C$68,"TC",'T5'!AG$4:AG$68,"&lt;&gt;")) + (COUNTIFS('T5'!$C$4:$C$68,"C*",'T5'!AH$4:AH$68,"&lt;&gt;")+COUNTIFS('T5'!$C$4:$C$68,"TC",'T5'!AH$4:AH$68,"&lt;&gt;")) + (COUNTIFS('T6'!$C$4:$C$68,"C*",'T6'!D$4:D$68,"&lt;&gt;")+COUNTIFS('T6'!$C$4:$C$68,"TC",'T6'!D$4:D$68,"&lt;&gt;")) + (COUNTIFS('T6'!$C$4:$C$68,"C*",'T6'!E$4:E$68,"&lt;&gt;")+COUNTIFS('T6'!$C$4:$C$68,"TC",'T6'!E$4:E$68,"&lt;&gt;")) + (COUNTIFS('T6'!$C$4:$C$68,"C*",'T6'!F$4:F$68,"&lt;&gt;")+COUNTIFS('T6'!$C$4:$C$68,"TC",'T6'!F$4:F$68,"&lt;&gt;")))=0,"",(SUMIF('T5'!$C$4:$C$68,"TC",'T5'!AE$4:AE$68))+(SUMIF('T5'!$C$4:$C$68,"TC",'T5'!AF$4:AF$68))+(SUMIF('T5'!$C$4:$C$68,"TC",'T5'!AG$4:AG$68))+(SUMIF('T5'!$C$4:$C$68,"TC",'T5'!AH$4:AH$68))+(SUMIF('T6'!$C$4:$C$68,"TC",'T6'!D$4:D$68))+(SUMIF('T6'!$C$4:$C$68,"TC",'T6'!E$4:E$68))+(SUMIF('T6'!$C$4:$C$68,"TC",'T6'!F$4:F$68)))</f>
        <v>1</v>
      </c>
      <c r="I8" s="60">
        <f>IF(H8="","",H8/8)</f>
        <v>0.125</v>
      </c>
      <c r="J8" s="57" t="str">
        <f>IF(((COUNTIFS('T5'!$C$4:$C$68,"C*",'T5'!AE$4:AE$68,"&lt;&gt;")+COUNTIFS('T5'!$C$4:$C$68,"TC",'T5'!AE$4:AE$68,"&lt;&gt;")) + (COUNTIFS('T5'!$C$4:$C$68,"C*",'T5'!AF$4:AF$68,"&lt;&gt;")+COUNTIFS('T5'!$C$4:$C$68,"TC",'T5'!AF$4:AF$68,"&lt;&gt;")) + (COUNTIFS('T5'!$C$4:$C$68,"C*",'T5'!AG$4:AG$68,"&lt;&gt;")+COUNTIFS('T5'!$C$4:$C$68,"TC",'T5'!AG$4:AG$68,"&lt;&gt;")) + (COUNTIFS('T5'!$C$4:$C$68,"C*",'T5'!AH$4:AH$68,"&lt;&gt;")+COUNTIFS('T5'!$C$4:$C$68,"TC",'T5'!AH$4:AH$68,"&lt;&gt;")) + (COUNTIFS('T6'!$C$4:$C$68,"C*",'T6'!D$4:D$68,"&lt;&gt;")+COUNTIFS('T6'!$C$4:$C$68,"TC",'T6'!D$4:D$68,"&lt;&gt;")) + (COUNTIFS('T6'!$C$4:$C$68,"C*",'T6'!E$4:E$68,"&lt;&gt;")+COUNTIFS('T6'!$C$4:$C$68,"TC",'T6'!E$4:E$68,"&lt;&gt;")) + (COUNTIFS('T6'!$C$4:$C$68,"C*",'T6'!F$4:F$68,"&lt;&gt;")+COUNTIFS('T6'!$C$4:$C$68,"TC",'T6'!F$4:F$68,"&lt;&gt;")))=0,"Chưa nhập","Đã cập nhật")</f>
        <v>Đã cập nhật</v>
      </c>
    </row>
    <row r="9" spans="1:10" x14ac:dyDescent="0.2">
      <c r="A9" s="57" t="s">
        <v>80</v>
      </c>
      <c r="B9" s="59">
        <v>46177</v>
      </c>
      <c r="C9" s="59">
        <v>46183</v>
      </c>
      <c r="D9" s="60">
        <f>IF(((COUNTIFS('T6'!$C$4:$C$68,"C*",'T6'!G$4:G$68,"&lt;&gt;")+COUNTIFS('T6'!$C$4:$C$68,"TC",'T6'!G$4:G$68,"&lt;&gt;")) + (COUNTIFS('T6'!$C$4:$C$68,"C*",'T6'!H$4:H$68,"&lt;&gt;")+COUNTIFS('T6'!$C$4:$C$68,"TC",'T6'!H$4:H$68,"&lt;&gt;")) + (COUNTIFS('T6'!$C$4:$C$68,"C*",'T6'!I$4:I$68,"&lt;&gt;")+COUNTIFS('T6'!$C$4:$C$68,"TC",'T6'!I$4:I$68,"&lt;&gt;")) + (COUNTIFS('T6'!$C$4:$C$68,"C*",'T6'!J$4:J$68,"&lt;&gt;")+COUNTIFS('T6'!$C$4:$C$68,"TC",'T6'!J$4:J$68,"&lt;&gt;")) + (COUNTIFS('T6'!$C$4:$C$68,"C*",'T6'!K$4:K$68,"&lt;&gt;")+COUNTIFS('T6'!$C$4:$C$68,"TC",'T6'!K$4:K$68,"&lt;&gt;")) + (COUNTIFS('T6'!$C$4:$C$68,"C*",'T6'!L$4:L$68,"&lt;&gt;")+COUNTIFS('T6'!$C$4:$C$68,"TC",'T6'!L$4:L$68,"&lt;&gt;")) + (COUNTIFS('T6'!$C$4:$C$68,"C*",'T6'!M$4:M$68,"&lt;&gt;")+COUNTIFS('T6'!$C$4:$C$68,"TC",'T6'!M$4:M$68,"&lt;&gt;")))=0,"",((COUNTIFS('T6'!$C$4:$C$68,"C*",'T6'!G$4:G$68,"x*")-0.5*(COUNTIFS('T6'!$C$4:$C$68,"C*",'T6'!G$4:G$68,"x/2")))+(COUNTIFS('T6'!$C$4:$C$68,"C*",'T6'!H$4:H$68,"x*")-0.5*(COUNTIFS('T6'!$C$4:$C$68,"C*",'T6'!H$4:H$68,"x/2")))+(COUNTIFS('T6'!$C$4:$C$68,"C*",'T6'!I$4:I$68,"x*")-0.5*(COUNTIFS('T6'!$C$4:$C$68,"C*",'T6'!I$4:I$68,"x/2")))+(COUNTIFS('T6'!$C$4:$C$68,"C*",'T6'!K$4:K$68,"x*")-0.5*(COUNTIFS('T6'!$C$4:$C$68,"C*",'T6'!K$4:K$68,"x/2")))+(COUNTIFS('T6'!$C$4:$C$68,"C*",'T6'!L$4:L$68,"x*")-0.5*(COUNTIFS('T6'!$C$4:$C$68,"C*",'T6'!L$4:L$68,"x/2")))+(COUNTIFS('T6'!$C$4:$C$68,"C*",'T6'!M$4:M$68,"x*")-0.5*(COUNTIFS('T6'!$C$4:$C$68,"C*",'T6'!M$4:M$68,"x/2")))))</f>
        <v>76</v>
      </c>
      <c r="E9" s="61">
        <f>IF(((COUNTIFS('T6'!$C$4:$C$68,"C*",'T6'!G$4:G$68,"&lt;&gt;")+COUNTIFS('T6'!$C$4:$C$68,"TC",'T6'!G$4:G$68,"&lt;&gt;")) + (COUNTIFS('T6'!$C$4:$C$68,"C*",'T6'!H$4:H$68,"&lt;&gt;")+COUNTIFS('T6'!$C$4:$C$68,"TC",'T6'!H$4:H$68,"&lt;&gt;")) + (COUNTIFS('T6'!$C$4:$C$68,"C*",'T6'!I$4:I$68,"&lt;&gt;")+COUNTIFS('T6'!$C$4:$C$68,"TC",'T6'!I$4:I$68,"&lt;&gt;")) + (COUNTIFS('T6'!$C$4:$C$68,"C*",'T6'!J$4:J$68,"&lt;&gt;")+COUNTIFS('T6'!$C$4:$C$68,"TC",'T6'!J$4:J$68,"&lt;&gt;")) + (COUNTIFS('T6'!$C$4:$C$68,"C*",'T6'!K$4:K$68,"&lt;&gt;")+COUNTIFS('T6'!$C$4:$C$68,"TC",'T6'!K$4:K$68,"&lt;&gt;")) + (COUNTIFS('T6'!$C$4:$C$68,"C*",'T6'!L$4:L$68,"&lt;&gt;")+COUNTIFS('T6'!$C$4:$C$68,"TC",'T6'!L$4:L$68,"&lt;&gt;")) + (COUNTIFS('T6'!$C$4:$C$68,"C*",'T6'!M$4:M$68,"&lt;&gt;")+COUNTIFS('T6'!$C$4:$C$68,"TC",'T6'!M$4:M$68,"&lt;&gt;")))=0,"",((COUNTIFS('T6'!$C$4:$C$68,"C*",'T6'!J$4:J$68,"x*")-0.5*(COUNTIFS('T6'!$C$4:$C$68,"C*",'T6'!J$4:J$68,"x/2")))))</f>
        <v>9</v>
      </c>
      <c r="F9" s="60">
        <f>IF(AND(D9="",E9=""),"",D9+E9)</f>
        <v>85</v>
      </c>
      <c r="G9" s="60">
        <f>IF(((COUNTIFS('T6'!$C$4:$C$68,"C*",'T6'!G$4:G$68,"&lt;&gt;")+COUNTIFS('T6'!$C$4:$C$68,"TC",'T6'!G$4:G$68,"&lt;&gt;")) + (COUNTIFS('T6'!$C$4:$C$68,"C*",'T6'!H$4:H$68,"&lt;&gt;")+COUNTIFS('T6'!$C$4:$C$68,"TC",'T6'!H$4:H$68,"&lt;&gt;")) + (COUNTIFS('T6'!$C$4:$C$68,"C*",'T6'!I$4:I$68,"&lt;&gt;")+COUNTIFS('T6'!$C$4:$C$68,"TC",'T6'!I$4:I$68,"&lt;&gt;")) + (COUNTIFS('T6'!$C$4:$C$68,"C*",'T6'!J$4:J$68,"&lt;&gt;")+COUNTIFS('T6'!$C$4:$C$68,"TC",'T6'!J$4:J$68,"&lt;&gt;")) + (COUNTIFS('T6'!$C$4:$C$68,"C*",'T6'!K$4:K$68,"&lt;&gt;")+COUNTIFS('T6'!$C$4:$C$68,"TC",'T6'!K$4:K$68,"&lt;&gt;")) + (COUNTIFS('T6'!$C$4:$C$68,"C*",'T6'!L$4:L$68,"&lt;&gt;")+COUNTIFS('T6'!$C$4:$C$68,"TC",'T6'!L$4:L$68,"&lt;&gt;")) + (COUNTIFS('T6'!$C$4:$C$68,"C*",'T6'!M$4:M$68,"&lt;&gt;")+COUNTIFS('T6'!$C$4:$C$68,"TC",'T6'!M$4:M$68,"&lt;&gt;")))=0,"",(SUMIF('T6'!$C$4:$C$68,"TC",'T6'!G$4:G$68))+(SUMIF('T6'!$C$4:$C$68,"TC",'T6'!H$4:H$68))+(SUMIF('T6'!$C$4:$C$68,"TC",'T6'!I$4:I$68))+(SUMIF('T6'!$C$4:$C$68,"TC",'T6'!K$4:K$68))+(SUMIF('T6'!$C$4:$C$68,"TC",'T6'!L$4:L$68))+(SUMIF('T6'!$C$4:$C$68,"TC",'T6'!M$4:M$68)))</f>
        <v>0</v>
      </c>
      <c r="H9" s="62">
        <f>IF(((COUNTIFS('T6'!$C$4:$C$68,"C*",'T6'!G$4:G$68,"&lt;&gt;")+COUNTIFS('T6'!$C$4:$C$68,"TC",'T6'!G$4:G$68,"&lt;&gt;")) + (COUNTIFS('T6'!$C$4:$C$68,"C*",'T6'!H$4:H$68,"&lt;&gt;")+COUNTIFS('T6'!$C$4:$C$68,"TC",'T6'!H$4:H$68,"&lt;&gt;")) + (COUNTIFS('T6'!$C$4:$C$68,"C*",'T6'!I$4:I$68,"&lt;&gt;")+COUNTIFS('T6'!$C$4:$C$68,"TC",'T6'!I$4:I$68,"&lt;&gt;")) + (COUNTIFS('T6'!$C$4:$C$68,"C*",'T6'!J$4:J$68,"&lt;&gt;")+COUNTIFS('T6'!$C$4:$C$68,"TC",'T6'!J$4:J$68,"&lt;&gt;")) + (COUNTIFS('T6'!$C$4:$C$68,"C*",'T6'!K$4:K$68,"&lt;&gt;")+COUNTIFS('T6'!$C$4:$C$68,"TC",'T6'!K$4:K$68,"&lt;&gt;")) + (COUNTIFS('T6'!$C$4:$C$68,"C*",'T6'!L$4:L$68,"&lt;&gt;")+COUNTIFS('T6'!$C$4:$C$68,"TC",'T6'!L$4:L$68,"&lt;&gt;")) + (COUNTIFS('T6'!$C$4:$C$68,"C*",'T6'!M$4:M$68,"&lt;&gt;")+COUNTIFS('T6'!$C$4:$C$68,"TC",'T6'!M$4:M$68,"&lt;&gt;")))=0,"",(SUMIF('T6'!$C$4:$C$68,"TC",'T6'!G$4:G$68))+(SUMIF('T6'!$C$4:$C$68,"TC",'T6'!H$4:H$68))+(SUMIF('T6'!$C$4:$C$68,"TC",'T6'!I$4:I$68))+(SUMIF('T6'!$C$4:$C$68,"TC",'T6'!J$4:J$68))+(SUMIF('T6'!$C$4:$C$68,"TC",'T6'!K$4:K$68))+(SUMIF('T6'!$C$4:$C$68,"TC",'T6'!L$4:L$68))+(SUMIF('T6'!$C$4:$C$68,"TC",'T6'!M$4:M$68)))</f>
        <v>0</v>
      </c>
      <c r="I9" s="60">
        <f>IF(H9="","",H9/8)</f>
        <v>0</v>
      </c>
      <c r="J9" s="57" t="str">
        <f>IF(((COUNTIFS('T6'!$C$4:$C$68,"C*",'T6'!G$4:G$68,"&lt;&gt;")+COUNTIFS('T6'!$C$4:$C$68,"TC",'T6'!G$4:G$68,"&lt;&gt;")) + (COUNTIFS('T6'!$C$4:$C$68,"C*",'T6'!H$4:H$68,"&lt;&gt;")+COUNTIFS('T6'!$C$4:$C$68,"TC",'T6'!H$4:H$68,"&lt;&gt;")) + (COUNTIFS('T6'!$C$4:$C$68,"C*",'T6'!I$4:I$68,"&lt;&gt;")+COUNTIFS('T6'!$C$4:$C$68,"TC",'T6'!I$4:I$68,"&lt;&gt;")) + (COUNTIFS('T6'!$C$4:$C$68,"C*",'T6'!J$4:J$68,"&lt;&gt;")+COUNTIFS('T6'!$C$4:$C$68,"TC",'T6'!J$4:J$68,"&lt;&gt;")) + (COUNTIFS('T6'!$C$4:$C$68,"C*",'T6'!K$4:K$68,"&lt;&gt;")+COUNTIFS('T6'!$C$4:$C$68,"TC",'T6'!K$4:K$68,"&lt;&gt;")) + (COUNTIFS('T6'!$C$4:$C$68,"C*",'T6'!L$4:L$68,"&lt;&gt;")+COUNTIFS('T6'!$C$4:$C$68,"TC",'T6'!L$4:L$68,"&lt;&gt;")) + (COUNTIFS('T6'!$C$4:$C$68,"C*",'T6'!M$4:M$68,"&lt;&gt;")+COUNTIFS('T6'!$C$4:$C$68,"TC",'T6'!M$4:M$68,"&lt;&gt;")))=0,"Chưa nhập","Đã cập nhật")</f>
        <v>Đã cập nhật</v>
      </c>
    </row>
    <row r="10" spans="1:10" x14ac:dyDescent="0.2">
      <c r="A10" s="57" t="s">
        <v>81</v>
      </c>
      <c r="B10" s="59">
        <v>46184</v>
      </c>
      <c r="C10" s="59">
        <v>46190</v>
      </c>
      <c r="D10" s="60">
        <f>IF(((COUNTIFS('T6'!$C$4:$C$68,"C*",'T6'!N$4:N$68,"&lt;&gt;")+COUNTIFS('T6'!$C$4:$C$68,"TC",'T6'!N$4:N$68,"&lt;&gt;")) + (COUNTIFS('T6'!$C$4:$C$68,"C*",'T6'!O$4:O$68,"&lt;&gt;")+COUNTIFS('T6'!$C$4:$C$68,"TC",'T6'!O$4:O$68,"&lt;&gt;")) + (COUNTIFS('T6'!$C$4:$C$68,"C*",'T6'!P$4:P$68,"&lt;&gt;")+COUNTIFS('T6'!$C$4:$C$68,"TC",'T6'!P$4:P$68,"&lt;&gt;")) + (COUNTIFS('T6'!$C$4:$C$68,"C*",'T6'!Q$4:Q$68,"&lt;&gt;")+COUNTIFS('T6'!$C$4:$C$68,"TC",'T6'!Q$4:Q$68,"&lt;&gt;")) + (COUNTIFS('T6'!$C$4:$C$68,"C*",'T6'!R$4:R$68,"&lt;&gt;")+COUNTIFS('T6'!$C$4:$C$68,"TC",'T6'!R$4:R$68,"&lt;&gt;")) + (COUNTIFS('T6'!$C$4:$C$68,"C*",'T6'!S$4:S$68,"&lt;&gt;")+COUNTIFS('T6'!$C$4:$C$68,"TC",'T6'!S$4:S$68,"&lt;&gt;")) + (COUNTIFS('T6'!$C$4:$C$68,"C*",'T6'!T$4:T$68,"&lt;&gt;")+COUNTIFS('T6'!$C$4:$C$68,"TC",'T6'!T$4:T$68,"&lt;&gt;")))=0,"",((COUNTIFS('T6'!$C$4:$C$68,"C*",'T6'!N$4:N$68,"x*")-0.5*(COUNTIFS('T6'!$C$4:$C$68,"C*",'T6'!N$4:N$68,"x/2")))+(COUNTIFS('T6'!$C$4:$C$68,"C*",'T6'!O$4:O$68,"x*")-0.5*(COUNTIFS('T6'!$C$4:$C$68,"C*",'T6'!O$4:O$68,"x/2")))+(COUNTIFS('T6'!$C$4:$C$68,"C*",'T6'!P$4:P$68,"x*")-0.5*(COUNTIFS('T6'!$C$4:$C$68,"C*",'T6'!P$4:P$68,"x/2")))+(COUNTIFS('T6'!$C$4:$C$68,"C*",'T6'!R$4:R$68,"x*")-0.5*(COUNTIFS('T6'!$C$4:$C$68,"C*",'T6'!R$4:R$68,"x/2")))+(COUNTIFS('T6'!$C$4:$C$68,"C*",'T6'!S$4:S$68,"x*")-0.5*(COUNTIFS('T6'!$C$4:$C$68,"C*",'T6'!S$4:S$68,"x/2")))+(COUNTIFS('T6'!$C$4:$C$68,"C*",'T6'!T$4:T$68,"x*")-0.5*(COUNTIFS('T6'!$C$4:$C$68,"C*",'T6'!T$4:T$68,"x/2")))))</f>
        <v>61.5</v>
      </c>
      <c r="E10" s="61">
        <f>IF(((COUNTIFS('T6'!$C$4:$C$68,"C*",'T6'!N$4:N$68,"&lt;&gt;")+COUNTIFS('T6'!$C$4:$C$68,"TC",'T6'!N$4:N$68,"&lt;&gt;")) + (COUNTIFS('T6'!$C$4:$C$68,"C*",'T6'!O$4:O$68,"&lt;&gt;")+COUNTIFS('T6'!$C$4:$C$68,"TC",'T6'!O$4:O$68,"&lt;&gt;")) + (COUNTIFS('T6'!$C$4:$C$68,"C*",'T6'!P$4:P$68,"&lt;&gt;")+COUNTIFS('T6'!$C$4:$C$68,"TC",'T6'!P$4:P$68,"&lt;&gt;")) + (COUNTIFS('T6'!$C$4:$C$68,"C*",'T6'!Q$4:Q$68,"&lt;&gt;")+COUNTIFS('T6'!$C$4:$C$68,"TC",'T6'!Q$4:Q$68,"&lt;&gt;")) + (COUNTIFS('T6'!$C$4:$C$68,"C*",'T6'!R$4:R$68,"&lt;&gt;")+COUNTIFS('T6'!$C$4:$C$68,"TC",'T6'!R$4:R$68,"&lt;&gt;")) + (COUNTIFS('T6'!$C$4:$C$68,"C*",'T6'!S$4:S$68,"&lt;&gt;")+COUNTIFS('T6'!$C$4:$C$68,"TC",'T6'!S$4:S$68,"&lt;&gt;")) + (COUNTIFS('T6'!$C$4:$C$68,"C*",'T6'!T$4:T$68,"&lt;&gt;")+COUNTIFS('T6'!$C$4:$C$68,"TC",'T6'!T$4:T$68,"&lt;&gt;")))=0,"",((COUNTIFS('T6'!$C$4:$C$68,"C*",'T6'!Q$4:Q$68,"x*")-0.5*(COUNTIFS('T6'!$C$4:$C$68,"C*",'T6'!Q$4:Q$68,"x/2")))))</f>
        <v>0</v>
      </c>
      <c r="F10" s="60">
        <f>IF(AND(D10="",E10=""),"",D10+E10)</f>
        <v>61.5</v>
      </c>
      <c r="G10" s="60">
        <f>IF(((COUNTIFS('T6'!$C$4:$C$68,"C*",'T6'!N$4:N$68,"&lt;&gt;")+COUNTIFS('T6'!$C$4:$C$68,"TC",'T6'!N$4:N$68,"&lt;&gt;")) + (COUNTIFS('T6'!$C$4:$C$68,"C*",'T6'!O$4:O$68,"&lt;&gt;")+COUNTIFS('T6'!$C$4:$C$68,"TC",'T6'!O$4:O$68,"&lt;&gt;")) + (COUNTIFS('T6'!$C$4:$C$68,"C*",'T6'!P$4:P$68,"&lt;&gt;")+COUNTIFS('T6'!$C$4:$C$68,"TC",'T6'!P$4:P$68,"&lt;&gt;")) + (COUNTIFS('T6'!$C$4:$C$68,"C*",'T6'!Q$4:Q$68,"&lt;&gt;")+COUNTIFS('T6'!$C$4:$C$68,"TC",'T6'!Q$4:Q$68,"&lt;&gt;")) + (COUNTIFS('T6'!$C$4:$C$68,"C*",'T6'!R$4:R$68,"&lt;&gt;")+COUNTIFS('T6'!$C$4:$C$68,"TC",'T6'!R$4:R$68,"&lt;&gt;")) + (COUNTIFS('T6'!$C$4:$C$68,"C*",'T6'!S$4:S$68,"&lt;&gt;")+COUNTIFS('T6'!$C$4:$C$68,"TC",'T6'!S$4:S$68,"&lt;&gt;")) + (COUNTIFS('T6'!$C$4:$C$68,"C*",'T6'!T$4:T$68,"&lt;&gt;")+COUNTIFS('T6'!$C$4:$C$68,"TC",'T6'!T$4:T$68,"&lt;&gt;")))=0,"",(SUMIF('T6'!$C$4:$C$68,"TC",'T6'!N$4:N$68))+(SUMIF('T6'!$C$4:$C$68,"TC",'T6'!O$4:O$68))+(SUMIF('T6'!$C$4:$C$68,"TC",'T6'!P$4:P$68))+(SUMIF('T6'!$C$4:$C$68,"TC",'T6'!R$4:R$68))+(SUMIF('T6'!$C$4:$C$68,"TC",'T6'!S$4:S$68))+(SUMIF('T6'!$C$4:$C$68,"TC",'T6'!T$4:T$68)))</f>
        <v>8</v>
      </c>
      <c r="H10" s="62">
        <f>IF(((COUNTIFS('T6'!$C$4:$C$68,"C*",'T6'!N$4:N$68,"&lt;&gt;")+COUNTIFS('T6'!$C$4:$C$68,"TC",'T6'!N$4:N$68,"&lt;&gt;")) + (COUNTIFS('T6'!$C$4:$C$68,"C*",'T6'!O$4:O$68,"&lt;&gt;")+COUNTIFS('T6'!$C$4:$C$68,"TC",'T6'!O$4:O$68,"&lt;&gt;")) + (COUNTIFS('T6'!$C$4:$C$68,"C*",'T6'!P$4:P$68,"&lt;&gt;")+COUNTIFS('T6'!$C$4:$C$68,"TC",'T6'!P$4:P$68,"&lt;&gt;")) + (COUNTIFS('T6'!$C$4:$C$68,"C*",'T6'!Q$4:Q$68,"&lt;&gt;")+COUNTIFS('T6'!$C$4:$C$68,"TC",'T6'!Q$4:Q$68,"&lt;&gt;")) + (COUNTIFS('T6'!$C$4:$C$68,"C*",'T6'!R$4:R$68,"&lt;&gt;")+COUNTIFS('T6'!$C$4:$C$68,"TC",'T6'!R$4:R$68,"&lt;&gt;")) + (COUNTIFS('T6'!$C$4:$C$68,"C*",'T6'!S$4:S$68,"&lt;&gt;")+COUNTIFS('T6'!$C$4:$C$68,"TC",'T6'!S$4:S$68,"&lt;&gt;")) + (COUNTIFS('T6'!$C$4:$C$68,"C*",'T6'!T$4:T$68,"&lt;&gt;")+COUNTIFS('T6'!$C$4:$C$68,"TC",'T6'!T$4:T$68,"&lt;&gt;")))=0,"",(SUMIF('T6'!$C$4:$C$68,"TC",'T6'!N$4:N$68))+(SUMIF('T6'!$C$4:$C$68,"TC",'T6'!O$4:O$68))+(SUMIF('T6'!$C$4:$C$68,"TC",'T6'!P$4:P$68))+(SUMIF('T6'!$C$4:$C$68,"TC",'T6'!Q$4:Q$68))+(SUMIF('T6'!$C$4:$C$68,"TC",'T6'!R$4:R$68))+(SUMIF('T6'!$C$4:$C$68,"TC",'T6'!S$4:S$68))+(SUMIF('T6'!$C$4:$C$68,"TC",'T6'!T$4:T$68)))</f>
        <v>8</v>
      </c>
      <c r="I10" s="60">
        <f>IF(H10="","",H10/8)</f>
        <v>1</v>
      </c>
      <c r="J10" s="57" t="str">
        <f>IF(((COUNTIFS('T6'!$C$4:$C$68,"C*",'T6'!N$4:N$68,"&lt;&gt;")+COUNTIFS('T6'!$C$4:$C$68,"TC",'T6'!N$4:N$68,"&lt;&gt;")) + (COUNTIFS('T6'!$C$4:$C$68,"C*",'T6'!O$4:O$68,"&lt;&gt;")+COUNTIFS('T6'!$C$4:$C$68,"TC",'T6'!O$4:O$68,"&lt;&gt;")) + (COUNTIFS('T6'!$C$4:$C$68,"C*",'T6'!P$4:P$68,"&lt;&gt;")+COUNTIFS('T6'!$C$4:$C$68,"TC",'T6'!P$4:P$68,"&lt;&gt;")) + (COUNTIFS('T6'!$C$4:$C$68,"C*",'T6'!Q$4:Q$68,"&lt;&gt;")+COUNTIFS('T6'!$C$4:$C$68,"TC",'T6'!Q$4:Q$68,"&lt;&gt;")) + (COUNTIFS('T6'!$C$4:$C$68,"C*",'T6'!R$4:R$68,"&lt;&gt;")+COUNTIFS('T6'!$C$4:$C$68,"TC",'T6'!R$4:R$68,"&lt;&gt;")) + (COUNTIFS('T6'!$C$4:$C$68,"C*",'T6'!S$4:S$68,"&lt;&gt;")+COUNTIFS('T6'!$C$4:$C$68,"TC",'T6'!S$4:S$68,"&lt;&gt;")) + (COUNTIFS('T6'!$C$4:$C$68,"C*",'T6'!T$4:T$68,"&lt;&gt;")+COUNTIFS('T6'!$C$4:$C$68,"TC",'T6'!T$4:T$68,"&lt;&gt;")))=0,"Chưa nhập","Đã cập nhật")</f>
        <v>Đã cập nhật</v>
      </c>
    </row>
    <row r="11" spans="1:10" x14ac:dyDescent="0.2">
      <c r="A11" s="57" t="s">
        <v>82</v>
      </c>
      <c r="B11" s="59">
        <v>46191</v>
      </c>
      <c r="C11" s="59">
        <v>46197</v>
      </c>
      <c r="D11" s="60">
        <f>IF(((COUNTIFS('T6'!$C$4:$C$68,"C*",'T6'!U$4:U$68,"&lt;&gt;")+COUNTIFS('T6'!$C$4:$C$68,"TC",'T6'!U$4:U$68,"&lt;&gt;")) + (COUNTIFS('T6'!$C$4:$C$68,"C*",'T6'!V$4:V$68,"&lt;&gt;")+COUNTIFS('T6'!$C$4:$C$68,"TC",'T6'!V$4:V$68,"&lt;&gt;")) + (COUNTIFS('T6'!$C$4:$C$68,"C*",'T6'!W$4:W$68,"&lt;&gt;")+COUNTIFS('T6'!$C$4:$C$68,"TC",'T6'!W$4:W$68,"&lt;&gt;")) + (COUNTIFS('T6'!$C$4:$C$68,"C*",'T6'!X$4:X$68,"&lt;&gt;")+COUNTIFS('T6'!$C$4:$C$68,"TC",'T6'!X$4:X$68,"&lt;&gt;")) + (COUNTIFS('T6'!$C$4:$C$68,"C*",'T6'!Y$4:Y$68,"&lt;&gt;")+COUNTIFS('T6'!$C$4:$C$68,"TC",'T6'!Y$4:Y$68,"&lt;&gt;")) + (COUNTIFS('T6'!$C$4:$C$68,"C*",'T6'!Z$4:Z$68,"&lt;&gt;")+COUNTIFS('T6'!$C$4:$C$68,"TC",'T6'!Z$4:Z$68,"&lt;&gt;")) + (COUNTIFS('T6'!$C$4:$C$68,"C*",'T6'!AA$4:AA$68,"&lt;&gt;")+COUNTIFS('T6'!$C$4:$C$68,"TC",'T6'!AA$4:AA$68,"&lt;&gt;")))=0,"",((COUNTIFS('T6'!$C$4:$C$68,"C*",'T6'!U$4:U$68,"x*")-0.5*(COUNTIFS('T6'!$C$4:$C$68,"C*",'T6'!U$4:U$68,"x/2")))+(COUNTIFS('T6'!$C$4:$C$68,"C*",'T6'!V$4:V$68,"x*")-0.5*(COUNTIFS('T6'!$C$4:$C$68,"C*",'T6'!V$4:V$68,"x/2")))+(COUNTIFS('T6'!$C$4:$C$68,"C*",'T6'!W$4:W$68,"x*")-0.5*(COUNTIFS('T6'!$C$4:$C$68,"C*",'T6'!W$4:W$68,"x/2")))+(COUNTIFS('T6'!$C$4:$C$68,"C*",'T6'!Y$4:Y$68,"x*")-0.5*(COUNTIFS('T6'!$C$4:$C$68,"C*",'T6'!Y$4:Y$68,"x/2")))+(COUNTIFS('T6'!$C$4:$C$68,"C*",'T6'!Z$4:Z$68,"x*")-0.5*(COUNTIFS('T6'!$C$4:$C$68,"C*",'T6'!Z$4:Z$68,"x/2")))+(COUNTIFS('T6'!$C$4:$C$68,"C*",'T6'!AA$4:AA$68,"x*")-0.5*(COUNTIFS('T6'!$C$4:$C$68,"C*",'T6'!AA$4:AA$68,"x/2")))))</f>
        <v>75</v>
      </c>
      <c r="E11" s="61">
        <f>IF(((COUNTIFS('T6'!$C$4:$C$68,"C*",'T6'!U$4:U$68,"&lt;&gt;")+COUNTIFS('T6'!$C$4:$C$68,"TC",'T6'!U$4:U$68,"&lt;&gt;")) + (COUNTIFS('T6'!$C$4:$C$68,"C*",'T6'!V$4:V$68,"&lt;&gt;")+COUNTIFS('T6'!$C$4:$C$68,"TC",'T6'!V$4:V$68,"&lt;&gt;")) + (COUNTIFS('T6'!$C$4:$C$68,"C*",'T6'!W$4:W$68,"&lt;&gt;")+COUNTIFS('T6'!$C$4:$C$68,"TC",'T6'!W$4:W$68,"&lt;&gt;")) + (COUNTIFS('T6'!$C$4:$C$68,"C*",'T6'!X$4:X$68,"&lt;&gt;")+COUNTIFS('T6'!$C$4:$C$68,"TC",'T6'!X$4:X$68,"&lt;&gt;")) + (COUNTIFS('T6'!$C$4:$C$68,"C*",'T6'!Y$4:Y$68,"&lt;&gt;")+COUNTIFS('T6'!$C$4:$C$68,"TC",'T6'!Y$4:Y$68,"&lt;&gt;")) + (COUNTIFS('T6'!$C$4:$C$68,"C*",'T6'!Z$4:Z$68,"&lt;&gt;")+COUNTIFS('T6'!$C$4:$C$68,"TC",'T6'!Z$4:Z$68,"&lt;&gt;")) + (COUNTIFS('T6'!$C$4:$C$68,"C*",'T6'!AA$4:AA$68,"&lt;&gt;")+COUNTIFS('T6'!$C$4:$C$68,"TC",'T6'!AA$4:AA$68,"&lt;&gt;")))=0,"",((COUNTIFS('T6'!$C$4:$C$68,"C*",'T6'!X$4:X$68,"x*")-0.5*(COUNTIFS('T6'!$C$4:$C$68,"C*",'T6'!X$4:X$68,"x/2")))))</f>
        <v>8.5</v>
      </c>
      <c r="F11" s="60">
        <f>IF(AND(D11="",E11=""),"",D11+E11)</f>
        <v>83.5</v>
      </c>
      <c r="G11" s="60">
        <f>IF(((COUNTIFS('T6'!$C$4:$C$68,"C*",'T6'!U$4:U$68,"&lt;&gt;")+COUNTIFS('T6'!$C$4:$C$68,"TC",'T6'!U$4:U$68,"&lt;&gt;")) + (COUNTIFS('T6'!$C$4:$C$68,"C*",'T6'!V$4:V$68,"&lt;&gt;")+COUNTIFS('T6'!$C$4:$C$68,"TC",'T6'!V$4:V$68,"&lt;&gt;")) + (COUNTIFS('T6'!$C$4:$C$68,"C*",'T6'!W$4:W$68,"&lt;&gt;")+COUNTIFS('T6'!$C$4:$C$68,"TC",'T6'!W$4:W$68,"&lt;&gt;")) + (COUNTIFS('T6'!$C$4:$C$68,"C*",'T6'!X$4:X$68,"&lt;&gt;")+COUNTIFS('T6'!$C$4:$C$68,"TC",'T6'!X$4:X$68,"&lt;&gt;")) + (COUNTIFS('T6'!$C$4:$C$68,"C*",'T6'!Y$4:Y$68,"&lt;&gt;")+COUNTIFS('T6'!$C$4:$C$68,"TC",'T6'!Y$4:Y$68,"&lt;&gt;")) + (COUNTIFS('T6'!$C$4:$C$68,"C*",'T6'!Z$4:Z$68,"&lt;&gt;")+COUNTIFS('T6'!$C$4:$C$68,"TC",'T6'!Z$4:Z$68,"&lt;&gt;")) + (COUNTIFS('T6'!$C$4:$C$68,"C*",'T6'!AA$4:AA$68,"&lt;&gt;")+COUNTIFS('T6'!$C$4:$C$68,"TC",'T6'!AA$4:AA$68,"&lt;&gt;")))=0,"",(SUMIF('T6'!$C$4:$C$68,"TC",'T6'!U$4:U$68))+(SUMIF('T6'!$C$4:$C$68,"TC",'T6'!V$4:V$68))+(SUMIF('T6'!$C$4:$C$68,"TC",'T6'!W$4:W$68))+(SUMIF('T6'!$C$4:$C$68,"TC",'T6'!Y$4:Y$68))+(SUMIF('T6'!$C$4:$C$68,"TC",'T6'!Z$4:Z$68))+(SUMIF('T6'!$C$4:$C$68,"TC",'T6'!AA$4:AA$68)))</f>
        <v>134.25</v>
      </c>
      <c r="H11" s="62">
        <f>IF(((COUNTIFS('T6'!$C$4:$C$68,"C*",'T6'!U$4:U$68,"&lt;&gt;")+COUNTIFS('T6'!$C$4:$C$68,"TC",'T6'!U$4:U$68,"&lt;&gt;")) + (COUNTIFS('T6'!$C$4:$C$68,"C*",'T6'!V$4:V$68,"&lt;&gt;")+COUNTIFS('T6'!$C$4:$C$68,"TC",'T6'!V$4:V$68,"&lt;&gt;")) + (COUNTIFS('T6'!$C$4:$C$68,"C*",'T6'!W$4:W$68,"&lt;&gt;")+COUNTIFS('T6'!$C$4:$C$68,"TC",'T6'!W$4:W$68,"&lt;&gt;")) + (COUNTIFS('T6'!$C$4:$C$68,"C*",'T6'!X$4:X$68,"&lt;&gt;")+COUNTIFS('T6'!$C$4:$C$68,"TC",'T6'!X$4:X$68,"&lt;&gt;")) + (COUNTIFS('T6'!$C$4:$C$68,"C*",'T6'!Y$4:Y$68,"&lt;&gt;")+COUNTIFS('T6'!$C$4:$C$68,"TC",'T6'!Y$4:Y$68,"&lt;&gt;")) + (COUNTIFS('T6'!$C$4:$C$68,"C*",'T6'!Z$4:Z$68,"&lt;&gt;")+COUNTIFS('T6'!$C$4:$C$68,"TC",'T6'!Z$4:Z$68,"&lt;&gt;")) + (COUNTIFS('T6'!$C$4:$C$68,"C*",'T6'!AA$4:AA$68,"&lt;&gt;")+COUNTIFS('T6'!$C$4:$C$68,"TC",'T6'!AA$4:AA$68,"&lt;&gt;")))=0,"",(SUMIF('T6'!$C$4:$C$68,"TC",'T6'!U$4:U$68))+(SUMIF('T6'!$C$4:$C$68,"TC",'T6'!V$4:V$68))+(SUMIF('T6'!$C$4:$C$68,"TC",'T6'!W$4:W$68))+(SUMIF('T6'!$C$4:$C$68,"TC",'T6'!X$4:X$68))+(SUMIF('T6'!$C$4:$C$68,"TC",'T6'!Y$4:Y$68))+(SUMIF('T6'!$C$4:$C$68,"TC",'T6'!Z$4:Z$68))+(SUMIF('T6'!$C$4:$C$68,"TC",'T6'!AA$4:AA$68)))</f>
        <v>134.25</v>
      </c>
      <c r="I11" s="60">
        <f>IF(H11="","",H11/8)</f>
        <v>16.78125</v>
      </c>
      <c r="J11" s="57" t="str">
        <f>IF(((COUNTIFS('T6'!$C$4:$C$68,"C*",'T6'!U$4:U$68,"&lt;&gt;")+COUNTIFS('T6'!$C$4:$C$68,"TC",'T6'!U$4:U$68,"&lt;&gt;")) + (COUNTIFS('T6'!$C$4:$C$68,"C*",'T6'!V$4:V$68,"&lt;&gt;")+COUNTIFS('T6'!$C$4:$C$68,"TC",'T6'!V$4:V$68,"&lt;&gt;")) + (COUNTIFS('T6'!$C$4:$C$68,"C*",'T6'!W$4:W$68,"&lt;&gt;")+COUNTIFS('T6'!$C$4:$C$68,"TC",'T6'!W$4:W$68,"&lt;&gt;")) + (COUNTIFS('T6'!$C$4:$C$68,"C*",'T6'!X$4:X$68,"&lt;&gt;")+COUNTIFS('T6'!$C$4:$C$68,"TC",'T6'!X$4:X$68,"&lt;&gt;")) + (COUNTIFS('T6'!$C$4:$C$68,"C*",'T6'!Y$4:Y$68,"&lt;&gt;")+COUNTIFS('T6'!$C$4:$C$68,"TC",'T6'!Y$4:Y$68,"&lt;&gt;")) + (COUNTIFS('T6'!$C$4:$C$68,"C*",'T6'!Z$4:Z$68,"&lt;&gt;")+COUNTIFS('T6'!$C$4:$C$68,"TC",'T6'!Z$4:Z$68,"&lt;&gt;")) + (COUNTIFS('T6'!$C$4:$C$68,"C*",'T6'!AA$4:AA$68,"&lt;&gt;")+COUNTIFS('T6'!$C$4:$C$68,"TC",'T6'!AA$4:AA$68,"&lt;&gt;")))=0,"Chưa nhập","Đã cập nhật")</f>
        <v>Đã cập nhật</v>
      </c>
    </row>
    <row r="12" spans="1:10" x14ac:dyDescent="0.2">
      <c r="A12" s="130" t="s">
        <v>83</v>
      </c>
      <c r="B12" s="131"/>
      <c r="C12" s="132"/>
      <c r="D12" s="60">
        <f t="shared" ref="D12:I12" si="0">IF(COUNT(D8:D11)=0,"",SUM(D8:D11))</f>
        <v>289</v>
      </c>
      <c r="E12" s="61">
        <f t="shared" si="0"/>
        <v>26.5</v>
      </c>
      <c r="F12" s="60">
        <f t="shared" si="0"/>
        <v>315.5</v>
      </c>
      <c r="G12" s="60">
        <f t="shared" si="0"/>
        <v>143.25</v>
      </c>
      <c r="H12" s="62">
        <f t="shared" si="0"/>
        <v>143.25</v>
      </c>
      <c r="I12" s="60">
        <f t="shared" si="0"/>
        <v>17.90625</v>
      </c>
      <c r="J12" s="57"/>
    </row>
    <row r="13" spans="1:10" ht="15" customHeight="1" x14ac:dyDescent="0.2">
      <c r="A13" s="133"/>
      <c r="B13" s="134"/>
      <c r="C13" s="135"/>
      <c r="D13" s="63">
        <f t="shared" ref="D13:I13" si="1">IF(COUNT(D8:D12)=0,"",SUM(D8:D12))</f>
        <v>578</v>
      </c>
      <c r="E13" s="63">
        <f t="shared" si="1"/>
        <v>53</v>
      </c>
      <c r="F13" s="63">
        <f t="shared" si="1"/>
        <v>631</v>
      </c>
      <c r="G13" s="63">
        <f t="shared" si="1"/>
        <v>286.5</v>
      </c>
      <c r="H13" s="63">
        <f t="shared" si="1"/>
        <v>286.5</v>
      </c>
      <c r="I13" s="63">
        <f t="shared" si="1"/>
        <v>35.8125</v>
      </c>
      <c r="J13" s="58"/>
    </row>
    <row r="15" spans="1:10" x14ac:dyDescent="0.2">
      <c r="A15" s="127" t="s">
        <v>84</v>
      </c>
      <c r="B15" s="125"/>
      <c r="C15" s="125"/>
      <c r="D15" s="125"/>
      <c r="E15" s="125"/>
      <c r="F15" s="125"/>
      <c r="G15" s="125"/>
      <c r="H15" s="125"/>
      <c r="I15" s="125"/>
      <c r="J15" s="125"/>
    </row>
  </sheetData>
  <mergeCells count="15">
    <mergeCell ref="A1:J1"/>
    <mergeCell ref="I4:J4"/>
    <mergeCell ref="A15:J15"/>
    <mergeCell ref="I5:J5"/>
    <mergeCell ref="A2:J2"/>
    <mergeCell ref="A12:C12"/>
    <mergeCell ref="C4:D4"/>
    <mergeCell ref="A13:C13"/>
    <mergeCell ref="C5:D5"/>
    <mergeCell ref="A5:B5"/>
    <mergeCell ref="G5:H5"/>
    <mergeCell ref="E5:F5"/>
    <mergeCell ref="A4:B4"/>
    <mergeCell ref="G4:H4"/>
    <mergeCell ref="E4:F4"/>
  </mergeCells>
  <conditionalFormatting sqref="F8:F12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2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2">
    <cfRule type="expression" dxfId="13" priority="1">
      <formula>$J8="Chưa nhập"</formula>
    </cfRule>
    <cfRule type="expression" dxfId="12" priority="2">
      <formula>$J8="Đã cập nhật"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6"/>
  <sheetViews>
    <sheetView workbookViewId="0">
      <selection sqref="A1:J1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91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>
        <f>F13</f>
        <v>412</v>
      </c>
      <c r="B5" s="125"/>
      <c r="C5" s="136">
        <f>E13</f>
        <v>41</v>
      </c>
      <c r="D5" s="125"/>
      <c r="E5" s="136">
        <f>IF(((COUNTIFS('T7'!$C$4:$C$68,"C*",'T7'!D$4:D$68,"&lt;&gt;")+COUNTIFS('T7'!$C$4:$C$68,"TC",'T7'!D$4:D$68,"&lt;&gt;"))+(COUNTIFS('T7'!$C$4:$C$68,"C*",'T7'!E$4:E$68,"&lt;&gt;")+COUNTIFS('T7'!$C$4:$C$68,"TC",'T7'!E$4:E$68,"&lt;&gt;"))+(COUNTIFS('T7'!$C$4:$C$68,"C*",'T7'!F$4:F$68,"&lt;&gt;")+COUNTIFS('T7'!$C$4:$C$68,"TC",'T7'!F$4:F$68,"&lt;&gt;"))+(COUNTIFS('T7'!$C$4:$C$68,"C*",'T7'!G$4:G$68,"&lt;&gt;")+COUNTIFS('T7'!$C$4:$C$68,"TC",'T7'!G$4:G$68,"&lt;&gt;"))+(COUNTIFS('T7'!$C$4:$C$68,"C*",'T7'!H$4:H$68,"&lt;&gt;")+COUNTIFS('T7'!$C$4:$C$68,"TC",'T7'!H$4:H$68,"&lt;&gt;"))+(COUNTIFS('T7'!$C$4:$C$68,"C*",'T7'!I$4:I$68,"&lt;&gt;")+COUNTIFS('T7'!$C$4:$C$68,"TC",'T7'!I$4:I$68,"&lt;&gt;"))+(COUNTIFS('T7'!$C$4:$C$68,"C*",'T7'!J$4:J$68,"&lt;&gt;")+COUNTIFS('T7'!$C$4:$C$68,"TC",'T7'!J$4:J$68,"&lt;&gt;"))+(COUNTIFS('T7'!$C$4:$C$68,"C*",'T7'!K$4:K$68,"&lt;&gt;")+COUNTIFS('T7'!$C$4:$C$68,"TC",'T7'!K$4:K$68,"&lt;&gt;"))+(COUNTIFS('T7'!$C$4:$C$68,"C*",'T7'!L$4:L$68,"&lt;&gt;")+COUNTIFS('T7'!$C$4:$C$68,"TC",'T7'!L$4:L$68,"&lt;&gt;"))+(COUNTIFS('T7'!$C$4:$C$68,"C*",'T7'!M$4:M$68,"&lt;&gt;")+COUNTIFS('T7'!$C$4:$C$68,"TC",'T7'!M$4:M$68,"&lt;&gt;"))+(COUNTIFS('T7'!$C$4:$C$68,"C*",'T7'!N$4:N$68,"&lt;&gt;")+COUNTIFS('T7'!$C$4:$C$68,"TC",'T7'!N$4:N$68,"&lt;&gt;"))+(COUNTIFS('T7'!$C$4:$C$68,"C*",'T7'!O$4:O$68,"&lt;&gt;")+COUNTIFS('T7'!$C$4:$C$68,"TC",'T7'!O$4:O$68,"&lt;&gt;"))+(COUNTIFS('T7'!$C$4:$C$68,"C*",'T7'!P$4:P$68,"&lt;&gt;")+COUNTIFS('T7'!$C$4:$C$68,"TC",'T7'!P$4:P$68,"&lt;&gt;"))+(COUNTIFS('T7'!$C$4:$C$68,"C*",'T7'!Q$4:Q$68,"&lt;&gt;")+COUNTIFS('T7'!$C$4:$C$68,"TC",'T7'!Q$4:Q$68,"&lt;&gt;"))+(COUNTIFS('T7'!$C$4:$C$68,"C*",'T7'!R$4:R$68,"&lt;&gt;")+COUNTIFS('T7'!$C$4:$C$68,"TC",'T7'!R$4:R$68,"&lt;&gt;"))+(COUNTIFS('T7'!$C$4:$C$68,"C*",'T7'!S$4:S$68,"&lt;&gt;")+COUNTIFS('T7'!$C$4:$C$68,"TC",'T7'!S$4:S$68,"&lt;&gt;"))+(COUNTIFS('T7'!$C$4:$C$68,"C*",'T7'!T$4:T$68,"&lt;&gt;")+COUNTIFS('T7'!$C$4:$C$68,"TC",'T7'!T$4:T$68,"&lt;&gt;"))+(COUNTIFS('T7'!$C$4:$C$68,"C*",'T7'!U$4:U$68,"&lt;&gt;")+COUNTIFS('T7'!$C$4:$C$68,"TC",'T7'!U$4:U$68,"&lt;&gt;"))+(COUNTIFS('T7'!$C$4:$C$68,"C*",'T7'!V$4:V$68,"&lt;&gt;")+COUNTIFS('T7'!$C$4:$C$68,"TC",'T7'!V$4:V$68,"&lt;&gt;"))+(COUNTIFS('T7'!$C$4:$C$68,"C*",'T7'!W$4:W$68,"&lt;&gt;")+COUNTIFS('T7'!$C$4:$C$68,"TC",'T7'!W$4:W$68,"&lt;&gt;"))+(COUNTIFS('T7'!$C$4:$C$68,"C*",'T7'!X$4:X$68,"&lt;&gt;")+COUNTIFS('T7'!$C$4:$C$68,"TC",'T7'!X$4:X$68,"&lt;&gt;"))+(COUNTIFS('T7'!$C$4:$C$68,"C*",'T7'!Y$4:Y$68,"&lt;&gt;")+COUNTIFS('T7'!$C$4:$C$68,"TC",'T7'!Y$4:Y$68,"&lt;&gt;"))+(COUNTIFS('T7'!$C$4:$C$68,"C*",'T7'!Z$4:Z$68,"&lt;&gt;")+COUNTIFS('T7'!$C$4:$C$68,"TC",'T7'!Z$4:Z$68,"&lt;&gt;"))+(COUNTIFS('T7'!$C$4:$C$68,"C*",'T7'!AA$4:AA$68,"&lt;&gt;")+COUNTIFS('T7'!$C$4:$C$68,"TC",'T7'!AA$4:AA$68,"&lt;&gt;"))+(COUNTIFS('T7'!$C$4:$C$68,"C*",'T7'!AB$4:AB$68,"&lt;&gt;")+COUNTIFS('T7'!$C$4:$C$68,"TC",'T7'!AB$4:AB$68,"&lt;&gt;"))+(COUNTIFS('T7'!$C$4:$C$68,"C*",'T7'!AC$4:AC$68,"&lt;&gt;")+COUNTIFS('T7'!$C$4:$C$68,"TC",'T7'!AC$4:AC$68,"&lt;&gt;"))+(COUNTIFS('T7'!$C$4:$C$68,"C*",'T7'!AD$4:AD$68,"&lt;&gt;")+COUNTIFS('T7'!$C$4:$C$68,"TC",'T7'!AD$4:AD$68,"&lt;&gt;"))+(COUNTIFS('T7'!$C$4:$C$68,"C*",'T7'!AE$4:AE$68,"&lt;&gt;")+COUNTIFS('T7'!$C$4:$C$68,"TC",'T7'!AE$4:AE$68,"&lt;&gt;"))+(COUNTIFS('T7'!$C$4:$C$68,"C*",'T7'!AF$4:AF$68,"&lt;&gt;")+COUNTIFS('T7'!$C$4:$C$68,"TC",'T7'!AF$4:AF$68,"&lt;&gt;"))+(COUNTIFS('T7'!$C$4:$C$68,"C*",'T7'!AG$4:AG$68,"&lt;&gt;")+COUNTIFS('T7'!$C$4:$C$68,"TC",'T7'!AG$4:AG$68,"&lt;&gt;"))+(COUNTIFS('T7'!$C$4:$C$68,"C*",'T7'!AH$4:AH$68,"&lt;&gt;")+COUNTIFS('T7'!$C$4:$C$68,"TC",'T7'!AH$4:AH$68,"&lt;&gt;")))=0,"",((SUMIF('T7'!$C$4:$C$68,"TC",'T7'!D$4:D$68))+(SUMIF('T7'!$C$4:$C$68,"TC",'T7'!E$4:E$68))+(SUMIF('T7'!$C$4:$C$68,"TC",'T7'!F$4:F$68))+(SUMIF('T7'!$C$4:$C$68,"TC",'T7'!G$4:G$68))+(SUMIF('T7'!$C$4:$C$68,"TC",'T7'!H$4:H$68))+(SUMIF('T7'!$C$4:$C$68,"TC",'T7'!I$4:I$68))+(SUMIF('T7'!$C$4:$C$68,"TC",'T7'!J$4:J$68))+(SUMIF('T7'!$C$4:$C$68,"TC",'T7'!K$4:K$68))+(SUMIF('T7'!$C$4:$C$68,"TC",'T7'!L$4:L$68))+(SUMIF('T7'!$C$4:$C$68,"TC",'T7'!M$4:M$68))+(SUMIF('T7'!$C$4:$C$68,"TC",'T7'!N$4:N$68))+(SUMIF('T7'!$C$4:$C$68,"TC",'T7'!O$4:O$68))+(SUMIF('T7'!$C$4:$C$68,"TC",'T7'!P$4:P$68))+(SUMIF('T7'!$C$4:$C$68,"TC",'T7'!Q$4:Q$68))+(SUMIF('T7'!$C$4:$C$68,"TC",'T7'!R$4:R$68))+(SUMIF('T7'!$C$4:$C$68,"TC",'T7'!S$4:S$68))+(SUMIF('T7'!$C$4:$C$68,"TC",'T7'!T$4:T$68))+(SUMIF('T7'!$C$4:$C$68,"TC",'T7'!U$4:U$68))+(SUMIF('T7'!$C$4:$C$68,"TC",'T7'!V$4:V$68))+(SUMIF('T7'!$C$4:$C$68,"TC",'T7'!W$4:W$68))+(SUMIF('T7'!$C$4:$C$68,"TC",'T7'!X$4:X$68))+(SUMIF('T7'!$C$4:$C$68,"TC",'T7'!Y$4:Y$68))+(SUMIF('T7'!$C$4:$C$68,"TC",'T7'!Z$4:Z$68))+(SUMIF('T7'!$C$4:$C$68,"TC",'T7'!AA$4:AA$68))+(SUMIF('T7'!$C$4:$C$68,"TC",'T7'!AB$4:AB$68))+(SUMIF('T7'!$C$4:$C$68,"TC",'T7'!AC$4:AC$68))+(SUMIF('T7'!$C$4:$C$68,"TC",'T7'!AD$4:AD$68))+(SUMIF('T7'!$C$4:$C$68,"TC",'T7'!AE$4:AE$68))+(SUMIF('T7'!$C$4:$C$68,"TC",'T7'!AF$4:AF$68))+(SUMIF('T7'!$C$4:$C$68,"TC",'T7'!AG$4:AG$68))+(SUMIF('T7'!$C$4:$C$68,"TC",'T7'!AH$4:AH$68))))</f>
        <v>378.75</v>
      </c>
      <c r="F5" s="125"/>
      <c r="G5" s="137">
        <f>(COUNTIFS('T7'!$C$4:$C$68,"C*",'T7'!D$4:D$68,"&lt;&gt;")+COUNTIFS('T7'!$C$4:$C$68,"TC",'T7'!D$4:D$68,"&lt;&gt;")&gt;0) + (COUNTIFS('T7'!$C$4:$C$68,"C*",'T7'!E$4:E$68,"&lt;&gt;")+COUNTIFS('T7'!$C$4:$C$68,"TC",'T7'!E$4:E$68,"&lt;&gt;")&gt;0) + (COUNTIFS('T7'!$C$4:$C$68,"C*",'T7'!F$4:F$68,"&lt;&gt;")+COUNTIFS('T7'!$C$4:$C$68,"TC",'T7'!F$4:F$68,"&lt;&gt;")&gt;0) + (COUNTIFS('T7'!$C$4:$C$68,"C*",'T7'!G$4:G$68,"&lt;&gt;")+COUNTIFS('T7'!$C$4:$C$68,"TC",'T7'!G$4:G$68,"&lt;&gt;")&gt;0) + (COUNTIFS('T7'!$C$4:$C$68,"C*",'T7'!H$4:H$68,"&lt;&gt;")+COUNTIFS('T7'!$C$4:$C$68,"TC",'T7'!H$4:H$68,"&lt;&gt;")&gt;0) + (COUNTIFS('T7'!$C$4:$C$68,"C*",'T7'!I$4:I$68,"&lt;&gt;")+COUNTIFS('T7'!$C$4:$C$68,"TC",'T7'!I$4:I$68,"&lt;&gt;")&gt;0) + (COUNTIFS('T7'!$C$4:$C$68,"C*",'T7'!J$4:J$68,"&lt;&gt;")+COUNTIFS('T7'!$C$4:$C$68,"TC",'T7'!J$4:J$68,"&lt;&gt;")&gt;0) + (COUNTIFS('T7'!$C$4:$C$68,"C*",'T7'!K$4:K$68,"&lt;&gt;")+COUNTIFS('T7'!$C$4:$C$68,"TC",'T7'!K$4:K$68,"&lt;&gt;")&gt;0) + (COUNTIFS('T7'!$C$4:$C$68,"C*",'T7'!L$4:L$68,"&lt;&gt;")+COUNTIFS('T7'!$C$4:$C$68,"TC",'T7'!L$4:L$68,"&lt;&gt;")&gt;0) + (COUNTIFS('T7'!$C$4:$C$68,"C*",'T7'!M$4:M$68,"&lt;&gt;")+COUNTIFS('T7'!$C$4:$C$68,"TC",'T7'!M$4:M$68,"&lt;&gt;")&gt;0) + (COUNTIFS('T7'!$C$4:$C$68,"C*",'T7'!N$4:N$68,"&lt;&gt;")+COUNTIFS('T7'!$C$4:$C$68,"TC",'T7'!N$4:N$68,"&lt;&gt;")&gt;0) + (COUNTIFS('T7'!$C$4:$C$68,"C*",'T7'!O$4:O$68,"&lt;&gt;")+COUNTIFS('T7'!$C$4:$C$68,"TC",'T7'!O$4:O$68,"&lt;&gt;")&gt;0) + (COUNTIFS('T7'!$C$4:$C$68,"C*",'T7'!P$4:P$68,"&lt;&gt;")+COUNTIFS('T7'!$C$4:$C$68,"TC",'T7'!P$4:P$68,"&lt;&gt;")&gt;0) + (COUNTIFS('T7'!$C$4:$C$68,"C*",'T7'!Q$4:Q$68,"&lt;&gt;")+COUNTIFS('T7'!$C$4:$C$68,"TC",'T7'!Q$4:Q$68,"&lt;&gt;")&gt;0) + (COUNTIFS('T7'!$C$4:$C$68,"C*",'T7'!R$4:R$68,"&lt;&gt;")+COUNTIFS('T7'!$C$4:$C$68,"TC",'T7'!R$4:R$68,"&lt;&gt;")&gt;0) + (COUNTIFS('T7'!$C$4:$C$68,"C*",'T7'!S$4:S$68,"&lt;&gt;")+COUNTIFS('T7'!$C$4:$C$68,"TC",'T7'!S$4:S$68,"&lt;&gt;")&gt;0) + (COUNTIFS('T7'!$C$4:$C$68,"C*",'T7'!T$4:T$68,"&lt;&gt;")+COUNTIFS('T7'!$C$4:$C$68,"TC",'T7'!T$4:T$68,"&lt;&gt;")&gt;0) + (COUNTIFS('T7'!$C$4:$C$68,"C*",'T7'!U$4:U$68,"&lt;&gt;")+COUNTIFS('T7'!$C$4:$C$68,"TC",'T7'!U$4:U$68,"&lt;&gt;")&gt;0) + (COUNTIFS('T7'!$C$4:$C$68,"C*",'T7'!V$4:V$68,"&lt;&gt;")+COUNTIFS('T7'!$C$4:$C$68,"TC",'T7'!V$4:V$68,"&lt;&gt;")&gt;0) + (COUNTIFS('T7'!$C$4:$C$68,"C*",'T7'!W$4:W$68,"&lt;&gt;")+COUNTIFS('T7'!$C$4:$C$68,"TC",'T7'!W$4:W$68,"&lt;&gt;")&gt;0) + (COUNTIFS('T7'!$C$4:$C$68,"C*",'T7'!X$4:X$68,"&lt;&gt;")+COUNTIFS('T7'!$C$4:$C$68,"TC",'T7'!X$4:X$68,"&lt;&gt;")&gt;0) + (COUNTIFS('T7'!$C$4:$C$68,"C*",'T7'!Y$4:Y$68,"&lt;&gt;")+COUNTIFS('T7'!$C$4:$C$68,"TC",'T7'!Y$4:Y$68,"&lt;&gt;")&gt;0) + (COUNTIFS('T7'!$C$4:$C$68,"C*",'T7'!Z$4:Z$68,"&lt;&gt;")+COUNTIFS('T7'!$C$4:$C$68,"TC",'T7'!Z$4:Z$68,"&lt;&gt;")&gt;0) + (COUNTIFS('T7'!$C$4:$C$68,"C*",'T7'!AA$4:AA$68,"&lt;&gt;")+COUNTIFS('T7'!$C$4:$C$68,"TC",'T7'!AA$4:AA$68,"&lt;&gt;")&gt;0) + (COUNTIFS('T7'!$C$4:$C$68,"C*",'T7'!AB$4:AB$68,"&lt;&gt;")+COUNTIFS('T7'!$C$4:$C$68,"TC",'T7'!AB$4:AB$68,"&lt;&gt;")&gt;0) + (COUNTIFS('T7'!$C$4:$C$68,"C*",'T7'!AC$4:AC$68,"&lt;&gt;")+COUNTIFS('T7'!$C$4:$C$68,"TC",'T7'!AC$4:AC$68,"&lt;&gt;")&gt;0) + (COUNTIFS('T7'!$C$4:$C$68,"C*",'T7'!AD$4:AD$68,"&lt;&gt;")+COUNTIFS('T7'!$C$4:$C$68,"TC",'T7'!AD$4:AD$68,"&lt;&gt;")&gt;0) + (COUNTIFS('T7'!$C$4:$C$68,"C*",'T7'!AE$4:AE$68,"&lt;&gt;")+COUNTIFS('T7'!$C$4:$C$68,"TC",'T7'!AE$4:AE$68,"&lt;&gt;")&gt;0) + (COUNTIFS('T7'!$C$4:$C$68,"C*",'T7'!AF$4:AF$68,"&lt;&gt;")+COUNTIFS('T7'!$C$4:$C$68,"TC",'T7'!AF$4:AF$68,"&lt;&gt;")&gt;0) + (COUNTIFS('T7'!$C$4:$C$68,"C*",'T7'!AG$4:AG$68,"&lt;&gt;")+COUNTIFS('T7'!$C$4:$C$68,"TC",'T7'!AG$4:AG$68,"&lt;&gt;")&gt;0) + (COUNTIFS('T7'!$C$4:$C$68,"C*",'T7'!AH$4:AH$68,"&lt;&gt;")+COUNTIFS('T7'!$C$4:$C$68,"TC",'T7'!AH$4:AH$68,"&lt;&gt;")&gt;0)</f>
        <v>31</v>
      </c>
      <c r="H5" s="125"/>
      <c r="I5" s="128">
        <f ca="1">NOW()</f>
        <v>46253.615729745368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46198</v>
      </c>
      <c r="C8" s="59">
        <v>46204</v>
      </c>
      <c r="D8" s="60">
        <f>IF(((COUNTIFS('T6'!$C$4:$C$68,"C*",'T6'!AB$4:AB$68,"&lt;&gt;")+COUNTIFS('T6'!$C$4:$C$68,"TC",'T6'!AB$4:AB$68,"&lt;&gt;")) + (COUNTIFS('T6'!$C$4:$C$68,"C*",'T6'!AC$4:AC$68,"&lt;&gt;")+COUNTIFS('T6'!$C$4:$C$68,"TC",'T6'!AC$4:AC$68,"&lt;&gt;")) + (COUNTIFS('T6'!$C$4:$C$68,"C*",'T6'!AD$4:AD$68,"&lt;&gt;")+COUNTIFS('T6'!$C$4:$C$68,"TC",'T6'!AD$4:AD$68,"&lt;&gt;")) + (COUNTIFS('T6'!$C$4:$C$68,"C*",'T6'!AE$4:AE$68,"&lt;&gt;")+COUNTIFS('T6'!$C$4:$C$68,"TC",'T6'!AE$4:AE$68,"&lt;&gt;")) + (COUNTIFS('T6'!$C$4:$C$68,"C*",'T6'!AF$4:AF$68,"&lt;&gt;")+COUNTIFS('T6'!$C$4:$C$68,"TC",'T6'!AF$4:AF$68,"&lt;&gt;")) + (COUNTIFS('T6'!$C$4:$C$68,"C*",'T6'!AG$4:AG$68,"&lt;&gt;")+COUNTIFS('T6'!$C$4:$C$68,"TC",'T6'!AG$4:AG$68,"&lt;&gt;")) + (COUNTIFS('T7'!$C$4:$C$68,"C*",'T7'!D$4:D$68,"&lt;&gt;")+COUNTIFS('T7'!$C$4:$C$68,"TC",'T7'!D$4:D$68,"&lt;&gt;")))=0,"",((COUNTIFS('T6'!$C$4:$C$68,"C*",'T6'!AB$4:AB$68,"x*")-0.5*(COUNTIFS('T6'!$C$4:$C$68,"C*",'T6'!AB$4:AB$68,"x/2")))+(COUNTIFS('T6'!$C$4:$C$68,"C*",'T6'!AC$4:AC$68,"x*")-0.5*(COUNTIFS('T6'!$C$4:$C$68,"C*",'T6'!AC$4:AC$68,"x/2")))+(COUNTIFS('T6'!$C$4:$C$68,"C*",'T6'!AD$4:AD$68,"x*")-0.5*(COUNTIFS('T6'!$C$4:$C$68,"C*",'T6'!AD$4:AD$68,"x/2")))+(COUNTIFS('T6'!$C$4:$C$68,"C*",'T6'!AF$4:AF$68,"x*")-0.5*(COUNTIFS('T6'!$C$4:$C$68,"C*",'T6'!AF$4:AF$68,"x/2")))+(COUNTIFS('T6'!$C$4:$C$68,"C*",'T6'!AG$4:AG$68,"x*")-0.5*(COUNTIFS('T6'!$C$4:$C$68,"C*",'T6'!AG$4:AG$68,"x/2")))+(COUNTIFS('T7'!$C$4:$C$68,"C*",'T7'!D$4:D$68,"x*")-0.5*(COUNTIFS('T7'!$C$4:$C$68,"C*",'T7'!D$4:D$68,"x/2")))))</f>
        <v>76</v>
      </c>
      <c r="E8" s="61">
        <f>IF(((COUNTIFS('T6'!$C$4:$C$68,"C*",'T6'!AB$4:AB$68,"&lt;&gt;")+COUNTIFS('T6'!$C$4:$C$68,"TC",'T6'!AB$4:AB$68,"&lt;&gt;")) + (COUNTIFS('T6'!$C$4:$C$68,"C*",'T6'!AC$4:AC$68,"&lt;&gt;")+COUNTIFS('T6'!$C$4:$C$68,"TC",'T6'!AC$4:AC$68,"&lt;&gt;")) + (COUNTIFS('T6'!$C$4:$C$68,"C*",'T6'!AD$4:AD$68,"&lt;&gt;")+COUNTIFS('T6'!$C$4:$C$68,"TC",'T6'!AD$4:AD$68,"&lt;&gt;")) + (COUNTIFS('T6'!$C$4:$C$68,"C*",'T6'!AE$4:AE$68,"&lt;&gt;")+COUNTIFS('T6'!$C$4:$C$68,"TC",'T6'!AE$4:AE$68,"&lt;&gt;")) + (COUNTIFS('T6'!$C$4:$C$68,"C*",'T6'!AF$4:AF$68,"&lt;&gt;")+COUNTIFS('T6'!$C$4:$C$68,"TC",'T6'!AF$4:AF$68,"&lt;&gt;")) + (COUNTIFS('T6'!$C$4:$C$68,"C*",'T6'!AG$4:AG$68,"&lt;&gt;")+COUNTIFS('T6'!$C$4:$C$68,"TC",'T6'!AG$4:AG$68,"&lt;&gt;")) + (COUNTIFS('T7'!$C$4:$C$68,"C*",'T7'!D$4:D$68,"&lt;&gt;")+COUNTIFS('T7'!$C$4:$C$68,"TC",'T7'!D$4:D$68,"&lt;&gt;")))=0,"",((COUNTIFS('T6'!$C$4:$C$68,"C*",'T6'!AE$4:AE$68,"x*")-0.5*(COUNTIFS('T6'!$C$4:$C$68,"C*",'T6'!AE$4:AE$68,"x/2")))))</f>
        <v>5</v>
      </c>
      <c r="F8" s="60">
        <f t="shared" ref="F8:F13" si="0">IF(AND(D8="",E8=""),"",D8+E8)</f>
        <v>81</v>
      </c>
      <c r="G8" s="60">
        <f>IF(((COUNTIFS('T6'!$C$4:$C$68,"C*",'T6'!AB$4:AB$68,"&lt;&gt;")+COUNTIFS('T6'!$C$4:$C$68,"TC",'T6'!AB$4:AB$68,"&lt;&gt;")) + (COUNTIFS('T6'!$C$4:$C$68,"C*",'T6'!AC$4:AC$68,"&lt;&gt;")+COUNTIFS('T6'!$C$4:$C$68,"TC",'T6'!AC$4:AC$68,"&lt;&gt;")) + (COUNTIFS('T6'!$C$4:$C$68,"C*",'T6'!AD$4:AD$68,"&lt;&gt;")+COUNTIFS('T6'!$C$4:$C$68,"TC",'T6'!AD$4:AD$68,"&lt;&gt;")) + (COUNTIFS('T6'!$C$4:$C$68,"C*",'T6'!AE$4:AE$68,"&lt;&gt;")+COUNTIFS('T6'!$C$4:$C$68,"TC",'T6'!AE$4:AE$68,"&lt;&gt;")) + (COUNTIFS('T6'!$C$4:$C$68,"C*",'T6'!AF$4:AF$68,"&lt;&gt;")+COUNTIFS('T6'!$C$4:$C$68,"TC",'T6'!AF$4:AF$68,"&lt;&gt;")) + (COUNTIFS('T6'!$C$4:$C$68,"C*",'T6'!AG$4:AG$68,"&lt;&gt;")+COUNTIFS('T6'!$C$4:$C$68,"TC",'T6'!AG$4:AG$68,"&lt;&gt;")) + (COUNTIFS('T7'!$C$4:$C$68,"C*",'T7'!D$4:D$68,"&lt;&gt;")+COUNTIFS('T7'!$C$4:$C$68,"TC",'T7'!D$4:D$68,"&lt;&gt;")))=0,"",(SUMIF('T6'!$C$4:$C$68,"TC",'T6'!AB$4:AB$68))+(SUMIF('T6'!$C$4:$C$68,"TC",'T6'!AC$4:AC$68))+(SUMIF('T6'!$C$4:$C$68,"TC",'T6'!AD$4:AD$68))+(SUMIF('T6'!$C$4:$C$68,"TC",'T6'!AF$4:AF$68))+(SUMIF('T6'!$C$4:$C$68,"TC",'T6'!AG$4:AG$68))+(SUMIF('T7'!$C$4:$C$68,"TC",'T7'!D$4:D$68)))</f>
        <v>191</v>
      </c>
      <c r="H8" s="62">
        <f>IF(((COUNTIFS('T6'!$C$4:$C$68,"C*",'T6'!AB$4:AB$68,"&lt;&gt;")+COUNTIFS('T6'!$C$4:$C$68,"TC",'T6'!AB$4:AB$68,"&lt;&gt;")) + (COUNTIFS('T6'!$C$4:$C$68,"C*",'T6'!AC$4:AC$68,"&lt;&gt;")+COUNTIFS('T6'!$C$4:$C$68,"TC",'T6'!AC$4:AC$68,"&lt;&gt;")) + (COUNTIFS('T6'!$C$4:$C$68,"C*",'T6'!AD$4:AD$68,"&lt;&gt;")+COUNTIFS('T6'!$C$4:$C$68,"TC",'T6'!AD$4:AD$68,"&lt;&gt;")) + (COUNTIFS('T6'!$C$4:$C$68,"C*",'T6'!AE$4:AE$68,"&lt;&gt;")+COUNTIFS('T6'!$C$4:$C$68,"TC",'T6'!AE$4:AE$68,"&lt;&gt;")) + (COUNTIFS('T6'!$C$4:$C$68,"C*",'T6'!AF$4:AF$68,"&lt;&gt;")+COUNTIFS('T6'!$C$4:$C$68,"TC",'T6'!AF$4:AF$68,"&lt;&gt;")) + (COUNTIFS('T6'!$C$4:$C$68,"C*",'T6'!AG$4:AG$68,"&lt;&gt;")+COUNTIFS('T6'!$C$4:$C$68,"TC",'T6'!AG$4:AG$68,"&lt;&gt;")) + (COUNTIFS('T7'!$C$4:$C$68,"C*",'T7'!D$4:D$68,"&lt;&gt;")+COUNTIFS('T7'!$C$4:$C$68,"TC",'T7'!D$4:D$68,"&lt;&gt;")))=0,"",(SUMIF('T6'!$C$4:$C$68,"TC",'T6'!AB$4:AB$68))+(SUMIF('T6'!$C$4:$C$68,"TC",'T6'!AC$4:AC$68))+(SUMIF('T6'!$C$4:$C$68,"TC",'T6'!AD$4:AD$68))+(SUMIF('T6'!$C$4:$C$68,"TC",'T6'!AE$4:AE$68))+(SUMIF('T6'!$C$4:$C$68,"TC",'T6'!AF$4:AF$68))+(SUMIF('T6'!$C$4:$C$68,"TC",'T6'!AG$4:AG$68))+(SUMIF('T7'!$C$4:$C$68,"TC",'T7'!D$4:D$68)))</f>
        <v>191</v>
      </c>
      <c r="I8" s="60">
        <f t="shared" ref="I8:I13" si="1">IF(H8="","",H8/8)</f>
        <v>23.875</v>
      </c>
      <c r="J8" s="57" t="str">
        <f>IF(((COUNTIFS('T6'!$C$4:$C$68,"C*",'T6'!AB$4:AB$68,"&lt;&gt;")+COUNTIFS('T6'!$C$4:$C$68,"TC",'T6'!AB$4:AB$68,"&lt;&gt;")) + (COUNTIFS('T6'!$C$4:$C$68,"C*",'T6'!AC$4:AC$68,"&lt;&gt;")+COUNTIFS('T6'!$C$4:$C$68,"TC",'T6'!AC$4:AC$68,"&lt;&gt;")) + (COUNTIFS('T6'!$C$4:$C$68,"C*",'T6'!AD$4:AD$68,"&lt;&gt;")+COUNTIFS('T6'!$C$4:$C$68,"TC",'T6'!AD$4:AD$68,"&lt;&gt;")) + (COUNTIFS('T6'!$C$4:$C$68,"C*",'T6'!AE$4:AE$68,"&lt;&gt;")+COUNTIFS('T6'!$C$4:$C$68,"TC",'T6'!AE$4:AE$68,"&lt;&gt;")) + (COUNTIFS('T6'!$C$4:$C$68,"C*",'T6'!AF$4:AF$68,"&lt;&gt;")+COUNTIFS('T6'!$C$4:$C$68,"TC",'T6'!AF$4:AF$68,"&lt;&gt;")) + (COUNTIFS('T6'!$C$4:$C$68,"C*",'T6'!AG$4:AG$68,"&lt;&gt;")+COUNTIFS('T6'!$C$4:$C$68,"TC",'T6'!AG$4:AG$68,"&lt;&gt;")) + (COUNTIFS('T7'!$C$4:$C$68,"C*",'T7'!D$4:D$68,"&lt;&gt;")+COUNTIFS('T7'!$C$4:$C$68,"TC",'T7'!D$4:D$68,"&lt;&gt;")))=0,"Chưa nhập","Đã cập nhật")</f>
        <v>Đã cập nhật</v>
      </c>
    </row>
    <row r="9" spans="1:10" x14ac:dyDescent="0.2">
      <c r="A9" s="57" t="s">
        <v>80</v>
      </c>
      <c r="B9" s="59">
        <v>46205</v>
      </c>
      <c r="C9" s="59">
        <v>46211</v>
      </c>
      <c r="D9" s="60">
        <f>IF(((COUNTIFS('T7'!$C$4:$C$68,"C*",'T7'!E$4:E$68,"&lt;&gt;")+COUNTIFS('T7'!$C$4:$C$68,"TC",'T7'!E$4:E$68,"&lt;&gt;")) + (COUNTIFS('T7'!$C$4:$C$68,"C*",'T7'!F$4:F$68,"&lt;&gt;")+COUNTIFS('T7'!$C$4:$C$68,"TC",'T7'!F$4:F$68,"&lt;&gt;")) + (COUNTIFS('T7'!$C$4:$C$68,"C*",'T7'!G$4:G$68,"&lt;&gt;")+COUNTIFS('T7'!$C$4:$C$68,"TC",'T7'!G$4:G$68,"&lt;&gt;")) + (COUNTIFS('T7'!$C$4:$C$68,"C*",'T7'!H$4:H$68,"&lt;&gt;")+COUNTIFS('T7'!$C$4:$C$68,"TC",'T7'!H$4:H$68,"&lt;&gt;")) + (COUNTIFS('T7'!$C$4:$C$68,"C*",'T7'!I$4:I$68,"&lt;&gt;")+COUNTIFS('T7'!$C$4:$C$68,"TC",'T7'!I$4:I$68,"&lt;&gt;")) + (COUNTIFS('T7'!$C$4:$C$68,"C*",'T7'!J$4:J$68,"&lt;&gt;")+COUNTIFS('T7'!$C$4:$C$68,"TC",'T7'!J$4:J$68,"&lt;&gt;")) + (COUNTIFS('T7'!$C$4:$C$68,"C*",'T7'!K$4:K$68,"&lt;&gt;")+COUNTIFS('T7'!$C$4:$C$68,"TC",'T7'!K$4:K$68,"&lt;&gt;")))=0,"",((COUNTIFS('T7'!$C$4:$C$68,"C*",'T7'!E$4:E$68,"x*")-0.5*(COUNTIFS('T7'!$C$4:$C$68,"C*",'T7'!E$4:E$68,"x/2")))+(COUNTIFS('T7'!$C$4:$C$68,"C*",'T7'!F$4:F$68,"x*")-0.5*(COUNTIFS('T7'!$C$4:$C$68,"C*",'T7'!F$4:F$68,"x/2")))+(COUNTIFS('T7'!$C$4:$C$68,"C*",'T7'!G$4:G$68,"x*")-0.5*(COUNTIFS('T7'!$C$4:$C$68,"C*",'T7'!G$4:G$68,"x/2")))+(COUNTIFS('T7'!$C$4:$C$68,"C*",'T7'!I$4:I$68,"x*")-0.5*(COUNTIFS('T7'!$C$4:$C$68,"C*",'T7'!I$4:I$68,"x/2")))+(COUNTIFS('T7'!$C$4:$C$68,"C*",'T7'!J$4:J$68,"x*")-0.5*(COUNTIFS('T7'!$C$4:$C$68,"C*",'T7'!J$4:J$68,"x/2")))+(COUNTIFS('T7'!$C$4:$C$68,"C*",'T7'!K$4:K$68,"x*")-0.5*(COUNTIFS('T7'!$C$4:$C$68,"C*",'T7'!K$4:K$68,"x/2")))))</f>
        <v>68.5</v>
      </c>
      <c r="E9" s="61">
        <f>IF(((COUNTIFS('T7'!$C$4:$C$68,"C*",'T7'!E$4:E$68,"&lt;&gt;")+COUNTIFS('T7'!$C$4:$C$68,"TC",'T7'!E$4:E$68,"&lt;&gt;")) + (COUNTIFS('T7'!$C$4:$C$68,"C*",'T7'!F$4:F$68,"&lt;&gt;")+COUNTIFS('T7'!$C$4:$C$68,"TC",'T7'!F$4:F$68,"&lt;&gt;")) + (COUNTIFS('T7'!$C$4:$C$68,"C*",'T7'!G$4:G$68,"&lt;&gt;")+COUNTIFS('T7'!$C$4:$C$68,"TC",'T7'!G$4:G$68,"&lt;&gt;")) + (COUNTIFS('T7'!$C$4:$C$68,"C*",'T7'!H$4:H$68,"&lt;&gt;")+COUNTIFS('T7'!$C$4:$C$68,"TC",'T7'!H$4:H$68,"&lt;&gt;")) + (COUNTIFS('T7'!$C$4:$C$68,"C*",'T7'!I$4:I$68,"&lt;&gt;")+COUNTIFS('T7'!$C$4:$C$68,"TC",'T7'!I$4:I$68,"&lt;&gt;")) + (COUNTIFS('T7'!$C$4:$C$68,"C*",'T7'!J$4:J$68,"&lt;&gt;")+COUNTIFS('T7'!$C$4:$C$68,"TC",'T7'!J$4:J$68,"&lt;&gt;")) + (COUNTIFS('T7'!$C$4:$C$68,"C*",'T7'!K$4:K$68,"&lt;&gt;")+COUNTIFS('T7'!$C$4:$C$68,"TC",'T7'!K$4:K$68,"&lt;&gt;")))=0,"",((COUNTIFS('T7'!$C$4:$C$68,"C*",'T7'!H$4:H$68,"x*")-0.5*(COUNTIFS('T7'!$C$4:$C$68,"C*",'T7'!H$4:H$68,"x/2")))))</f>
        <v>10</v>
      </c>
      <c r="F9" s="60">
        <f t="shared" si="0"/>
        <v>78.5</v>
      </c>
      <c r="G9" s="60">
        <f>IF(((COUNTIFS('T7'!$C$4:$C$68,"C*",'T7'!E$4:E$68,"&lt;&gt;")+COUNTIFS('T7'!$C$4:$C$68,"TC",'T7'!E$4:E$68,"&lt;&gt;")) + (COUNTIFS('T7'!$C$4:$C$68,"C*",'T7'!F$4:F$68,"&lt;&gt;")+COUNTIFS('T7'!$C$4:$C$68,"TC",'T7'!F$4:F$68,"&lt;&gt;")) + (COUNTIFS('T7'!$C$4:$C$68,"C*",'T7'!G$4:G$68,"&lt;&gt;")+COUNTIFS('T7'!$C$4:$C$68,"TC",'T7'!G$4:G$68,"&lt;&gt;")) + (COUNTIFS('T7'!$C$4:$C$68,"C*",'T7'!H$4:H$68,"&lt;&gt;")+COUNTIFS('T7'!$C$4:$C$68,"TC",'T7'!H$4:H$68,"&lt;&gt;")) + (COUNTIFS('T7'!$C$4:$C$68,"C*",'T7'!I$4:I$68,"&lt;&gt;")+COUNTIFS('T7'!$C$4:$C$68,"TC",'T7'!I$4:I$68,"&lt;&gt;")) + (COUNTIFS('T7'!$C$4:$C$68,"C*",'T7'!J$4:J$68,"&lt;&gt;")+COUNTIFS('T7'!$C$4:$C$68,"TC",'T7'!J$4:J$68,"&lt;&gt;")) + (COUNTIFS('T7'!$C$4:$C$68,"C*",'T7'!K$4:K$68,"&lt;&gt;")+COUNTIFS('T7'!$C$4:$C$68,"TC",'T7'!K$4:K$68,"&lt;&gt;")))=0,"",(SUMIF('T7'!$C$4:$C$68,"TC",'T7'!E$4:E$68))+(SUMIF('T7'!$C$4:$C$68,"TC",'T7'!F$4:F$68))+(SUMIF('T7'!$C$4:$C$68,"TC",'T7'!G$4:G$68))+(SUMIF('T7'!$C$4:$C$68,"TC",'T7'!I$4:I$68))+(SUMIF('T7'!$C$4:$C$68,"TC",'T7'!J$4:J$68))+(SUMIF('T7'!$C$4:$C$68,"TC",'T7'!K$4:K$68)))</f>
        <v>57</v>
      </c>
      <c r="H9" s="62">
        <f>IF(((COUNTIFS('T7'!$C$4:$C$68,"C*",'T7'!E$4:E$68,"&lt;&gt;")+COUNTIFS('T7'!$C$4:$C$68,"TC",'T7'!E$4:E$68,"&lt;&gt;")) + (COUNTIFS('T7'!$C$4:$C$68,"C*",'T7'!F$4:F$68,"&lt;&gt;")+COUNTIFS('T7'!$C$4:$C$68,"TC",'T7'!F$4:F$68,"&lt;&gt;")) + (COUNTIFS('T7'!$C$4:$C$68,"C*",'T7'!G$4:G$68,"&lt;&gt;")+COUNTIFS('T7'!$C$4:$C$68,"TC",'T7'!G$4:G$68,"&lt;&gt;")) + (COUNTIFS('T7'!$C$4:$C$68,"C*",'T7'!H$4:H$68,"&lt;&gt;")+COUNTIFS('T7'!$C$4:$C$68,"TC",'T7'!H$4:H$68,"&lt;&gt;")) + (COUNTIFS('T7'!$C$4:$C$68,"C*",'T7'!I$4:I$68,"&lt;&gt;")+COUNTIFS('T7'!$C$4:$C$68,"TC",'T7'!I$4:I$68,"&lt;&gt;")) + (COUNTIFS('T7'!$C$4:$C$68,"C*",'T7'!J$4:J$68,"&lt;&gt;")+COUNTIFS('T7'!$C$4:$C$68,"TC",'T7'!J$4:J$68,"&lt;&gt;")) + (COUNTIFS('T7'!$C$4:$C$68,"C*",'T7'!K$4:K$68,"&lt;&gt;")+COUNTIFS('T7'!$C$4:$C$68,"TC",'T7'!K$4:K$68,"&lt;&gt;")))=0,"",(SUMIF('T7'!$C$4:$C$68,"TC",'T7'!E$4:E$68))+(SUMIF('T7'!$C$4:$C$68,"TC",'T7'!F$4:F$68))+(SUMIF('T7'!$C$4:$C$68,"TC",'T7'!G$4:G$68))+(SUMIF('T7'!$C$4:$C$68,"TC",'T7'!H$4:H$68))+(SUMIF('T7'!$C$4:$C$68,"TC",'T7'!I$4:I$68))+(SUMIF('T7'!$C$4:$C$68,"TC",'T7'!J$4:J$68))+(SUMIF('T7'!$C$4:$C$68,"TC",'T7'!K$4:K$68)))</f>
        <v>57</v>
      </c>
      <c r="I9" s="60">
        <f t="shared" si="1"/>
        <v>7.125</v>
      </c>
      <c r="J9" s="57" t="str">
        <f>IF(((COUNTIFS('T7'!$C$4:$C$68,"C*",'T7'!E$4:E$68,"&lt;&gt;")+COUNTIFS('T7'!$C$4:$C$68,"TC",'T7'!E$4:E$68,"&lt;&gt;")) + (COUNTIFS('T7'!$C$4:$C$68,"C*",'T7'!F$4:F$68,"&lt;&gt;")+COUNTIFS('T7'!$C$4:$C$68,"TC",'T7'!F$4:F$68,"&lt;&gt;")) + (COUNTIFS('T7'!$C$4:$C$68,"C*",'T7'!G$4:G$68,"&lt;&gt;")+COUNTIFS('T7'!$C$4:$C$68,"TC",'T7'!G$4:G$68,"&lt;&gt;")) + (COUNTIFS('T7'!$C$4:$C$68,"C*",'T7'!H$4:H$68,"&lt;&gt;")+COUNTIFS('T7'!$C$4:$C$68,"TC",'T7'!H$4:H$68,"&lt;&gt;")) + (COUNTIFS('T7'!$C$4:$C$68,"C*",'T7'!I$4:I$68,"&lt;&gt;")+COUNTIFS('T7'!$C$4:$C$68,"TC",'T7'!I$4:I$68,"&lt;&gt;")) + (COUNTIFS('T7'!$C$4:$C$68,"C*",'T7'!J$4:J$68,"&lt;&gt;")+COUNTIFS('T7'!$C$4:$C$68,"TC",'T7'!J$4:J$68,"&lt;&gt;")) + (COUNTIFS('T7'!$C$4:$C$68,"C*",'T7'!K$4:K$68,"&lt;&gt;")+COUNTIFS('T7'!$C$4:$C$68,"TC",'T7'!K$4:K$68,"&lt;&gt;")))=0,"Chưa nhập","Đã cập nhật")</f>
        <v>Đã cập nhật</v>
      </c>
    </row>
    <row r="10" spans="1:10" x14ac:dyDescent="0.2">
      <c r="A10" s="57" t="s">
        <v>81</v>
      </c>
      <c r="B10" s="59">
        <v>46212</v>
      </c>
      <c r="C10" s="59">
        <v>46218</v>
      </c>
      <c r="D10" s="60">
        <f>IF(((COUNTIFS('T7'!$C$4:$C$68,"C*",'T7'!L$4:L$68,"&lt;&gt;")+COUNTIFS('T7'!$C$4:$C$68,"TC",'T7'!L$4:L$68,"&lt;&gt;")) + (COUNTIFS('T7'!$C$4:$C$68,"C*",'T7'!M$4:M$68,"&lt;&gt;")+COUNTIFS('T7'!$C$4:$C$68,"TC",'T7'!M$4:M$68,"&lt;&gt;")) + (COUNTIFS('T7'!$C$4:$C$68,"C*",'T7'!N$4:N$68,"&lt;&gt;")+COUNTIFS('T7'!$C$4:$C$68,"TC",'T7'!N$4:N$68,"&lt;&gt;")) + (COUNTIFS('T7'!$C$4:$C$68,"C*",'T7'!O$4:O$68,"&lt;&gt;")+COUNTIFS('T7'!$C$4:$C$68,"TC",'T7'!O$4:O$68,"&lt;&gt;")) + (COUNTIFS('T7'!$C$4:$C$68,"C*",'T7'!P$4:P$68,"&lt;&gt;")+COUNTIFS('T7'!$C$4:$C$68,"TC",'T7'!P$4:P$68,"&lt;&gt;")) + (COUNTIFS('T7'!$C$4:$C$68,"C*",'T7'!Q$4:Q$68,"&lt;&gt;")+COUNTIFS('T7'!$C$4:$C$68,"TC",'T7'!Q$4:Q$68,"&lt;&gt;")) + (COUNTIFS('T7'!$C$4:$C$68,"C*",'T7'!R$4:R$68,"&lt;&gt;")+COUNTIFS('T7'!$C$4:$C$68,"TC",'T7'!R$4:R$68,"&lt;&gt;")))=0,"",((COUNTIFS('T7'!$C$4:$C$68,"C*",'T7'!L$4:L$68,"x*")-0.5*(COUNTIFS('T7'!$C$4:$C$68,"C*",'T7'!L$4:L$68,"x/2")))+(COUNTIFS('T7'!$C$4:$C$68,"C*",'T7'!M$4:M$68,"x*")-0.5*(COUNTIFS('T7'!$C$4:$C$68,"C*",'T7'!M$4:M$68,"x/2")))+(COUNTIFS('T7'!$C$4:$C$68,"C*",'T7'!N$4:N$68,"x*")-0.5*(COUNTIFS('T7'!$C$4:$C$68,"C*",'T7'!N$4:N$68,"x/2")))+(COUNTIFS('T7'!$C$4:$C$68,"C*",'T7'!P$4:P$68,"x*")-0.5*(COUNTIFS('T7'!$C$4:$C$68,"C*",'T7'!P$4:P$68,"x/2")))+(COUNTIFS('T7'!$C$4:$C$68,"C*",'T7'!Q$4:Q$68,"x*")-0.5*(COUNTIFS('T7'!$C$4:$C$68,"C*",'T7'!Q$4:Q$68,"x/2")))+(COUNTIFS('T7'!$C$4:$C$68,"C*",'T7'!R$4:R$68,"x*")-0.5*(COUNTIFS('T7'!$C$4:$C$68,"C*",'T7'!R$4:R$68,"x/2")))))</f>
        <v>74.5</v>
      </c>
      <c r="E10" s="61">
        <f>IF(((COUNTIFS('T7'!$C$4:$C$68,"C*",'T7'!L$4:L$68,"&lt;&gt;")+COUNTIFS('T7'!$C$4:$C$68,"TC",'T7'!L$4:L$68,"&lt;&gt;")) + (COUNTIFS('T7'!$C$4:$C$68,"C*",'T7'!M$4:M$68,"&lt;&gt;")+COUNTIFS('T7'!$C$4:$C$68,"TC",'T7'!M$4:M$68,"&lt;&gt;")) + (COUNTIFS('T7'!$C$4:$C$68,"C*",'T7'!N$4:N$68,"&lt;&gt;")+COUNTIFS('T7'!$C$4:$C$68,"TC",'T7'!N$4:N$68,"&lt;&gt;")) + (COUNTIFS('T7'!$C$4:$C$68,"C*",'T7'!O$4:O$68,"&lt;&gt;")+COUNTIFS('T7'!$C$4:$C$68,"TC",'T7'!O$4:O$68,"&lt;&gt;")) + (COUNTIFS('T7'!$C$4:$C$68,"C*",'T7'!P$4:P$68,"&lt;&gt;")+COUNTIFS('T7'!$C$4:$C$68,"TC",'T7'!P$4:P$68,"&lt;&gt;")) + (COUNTIFS('T7'!$C$4:$C$68,"C*",'T7'!Q$4:Q$68,"&lt;&gt;")+COUNTIFS('T7'!$C$4:$C$68,"TC",'T7'!Q$4:Q$68,"&lt;&gt;")) + (COUNTIFS('T7'!$C$4:$C$68,"C*",'T7'!R$4:R$68,"&lt;&gt;")+COUNTIFS('T7'!$C$4:$C$68,"TC",'T7'!R$4:R$68,"&lt;&gt;")))=0,"",((COUNTIFS('T7'!$C$4:$C$68,"C*",'T7'!O$4:O$68,"x*")-0.5*(COUNTIFS('T7'!$C$4:$C$68,"C*",'T7'!O$4:O$68,"x/2")))))</f>
        <v>10</v>
      </c>
      <c r="F10" s="60">
        <f t="shared" si="0"/>
        <v>84.5</v>
      </c>
      <c r="G10" s="60">
        <f>IF(((COUNTIFS('T7'!$C$4:$C$68,"C*",'T7'!L$4:L$68,"&lt;&gt;")+COUNTIFS('T7'!$C$4:$C$68,"TC",'T7'!L$4:L$68,"&lt;&gt;")) + (COUNTIFS('T7'!$C$4:$C$68,"C*",'T7'!M$4:M$68,"&lt;&gt;")+COUNTIFS('T7'!$C$4:$C$68,"TC",'T7'!M$4:M$68,"&lt;&gt;")) + (COUNTIFS('T7'!$C$4:$C$68,"C*",'T7'!N$4:N$68,"&lt;&gt;")+COUNTIFS('T7'!$C$4:$C$68,"TC",'T7'!N$4:N$68,"&lt;&gt;")) + (COUNTIFS('T7'!$C$4:$C$68,"C*",'T7'!O$4:O$68,"&lt;&gt;")+COUNTIFS('T7'!$C$4:$C$68,"TC",'T7'!O$4:O$68,"&lt;&gt;")) + (COUNTIFS('T7'!$C$4:$C$68,"C*",'T7'!P$4:P$68,"&lt;&gt;")+COUNTIFS('T7'!$C$4:$C$68,"TC",'T7'!P$4:P$68,"&lt;&gt;")) + (COUNTIFS('T7'!$C$4:$C$68,"C*",'T7'!Q$4:Q$68,"&lt;&gt;")+COUNTIFS('T7'!$C$4:$C$68,"TC",'T7'!Q$4:Q$68,"&lt;&gt;")) + (COUNTIFS('T7'!$C$4:$C$68,"C*",'T7'!R$4:R$68,"&lt;&gt;")+COUNTIFS('T7'!$C$4:$C$68,"TC",'T7'!R$4:R$68,"&lt;&gt;")))=0,"",(SUMIF('T7'!$C$4:$C$68,"TC",'T7'!L$4:L$68))+(SUMIF('T7'!$C$4:$C$68,"TC",'T7'!M$4:M$68))+(SUMIF('T7'!$C$4:$C$68,"TC",'T7'!N$4:N$68))+(SUMIF('T7'!$C$4:$C$68,"TC",'T7'!P$4:P$68))+(SUMIF('T7'!$C$4:$C$68,"TC",'T7'!Q$4:Q$68))+(SUMIF('T7'!$C$4:$C$68,"TC",'T7'!R$4:R$68)))</f>
        <v>96.75</v>
      </c>
      <c r="H10" s="62">
        <f>IF(((COUNTIFS('T7'!$C$4:$C$68,"C*",'T7'!L$4:L$68,"&lt;&gt;")+COUNTIFS('T7'!$C$4:$C$68,"TC",'T7'!L$4:L$68,"&lt;&gt;")) + (COUNTIFS('T7'!$C$4:$C$68,"C*",'T7'!M$4:M$68,"&lt;&gt;")+COUNTIFS('T7'!$C$4:$C$68,"TC",'T7'!M$4:M$68,"&lt;&gt;")) + (COUNTIFS('T7'!$C$4:$C$68,"C*",'T7'!N$4:N$68,"&lt;&gt;")+COUNTIFS('T7'!$C$4:$C$68,"TC",'T7'!N$4:N$68,"&lt;&gt;")) + (COUNTIFS('T7'!$C$4:$C$68,"C*",'T7'!O$4:O$68,"&lt;&gt;")+COUNTIFS('T7'!$C$4:$C$68,"TC",'T7'!O$4:O$68,"&lt;&gt;")) + (COUNTIFS('T7'!$C$4:$C$68,"C*",'T7'!P$4:P$68,"&lt;&gt;")+COUNTIFS('T7'!$C$4:$C$68,"TC",'T7'!P$4:P$68,"&lt;&gt;")) + (COUNTIFS('T7'!$C$4:$C$68,"C*",'T7'!Q$4:Q$68,"&lt;&gt;")+COUNTIFS('T7'!$C$4:$C$68,"TC",'T7'!Q$4:Q$68,"&lt;&gt;")) + (COUNTIFS('T7'!$C$4:$C$68,"C*",'T7'!R$4:R$68,"&lt;&gt;")+COUNTIFS('T7'!$C$4:$C$68,"TC",'T7'!R$4:R$68,"&lt;&gt;")))=0,"",(SUMIF('T7'!$C$4:$C$68,"TC",'T7'!L$4:L$68))+(SUMIF('T7'!$C$4:$C$68,"TC",'T7'!M$4:M$68))+(SUMIF('T7'!$C$4:$C$68,"TC",'T7'!N$4:N$68))+(SUMIF('T7'!$C$4:$C$68,"TC",'T7'!O$4:O$68))+(SUMIF('T7'!$C$4:$C$68,"TC",'T7'!P$4:P$68))+(SUMIF('T7'!$C$4:$C$68,"TC",'T7'!Q$4:Q$68))+(SUMIF('T7'!$C$4:$C$68,"TC",'T7'!R$4:R$68)))</f>
        <v>96.75</v>
      </c>
      <c r="I10" s="60">
        <f t="shared" si="1"/>
        <v>12.09375</v>
      </c>
      <c r="J10" s="57" t="str">
        <f>IF(((COUNTIFS('T7'!$C$4:$C$68,"C*",'T7'!L$4:L$68,"&lt;&gt;")+COUNTIFS('T7'!$C$4:$C$68,"TC",'T7'!L$4:L$68,"&lt;&gt;")) + (COUNTIFS('T7'!$C$4:$C$68,"C*",'T7'!M$4:M$68,"&lt;&gt;")+COUNTIFS('T7'!$C$4:$C$68,"TC",'T7'!M$4:M$68,"&lt;&gt;")) + (COUNTIFS('T7'!$C$4:$C$68,"C*",'T7'!N$4:N$68,"&lt;&gt;")+COUNTIFS('T7'!$C$4:$C$68,"TC",'T7'!N$4:N$68,"&lt;&gt;")) + (COUNTIFS('T7'!$C$4:$C$68,"C*",'T7'!O$4:O$68,"&lt;&gt;")+COUNTIFS('T7'!$C$4:$C$68,"TC",'T7'!O$4:O$68,"&lt;&gt;")) + (COUNTIFS('T7'!$C$4:$C$68,"C*",'T7'!P$4:P$68,"&lt;&gt;")+COUNTIFS('T7'!$C$4:$C$68,"TC",'T7'!P$4:P$68,"&lt;&gt;")) + (COUNTIFS('T7'!$C$4:$C$68,"C*",'T7'!Q$4:Q$68,"&lt;&gt;")+COUNTIFS('T7'!$C$4:$C$68,"TC",'T7'!Q$4:Q$68,"&lt;&gt;")) + (COUNTIFS('T7'!$C$4:$C$68,"C*",'T7'!R$4:R$68,"&lt;&gt;")+COUNTIFS('T7'!$C$4:$C$68,"TC",'T7'!R$4:R$68,"&lt;&gt;")))=0,"Chưa nhập","Đã cập nhật")</f>
        <v>Đã cập nhật</v>
      </c>
    </row>
    <row r="11" spans="1:10" x14ac:dyDescent="0.2">
      <c r="A11" s="57" t="s">
        <v>82</v>
      </c>
      <c r="B11" s="59">
        <v>46219</v>
      </c>
      <c r="C11" s="59">
        <v>46225</v>
      </c>
      <c r="D11" s="60">
        <f>IF(((COUNTIFS('T7'!$C$4:$C$68,"C*",'T7'!S$4:S$68,"&lt;&gt;")+COUNTIFS('T7'!$C$4:$C$68,"TC",'T7'!S$4:S$68,"&lt;&gt;")) + (COUNTIFS('T7'!$C$4:$C$68,"C*",'T7'!T$4:T$68,"&lt;&gt;")+COUNTIFS('T7'!$C$4:$C$68,"TC",'T7'!T$4:T$68,"&lt;&gt;")) + (COUNTIFS('T7'!$C$4:$C$68,"C*",'T7'!U$4:U$68,"&lt;&gt;")+COUNTIFS('T7'!$C$4:$C$68,"TC",'T7'!U$4:U$68,"&lt;&gt;")) + (COUNTIFS('T7'!$C$4:$C$68,"C*",'T7'!V$4:V$68,"&lt;&gt;")+COUNTIFS('T7'!$C$4:$C$68,"TC",'T7'!V$4:V$68,"&lt;&gt;")) + (COUNTIFS('T7'!$C$4:$C$68,"C*",'T7'!W$4:W$68,"&lt;&gt;")+COUNTIFS('T7'!$C$4:$C$68,"TC",'T7'!W$4:W$68,"&lt;&gt;")) + (COUNTIFS('T7'!$C$4:$C$68,"C*",'T7'!X$4:X$68,"&lt;&gt;")+COUNTIFS('T7'!$C$4:$C$68,"TC",'T7'!X$4:X$68,"&lt;&gt;")) + (COUNTIFS('T7'!$C$4:$C$68,"C*",'T7'!Y$4:Y$68,"&lt;&gt;")+COUNTIFS('T7'!$C$4:$C$68,"TC",'T7'!Y$4:Y$68,"&lt;&gt;")))=0,"",((COUNTIFS('T7'!$C$4:$C$68,"C*",'T7'!S$4:S$68,"x*")-0.5*(COUNTIFS('T7'!$C$4:$C$68,"C*",'T7'!S$4:S$68,"x/2")))+(COUNTIFS('T7'!$C$4:$C$68,"C*",'T7'!T$4:T$68,"x*")-0.5*(COUNTIFS('T7'!$C$4:$C$68,"C*",'T7'!T$4:T$68,"x/2")))+(COUNTIFS('T7'!$C$4:$C$68,"C*",'T7'!U$4:U$68,"x*")-0.5*(COUNTIFS('T7'!$C$4:$C$68,"C*",'T7'!U$4:U$68,"x/2")))+(COUNTIFS('T7'!$C$4:$C$68,"C*",'T7'!W$4:W$68,"x*")-0.5*(COUNTIFS('T7'!$C$4:$C$68,"C*",'T7'!W$4:W$68,"x/2")))+(COUNTIFS('T7'!$C$4:$C$68,"C*",'T7'!X$4:X$68,"x*")-0.5*(COUNTIFS('T7'!$C$4:$C$68,"C*",'T7'!X$4:X$68,"x/2")))+(COUNTIFS('T7'!$C$4:$C$68,"C*",'T7'!Y$4:Y$68,"x*")-0.5*(COUNTIFS('T7'!$C$4:$C$68,"C*",'T7'!Y$4:Y$68,"x/2")))))</f>
        <v>74</v>
      </c>
      <c r="E11" s="61">
        <f>IF(((COUNTIFS('T7'!$C$4:$C$68,"C*",'T7'!S$4:S$68,"&lt;&gt;")+COUNTIFS('T7'!$C$4:$C$68,"TC",'T7'!S$4:S$68,"&lt;&gt;")) + (COUNTIFS('T7'!$C$4:$C$68,"C*",'T7'!T$4:T$68,"&lt;&gt;")+COUNTIFS('T7'!$C$4:$C$68,"TC",'T7'!T$4:T$68,"&lt;&gt;")) + (COUNTIFS('T7'!$C$4:$C$68,"C*",'T7'!U$4:U$68,"&lt;&gt;")+COUNTIFS('T7'!$C$4:$C$68,"TC",'T7'!U$4:U$68,"&lt;&gt;")) + (COUNTIFS('T7'!$C$4:$C$68,"C*",'T7'!V$4:V$68,"&lt;&gt;")+COUNTIFS('T7'!$C$4:$C$68,"TC",'T7'!V$4:V$68,"&lt;&gt;")) + (COUNTIFS('T7'!$C$4:$C$68,"C*",'T7'!W$4:W$68,"&lt;&gt;")+COUNTIFS('T7'!$C$4:$C$68,"TC",'T7'!W$4:W$68,"&lt;&gt;")) + (COUNTIFS('T7'!$C$4:$C$68,"C*",'T7'!X$4:X$68,"&lt;&gt;")+COUNTIFS('T7'!$C$4:$C$68,"TC",'T7'!X$4:X$68,"&lt;&gt;")) + (COUNTIFS('T7'!$C$4:$C$68,"C*",'T7'!Y$4:Y$68,"&lt;&gt;")+COUNTIFS('T7'!$C$4:$C$68,"TC",'T7'!Y$4:Y$68,"&lt;&gt;")))=0,"",((COUNTIFS('T7'!$C$4:$C$68,"C*",'T7'!V$4:V$68,"x*")-0.5*(COUNTIFS('T7'!$C$4:$C$68,"C*",'T7'!V$4:V$68,"x/2")))))</f>
        <v>4.5</v>
      </c>
      <c r="F11" s="60">
        <f t="shared" si="0"/>
        <v>78.5</v>
      </c>
      <c r="G11" s="60">
        <f>IF(((COUNTIFS('T7'!$C$4:$C$68,"C*",'T7'!S$4:S$68,"&lt;&gt;")+COUNTIFS('T7'!$C$4:$C$68,"TC",'T7'!S$4:S$68,"&lt;&gt;")) + (COUNTIFS('T7'!$C$4:$C$68,"C*",'T7'!T$4:T$68,"&lt;&gt;")+COUNTIFS('T7'!$C$4:$C$68,"TC",'T7'!T$4:T$68,"&lt;&gt;")) + (COUNTIFS('T7'!$C$4:$C$68,"C*",'T7'!U$4:U$68,"&lt;&gt;")+COUNTIFS('T7'!$C$4:$C$68,"TC",'T7'!U$4:U$68,"&lt;&gt;")) + (COUNTIFS('T7'!$C$4:$C$68,"C*",'T7'!V$4:V$68,"&lt;&gt;")+COUNTIFS('T7'!$C$4:$C$68,"TC",'T7'!V$4:V$68,"&lt;&gt;")) + (COUNTIFS('T7'!$C$4:$C$68,"C*",'T7'!W$4:W$68,"&lt;&gt;")+COUNTIFS('T7'!$C$4:$C$68,"TC",'T7'!W$4:W$68,"&lt;&gt;")) + (COUNTIFS('T7'!$C$4:$C$68,"C*",'T7'!X$4:X$68,"&lt;&gt;")+COUNTIFS('T7'!$C$4:$C$68,"TC",'T7'!X$4:X$68,"&lt;&gt;")) + (COUNTIFS('T7'!$C$4:$C$68,"C*",'T7'!Y$4:Y$68,"&lt;&gt;")+COUNTIFS('T7'!$C$4:$C$68,"TC",'T7'!Y$4:Y$68,"&lt;&gt;")))=0,"",(SUMIF('T7'!$C$4:$C$68,"TC",'T7'!S$4:S$68))+(SUMIF('T7'!$C$4:$C$68,"TC",'T7'!T$4:T$68))+(SUMIF('T7'!$C$4:$C$68,"TC",'T7'!U$4:U$68))+(SUMIF('T7'!$C$4:$C$68,"TC",'T7'!W$4:W$68))+(SUMIF('T7'!$C$4:$C$68,"TC",'T7'!X$4:X$68))+(SUMIF('T7'!$C$4:$C$68,"TC",'T7'!Y$4:Y$68)))</f>
        <v>78</v>
      </c>
      <c r="H11" s="62">
        <f>IF(((COUNTIFS('T7'!$C$4:$C$68,"C*",'T7'!S$4:S$68,"&lt;&gt;")+COUNTIFS('T7'!$C$4:$C$68,"TC",'T7'!S$4:S$68,"&lt;&gt;")) + (COUNTIFS('T7'!$C$4:$C$68,"C*",'T7'!T$4:T$68,"&lt;&gt;")+COUNTIFS('T7'!$C$4:$C$68,"TC",'T7'!T$4:T$68,"&lt;&gt;")) + (COUNTIFS('T7'!$C$4:$C$68,"C*",'T7'!U$4:U$68,"&lt;&gt;")+COUNTIFS('T7'!$C$4:$C$68,"TC",'T7'!U$4:U$68,"&lt;&gt;")) + (COUNTIFS('T7'!$C$4:$C$68,"C*",'T7'!V$4:V$68,"&lt;&gt;")+COUNTIFS('T7'!$C$4:$C$68,"TC",'T7'!V$4:V$68,"&lt;&gt;")) + (COUNTIFS('T7'!$C$4:$C$68,"C*",'T7'!W$4:W$68,"&lt;&gt;")+COUNTIFS('T7'!$C$4:$C$68,"TC",'T7'!W$4:W$68,"&lt;&gt;")) + (COUNTIFS('T7'!$C$4:$C$68,"C*",'T7'!X$4:X$68,"&lt;&gt;")+COUNTIFS('T7'!$C$4:$C$68,"TC",'T7'!X$4:X$68,"&lt;&gt;")) + (COUNTIFS('T7'!$C$4:$C$68,"C*",'T7'!Y$4:Y$68,"&lt;&gt;")+COUNTIFS('T7'!$C$4:$C$68,"TC",'T7'!Y$4:Y$68,"&lt;&gt;")))=0,"",(SUMIF('T7'!$C$4:$C$68,"TC",'T7'!S$4:S$68))+(SUMIF('T7'!$C$4:$C$68,"TC",'T7'!T$4:T$68))+(SUMIF('T7'!$C$4:$C$68,"TC",'T7'!U$4:U$68))+(SUMIF('T7'!$C$4:$C$68,"TC",'T7'!V$4:V$68))+(SUMIF('T7'!$C$4:$C$68,"TC",'T7'!W$4:W$68))+(SUMIF('T7'!$C$4:$C$68,"TC",'T7'!X$4:X$68))+(SUMIF('T7'!$C$4:$C$68,"TC",'T7'!Y$4:Y$68)))</f>
        <v>78</v>
      </c>
      <c r="I11" s="60">
        <f t="shared" si="1"/>
        <v>9.75</v>
      </c>
      <c r="J11" s="57" t="str">
        <f>IF(((COUNTIFS('T7'!$C$4:$C$68,"C*",'T7'!S$4:S$68,"&lt;&gt;")+COUNTIFS('T7'!$C$4:$C$68,"TC",'T7'!S$4:S$68,"&lt;&gt;")) + (COUNTIFS('T7'!$C$4:$C$68,"C*",'T7'!T$4:T$68,"&lt;&gt;")+COUNTIFS('T7'!$C$4:$C$68,"TC",'T7'!T$4:T$68,"&lt;&gt;")) + (COUNTIFS('T7'!$C$4:$C$68,"C*",'T7'!U$4:U$68,"&lt;&gt;")+COUNTIFS('T7'!$C$4:$C$68,"TC",'T7'!U$4:U$68,"&lt;&gt;")) + (COUNTIFS('T7'!$C$4:$C$68,"C*",'T7'!V$4:V$68,"&lt;&gt;")+COUNTIFS('T7'!$C$4:$C$68,"TC",'T7'!V$4:V$68,"&lt;&gt;")) + (COUNTIFS('T7'!$C$4:$C$68,"C*",'T7'!W$4:W$68,"&lt;&gt;")+COUNTIFS('T7'!$C$4:$C$68,"TC",'T7'!W$4:W$68,"&lt;&gt;")) + (COUNTIFS('T7'!$C$4:$C$68,"C*",'T7'!X$4:X$68,"&lt;&gt;")+COUNTIFS('T7'!$C$4:$C$68,"TC",'T7'!X$4:X$68,"&lt;&gt;")) + (COUNTIFS('T7'!$C$4:$C$68,"C*",'T7'!Y$4:Y$68,"&lt;&gt;")+COUNTIFS('T7'!$C$4:$C$68,"TC",'T7'!Y$4:Y$68,"&lt;&gt;")))=0,"Chưa nhập","Đã cập nhật")</f>
        <v>Đã cập nhật</v>
      </c>
    </row>
    <row r="12" spans="1:10" x14ac:dyDescent="0.2">
      <c r="A12" s="57" t="s">
        <v>88</v>
      </c>
      <c r="B12" s="59">
        <v>46226</v>
      </c>
      <c r="C12" s="59">
        <v>46232</v>
      </c>
      <c r="D12" s="60">
        <f>IF(((COUNTIFS('T7'!$C$4:$C$68,"C*",'T7'!Z$4:Z$68,"&lt;&gt;")+COUNTIFS('T7'!$C$4:$C$68,"TC",'T7'!Z$4:Z$68,"&lt;&gt;")) + (COUNTIFS('T7'!$C$4:$C$68,"C*",'T7'!AA$4:AA$68,"&lt;&gt;")+COUNTIFS('T7'!$C$4:$C$68,"TC",'T7'!AA$4:AA$68,"&lt;&gt;")) + (COUNTIFS('T7'!$C$4:$C$68,"C*",'T7'!AB$4:AB$68,"&lt;&gt;")+COUNTIFS('T7'!$C$4:$C$68,"TC",'T7'!AB$4:AB$68,"&lt;&gt;")) + (COUNTIFS('T7'!$C$4:$C$68,"C*",'T7'!AC$4:AC$68,"&lt;&gt;")+COUNTIFS('T7'!$C$4:$C$68,"TC",'T7'!AC$4:AC$68,"&lt;&gt;")) + (COUNTIFS('T7'!$C$4:$C$68,"C*",'T7'!AD$4:AD$68,"&lt;&gt;")+COUNTIFS('T7'!$C$4:$C$68,"TC",'T7'!AD$4:AD$68,"&lt;&gt;")) + (COUNTIFS('T7'!$C$4:$C$68,"C*",'T7'!AE$4:AE$68,"&lt;&gt;")+COUNTIFS('T7'!$C$4:$C$68,"TC",'T7'!AE$4:AE$68,"&lt;&gt;")) + (COUNTIFS('T7'!$C$4:$C$68,"C*",'T7'!AF$4:AF$68,"&lt;&gt;")+COUNTIFS('T7'!$C$4:$C$68,"TC",'T7'!AF$4:AF$68,"&lt;&gt;")))=0,"",((COUNTIFS('T7'!$C$4:$C$68,"C*",'T7'!Z$4:Z$68,"x*")-0.5*(COUNTIFS('T7'!$C$4:$C$68,"C*",'T7'!Z$4:Z$68,"x/2")))+(COUNTIFS('T7'!$C$4:$C$68,"C*",'T7'!AA$4:AA$68,"x*")-0.5*(COUNTIFS('T7'!$C$4:$C$68,"C*",'T7'!AA$4:AA$68,"x/2")))+(COUNTIFS('T7'!$C$4:$C$68,"C*",'T7'!AB$4:AB$68,"x*")-0.5*(COUNTIFS('T7'!$C$4:$C$68,"C*",'T7'!AB$4:AB$68,"x/2")))+(COUNTIFS('T7'!$C$4:$C$68,"C*",'T7'!AD$4:AD$68,"x*")-0.5*(COUNTIFS('T7'!$C$4:$C$68,"C*",'T7'!AD$4:AD$68,"x/2")))+(COUNTIFS('T7'!$C$4:$C$68,"C*",'T7'!AE$4:AE$68,"x*")-0.5*(COUNTIFS('T7'!$C$4:$C$68,"C*",'T7'!AE$4:AE$68,"x/2")))+(COUNTIFS('T7'!$C$4:$C$68,"C*",'T7'!AF$4:AF$68,"x*")-0.5*(COUNTIFS('T7'!$C$4:$C$68,"C*",'T7'!AF$4:AF$68,"x/2")))))</f>
        <v>78</v>
      </c>
      <c r="E12" s="61">
        <f>IF(((COUNTIFS('T7'!$C$4:$C$68,"C*",'T7'!Z$4:Z$68,"&lt;&gt;")+COUNTIFS('T7'!$C$4:$C$68,"TC",'T7'!Z$4:Z$68,"&lt;&gt;")) + (COUNTIFS('T7'!$C$4:$C$68,"C*",'T7'!AA$4:AA$68,"&lt;&gt;")+COUNTIFS('T7'!$C$4:$C$68,"TC",'T7'!AA$4:AA$68,"&lt;&gt;")) + (COUNTIFS('T7'!$C$4:$C$68,"C*",'T7'!AB$4:AB$68,"&lt;&gt;")+COUNTIFS('T7'!$C$4:$C$68,"TC",'T7'!AB$4:AB$68,"&lt;&gt;")) + (COUNTIFS('T7'!$C$4:$C$68,"C*",'T7'!AC$4:AC$68,"&lt;&gt;")+COUNTIFS('T7'!$C$4:$C$68,"TC",'T7'!AC$4:AC$68,"&lt;&gt;")) + (COUNTIFS('T7'!$C$4:$C$68,"C*",'T7'!AD$4:AD$68,"&lt;&gt;")+COUNTIFS('T7'!$C$4:$C$68,"TC",'T7'!AD$4:AD$68,"&lt;&gt;")) + (COUNTIFS('T7'!$C$4:$C$68,"C*",'T7'!AE$4:AE$68,"&lt;&gt;")+COUNTIFS('T7'!$C$4:$C$68,"TC",'T7'!AE$4:AE$68,"&lt;&gt;")) + (COUNTIFS('T7'!$C$4:$C$68,"C*",'T7'!AF$4:AF$68,"&lt;&gt;")+COUNTIFS('T7'!$C$4:$C$68,"TC",'T7'!AF$4:AF$68,"&lt;&gt;")))=0,"",((COUNTIFS('T7'!$C$4:$C$68,"C*",'T7'!AC$4:AC$68,"x*")-0.5*(COUNTIFS('T7'!$C$4:$C$68,"C*",'T7'!AC$4:AC$68,"x/2")))))</f>
        <v>11.5</v>
      </c>
      <c r="F12" s="60">
        <f t="shared" si="0"/>
        <v>89.5</v>
      </c>
      <c r="G12" s="60">
        <f>IF(((COUNTIFS('T7'!$C$4:$C$68,"C*",'T7'!Z$4:Z$68,"&lt;&gt;")+COUNTIFS('T7'!$C$4:$C$68,"TC",'T7'!Z$4:Z$68,"&lt;&gt;")) + (COUNTIFS('T7'!$C$4:$C$68,"C*",'T7'!AA$4:AA$68,"&lt;&gt;")+COUNTIFS('T7'!$C$4:$C$68,"TC",'T7'!AA$4:AA$68,"&lt;&gt;")) + (COUNTIFS('T7'!$C$4:$C$68,"C*",'T7'!AB$4:AB$68,"&lt;&gt;")+COUNTIFS('T7'!$C$4:$C$68,"TC",'T7'!AB$4:AB$68,"&lt;&gt;")) + (COUNTIFS('T7'!$C$4:$C$68,"C*",'T7'!AC$4:AC$68,"&lt;&gt;")+COUNTIFS('T7'!$C$4:$C$68,"TC",'T7'!AC$4:AC$68,"&lt;&gt;")) + (COUNTIFS('T7'!$C$4:$C$68,"C*",'T7'!AD$4:AD$68,"&lt;&gt;")+COUNTIFS('T7'!$C$4:$C$68,"TC",'T7'!AD$4:AD$68,"&lt;&gt;")) + (COUNTIFS('T7'!$C$4:$C$68,"C*",'T7'!AE$4:AE$68,"&lt;&gt;")+COUNTIFS('T7'!$C$4:$C$68,"TC",'T7'!AE$4:AE$68,"&lt;&gt;")) + (COUNTIFS('T7'!$C$4:$C$68,"C*",'T7'!AF$4:AF$68,"&lt;&gt;")+COUNTIFS('T7'!$C$4:$C$68,"TC",'T7'!AF$4:AF$68,"&lt;&gt;")))=0,"",(SUMIF('T7'!$C$4:$C$68,"TC",'T7'!Z$4:Z$68))+(SUMIF('T7'!$C$4:$C$68,"TC",'T7'!AA$4:AA$68))+(SUMIF('T7'!$C$4:$C$68,"TC",'T7'!AB$4:AB$68))+(SUMIF('T7'!$C$4:$C$68,"TC",'T7'!AD$4:AD$68))+(SUMIF('T7'!$C$4:$C$68,"TC",'T7'!AE$4:AE$68))+(SUMIF('T7'!$C$4:$C$68,"TC",'T7'!AF$4:AF$68)))</f>
        <v>95.75</v>
      </c>
      <c r="H12" s="62">
        <f>IF(((COUNTIFS('T7'!$C$4:$C$68,"C*",'T7'!Z$4:Z$68,"&lt;&gt;")+COUNTIFS('T7'!$C$4:$C$68,"TC",'T7'!Z$4:Z$68,"&lt;&gt;")) + (COUNTIFS('T7'!$C$4:$C$68,"C*",'T7'!AA$4:AA$68,"&lt;&gt;")+COUNTIFS('T7'!$C$4:$C$68,"TC",'T7'!AA$4:AA$68,"&lt;&gt;")) + (COUNTIFS('T7'!$C$4:$C$68,"C*",'T7'!AB$4:AB$68,"&lt;&gt;")+COUNTIFS('T7'!$C$4:$C$68,"TC",'T7'!AB$4:AB$68,"&lt;&gt;")) + (COUNTIFS('T7'!$C$4:$C$68,"C*",'T7'!AC$4:AC$68,"&lt;&gt;")+COUNTIFS('T7'!$C$4:$C$68,"TC",'T7'!AC$4:AC$68,"&lt;&gt;")) + (COUNTIFS('T7'!$C$4:$C$68,"C*",'T7'!AD$4:AD$68,"&lt;&gt;")+COUNTIFS('T7'!$C$4:$C$68,"TC",'T7'!AD$4:AD$68,"&lt;&gt;")) + (COUNTIFS('T7'!$C$4:$C$68,"C*",'T7'!AE$4:AE$68,"&lt;&gt;")+COUNTIFS('T7'!$C$4:$C$68,"TC",'T7'!AE$4:AE$68,"&lt;&gt;")) + (COUNTIFS('T7'!$C$4:$C$68,"C*",'T7'!AF$4:AF$68,"&lt;&gt;")+COUNTIFS('T7'!$C$4:$C$68,"TC",'T7'!AF$4:AF$68,"&lt;&gt;")))=0,"",(SUMIF('T7'!$C$4:$C$68,"TC",'T7'!Z$4:Z$68))+(SUMIF('T7'!$C$4:$C$68,"TC",'T7'!AA$4:AA$68))+(SUMIF('T7'!$C$4:$C$68,"TC",'T7'!AB$4:AB$68))+(SUMIF('T7'!$C$4:$C$68,"TC",'T7'!AC$4:AC$68))+(SUMIF('T7'!$C$4:$C$68,"TC",'T7'!AD$4:AD$68))+(SUMIF('T7'!$C$4:$C$68,"TC",'T7'!AE$4:AE$68))+(SUMIF('T7'!$C$4:$C$68,"TC",'T7'!AF$4:AF$68)))</f>
        <v>95.75</v>
      </c>
      <c r="I12" s="60">
        <f t="shared" si="1"/>
        <v>11.96875</v>
      </c>
      <c r="J12" s="57" t="str">
        <f>IF(((COUNTIFS('T7'!$C$4:$C$68,"C*",'T7'!Z$4:Z$68,"&lt;&gt;")+COUNTIFS('T7'!$C$4:$C$68,"TC",'T7'!Z$4:Z$68,"&lt;&gt;")) + (COUNTIFS('T7'!$C$4:$C$68,"C*",'T7'!AA$4:AA$68,"&lt;&gt;")+COUNTIFS('T7'!$C$4:$C$68,"TC",'T7'!AA$4:AA$68,"&lt;&gt;")) + (COUNTIFS('T7'!$C$4:$C$68,"C*",'T7'!AB$4:AB$68,"&lt;&gt;")+COUNTIFS('T7'!$C$4:$C$68,"TC",'T7'!AB$4:AB$68,"&lt;&gt;")) + (COUNTIFS('T7'!$C$4:$C$68,"C*",'T7'!AC$4:AC$68,"&lt;&gt;")+COUNTIFS('T7'!$C$4:$C$68,"TC",'T7'!AC$4:AC$68,"&lt;&gt;")) + (COUNTIFS('T7'!$C$4:$C$68,"C*",'T7'!AD$4:AD$68,"&lt;&gt;")+COUNTIFS('T7'!$C$4:$C$68,"TC",'T7'!AD$4:AD$68,"&lt;&gt;")) + (COUNTIFS('T7'!$C$4:$C$68,"C*",'T7'!AE$4:AE$68,"&lt;&gt;")+COUNTIFS('T7'!$C$4:$C$68,"TC",'T7'!AE$4:AE$68,"&lt;&gt;")) + (COUNTIFS('T7'!$C$4:$C$68,"C*",'T7'!AF$4:AF$68,"&lt;&gt;")+COUNTIFS('T7'!$C$4:$C$68,"TC",'T7'!AF$4:AF$68,"&lt;&gt;")))=0,"Chưa nhập","Đã cập nhật")</f>
        <v>Đã cập nhật</v>
      </c>
    </row>
    <row r="13" spans="1:10" x14ac:dyDescent="0.2">
      <c r="A13" s="130" t="s">
        <v>83</v>
      </c>
      <c r="B13" s="131"/>
      <c r="C13" s="132"/>
      <c r="D13" s="60">
        <f>IF(COUNT(D8:D12)=0,"",SUM(D8:D12))</f>
        <v>371</v>
      </c>
      <c r="E13" s="61">
        <f>IF(COUNT(E8:E12)=0,"",SUM(E8:E12))</f>
        <v>41</v>
      </c>
      <c r="F13" s="60">
        <f t="shared" si="0"/>
        <v>412</v>
      </c>
      <c r="G13" s="60">
        <f>IF(COUNT(G8:G12)=0,"",SUM(G8:G12))</f>
        <v>518.5</v>
      </c>
      <c r="H13" s="62">
        <f>IF(COUNT(H8:H12)=0,"",SUM(H8:H12))</f>
        <v>518.5</v>
      </c>
      <c r="I13" s="60">
        <f t="shared" si="1"/>
        <v>64.8125</v>
      </c>
      <c r="J13" s="57"/>
    </row>
    <row r="14" spans="1:10" ht="15" customHeight="1" x14ac:dyDescent="0.2">
      <c r="A14" s="133"/>
      <c r="B14" s="134"/>
      <c r="C14" s="135"/>
      <c r="D14" s="63">
        <f t="shared" ref="D14:I14" si="2">IF(COUNT(D8:D13)=0,"",SUM(D8:D13))</f>
        <v>742</v>
      </c>
      <c r="E14" s="63">
        <f t="shared" si="2"/>
        <v>82</v>
      </c>
      <c r="F14" s="63">
        <f t="shared" si="2"/>
        <v>824</v>
      </c>
      <c r="G14" s="63">
        <f t="shared" si="2"/>
        <v>1037</v>
      </c>
      <c r="H14" s="63">
        <f t="shared" si="2"/>
        <v>1037</v>
      </c>
      <c r="I14" s="63">
        <f t="shared" si="2"/>
        <v>129.625</v>
      </c>
      <c r="J14" s="58"/>
    </row>
    <row r="16" spans="1:10" x14ac:dyDescent="0.2">
      <c r="A16" s="127" t="s">
        <v>84</v>
      </c>
      <c r="B16" s="125"/>
      <c r="C16" s="125"/>
      <c r="D16" s="125"/>
      <c r="E16" s="125"/>
      <c r="F16" s="125"/>
      <c r="G16" s="125"/>
      <c r="H16" s="125"/>
      <c r="I16" s="125"/>
      <c r="J16" s="125"/>
    </row>
  </sheetData>
  <mergeCells count="15">
    <mergeCell ref="A4:B4"/>
    <mergeCell ref="G4:H4"/>
    <mergeCell ref="E4:F4"/>
    <mergeCell ref="A1:J1"/>
    <mergeCell ref="I4:J4"/>
    <mergeCell ref="A2:J2"/>
    <mergeCell ref="C4:D4"/>
    <mergeCell ref="A13:C13"/>
    <mergeCell ref="A16:J16"/>
    <mergeCell ref="A14:C14"/>
    <mergeCell ref="C5:D5"/>
    <mergeCell ref="A5:B5"/>
    <mergeCell ref="G5:H5"/>
    <mergeCell ref="E5:F5"/>
    <mergeCell ref="I5:J5"/>
  </mergeCells>
  <conditionalFormatting sqref="F8:F13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3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3">
    <cfRule type="expression" dxfId="11" priority="1">
      <formula>$J8="Chưa nhập"</formula>
    </cfRule>
    <cfRule type="expression" dxfId="10" priority="2">
      <formula>$J8="Đã cập nhật"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5"/>
  <sheetViews>
    <sheetView workbookViewId="0">
      <selection activeCell="K26" sqref="K26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92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>
        <f>F12</f>
        <v>256</v>
      </c>
      <c r="B5" s="125"/>
      <c r="C5" s="136">
        <f>E12</f>
        <v>27.5</v>
      </c>
      <c r="D5" s="125"/>
      <c r="E5" s="136">
        <f>IF(((COUNTIFS('T8'!$C$4:$C$68,"C*",'T8'!D$4:D$68,"&lt;&gt;")+COUNTIFS('T8'!$C$4:$C$68,"TC",'T8'!D$4:D$68,"&lt;&gt;"))+(COUNTIFS('T8'!$C$4:$C$68,"C*",'T8'!E$4:E$68,"&lt;&gt;")+COUNTIFS('T8'!$C$4:$C$68,"TC",'T8'!E$4:E$68,"&lt;&gt;"))+(COUNTIFS('T8'!$C$4:$C$68,"C*",'T8'!F$4:F$68,"&lt;&gt;")+COUNTIFS('T8'!$C$4:$C$68,"TC",'T8'!F$4:F$68,"&lt;&gt;"))+(COUNTIFS('T8'!$C$4:$C$68,"C*",'T8'!G$4:G$68,"&lt;&gt;")+COUNTIFS('T8'!$C$4:$C$68,"TC",'T8'!G$4:G$68,"&lt;&gt;"))+(COUNTIFS('T8'!$C$4:$C$68,"C*",'T8'!H$4:H$68,"&lt;&gt;")+COUNTIFS('T8'!$C$4:$C$68,"TC",'T8'!H$4:H$68,"&lt;&gt;"))+(COUNTIFS('T8'!$C$4:$C$68,"C*",'T8'!I$4:I$68,"&lt;&gt;")+COUNTIFS('T8'!$C$4:$C$68,"TC",'T8'!I$4:I$68,"&lt;&gt;"))+(COUNTIFS('T8'!$C$4:$C$68,"C*",'T8'!J$4:J$68,"&lt;&gt;")+COUNTIFS('T8'!$C$4:$C$68,"TC",'T8'!J$4:J$68,"&lt;&gt;"))+(COUNTIFS('T8'!$C$4:$C$68,"C*",'T8'!K$4:K$68,"&lt;&gt;")+COUNTIFS('T8'!$C$4:$C$68,"TC",'T8'!K$4:K$68,"&lt;&gt;"))+(COUNTIFS('T8'!$C$4:$C$68,"C*",'T8'!L$4:L$68,"&lt;&gt;")+COUNTIFS('T8'!$C$4:$C$68,"TC",'T8'!L$4:L$68,"&lt;&gt;"))+(COUNTIFS('T8'!$C$4:$C$68,"C*",'T8'!M$4:M$68,"&lt;&gt;")+COUNTIFS('T8'!$C$4:$C$68,"TC",'T8'!M$4:M$68,"&lt;&gt;"))+(COUNTIFS('T8'!$C$4:$C$68,"C*",'T8'!N$4:N$68,"&lt;&gt;")+COUNTIFS('T8'!$C$4:$C$68,"TC",'T8'!N$4:N$68,"&lt;&gt;"))+(COUNTIFS('T8'!$C$4:$C$68,"C*",'T8'!O$4:O$68,"&lt;&gt;")+COUNTIFS('T8'!$C$4:$C$68,"TC",'T8'!O$4:O$68,"&lt;&gt;"))+(COUNTIFS('T8'!$C$4:$C$68,"C*",'T8'!P$4:P$68,"&lt;&gt;")+COUNTIFS('T8'!$C$4:$C$68,"TC",'T8'!P$4:P$68,"&lt;&gt;"))+(COUNTIFS('T8'!$C$4:$C$68,"C*",'T8'!Q$4:Q$68,"&lt;&gt;")+COUNTIFS('T8'!$C$4:$C$68,"TC",'T8'!Q$4:Q$68,"&lt;&gt;"))+(COUNTIFS('T8'!$C$4:$C$68,"C*",'T8'!R$4:R$68,"&lt;&gt;")+COUNTIFS('T8'!$C$4:$C$68,"TC",'T8'!R$4:R$68,"&lt;&gt;"))+(COUNTIFS('T8'!$C$4:$C$68,"C*",'T8'!S$4:S$68,"&lt;&gt;")+COUNTIFS('T8'!$C$4:$C$68,"TC",'T8'!S$4:S$68,"&lt;&gt;"))+(COUNTIFS('T8'!$C$4:$C$68,"C*",'T8'!T$4:T$68,"&lt;&gt;")+COUNTIFS('T8'!$C$4:$C$68,"TC",'T8'!T$4:T$68,"&lt;&gt;"))+(COUNTIFS('T8'!$C$4:$C$68,"C*",'T8'!U$4:U$68,"&lt;&gt;")+COUNTIFS('T8'!$C$4:$C$68,"TC",'T8'!U$4:U$68,"&lt;&gt;"))+(COUNTIFS('T8'!$C$4:$C$68,"C*",'T8'!V$4:V$68,"&lt;&gt;")+COUNTIFS('T8'!$C$4:$C$68,"TC",'T8'!V$4:V$68,"&lt;&gt;"))+(COUNTIFS('T8'!$C$4:$C$68,"C*",'T8'!W$4:W$68,"&lt;&gt;")+COUNTIFS('T8'!$C$4:$C$68,"TC",'T8'!W$4:W$68,"&lt;&gt;"))+(COUNTIFS('T8'!$C$4:$C$68,"C*",'T8'!X$4:X$68,"&lt;&gt;")+COUNTIFS('T8'!$C$4:$C$68,"TC",'T8'!X$4:X$68,"&lt;&gt;"))+(COUNTIFS('T8'!$C$4:$C$68,"C*",'T8'!Y$4:Y$68,"&lt;&gt;")+COUNTIFS('T8'!$C$4:$C$68,"TC",'T8'!Y$4:Y$68,"&lt;&gt;"))+(COUNTIFS('T8'!$C$4:$C$68,"C*",'T8'!Z$4:Z$68,"&lt;&gt;")+COUNTIFS('T8'!$C$4:$C$68,"TC",'T8'!Z$4:Z$68,"&lt;&gt;"))+(COUNTIFS('T8'!$C$4:$C$68,"C*",'T8'!AA$4:AA$68,"&lt;&gt;")+COUNTIFS('T8'!$C$4:$C$68,"TC",'T8'!AA$4:AA$68,"&lt;&gt;"))+(COUNTIFS('T8'!$C$4:$C$68,"C*",'T8'!AB$4:AB$68,"&lt;&gt;")+COUNTIFS('T8'!$C$4:$C$68,"TC",'T8'!AB$4:AB$68,"&lt;&gt;"))+(COUNTIFS('T8'!$C$4:$C$68,"C*",'T8'!AC$4:AC$68,"&lt;&gt;")+COUNTIFS('T8'!$C$4:$C$68,"TC",'T8'!AC$4:AC$68,"&lt;&gt;"))+(COUNTIFS('T8'!$C$4:$C$68,"C*",'T8'!AD$4:AD$68,"&lt;&gt;")+COUNTIFS('T8'!$C$4:$C$68,"TC",'T8'!AD$4:AD$68,"&lt;&gt;"))+(COUNTIFS('T8'!$C$4:$C$68,"C*",'T8'!AE$4:AE$68,"&lt;&gt;")+COUNTIFS('T8'!$C$4:$C$68,"TC",'T8'!AE$4:AE$68,"&lt;&gt;"))+(COUNTIFS('T8'!$C$4:$C$68,"C*",'T8'!AF$4:AF$68,"&lt;&gt;")+COUNTIFS('T8'!$C$4:$C$68,"TC",'T8'!AF$4:AF$68,"&lt;&gt;"))+(COUNTIFS('T8'!$C$4:$C$68,"C*",'T8'!AG$4:AG$68,"&lt;&gt;")+COUNTIFS('T8'!$C$4:$C$68,"TC",'T8'!AG$4:AG$68,"&lt;&gt;"))+(COUNTIFS('T8'!$C$4:$C$68,"C*",'T8'!AH$4:AH$68,"&lt;&gt;")+COUNTIFS('T8'!$C$4:$C$68,"TC",'T8'!AH$4:AH$68,"&lt;&gt;")))=0,"",((SUMIF('T8'!$C$4:$C$68,"TC",'T8'!D$4:D$68))+(SUMIF('T8'!$C$4:$C$68,"TC",'T8'!E$4:E$68))+(SUMIF('T8'!$C$4:$C$68,"TC",'T8'!F$4:F$68))+(SUMIF('T8'!$C$4:$C$68,"TC",'T8'!G$4:G$68))+(SUMIF('T8'!$C$4:$C$68,"TC",'T8'!H$4:H$68))+(SUMIF('T8'!$C$4:$C$68,"TC",'T8'!I$4:I$68))+(SUMIF('T8'!$C$4:$C$68,"TC",'T8'!J$4:J$68))+(SUMIF('T8'!$C$4:$C$68,"TC",'T8'!K$4:K$68))+(SUMIF('T8'!$C$4:$C$68,"TC",'T8'!L$4:L$68))+(SUMIF('T8'!$C$4:$C$68,"TC",'T8'!M$4:M$68))+(SUMIF('T8'!$C$4:$C$68,"TC",'T8'!N$4:N$68))+(SUMIF('T8'!$C$4:$C$68,"TC",'T8'!O$4:O$68))+(SUMIF('T8'!$C$4:$C$68,"TC",'T8'!P$4:P$68))+(SUMIF('T8'!$C$4:$C$68,"TC",'T8'!Q$4:Q$68))+(SUMIF('T8'!$C$4:$C$68,"TC",'T8'!R$4:R$68))+(SUMIF('T8'!$C$4:$C$68,"TC",'T8'!S$4:S$68))+(SUMIF('T8'!$C$4:$C$68,"TC",'T8'!T$4:T$68))+(SUMIF('T8'!$C$4:$C$68,"TC",'T8'!U$4:U$68))+(SUMIF('T8'!$C$4:$C$68,"TC",'T8'!V$4:V$68))+(SUMIF('T8'!$C$4:$C$68,"TC",'T8'!W$4:W$68))+(SUMIF('T8'!$C$4:$C$68,"TC",'T8'!X$4:X$68))+(SUMIF('T8'!$C$4:$C$68,"TC",'T8'!Y$4:Y$68))+(SUMIF('T8'!$C$4:$C$68,"TC",'T8'!Z$4:Z$68))+(SUMIF('T8'!$C$4:$C$68,"TC",'T8'!AA$4:AA$68))+(SUMIF('T8'!$C$4:$C$68,"TC",'T8'!AB$4:AB$68))+(SUMIF('T8'!$C$4:$C$68,"TC",'T8'!AC$4:AC$68))+(SUMIF('T8'!$C$4:$C$68,"TC",'T8'!AD$4:AD$68))+(SUMIF('T8'!$C$4:$C$68,"TC",'T8'!AE$4:AE$68))+(SUMIF('T8'!$C$4:$C$68,"TC",'T8'!AF$4:AF$68))+(SUMIF('T8'!$C$4:$C$68,"TC",'T8'!AG$4:AG$68))+(SUMIF('T8'!$C$4:$C$68,"TC",'T8'!AH$4:AH$68))))</f>
        <v>233</v>
      </c>
      <c r="F5" s="125"/>
      <c r="G5" s="137">
        <f>(COUNTIFS('T8'!$C$4:$C$68,"C*",'T8'!D$4:D$68,"&lt;&gt;")+COUNTIFS('T8'!$C$4:$C$68,"TC",'T8'!D$4:D$68,"&lt;&gt;")&gt;0) + (COUNTIFS('T8'!$C$4:$C$68,"C*",'T8'!E$4:E$68,"&lt;&gt;")+COUNTIFS('T8'!$C$4:$C$68,"TC",'T8'!E$4:E$68,"&lt;&gt;")&gt;0) + (COUNTIFS('T8'!$C$4:$C$68,"C*",'T8'!F$4:F$68,"&lt;&gt;")+COUNTIFS('T8'!$C$4:$C$68,"TC",'T8'!F$4:F$68,"&lt;&gt;")&gt;0) + (COUNTIFS('T8'!$C$4:$C$68,"C*",'T8'!G$4:G$68,"&lt;&gt;")+COUNTIFS('T8'!$C$4:$C$68,"TC",'T8'!G$4:G$68,"&lt;&gt;")&gt;0) + (COUNTIFS('T8'!$C$4:$C$68,"C*",'T8'!H$4:H$68,"&lt;&gt;")+COUNTIFS('T8'!$C$4:$C$68,"TC",'T8'!H$4:H$68,"&lt;&gt;")&gt;0) + (COUNTIFS('T8'!$C$4:$C$68,"C*",'T8'!I$4:I$68,"&lt;&gt;")+COUNTIFS('T8'!$C$4:$C$68,"TC",'T8'!I$4:I$68,"&lt;&gt;")&gt;0) + (COUNTIFS('T8'!$C$4:$C$68,"C*",'T8'!J$4:J$68,"&lt;&gt;")+COUNTIFS('T8'!$C$4:$C$68,"TC",'T8'!J$4:J$68,"&lt;&gt;")&gt;0) + (COUNTIFS('T8'!$C$4:$C$68,"C*",'T8'!K$4:K$68,"&lt;&gt;")+COUNTIFS('T8'!$C$4:$C$68,"TC",'T8'!K$4:K$68,"&lt;&gt;")&gt;0) + (COUNTIFS('T8'!$C$4:$C$68,"C*",'T8'!L$4:L$68,"&lt;&gt;")+COUNTIFS('T8'!$C$4:$C$68,"TC",'T8'!L$4:L$68,"&lt;&gt;")&gt;0) + (COUNTIFS('T8'!$C$4:$C$68,"C*",'T8'!M$4:M$68,"&lt;&gt;")+COUNTIFS('T8'!$C$4:$C$68,"TC",'T8'!M$4:M$68,"&lt;&gt;")&gt;0) + (COUNTIFS('T8'!$C$4:$C$68,"C*",'T8'!N$4:N$68,"&lt;&gt;")+COUNTIFS('T8'!$C$4:$C$68,"TC",'T8'!N$4:N$68,"&lt;&gt;")&gt;0) + (COUNTIFS('T8'!$C$4:$C$68,"C*",'T8'!O$4:O$68,"&lt;&gt;")+COUNTIFS('T8'!$C$4:$C$68,"TC",'T8'!O$4:O$68,"&lt;&gt;")&gt;0) + (COUNTIFS('T8'!$C$4:$C$68,"C*",'T8'!P$4:P$68,"&lt;&gt;")+COUNTIFS('T8'!$C$4:$C$68,"TC",'T8'!P$4:P$68,"&lt;&gt;")&gt;0) + (COUNTIFS('T8'!$C$4:$C$68,"C*",'T8'!Q$4:Q$68,"&lt;&gt;")+COUNTIFS('T8'!$C$4:$C$68,"TC",'T8'!Q$4:Q$68,"&lt;&gt;")&gt;0) + (COUNTIFS('T8'!$C$4:$C$68,"C*",'T8'!R$4:R$68,"&lt;&gt;")+COUNTIFS('T8'!$C$4:$C$68,"TC",'T8'!R$4:R$68,"&lt;&gt;")&gt;0) + (COUNTIFS('T8'!$C$4:$C$68,"C*",'T8'!S$4:S$68,"&lt;&gt;")+COUNTIFS('T8'!$C$4:$C$68,"TC",'T8'!S$4:S$68,"&lt;&gt;")&gt;0) + (COUNTIFS('T8'!$C$4:$C$68,"C*",'T8'!T$4:T$68,"&lt;&gt;")+COUNTIFS('T8'!$C$4:$C$68,"TC",'T8'!T$4:T$68,"&lt;&gt;")&gt;0) + (COUNTIFS('T8'!$C$4:$C$68,"C*",'T8'!U$4:U$68,"&lt;&gt;")+COUNTIFS('T8'!$C$4:$C$68,"TC",'T8'!U$4:U$68,"&lt;&gt;")&gt;0) + (COUNTIFS('T8'!$C$4:$C$68,"C*",'T8'!V$4:V$68,"&lt;&gt;")+COUNTIFS('T8'!$C$4:$C$68,"TC",'T8'!V$4:V$68,"&lt;&gt;")&gt;0) + (COUNTIFS('T8'!$C$4:$C$68,"C*",'T8'!W$4:W$68,"&lt;&gt;")+COUNTIFS('T8'!$C$4:$C$68,"TC",'T8'!W$4:W$68,"&lt;&gt;")&gt;0) + (COUNTIFS('T8'!$C$4:$C$68,"C*",'T8'!X$4:X$68,"&lt;&gt;")+COUNTIFS('T8'!$C$4:$C$68,"TC",'T8'!X$4:X$68,"&lt;&gt;")&gt;0) + (COUNTIFS('T8'!$C$4:$C$68,"C*",'T8'!Y$4:Y$68,"&lt;&gt;")+COUNTIFS('T8'!$C$4:$C$68,"TC",'T8'!Y$4:Y$68,"&lt;&gt;")&gt;0) + (COUNTIFS('T8'!$C$4:$C$68,"C*",'T8'!Z$4:Z$68,"&lt;&gt;")+COUNTIFS('T8'!$C$4:$C$68,"TC",'T8'!Z$4:Z$68,"&lt;&gt;")&gt;0) + (COUNTIFS('T8'!$C$4:$C$68,"C*",'T8'!AA$4:AA$68,"&lt;&gt;")+COUNTIFS('T8'!$C$4:$C$68,"TC",'T8'!AA$4:AA$68,"&lt;&gt;")&gt;0) + (COUNTIFS('T8'!$C$4:$C$68,"C*",'T8'!AB$4:AB$68,"&lt;&gt;")+COUNTIFS('T8'!$C$4:$C$68,"TC",'T8'!AB$4:AB$68,"&lt;&gt;")&gt;0) + (COUNTIFS('T8'!$C$4:$C$68,"C*",'T8'!AC$4:AC$68,"&lt;&gt;")+COUNTIFS('T8'!$C$4:$C$68,"TC",'T8'!AC$4:AC$68,"&lt;&gt;")&gt;0) + (COUNTIFS('T8'!$C$4:$C$68,"C*",'T8'!AD$4:AD$68,"&lt;&gt;")+COUNTIFS('T8'!$C$4:$C$68,"TC",'T8'!AD$4:AD$68,"&lt;&gt;")&gt;0) + (COUNTIFS('T8'!$C$4:$C$68,"C*",'T8'!AE$4:AE$68,"&lt;&gt;")+COUNTIFS('T8'!$C$4:$C$68,"TC",'T8'!AE$4:AE$68,"&lt;&gt;")&gt;0) + (COUNTIFS('T8'!$C$4:$C$68,"C*",'T8'!AF$4:AF$68,"&lt;&gt;")+COUNTIFS('T8'!$C$4:$C$68,"TC",'T8'!AF$4:AF$68,"&lt;&gt;")&gt;0) + (COUNTIFS('T8'!$C$4:$C$68,"C*",'T8'!AG$4:AG$68,"&lt;&gt;")+COUNTIFS('T8'!$C$4:$C$68,"TC",'T8'!AG$4:AG$68,"&lt;&gt;")&gt;0) + (COUNTIFS('T8'!$C$4:$C$68,"C*",'T8'!AH$4:AH$68,"&lt;&gt;")+COUNTIFS('T8'!$C$4:$C$68,"TC",'T8'!AH$4:AH$68,"&lt;&gt;")&gt;0)</f>
        <v>19</v>
      </c>
      <c r="H5" s="125"/>
      <c r="I5" s="128">
        <f ca="1">NOW()</f>
        <v>46253.615729745368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46233</v>
      </c>
      <c r="C8" s="59">
        <v>46239</v>
      </c>
      <c r="D8" s="60">
        <f>IF(((COUNTIFS('T7'!$C$4:$C$68,"C*",'T7'!AG$4:AG$68,"&lt;&gt;")+COUNTIFS('T7'!$C$4:$C$68,"TC",'T7'!AG$4:AG$68,"&lt;&gt;")) + (COUNTIFS('T7'!$C$4:$C$68,"C*",'T7'!AH$4:AH$68,"&lt;&gt;")+COUNTIFS('T7'!$C$4:$C$68,"TC",'T7'!AH$4:AH$68,"&lt;&gt;")) + (COUNTIFS('T8'!$C$4:$C$68,"C*",'T8'!D$4:D$68,"&lt;&gt;")+COUNTIFS('T8'!$C$4:$C$68,"TC",'T8'!D$4:D$68,"&lt;&gt;")) + (COUNTIFS('T8'!$C$4:$C$68,"C*",'T8'!E$4:E$68,"&lt;&gt;")+COUNTIFS('T8'!$C$4:$C$68,"TC",'T8'!E$4:E$68,"&lt;&gt;")) + (COUNTIFS('T8'!$C$4:$C$68,"C*",'T8'!F$4:F$68,"&lt;&gt;")+COUNTIFS('T8'!$C$4:$C$68,"TC",'T8'!F$4:F$68,"&lt;&gt;")) + (COUNTIFS('T8'!$C$4:$C$68,"C*",'T8'!G$4:G$68,"&lt;&gt;")+COUNTIFS('T8'!$C$4:$C$68,"TC",'T8'!G$4:G$68,"&lt;&gt;")) + (COUNTIFS('T8'!$C$4:$C$68,"C*",'T8'!H$4:H$68,"&lt;&gt;")+COUNTIFS('T8'!$C$4:$C$68,"TC",'T8'!H$4:H$68,"&lt;&gt;")))=0,"",((COUNTIFS('T7'!$C$4:$C$68,"C*",'T7'!AG$4:AG$68,"x*")-0.5*(COUNTIFS('T7'!$C$4:$C$68,"C*",'T7'!AG$4:AG$68,"x/2")))+(COUNTIFS('T7'!$C$4:$C$68,"C*",'T7'!AH$4:AH$68,"x*")-0.5*(COUNTIFS('T7'!$C$4:$C$68,"C*",'T7'!AH$4:AH$68,"x/2")))+(COUNTIFS('T8'!$C$4:$C$68,"C*",'T8'!D$4:D$68,"x*")-0.5*(COUNTIFS('T8'!$C$4:$C$68,"C*",'T8'!D$4:D$68,"x/2")))+(COUNTIFS('T8'!$C$4:$C$68,"C*",'T8'!F$4:F$68,"x*")-0.5*(COUNTIFS('T8'!$C$4:$C$68,"C*",'T8'!F$4:F$68,"x/2")))+(COUNTIFS('T8'!$C$4:$C$68,"C*",'T8'!G$4:G$68,"x*")-0.5*(COUNTIFS('T8'!$C$4:$C$68,"C*",'T8'!G$4:G$68,"x/2")))+(COUNTIFS('T8'!$C$4:$C$68,"C*",'T8'!H$4:H$68,"x*")-0.5*(COUNTIFS('T8'!$C$4:$C$68,"C*",'T8'!H$4:H$68,"x/2")))))</f>
        <v>78</v>
      </c>
      <c r="E8" s="61">
        <f>IF(((COUNTIFS('T7'!$C$4:$C$68,"C*",'T7'!AG$4:AG$68,"&lt;&gt;")+COUNTIFS('T7'!$C$4:$C$68,"TC",'T7'!AG$4:AG$68,"&lt;&gt;")) + (COUNTIFS('T7'!$C$4:$C$68,"C*",'T7'!AH$4:AH$68,"&lt;&gt;")+COUNTIFS('T7'!$C$4:$C$68,"TC",'T7'!AH$4:AH$68,"&lt;&gt;")) + (COUNTIFS('T8'!$C$4:$C$68,"C*",'T8'!D$4:D$68,"&lt;&gt;")+COUNTIFS('T8'!$C$4:$C$68,"TC",'T8'!D$4:D$68,"&lt;&gt;")) + (COUNTIFS('T8'!$C$4:$C$68,"C*",'T8'!E$4:E$68,"&lt;&gt;")+COUNTIFS('T8'!$C$4:$C$68,"TC",'T8'!E$4:E$68,"&lt;&gt;")) + (COUNTIFS('T8'!$C$4:$C$68,"C*",'T8'!F$4:F$68,"&lt;&gt;")+COUNTIFS('T8'!$C$4:$C$68,"TC",'T8'!F$4:F$68,"&lt;&gt;")) + (COUNTIFS('T8'!$C$4:$C$68,"C*",'T8'!G$4:G$68,"&lt;&gt;")+COUNTIFS('T8'!$C$4:$C$68,"TC",'T8'!G$4:G$68,"&lt;&gt;")) + (COUNTIFS('T8'!$C$4:$C$68,"C*",'T8'!H$4:H$68,"&lt;&gt;")+COUNTIFS('T8'!$C$4:$C$68,"TC",'T8'!H$4:H$68,"&lt;&gt;")))=0,"",((COUNTIFS('T8'!$C$4:$C$68,"C*",'T8'!E$4:E$68,"x*")-0.5*(COUNTIFS('T8'!$C$4:$C$68,"C*",'T8'!E$4:E$68,"x/2")))))</f>
        <v>9.5</v>
      </c>
      <c r="F8" s="60">
        <f>IF(AND(D8="",E8=""),"",D8+E8)</f>
        <v>87.5</v>
      </c>
      <c r="G8" s="60">
        <f>IF(((COUNTIFS('T7'!$C$4:$C$68,"C*",'T7'!AG$4:AG$68,"&lt;&gt;")+COUNTIFS('T7'!$C$4:$C$68,"TC",'T7'!AG$4:AG$68,"&lt;&gt;")) + (COUNTIFS('T7'!$C$4:$C$68,"C*",'T7'!AH$4:AH$68,"&lt;&gt;")+COUNTIFS('T7'!$C$4:$C$68,"TC",'T7'!AH$4:AH$68,"&lt;&gt;")) + (COUNTIFS('T8'!$C$4:$C$68,"C*",'T8'!D$4:D$68,"&lt;&gt;")+COUNTIFS('T8'!$C$4:$C$68,"TC",'T8'!D$4:D$68,"&lt;&gt;")) + (COUNTIFS('T8'!$C$4:$C$68,"C*",'T8'!E$4:E$68,"&lt;&gt;")+COUNTIFS('T8'!$C$4:$C$68,"TC",'T8'!E$4:E$68,"&lt;&gt;")) + (COUNTIFS('T8'!$C$4:$C$68,"C*",'T8'!F$4:F$68,"&lt;&gt;")+COUNTIFS('T8'!$C$4:$C$68,"TC",'T8'!F$4:F$68,"&lt;&gt;")) + (COUNTIFS('T8'!$C$4:$C$68,"C*",'T8'!G$4:G$68,"&lt;&gt;")+COUNTIFS('T8'!$C$4:$C$68,"TC",'T8'!G$4:G$68,"&lt;&gt;")) + (COUNTIFS('T8'!$C$4:$C$68,"C*",'T8'!H$4:H$68,"&lt;&gt;")+COUNTIFS('T8'!$C$4:$C$68,"TC",'T8'!H$4:H$68,"&lt;&gt;")))=0,"",(SUMIF('T7'!$C$4:$C$68,"TC",'T7'!AG$4:AG$68))+(SUMIF('T7'!$C$4:$C$68,"TC",'T7'!AH$4:AH$68))+(SUMIF('T8'!$C$4:$C$68,"TC",'T8'!D$4:D$68))+(SUMIF('T8'!$C$4:$C$68,"TC",'T8'!F$4:F$68))+(SUMIF('T8'!$C$4:$C$68,"TC",'T8'!G$4:G$68))+(SUMIF('T8'!$C$4:$C$68,"TC",'T8'!H$4:H$68)))</f>
        <v>89.25</v>
      </c>
      <c r="H8" s="62">
        <f>IF(((COUNTIFS('T7'!$C$4:$C$68,"C*",'T7'!AG$4:AG$68,"&lt;&gt;")+COUNTIFS('T7'!$C$4:$C$68,"TC",'T7'!AG$4:AG$68,"&lt;&gt;")) + (COUNTIFS('T7'!$C$4:$C$68,"C*",'T7'!AH$4:AH$68,"&lt;&gt;")+COUNTIFS('T7'!$C$4:$C$68,"TC",'T7'!AH$4:AH$68,"&lt;&gt;")) + (COUNTIFS('T8'!$C$4:$C$68,"C*",'T8'!D$4:D$68,"&lt;&gt;")+COUNTIFS('T8'!$C$4:$C$68,"TC",'T8'!D$4:D$68,"&lt;&gt;")) + (COUNTIFS('T8'!$C$4:$C$68,"C*",'T8'!E$4:E$68,"&lt;&gt;")+COUNTIFS('T8'!$C$4:$C$68,"TC",'T8'!E$4:E$68,"&lt;&gt;")) + (COUNTIFS('T8'!$C$4:$C$68,"C*",'T8'!F$4:F$68,"&lt;&gt;")+COUNTIFS('T8'!$C$4:$C$68,"TC",'T8'!F$4:F$68,"&lt;&gt;")) + (COUNTIFS('T8'!$C$4:$C$68,"C*",'T8'!G$4:G$68,"&lt;&gt;")+COUNTIFS('T8'!$C$4:$C$68,"TC",'T8'!G$4:G$68,"&lt;&gt;")) + (COUNTIFS('T8'!$C$4:$C$68,"C*",'T8'!H$4:H$68,"&lt;&gt;")+COUNTIFS('T8'!$C$4:$C$68,"TC",'T8'!H$4:H$68,"&lt;&gt;")))=0,"",(SUMIF('T7'!$C$4:$C$68,"TC",'T7'!AG$4:AG$68))+(SUMIF('T7'!$C$4:$C$68,"TC",'T7'!AH$4:AH$68))+(SUMIF('T8'!$C$4:$C$68,"TC",'T8'!D$4:D$68))+(SUMIF('T8'!$C$4:$C$68,"TC",'T8'!E$4:E$68))+(SUMIF('T8'!$C$4:$C$68,"TC",'T8'!F$4:F$68))+(SUMIF('T8'!$C$4:$C$68,"TC",'T8'!G$4:G$68))+(SUMIF('T8'!$C$4:$C$68,"TC",'T8'!H$4:H$68)))</f>
        <v>89.25</v>
      </c>
      <c r="I8" s="60">
        <f>IF(H8="","",H8/8)</f>
        <v>11.15625</v>
      </c>
      <c r="J8" s="57" t="str">
        <f>IF(((COUNTIFS('T7'!$C$4:$C$68,"C*",'T7'!AG$4:AG$68,"&lt;&gt;")+COUNTIFS('T7'!$C$4:$C$68,"TC",'T7'!AG$4:AG$68,"&lt;&gt;")) + (COUNTIFS('T7'!$C$4:$C$68,"C*",'T7'!AH$4:AH$68,"&lt;&gt;")+COUNTIFS('T7'!$C$4:$C$68,"TC",'T7'!AH$4:AH$68,"&lt;&gt;")) + (COUNTIFS('T8'!$C$4:$C$68,"C*",'T8'!D$4:D$68,"&lt;&gt;")+COUNTIFS('T8'!$C$4:$C$68,"TC",'T8'!D$4:D$68,"&lt;&gt;")) + (COUNTIFS('T8'!$C$4:$C$68,"C*",'T8'!E$4:E$68,"&lt;&gt;")+COUNTIFS('T8'!$C$4:$C$68,"TC",'T8'!E$4:E$68,"&lt;&gt;")) + (COUNTIFS('T8'!$C$4:$C$68,"C*",'T8'!F$4:F$68,"&lt;&gt;")+COUNTIFS('T8'!$C$4:$C$68,"TC",'T8'!F$4:F$68,"&lt;&gt;")) + (COUNTIFS('T8'!$C$4:$C$68,"C*",'T8'!G$4:G$68,"&lt;&gt;")+COUNTIFS('T8'!$C$4:$C$68,"TC",'T8'!G$4:G$68,"&lt;&gt;")) + (COUNTIFS('T8'!$C$4:$C$68,"C*",'T8'!H$4:H$68,"&lt;&gt;")+COUNTIFS('T8'!$C$4:$C$68,"TC",'T8'!H$4:H$68,"&lt;&gt;")))=0,"Chưa nhập","Đã cập nhật")</f>
        <v>Đã cập nhật</v>
      </c>
    </row>
    <row r="9" spans="1:10" x14ac:dyDescent="0.2">
      <c r="A9" s="57" t="s">
        <v>80</v>
      </c>
      <c r="B9" s="59">
        <v>46240</v>
      </c>
      <c r="C9" s="59">
        <v>46246</v>
      </c>
      <c r="D9" s="60">
        <f>IF(((COUNTIFS('T8'!$C$4:$C$68,"C*",'T8'!I$4:I$68,"&lt;&gt;")+COUNTIFS('T8'!$C$4:$C$68,"TC",'T8'!I$4:I$68,"&lt;&gt;")) + (COUNTIFS('T8'!$C$4:$C$68,"C*",'T8'!J$4:J$68,"&lt;&gt;")+COUNTIFS('T8'!$C$4:$C$68,"TC",'T8'!J$4:J$68,"&lt;&gt;")) + (COUNTIFS('T8'!$C$4:$C$68,"C*",'T8'!K$4:K$68,"&lt;&gt;")+COUNTIFS('T8'!$C$4:$C$68,"TC",'T8'!K$4:K$68,"&lt;&gt;")) + (COUNTIFS('T8'!$C$4:$C$68,"C*",'T8'!L$4:L$68,"&lt;&gt;")+COUNTIFS('T8'!$C$4:$C$68,"TC",'T8'!L$4:L$68,"&lt;&gt;")) + (COUNTIFS('T8'!$C$4:$C$68,"C*",'T8'!M$4:M$68,"&lt;&gt;")+COUNTIFS('T8'!$C$4:$C$68,"TC",'T8'!M$4:M$68,"&lt;&gt;")) + (COUNTIFS('T8'!$C$4:$C$68,"C*",'T8'!N$4:N$68,"&lt;&gt;")+COUNTIFS('T8'!$C$4:$C$68,"TC",'T8'!N$4:N$68,"&lt;&gt;")) + (COUNTIFS('T8'!$C$4:$C$68,"C*",'T8'!O$4:O$68,"&lt;&gt;")+COUNTIFS('T8'!$C$4:$C$68,"TC",'T8'!O$4:O$68,"&lt;&gt;")))=0,"",((COUNTIFS('T8'!$C$4:$C$68,"C*",'T8'!I$4:I$68,"x*")-0.5*(COUNTIFS('T8'!$C$4:$C$68,"C*",'T8'!I$4:I$68,"x/2")))+(COUNTIFS('T8'!$C$4:$C$68,"C*",'T8'!J$4:J$68,"x*")-0.5*(COUNTIFS('T8'!$C$4:$C$68,"C*",'T8'!J$4:J$68,"x/2")))+(COUNTIFS('T8'!$C$4:$C$68,"C*",'T8'!K$4:K$68,"x*")-0.5*(COUNTIFS('T8'!$C$4:$C$68,"C*",'T8'!K$4:K$68,"x/2")))+(COUNTIFS('T8'!$C$4:$C$68,"C*",'T8'!M$4:M$68,"x*")-0.5*(COUNTIFS('T8'!$C$4:$C$68,"C*",'T8'!M$4:M$68,"x/2")))+(COUNTIFS('T8'!$C$4:$C$68,"C*",'T8'!N$4:N$68,"x*")-0.5*(COUNTIFS('T8'!$C$4:$C$68,"C*",'T8'!N$4:N$68,"x/2")))+(COUNTIFS('T8'!$C$4:$C$68,"C*",'T8'!O$4:O$68,"x*")-0.5*(COUNTIFS('T8'!$C$4:$C$68,"C*",'T8'!O$4:O$68,"x/2")))))</f>
        <v>75.5</v>
      </c>
      <c r="E9" s="61">
        <f>IF(((COUNTIFS('T8'!$C$4:$C$68,"C*",'T8'!I$4:I$68,"&lt;&gt;")+COUNTIFS('T8'!$C$4:$C$68,"TC",'T8'!I$4:I$68,"&lt;&gt;")) + (COUNTIFS('T8'!$C$4:$C$68,"C*",'T8'!J$4:J$68,"&lt;&gt;")+COUNTIFS('T8'!$C$4:$C$68,"TC",'T8'!J$4:J$68,"&lt;&gt;")) + (COUNTIFS('T8'!$C$4:$C$68,"C*",'T8'!K$4:K$68,"&lt;&gt;")+COUNTIFS('T8'!$C$4:$C$68,"TC",'T8'!K$4:K$68,"&lt;&gt;")) + (COUNTIFS('T8'!$C$4:$C$68,"C*",'T8'!L$4:L$68,"&lt;&gt;")+COUNTIFS('T8'!$C$4:$C$68,"TC",'T8'!L$4:L$68,"&lt;&gt;")) + (COUNTIFS('T8'!$C$4:$C$68,"C*",'T8'!M$4:M$68,"&lt;&gt;")+COUNTIFS('T8'!$C$4:$C$68,"TC",'T8'!M$4:M$68,"&lt;&gt;")) + (COUNTIFS('T8'!$C$4:$C$68,"C*",'T8'!N$4:N$68,"&lt;&gt;")+COUNTIFS('T8'!$C$4:$C$68,"TC",'T8'!N$4:N$68,"&lt;&gt;")) + (COUNTIFS('T8'!$C$4:$C$68,"C*",'T8'!O$4:O$68,"&lt;&gt;")+COUNTIFS('T8'!$C$4:$C$68,"TC",'T8'!O$4:O$68,"&lt;&gt;")))=0,"",((COUNTIFS('T8'!$C$4:$C$68,"C*",'T8'!L$4:L$68,"x*")-0.5*(COUNTIFS('T8'!$C$4:$C$68,"C*",'T8'!L$4:L$68,"x/2")))))</f>
        <v>7</v>
      </c>
      <c r="F9" s="60">
        <f>IF(AND(D9="",E9=""),"",D9+E9)</f>
        <v>82.5</v>
      </c>
      <c r="G9" s="60">
        <f>IF(((COUNTIFS('T8'!$C$4:$C$68,"C*",'T8'!I$4:I$68,"&lt;&gt;")+COUNTIFS('T8'!$C$4:$C$68,"TC",'T8'!I$4:I$68,"&lt;&gt;")) + (COUNTIFS('T8'!$C$4:$C$68,"C*",'T8'!J$4:J$68,"&lt;&gt;")+COUNTIFS('T8'!$C$4:$C$68,"TC",'T8'!J$4:J$68,"&lt;&gt;")) + (COUNTIFS('T8'!$C$4:$C$68,"C*",'T8'!K$4:K$68,"&lt;&gt;")+COUNTIFS('T8'!$C$4:$C$68,"TC",'T8'!K$4:K$68,"&lt;&gt;")) + (COUNTIFS('T8'!$C$4:$C$68,"C*",'T8'!L$4:L$68,"&lt;&gt;")+COUNTIFS('T8'!$C$4:$C$68,"TC",'T8'!L$4:L$68,"&lt;&gt;")) + (COUNTIFS('T8'!$C$4:$C$68,"C*",'T8'!M$4:M$68,"&lt;&gt;")+COUNTIFS('T8'!$C$4:$C$68,"TC",'T8'!M$4:M$68,"&lt;&gt;")) + (COUNTIFS('T8'!$C$4:$C$68,"C*",'T8'!N$4:N$68,"&lt;&gt;")+COUNTIFS('T8'!$C$4:$C$68,"TC",'T8'!N$4:N$68,"&lt;&gt;")) + (COUNTIFS('T8'!$C$4:$C$68,"C*",'T8'!O$4:O$68,"&lt;&gt;")+COUNTIFS('T8'!$C$4:$C$68,"TC",'T8'!O$4:O$68,"&lt;&gt;")))=0,"",(SUMIF('T8'!$C$4:$C$68,"TC",'T8'!I$4:I$68))+(SUMIF('T8'!$C$4:$C$68,"TC",'T8'!J$4:J$68))+(SUMIF('T8'!$C$4:$C$68,"TC",'T8'!K$4:K$68))+(SUMIF('T8'!$C$4:$C$68,"TC",'T8'!M$4:M$68))+(SUMIF('T8'!$C$4:$C$68,"TC",'T8'!N$4:N$68))+(SUMIF('T8'!$C$4:$C$68,"TC",'T8'!O$4:O$68)))</f>
        <v>91</v>
      </c>
      <c r="H9" s="62">
        <f>IF(((COUNTIFS('T8'!$C$4:$C$68,"C*",'T8'!I$4:I$68,"&lt;&gt;")+COUNTIFS('T8'!$C$4:$C$68,"TC",'T8'!I$4:I$68,"&lt;&gt;")) + (COUNTIFS('T8'!$C$4:$C$68,"C*",'T8'!J$4:J$68,"&lt;&gt;")+COUNTIFS('T8'!$C$4:$C$68,"TC",'T8'!J$4:J$68,"&lt;&gt;")) + (COUNTIFS('T8'!$C$4:$C$68,"C*",'T8'!K$4:K$68,"&lt;&gt;")+COUNTIFS('T8'!$C$4:$C$68,"TC",'T8'!K$4:K$68,"&lt;&gt;")) + (COUNTIFS('T8'!$C$4:$C$68,"C*",'T8'!L$4:L$68,"&lt;&gt;")+COUNTIFS('T8'!$C$4:$C$68,"TC",'T8'!L$4:L$68,"&lt;&gt;")) + (COUNTIFS('T8'!$C$4:$C$68,"C*",'T8'!M$4:M$68,"&lt;&gt;")+COUNTIFS('T8'!$C$4:$C$68,"TC",'T8'!M$4:M$68,"&lt;&gt;")) + (COUNTIFS('T8'!$C$4:$C$68,"C*",'T8'!N$4:N$68,"&lt;&gt;")+COUNTIFS('T8'!$C$4:$C$68,"TC",'T8'!N$4:N$68,"&lt;&gt;")) + (COUNTIFS('T8'!$C$4:$C$68,"C*",'T8'!O$4:O$68,"&lt;&gt;")+COUNTIFS('T8'!$C$4:$C$68,"TC",'T8'!O$4:O$68,"&lt;&gt;")))=0,"",(SUMIF('T8'!$C$4:$C$68,"TC",'T8'!I$4:I$68))+(SUMIF('T8'!$C$4:$C$68,"TC",'T8'!J$4:J$68))+(SUMIF('T8'!$C$4:$C$68,"TC",'T8'!K$4:K$68))+(SUMIF('T8'!$C$4:$C$68,"TC",'T8'!L$4:L$68))+(SUMIF('T8'!$C$4:$C$68,"TC",'T8'!M$4:M$68))+(SUMIF('T8'!$C$4:$C$68,"TC",'T8'!N$4:N$68))+(SUMIF('T8'!$C$4:$C$68,"TC",'T8'!O$4:O$68)))</f>
        <v>91</v>
      </c>
      <c r="I9" s="60">
        <f>IF(H9="","",H9/8)</f>
        <v>11.375</v>
      </c>
      <c r="J9" s="57" t="str">
        <f>IF(((COUNTIFS('T8'!$C$4:$C$68,"C*",'T8'!I$4:I$68,"&lt;&gt;")+COUNTIFS('T8'!$C$4:$C$68,"TC",'T8'!I$4:I$68,"&lt;&gt;")) + (COUNTIFS('T8'!$C$4:$C$68,"C*",'T8'!J$4:J$68,"&lt;&gt;")+COUNTIFS('T8'!$C$4:$C$68,"TC",'T8'!J$4:J$68,"&lt;&gt;")) + (COUNTIFS('T8'!$C$4:$C$68,"C*",'T8'!K$4:K$68,"&lt;&gt;")+COUNTIFS('T8'!$C$4:$C$68,"TC",'T8'!K$4:K$68,"&lt;&gt;")) + (COUNTIFS('T8'!$C$4:$C$68,"C*",'T8'!L$4:L$68,"&lt;&gt;")+COUNTIFS('T8'!$C$4:$C$68,"TC",'T8'!L$4:L$68,"&lt;&gt;")) + (COUNTIFS('T8'!$C$4:$C$68,"C*",'T8'!M$4:M$68,"&lt;&gt;")+COUNTIFS('T8'!$C$4:$C$68,"TC",'T8'!M$4:M$68,"&lt;&gt;")) + (COUNTIFS('T8'!$C$4:$C$68,"C*",'T8'!N$4:N$68,"&lt;&gt;")+COUNTIFS('T8'!$C$4:$C$68,"TC",'T8'!N$4:N$68,"&lt;&gt;")) + (COUNTIFS('T8'!$C$4:$C$68,"C*",'T8'!O$4:O$68,"&lt;&gt;")+COUNTIFS('T8'!$C$4:$C$68,"TC",'T8'!O$4:O$68,"&lt;&gt;")))=0,"Chưa nhập","Đã cập nhật")</f>
        <v>Đã cập nhật</v>
      </c>
    </row>
    <row r="10" spans="1:10" x14ac:dyDescent="0.2">
      <c r="A10" s="57" t="s">
        <v>81</v>
      </c>
      <c r="B10" s="59">
        <v>46247</v>
      </c>
      <c r="C10" s="59">
        <v>46253</v>
      </c>
      <c r="D10" s="60">
        <f>IF(((COUNTIFS('T8'!$C$4:$C$68,"C*",'T8'!P$4:P$68,"&lt;&gt;")+COUNTIFS('T8'!$C$4:$C$68,"TC",'T8'!P$4:P$68,"&lt;&gt;")) + (COUNTIFS('T8'!$C$4:$C$68,"C*",'T8'!Q$4:Q$68,"&lt;&gt;")+COUNTIFS('T8'!$C$4:$C$68,"TC",'T8'!Q$4:Q$68,"&lt;&gt;")) + (COUNTIFS('T8'!$C$4:$C$68,"C*",'T8'!R$4:R$68,"&lt;&gt;")+COUNTIFS('T8'!$C$4:$C$68,"TC",'T8'!R$4:R$68,"&lt;&gt;")) + (COUNTIFS('T8'!$C$4:$C$68,"C*",'T8'!S$4:S$68,"&lt;&gt;")+COUNTIFS('T8'!$C$4:$C$68,"TC",'T8'!S$4:S$68,"&lt;&gt;")) + (COUNTIFS('T8'!$C$4:$C$68,"C*",'T8'!T$4:T$68,"&lt;&gt;")+COUNTIFS('T8'!$C$4:$C$68,"TC",'T8'!T$4:T$68,"&lt;&gt;")) + (COUNTIFS('T8'!$C$4:$C$68,"C*",'T8'!U$4:U$68,"&lt;&gt;")+COUNTIFS('T8'!$C$4:$C$68,"TC",'T8'!U$4:U$68,"&lt;&gt;")) + (COUNTIFS('T8'!$C$4:$C$68,"C*",'T8'!V$4:V$68,"&lt;&gt;")+COUNTIFS('T8'!$C$4:$C$68,"TC",'T8'!V$4:V$68,"&lt;&gt;")))=0,"",((COUNTIFS('T8'!$C$4:$C$68,"C*",'T8'!P$4:P$68,"x*")-0.5*(COUNTIFS('T8'!$C$4:$C$68,"C*",'T8'!P$4:P$68,"x/2")))+(COUNTIFS('T8'!$C$4:$C$68,"C*",'T8'!Q$4:Q$68,"x*")-0.5*(COUNTIFS('T8'!$C$4:$C$68,"C*",'T8'!Q$4:Q$68,"x/2")))+(COUNTIFS('T8'!$C$4:$C$68,"C*",'T8'!R$4:R$68,"x*")-0.5*(COUNTIFS('T8'!$C$4:$C$68,"C*",'T8'!R$4:R$68,"x/2")))+(COUNTIFS('T8'!$C$4:$C$68,"C*",'T8'!T$4:T$68,"x*")-0.5*(COUNTIFS('T8'!$C$4:$C$68,"C*",'T8'!T$4:T$68,"x/2")))+(COUNTIFS('T8'!$C$4:$C$68,"C*",'T8'!U$4:U$68,"x*")-0.5*(COUNTIFS('T8'!$C$4:$C$68,"C*",'T8'!U$4:U$68,"x/2")))+(COUNTIFS('T8'!$C$4:$C$68,"C*",'T8'!V$4:V$68,"x*")-0.5*(COUNTIFS('T8'!$C$4:$C$68,"C*",'T8'!V$4:V$68,"x/2")))))</f>
        <v>75</v>
      </c>
      <c r="E10" s="61">
        <f>IF(((COUNTIFS('T8'!$C$4:$C$68,"C*",'T8'!P$4:P$68,"&lt;&gt;")+COUNTIFS('T8'!$C$4:$C$68,"TC",'T8'!P$4:P$68,"&lt;&gt;")) + (COUNTIFS('T8'!$C$4:$C$68,"C*",'T8'!Q$4:Q$68,"&lt;&gt;")+COUNTIFS('T8'!$C$4:$C$68,"TC",'T8'!Q$4:Q$68,"&lt;&gt;")) + (COUNTIFS('T8'!$C$4:$C$68,"C*",'T8'!R$4:R$68,"&lt;&gt;")+COUNTIFS('T8'!$C$4:$C$68,"TC",'T8'!R$4:R$68,"&lt;&gt;")) + (COUNTIFS('T8'!$C$4:$C$68,"C*",'T8'!S$4:S$68,"&lt;&gt;")+COUNTIFS('T8'!$C$4:$C$68,"TC",'T8'!S$4:S$68,"&lt;&gt;")) + (COUNTIFS('T8'!$C$4:$C$68,"C*",'T8'!T$4:T$68,"&lt;&gt;")+COUNTIFS('T8'!$C$4:$C$68,"TC",'T8'!T$4:T$68,"&lt;&gt;")) + (COUNTIFS('T8'!$C$4:$C$68,"C*",'T8'!U$4:U$68,"&lt;&gt;")+COUNTIFS('T8'!$C$4:$C$68,"TC",'T8'!U$4:U$68,"&lt;&gt;")) + (COUNTIFS('T8'!$C$4:$C$68,"C*",'T8'!V$4:V$68,"&lt;&gt;")+COUNTIFS('T8'!$C$4:$C$68,"TC",'T8'!V$4:V$68,"&lt;&gt;")))=0,"",((COUNTIFS('T8'!$C$4:$C$68,"C*",'T8'!S$4:S$68,"x*")-0.5*(COUNTIFS('T8'!$C$4:$C$68,"C*",'T8'!S$4:S$68,"x/2")))))</f>
        <v>11</v>
      </c>
      <c r="F10" s="60">
        <f>IF(AND(D10="",E10=""),"",D10+E10)</f>
        <v>86</v>
      </c>
      <c r="G10" s="60">
        <f>IF(((COUNTIFS('T8'!$C$4:$C$68,"C*",'T8'!P$4:P$68,"&lt;&gt;")+COUNTIFS('T8'!$C$4:$C$68,"TC",'T8'!P$4:P$68,"&lt;&gt;")) + (COUNTIFS('T8'!$C$4:$C$68,"C*",'T8'!Q$4:Q$68,"&lt;&gt;")+COUNTIFS('T8'!$C$4:$C$68,"TC",'T8'!Q$4:Q$68,"&lt;&gt;")) + (COUNTIFS('T8'!$C$4:$C$68,"C*",'T8'!R$4:R$68,"&lt;&gt;")+COUNTIFS('T8'!$C$4:$C$68,"TC",'T8'!R$4:R$68,"&lt;&gt;")) + (COUNTIFS('T8'!$C$4:$C$68,"C*",'T8'!S$4:S$68,"&lt;&gt;")+COUNTIFS('T8'!$C$4:$C$68,"TC",'T8'!S$4:S$68,"&lt;&gt;")) + (COUNTIFS('T8'!$C$4:$C$68,"C*",'T8'!T$4:T$68,"&lt;&gt;")+COUNTIFS('T8'!$C$4:$C$68,"TC",'T8'!T$4:T$68,"&lt;&gt;")) + (COUNTIFS('T8'!$C$4:$C$68,"C*",'T8'!U$4:U$68,"&lt;&gt;")+COUNTIFS('T8'!$C$4:$C$68,"TC",'T8'!U$4:U$68,"&lt;&gt;")) + (COUNTIFS('T8'!$C$4:$C$68,"C*",'T8'!V$4:V$68,"&lt;&gt;")+COUNTIFS('T8'!$C$4:$C$68,"TC",'T8'!V$4:V$68,"&lt;&gt;")))=0,"",(SUMIF('T8'!$C$4:$C$68,"TC",'T8'!P$4:P$68))+(SUMIF('T8'!$C$4:$C$68,"TC",'T8'!Q$4:Q$68))+(SUMIF('T8'!$C$4:$C$68,"TC",'T8'!R$4:R$68))+(SUMIF('T8'!$C$4:$C$68,"TC",'T8'!S$4:S$68))+(SUMIF('T8'!$C$4:$C$68,"TC",'T8'!T$4:T$68))+(SUMIF('T8'!$C$4:$C$68,"TC",'T8'!U$4:U$68))+(SUMIF('T8'!$C$4:$C$68,"TC",'T8'!V$4:V$68)))</f>
        <v>86</v>
      </c>
      <c r="H10" s="62">
        <f>IF(((COUNTIFS('T8'!$C$4:$C$68,"C*",'T8'!P$4:P$68,"&lt;&gt;")+COUNTIFS('T8'!$C$4:$C$68,"TC",'T8'!P$4:P$68,"&lt;&gt;")) + (COUNTIFS('T8'!$C$4:$C$68,"C*",'T8'!Q$4:Q$68,"&lt;&gt;")+COUNTIFS('T8'!$C$4:$C$68,"TC",'T8'!Q$4:Q$68,"&lt;&gt;")) + (COUNTIFS('T8'!$C$4:$C$68,"C*",'T8'!R$4:R$68,"&lt;&gt;")+COUNTIFS('T8'!$C$4:$C$68,"TC",'T8'!R$4:R$68,"&lt;&gt;")) + (COUNTIFS('T8'!$C$4:$C$68,"C*",'T8'!S$4:S$68,"&lt;&gt;")+COUNTIFS('T8'!$C$4:$C$68,"TC",'T8'!S$4:S$68,"&lt;&gt;")) + (COUNTIFS('T8'!$C$4:$C$68,"C*",'T8'!T$4:T$68,"&lt;&gt;")+COUNTIFS('T8'!$C$4:$C$68,"TC",'T8'!T$4:T$68,"&lt;&gt;")) + (COUNTIFS('T8'!$C$4:$C$68,"C*",'T8'!U$4:U$68,"&lt;&gt;")+COUNTIFS('T8'!$C$4:$C$68,"TC",'T8'!U$4:U$68,"&lt;&gt;")) + (COUNTIFS('T8'!$C$4:$C$68,"C*",'T8'!V$4:V$68,"&lt;&gt;")+COUNTIFS('T8'!$C$4:$C$68,"TC",'T8'!V$4:V$68,"&lt;&gt;")))=0,"",(SUMIF('T8'!$C$4:$C$68,"TC",'T8'!P$4:P$68))+(SUMIF('T8'!$C$4:$C$68,"TC",'T8'!Q$4:Q$68))+(SUMIF('T8'!$C$4:$C$68,"TC",'T8'!R$4:R$68))+(SUMIF('T8'!$C$4:$C$68,"TC",'T8'!S$4:S$68))+(SUMIF('T8'!$C$4:$C$68,"TC",'T8'!T$4:T$68))+(SUMIF('T8'!$C$4:$C$68,"TC",'T8'!U$4:U$68))+(SUMIF('T8'!$C$4:$C$68,"TC",'T8'!V$4:V$68)))</f>
        <v>86</v>
      </c>
      <c r="I10" s="60">
        <f>IF(H10="","",H10/8)</f>
        <v>10.75</v>
      </c>
      <c r="J10" s="57" t="str">
        <f>IF(((COUNTIFS('T8'!$C$4:$C$68,"C*",'T8'!P$4:P$68,"&lt;&gt;")+COUNTIFS('T8'!$C$4:$C$68,"TC",'T8'!P$4:P$68,"&lt;&gt;")) + (COUNTIFS('T8'!$C$4:$C$68,"C*",'T8'!Q$4:Q$68,"&lt;&gt;")+COUNTIFS('T8'!$C$4:$C$68,"TC",'T8'!Q$4:Q$68,"&lt;&gt;")) + (COUNTIFS('T8'!$C$4:$C$68,"C*",'T8'!R$4:R$68,"&lt;&gt;")+COUNTIFS('T8'!$C$4:$C$68,"TC",'T8'!R$4:R$68,"&lt;&gt;")) + (COUNTIFS('T8'!$C$4:$C$68,"C*",'T8'!S$4:S$68,"&lt;&gt;")+COUNTIFS('T8'!$C$4:$C$68,"TC",'T8'!S$4:S$68,"&lt;&gt;")) + (COUNTIFS('T8'!$C$4:$C$68,"C*",'T8'!T$4:T$68,"&lt;&gt;")+COUNTIFS('T8'!$C$4:$C$68,"TC",'T8'!T$4:T$68,"&lt;&gt;")) + (COUNTIFS('T8'!$C$4:$C$68,"C*",'T8'!U$4:U$68,"&lt;&gt;")+COUNTIFS('T8'!$C$4:$C$68,"TC",'T8'!U$4:U$68,"&lt;&gt;")) + (COUNTIFS('T8'!$C$4:$C$68,"C*",'T8'!V$4:V$68,"&lt;&gt;")+COUNTIFS('T8'!$C$4:$C$68,"TC",'T8'!V$4:V$68,"&lt;&gt;")))=0,"Chưa nhập","Đã cập nhật")</f>
        <v>Đã cập nhật</v>
      </c>
    </row>
    <row r="11" spans="1:10" x14ac:dyDescent="0.2">
      <c r="A11" s="57" t="s">
        <v>82</v>
      </c>
      <c r="B11" s="59">
        <v>46254</v>
      </c>
      <c r="C11" s="59">
        <v>46260</v>
      </c>
      <c r="D11" s="60" t="str">
        <f>IF(((COUNTIFS('T8'!$C$4:$C$68,"C*",'T8'!W$4:W$68,"&lt;&gt;")+COUNTIFS('T8'!$C$4:$C$68,"TC",'T8'!W$4:W$68,"&lt;&gt;")) + (COUNTIFS('T8'!$C$4:$C$68,"C*",'T8'!X$4:X$68,"&lt;&gt;")+COUNTIFS('T8'!$C$4:$C$68,"TC",'T8'!X$4:X$68,"&lt;&gt;")) + (COUNTIFS('T8'!$C$4:$C$68,"C*",'T8'!Y$4:Y$68,"&lt;&gt;")+COUNTIFS('T8'!$C$4:$C$68,"TC",'T8'!Y$4:Y$68,"&lt;&gt;")) + (COUNTIFS('T8'!$C$4:$C$68,"C*",'T8'!Z$4:Z$68,"&lt;&gt;")+COUNTIFS('T8'!$C$4:$C$68,"TC",'T8'!Z$4:Z$68,"&lt;&gt;")) + (COUNTIFS('T8'!$C$4:$C$68,"C*",'T8'!AA$4:AA$68,"&lt;&gt;")+COUNTIFS('T8'!$C$4:$C$68,"TC",'T8'!AA$4:AA$68,"&lt;&gt;")) + (COUNTIFS('T8'!$C$4:$C$68,"C*",'T8'!AB$4:AB$68,"&lt;&gt;")+COUNTIFS('T8'!$C$4:$C$68,"TC",'T8'!AB$4:AB$68,"&lt;&gt;")) + (COUNTIFS('T8'!$C$4:$C$68,"C*",'T8'!AC$4:AC$68,"&lt;&gt;")+COUNTIFS('T8'!$C$4:$C$68,"TC",'T8'!AC$4:AC$68,"&lt;&gt;")))=0,"",((COUNTIFS('T8'!$C$4:$C$68,"C*",'T8'!W$4:W$68,"x*")-0.5*(COUNTIFS('T8'!$C$4:$C$68,"C*",'T8'!W$4:W$68,"x/2")))+(COUNTIFS('T8'!$C$4:$C$68,"C*",'T8'!X$4:X$68,"x*")-0.5*(COUNTIFS('T8'!$C$4:$C$68,"C*",'T8'!X$4:X$68,"x/2")))+(COUNTIFS('T8'!$C$4:$C$68,"C*",'T8'!Y$4:Y$68,"x*")-0.5*(COUNTIFS('T8'!$C$4:$C$68,"C*",'T8'!Y$4:Y$68,"x/2")))+(COUNTIFS('T8'!$C$4:$C$68,"C*",'T8'!AA$4:AA$68,"x*")-0.5*(COUNTIFS('T8'!$C$4:$C$68,"C*",'T8'!AA$4:AA$68,"x/2")))+(COUNTIFS('T8'!$C$4:$C$68,"C*",'T8'!AB$4:AB$68,"x*")-0.5*(COUNTIFS('T8'!$C$4:$C$68,"C*",'T8'!AB$4:AB$68,"x/2")))+(COUNTIFS('T8'!$C$4:$C$68,"C*",'T8'!AC$4:AC$68,"x*")-0.5*(COUNTIFS('T8'!$C$4:$C$68,"C*",'T8'!AC$4:AC$68,"x/2")))))</f>
        <v/>
      </c>
      <c r="E11" s="61" t="str">
        <f>IF(((COUNTIFS('T8'!$C$4:$C$68,"C*",'T8'!W$4:W$68,"&lt;&gt;")+COUNTIFS('T8'!$C$4:$C$68,"TC",'T8'!W$4:W$68,"&lt;&gt;")) + (COUNTIFS('T8'!$C$4:$C$68,"C*",'T8'!X$4:X$68,"&lt;&gt;")+COUNTIFS('T8'!$C$4:$C$68,"TC",'T8'!X$4:X$68,"&lt;&gt;")) + (COUNTIFS('T8'!$C$4:$C$68,"C*",'T8'!Y$4:Y$68,"&lt;&gt;")+COUNTIFS('T8'!$C$4:$C$68,"TC",'T8'!Y$4:Y$68,"&lt;&gt;")) + (COUNTIFS('T8'!$C$4:$C$68,"C*",'T8'!Z$4:Z$68,"&lt;&gt;")+COUNTIFS('T8'!$C$4:$C$68,"TC",'T8'!Z$4:Z$68,"&lt;&gt;")) + (COUNTIFS('T8'!$C$4:$C$68,"C*",'T8'!AA$4:AA$68,"&lt;&gt;")+COUNTIFS('T8'!$C$4:$C$68,"TC",'T8'!AA$4:AA$68,"&lt;&gt;")) + (COUNTIFS('T8'!$C$4:$C$68,"C*",'T8'!AB$4:AB$68,"&lt;&gt;")+COUNTIFS('T8'!$C$4:$C$68,"TC",'T8'!AB$4:AB$68,"&lt;&gt;")) + (COUNTIFS('T8'!$C$4:$C$68,"C*",'T8'!AC$4:AC$68,"&lt;&gt;")+COUNTIFS('T8'!$C$4:$C$68,"TC",'T8'!AC$4:AC$68,"&lt;&gt;")))=0,"",((COUNTIFS('T8'!$C$4:$C$68,"C*",'T8'!Z$4:Z$68,"x*")-0.5*(COUNTIFS('T8'!$C$4:$C$68,"C*",'T8'!Z$4:Z$68,"x/2")))))</f>
        <v/>
      </c>
      <c r="F11" s="60" t="str">
        <f>IF(AND(D11="",E11=""),"",D11+E11)</f>
        <v/>
      </c>
      <c r="G11" s="60" t="str">
        <f>IF(((COUNTIFS('T8'!$C$4:$C$68,"C*",'T8'!W$4:W$68,"&lt;&gt;")+COUNTIFS('T8'!$C$4:$C$68,"TC",'T8'!W$4:W$68,"&lt;&gt;")) + (COUNTIFS('T8'!$C$4:$C$68,"C*",'T8'!X$4:X$68,"&lt;&gt;")+COUNTIFS('T8'!$C$4:$C$68,"TC",'T8'!X$4:X$68,"&lt;&gt;")) + (COUNTIFS('T8'!$C$4:$C$68,"C*",'T8'!Y$4:Y$68,"&lt;&gt;")+COUNTIFS('T8'!$C$4:$C$68,"TC",'T8'!Y$4:Y$68,"&lt;&gt;")) + (COUNTIFS('T8'!$C$4:$C$68,"C*",'T8'!Z$4:Z$68,"&lt;&gt;")+COUNTIFS('T8'!$C$4:$C$68,"TC",'T8'!Z$4:Z$68,"&lt;&gt;")) + (COUNTIFS('T8'!$C$4:$C$68,"C*",'T8'!AA$4:AA$68,"&lt;&gt;")+COUNTIFS('T8'!$C$4:$C$68,"TC",'T8'!AA$4:AA$68,"&lt;&gt;")) + (COUNTIFS('T8'!$C$4:$C$68,"C*",'T8'!AB$4:AB$68,"&lt;&gt;")+COUNTIFS('T8'!$C$4:$C$68,"TC",'T8'!AB$4:AB$68,"&lt;&gt;")) + (COUNTIFS('T8'!$C$4:$C$68,"C*",'T8'!AC$4:AC$68,"&lt;&gt;")+COUNTIFS('T8'!$C$4:$C$68,"TC",'T8'!AC$4:AC$68,"&lt;&gt;")))=0,"",(SUMIF('T8'!$C$4:$C$68,"TC",'T8'!W$4:W$68))+(SUMIF('T8'!$C$4:$C$68,"TC",'T8'!X$4:X$68))+(SUMIF('T8'!$C$4:$C$68,"TC",'T8'!Y$4:Y$68))+(SUMIF('T8'!$C$4:$C$68,"TC",'T8'!AA$4:AA$68))+(SUMIF('T8'!$C$4:$C$68,"TC",'T8'!AB$4:AB$68))+(SUMIF('T8'!$C$4:$C$68,"TC",'T8'!AC$4:AC$68)))</f>
        <v/>
      </c>
      <c r="H11" s="62" t="str">
        <f>IF(((COUNTIFS('T8'!$C$4:$C$68,"C*",'T8'!W$4:W$68,"&lt;&gt;")+COUNTIFS('T8'!$C$4:$C$68,"TC",'T8'!W$4:W$68,"&lt;&gt;")) + (COUNTIFS('T8'!$C$4:$C$68,"C*",'T8'!X$4:X$68,"&lt;&gt;")+COUNTIFS('T8'!$C$4:$C$68,"TC",'T8'!X$4:X$68,"&lt;&gt;")) + (COUNTIFS('T8'!$C$4:$C$68,"C*",'T8'!Y$4:Y$68,"&lt;&gt;")+COUNTIFS('T8'!$C$4:$C$68,"TC",'T8'!Y$4:Y$68,"&lt;&gt;")) + (COUNTIFS('T8'!$C$4:$C$68,"C*",'T8'!Z$4:Z$68,"&lt;&gt;")+COUNTIFS('T8'!$C$4:$C$68,"TC",'T8'!Z$4:Z$68,"&lt;&gt;")) + (COUNTIFS('T8'!$C$4:$C$68,"C*",'T8'!AA$4:AA$68,"&lt;&gt;")+COUNTIFS('T8'!$C$4:$C$68,"TC",'T8'!AA$4:AA$68,"&lt;&gt;")) + (COUNTIFS('T8'!$C$4:$C$68,"C*",'T8'!AB$4:AB$68,"&lt;&gt;")+COUNTIFS('T8'!$C$4:$C$68,"TC",'T8'!AB$4:AB$68,"&lt;&gt;")) + (COUNTIFS('T8'!$C$4:$C$68,"C*",'T8'!AC$4:AC$68,"&lt;&gt;")+COUNTIFS('T8'!$C$4:$C$68,"TC",'T8'!AC$4:AC$68,"&lt;&gt;")))=0,"",(SUMIF('T8'!$C$4:$C$68,"TC",'T8'!W$4:W$68))+(SUMIF('T8'!$C$4:$C$68,"TC",'T8'!X$4:X$68))+(SUMIF('T8'!$C$4:$C$68,"TC",'T8'!Y$4:Y$68))+(SUMIF('T8'!$C$4:$C$68,"TC",'T8'!Z$4:Z$68))+(SUMIF('T8'!$C$4:$C$68,"TC",'T8'!AA$4:AA$68))+(SUMIF('T8'!$C$4:$C$68,"TC",'T8'!AB$4:AB$68))+(SUMIF('T8'!$C$4:$C$68,"TC",'T8'!AC$4:AC$68)))</f>
        <v/>
      </c>
      <c r="I11" s="60" t="str">
        <f>IF(H11="","",H11/8)</f>
        <v/>
      </c>
      <c r="J11" s="57" t="str">
        <f>IF(((COUNTIFS('T8'!$C$4:$C$68,"C*",'T8'!W$4:W$68,"&lt;&gt;")+COUNTIFS('T8'!$C$4:$C$68,"TC",'T8'!W$4:W$68,"&lt;&gt;")) + (COUNTIFS('T8'!$C$4:$C$68,"C*",'T8'!X$4:X$68,"&lt;&gt;")+COUNTIFS('T8'!$C$4:$C$68,"TC",'T8'!X$4:X$68,"&lt;&gt;")) + (COUNTIFS('T8'!$C$4:$C$68,"C*",'T8'!Y$4:Y$68,"&lt;&gt;")+COUNTIFS('T8'!$C$4:$C$68,"TC",'T8'!Y$4:Y$68,"&lt;&gt;")) + (COUNTIFS('T8'!$C$4:$C$68,"C*",'T8'!Z$4:Z$68,"&lt;&gt;")+COUNTIFS('T8'!$C$4:$C$68,"TC",'T8'!Z$4:Z$68,"&lt;&gt;")) + (COUNTIFS('T8'!$C$4:$C$68,"C*",'T8'!AA$4:AA$68,"&lt;&gt;")+COUNTIFS('T8'!$C$4:$C$68,"TC",'T8'!AA$4:AA$68,"&lt;&gt;")) + (COUNTIFS('T8'!$C$4:$C$68,"C*",'T8'!AB$4:AB$68,"&lt;&gt;")+COUNTIFS('T8'!$C$4:$C$68,"TC",'T8'!AB$4:AB$68,"&lt;&gt;")) + (COUNTIFS('T8'!$C$4:$C$68,"C*",'T8'!AC$4:AC$68,"&lt;&gt;")+COUNTIFS('T8'!$C$4:$C$68,"TC",'T8'!AC$4:AC$68,"&lt;&gt;")))=0,"Chưa nhập","Đã cập nhật")</f>
        <v>Chưa nhập</v>
      </c>
    </row>
    <row r="12" spans="1:10" x14ac:dyDescent="0.2">
      <c r="A12" s="130" t="s">
        <v>83</v>
      </c>
      <c r="B12" s="131"/>
      <c r="C12" s="132"/>
      <c r="D12" s="60">
        <f t="shared" ref="D12:I12" si="0">IF(COUNT(D8:D11)=0,"",SUM(D8:D11))</f>
        <v>228.5</v>
      </c>
      <c r="E12" s="61">
        <f t="shared" si="0"/>
        <v>27.5</v>
      </c>
      <c r="F12" s="60">
        <f t="shared" si="0"/>
        <v>256</v>
      </c>
      <c r="G12" s="60">
        <f t="shared" si="0"/>
        <v>266.25</v>
      </c>
      <c r="H12" s="62">
        <f t="shared" si="0"/>
        <v>266.25</v>
      </c>
      <c r="I12" s="60">
        <f t="shared" si="0"/>
        <v>33.28125</v>
      </c>
      <c r="J12" s="57"/>
    </row>
    <row r="13" spans="1:10" ht="15" customHeight="1" x14ac:dyDescent="0.2">
      <c r="A13" s="133"/>
      <c r="B13" s="134"/>
      <c r="C13" s="135"/>
      <c r="D13" s="63">
        <f t="shared" ref="D13:I13" si="1">IF(COUNT(D8:D12)=0,"",SUM(D8:D12))</f>
        <v>457</v>
      </c>
      <c r="E13" s="63">
        <f t="shared" si="1"/>
        <v>55</v>
      </c>
      <c r="F13" s="63">
        <f t="shared" si="1"/>
        <v>512</v>
      </c>
      <c r="G13" s="63">
        <f t="shared" si="1"/>
        <v>532.5</v>
      </c>
      <c r="H13" s="63">
        <f t="shared" si="1"/>
        <v>532.5</v>
      </c>
      <c r="I13" s="63">
        <f t="shared" si="1"/>
        <v>66.5625</v>
      </c>
      <c r="J13" s="58"/>
    </row>
    <row r="15" spans="1:10" x14ac:dyDescent="0.2">
      <c r="A15" s="127" t="s">
        <v>84</v>
      </c>
      <c r="B15" s="125"/>
      <c r="C15" s="125"/>
      <c r="D15" s="125"/>
      <c r="E15" s="125"/>
      <c r="F15" s="125"/>
      <c r="G15" s="125"/>
      <c r="H15" s="125"/>
      <c r="I15" s="125"/>
      <c r="J15" s="125"/>
    </row>
  </sheetData>
  <mergeCells count="15">
    <mergeCell ref="A1:J1"/>
    <mergeCell ref="I4:J4"/>
    <mergeCell ref="A15:J15"/>
    <mergeCell ref="I5:J5"/>
    <mergeCell ref="A2:J2"/>
    <mergeCell ref="A12:C12"/>
    <mergeCell ref="C4:D4"/>
    <mergeCell ref="A13:C13"/>
    <mergeCell ref="C5:D5"/>
    <mergeCell ref="A5:B5"/>
    <mergeCell ref="G5:H5"/>
    <mergeCell ref="E5:F5"/>
    <mergeCell ref="A4:B4"/>
    <mergeCell ref="G4:H4"/>
    <mergeCell ref="E4:F4"/>
  </mergeCells>
  <conditionalFormatting sqref="F8:F12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2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2">
    <cfRule type="expression" dxfId="9" priority="1">
      <formula>$J8="Chưa nhập"</formula>
    </cfRule>
    <cfRule type="expression" dxfId="8" priority="2">
      <formula>$J8="Đã cập nhật"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5"/>
  <sheetViews>
    <sheetView workbookViewId="0">
      <selection sqref="A1:J1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93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 t="str">
        <f>F13</f>
        <v/>
      </c>
      <c r="B5" s="125"/>
      <c r="C5" s="136" t="str">
        <f>E13</f>
        <v/>
      </c>
      <c r="D5" s="125"/>
      <c r="E5" s="136" t="str">
        <f>IF(((COUNTIFS('T9'!$C$4:$C$68,"C*",'T9'!D$4:D$68,"&lt;&gt;")+COUNTIFS('T9'!$C$4:$C$68,"TC",'T9'!D$4:D$68,"&lt;&gt;"))+(COUNTIFS('T9'!$C$4:$C$68,"C*",'T9'!E$4:E$68,"&lt;&gt;")+COUNTIFS('T9'!$C$4:$C$68,"TC",'T9'!E$4:E$68,"&lt;&gt;"))+(COUNTIFS('T9'!$C$4:$C$68,"C*",'T9'!F$4:F$68,"&lt;&gt;")+COUNTIFS('T9'!$C$4:$C$68,"TC",'T9'!F$4:F$68,"&lt;&gt;"))+(COUNTIFS('T9'!$C$4:$C$68,"C*",'T9'!G$4:G$68,"&lt;&gt;")+COUNTIFS('T9'!$C$4:$C$68,"TC",'T9'!G$4:G$68,"&lt;&gt;"))+(COUNTIFS('T9'!$C$4:$C$68,"C*",'T9'!H$4:H$68,"&lt;&gt;")+COUNTIFS('T9'!$C$4:$C$68,"TC",'T9'!H$4:H$68,"&lt;&gt;"))+(COUNTIFS('T9'!$C$4:$C$68,"C*",'T9'!I$4:I$68,"&lt;&gt;")+COUNTIFS('T9'!$C$4:$C$68,"TC",'T9'!I$4:I$68,"&lt;&gt;"))+(COUNTIFS('T9'!$C$4:$C$68,"C*",'T9'!J$4:J$68,"&lt;&gt;")+COUNTIFS('T9'!$C$4:$C$68,"TC",'T9'!J$4:J$68,"&lt;&gt;"))+(COUNTIFS('T9'!$C$4:$C$68,"C*",'T9'!K$4:K$68,"&lt;&gt;")+COUNTIFS('T9'!$C$4:$C$68,"TC",'T9'!K$4:K$68,"&lt;&gt;"))+(COUNTIFS('T9'!$C$4:$C$68,"C*",'T9'!L$4:L$68,"&lt;&gt;")+COUNTIFS('T9'!$C$4:$C$68,"TC",'T9'!L$4:L$68,"&lt;&gt;"))+(COUNTIFS('T9'!$C$4:$C$68,"C*",'T9'!M$4:M$68,"&lt;&gt;")+COUNTIFS('T9'!$C$4:$C$68,"TC",'T9'!M$4:M$68,"&lt;&gt;"))+(COUNTIFS('T9'!$C$4:$C$68,"C*",'T9'!N$4:N$68,"&lt;&gt;")+COUNTIFS('T9'!$C$4:$C$68,"TC",'T9'!N$4:N$68,"&lt;&gt;"))+(COUNTIFS('T9'!$C$4:$C$68,"C*",'T9'!O$4:O$68,"&lt;&gt;")+COUNTIFS('T9'!$C$4:$C$68,"TC",'T9'!O$4:O$68,"&lt;&gt;"))+(COUNTIFS('T9'!$C$4:$C$68,"C*",'T9'!P$4:P$68,"&lt;&gt;")+COUNTIFS('T9'!$C$4:$C$68,"TC",'T9'!P$4:P$68,"&lt;&gt;"))+(COUNTIFS('T9'!$C$4:$C$68,"C*",'T9'!Q$4:Q$68,"&lt;&gt;")+COUNTIFS('T9'!$C$4:$C$68,"TC",'T9'!Q$4:Q$68,"&lt;&gt;"))+(COUNTIFS('T9'!$C$4:$C$68,"C*",'T9'!R$4:R$68,"&lt;&gt;")+COUNTIFS('T9'!$C$4:$C$68,"TC",'T9'!R$4:R$68,"&lt;&gt;"))+(COUNTIFS('T9'!$C$4:$C$68,"C*",'T9'!S$4:S$68,"&lt;&gt;")+COUNTIFS('T9'!$C$4:$C$68,"TC",'T9'!S$4:S$68,"&lt;&gt;"))+(COUNTIFS('T9'!$C$4:$C$68,"C*",'T9'!T$4:T$68,"&lt;&gt;")+COUNTIFS('T9'!$C$4:$C$68,"TC",'T9'!T$4:T$68,"&lt;&gt;"))+(COUNTIFS('T9'!$C$4:$C$68,"C*",'T9'!U$4:U$68,"&lt;&gt;")+COUNTIFS('T9'!$C$4:$C$68,"TC",'T9'!U$4:U$68,"&lt;&gt;"))+(COUNTIFS('T9'!$C$4:$C$68,"C*",'T9'!V$4:V$68,"&lt;&gt;")+COUNTIFS('T9'!$C$4:$C$68,"TC",'T9'!V$4:V$68,"&lt;&gt;"))+(COUNTIFS('T9'!$C$4:$C$68,"C*",'T9'!W$4:W$68,"&lt;&gt;")+COUNTIFS('T9'!$C$4:$C$68,"TC",'T9'!W$4:W$68,"&lt;&gt;"))+(COUNTIFS('T9'!$C$4:$C$68,"C*",'T9'!X$4:X$68,"&lt;&gt;")+COUNTIFS('T9'!$C$4:$C$68,"TC",'T9'!X$4:X$68,"&lt;&gt;"))+(COUNTIFS('T9'!$C$4:$C$68,"C*",'T9'!Y$4:Y$68,"&lt;&gt;")+COUNTIFS('T9'!$C$4:$C$68,"TC",'T9'!Y$4:Y$68,"&lt;&gt;"))+(COUNTIFS('T9'!$C$4:$C$68,"C*",'T9'!Z$4:Z$68,"&lt;&gt;")+COUNTIFS('T9'!$C$4:$C$68,"TC",'T9'!Z$4:Z$68,"&lt;&gt;"))+(COUNTIFS('T9'!$C$4:$C$68,"C*",'T9'!AA$4:AA$68,"&lt;&gt;")+COUNTIFS('T9'!$C$4:$C$68,"TC",'T9'!AA$4:AA$68,"&lt;&gt;"))+(COUNTIFS('T9'!$C$4:$C$68,"C*",'T9'!AB$4:AB$68,"&lt;&gt;")+COUNTIFS('T9'!$C$4:$C$68,"TC",'T9'!AB$4:AB$68,"&lt;&gt;"))+(COUNTIFS('T9'!$C$4:$C$68,"C*",'T9'!AC$4:AC$68,"&lt;&gt;")+COUNTIFS('T9'!$C$4:$C$68,"TC",'T9'!AC$4:AC$68,"&lt;&gt;"))+(COUNTIFS('T9'!$C$4:$C$68,"C*",'T9'!AD$4:AD$68,"&lt;&gt;")+COUNTIFS('T9'!$C$4:$C$68,"TC",'T9'!AD$4:AD$68,"&lt;&gt;"))+(COUNTIFS('T9'!$C$4:$C$68,"C*",'T9'!AE$4:AE$68,"&lt;&gt;")+COUNTIFS('T9'!$C$4:$C$68,"TC",'T9'!AE$4:AE$68,"&lt;&gt;"))+(COUNTIFS('T9'!$C$4:$C$68,"C*",'T9'!AF$4:AF$68,"&lt;&gt;")+COUNTIFS('T9'!$C$4:$C$68,"TC",'T9'!AF$4:AF$68,"&lt;&gt;"))+(COUNTIFS('T9'!$C$4:$C$68,"C*",'T9'!AG$4:AG$68,"&lt;&gt;")+COUNTIFS('T9'!$C$4:$C$68,"TC",'T9'!AG$4:AG$68,"&lt;&gt;")))=0,"",((SUMIF('T9'!$C$4:$C$68,"TC",'T9'!D$4:D$68))+(SUMIF('T9'!$C$4:$C$68,"TC",'T9'!E$4:E$68))+(SUMIF('T9'!$C$4:$C$68,"TC",'T9'!F$4:F$68))+(SUMIF('T9'!$C$4:$C$68,"TC",'T9'!G$4:G$68))+(SUMIF('T9'!$C$4:$C$68,"TC",'T9'!H$4:H$68))+(SUMIF('T9'!$C$4:$C$68,"TC",'T9'!I$4:I$68))+(SUMIF('T9'!$C$4:$C$68,"TC",'T9'!J$4:J$68))+(SUMIF('T9'!$C$4:$C$68,"TC",'T9'!K$4:K$68))+(SUMIF('T9'!$C$4:$C$68,"TC",'T9'!L$4:L$68))+(SUMIF('T9'!$C$4:$C$68,"TC",'T9'!M$4:M$68))+(SUMIF('T9'!$C$4:$C$68,"TC",'T9'!N$4:N$68))+(SUMIF('T9'!$C$4:$C$68,"TC",'T9'!O$4:O$68))+(SUMIF('T9'!$C$4:$C$68,"TC",'T9'!P$4:P$68))+(SUMIF('T9'!$C$4:$C$68,"TC",'T9'!Q$4:Q$68))+(SUMIF('T9'!$C$4:$C$68,"TC",'T9'!R$4:R$68))+(SUMIF('T9'!$C$4:$C$68,"TC",'T9'!S$4:S$68))+(SUMIF('T9'!$C$4:$C$68,"TC",'T9'!T$4:T$68))+(SUMIF('T9'!$C$4:$C$68,"TC",'T9'!U$4:U$68))+(SUMIF('T9'!$C$4:$C$68,"TC",'T9'!V$4:V$68))+(SUMIF('T9'!$C$4:$C$68,"TC",'T9'!W$4:W$68))+(SUMIF('T9'!$C$4:$C$68,"TC",'T9'!X$4:X$68))+(SUMIF('T9'!$C$4:$C$68,"TC",'T9'!Y$4:Y$68))+(SUMIF('T9'!$C$4:$C$68,"TC",'T9'!Z$4:Z$68))+(SUMIF('T9'!$C$4:$C$68,"TC",'T9'!AA$4:AA$68))+(SUMIF('T9'!$C$4:$C$68,"TC",'T9'!AB$4:AB$68))+(SUMIF('T9'!$C$4:$C$68,"TC",'T9'!AC$4:AC$68))+(SUMIF('T9'!$C$4:$C$68,"TC",'T9'!AD$4:AD$68))+(SUMIF('T9'!$C$4:$C$68,"TC",'T9'!AE$4:AE$68))+(SUMIF('T9'!$C$4:$C$68,"TC",'T9'!AF$4:AF$68))+(SUMIF('T9'!$C$4:$C$68,"TC",'T9'!AG$4:AG$68))))</f>
        <v/>
      </c>
      <c r="F5" s="125"/>
      <c r="G5" s="137">
        <f>(COUNTIFS('T9'!$C$4:$C$68,"C*",'T9'!D$4:D$68,"&lt;&gt;")+COUNTIFS('T9'!$C$4:$C$68,"TC",'T9'!D$4:D$68,"&lt;&gt;")&gt;0) + (COUNTIFS('T9'!$C$4:$C$68,"C*",'T9'!E$4:E$68,"&lt;&gt;")+COUNTIFS('T9'!$C$4:$C$68,"TC",'T9'!E$4:E$68,"&lt;&gt;")&gt;0) + (COUNTIFS('T9'!$C$4:$C$68,"C*",'T9'!F$4:F$68,"&lt;&gt;")+COUNTIFS('T9'!$C$4:$C$68,"TC",'T9'!F$4:F$68,"&lt;&gt;")&gt;0) + (COUNTIFS('T9'!$C$4:$C$68,"C*",'T9'!G$4:G$68,"&lt;&gt;")+COUNTIFS('T9'!$C$4:$C$68,"TC",'T9'!G$4:G$68,"&lt;&gt;")&gt;0) + (COUNTIFS('T9'!$C$4:$C$68,"C*",'T9'!H$4:H$68,"&lt;&gt;")+COUNTIFS('T9'!$C$4:$C$68,"TC",'T9'!H$4:H$68,"&lt;&gt;")&gt;0) + (COUNTIFS('T9'!$C$4:$C$68,"C*",'T9'!I$4:I$68,"&lt;&gt;")+COUNTIFS('T9'!$C$4:$C$68,"TC",'T9'!I$4:I$68,"&lt;&gt;")&gt;0) + (COUNTIFS('T9'!$C$4:$C$68,"C*",'T9'!J$4:J$68,"&lt;&gt;")+COUNTIFS('T9'!$C$4:$C$68,"TC",'T9'!J$4:J$68,"&lt;&gt;")&gt;0) + (COUNTIFS('T9'!$C$4:$C$68,"C*",'T9'!K$4:K$68,"&lt;&gt;")+COUNTIFS('T9'!$C$4:$C$68,"TC",'T9'!K$4:K$68,"&lt;&gt;")&gt;0) + (COUNTIFS('T9'!$C$4:$C$68,"C*",'T9'!L$4:L$68,"&lt;&gt;")+COUNTIFS('T9'!$C$4:$C$68,"TC",'T9'!L$4:L$68,"&lt;&gt;")&gt;0) + (COUNTIFS('T9'!$C$4:$C$68,"C*",'T9'!M$4:M$68,"&lt;&gt;")+COUNTIFS('T9'!$C$4:$C$68,"TC",'T9'!M$4:M$68,"&lt;&gt;")&gt;0) + (COUNTIFS('T9'!$C$4:$C$68,"C*",'T9'!N$4:N$68,"&lt;&gt;")+COUNTIFS('T9'!$C$4:$C$68,"TC",'T9'!N$4:N$68,"&lt;&gt;")&gt;0) + (COUNTIFS('T9'!$C$4:$C$68,"C*",'T9'!O$4:O$68,"&lt;&gt;")+COUNTIFS('T9'!$C$4:$C$68,"TC",'T9'!O$4:O$68,"&lt;&gt;")&gt;0) + (COUNTIFS('T9'!$C$4:$C$68,"C*",'T9'!P$4:P$68,"&lt;&gt;")+COUNTIFS('T9'!$C$4:$C$68,"TC",'T9'!P$4:P$68,"&lt;&gt;")&gt;0) + (COUNTIFS('T9'!$C$4:$C$68,"C*",'T9'!Q$4:Q$68,"&lt;&gt;")+COUNTIFS('T9'!$C$4:$C$68,"TC",'T9'!Q$4:Q$68,"&lt;&gt;")&gt;0) + (COUNTIFS('T9'!$C$4:$C$68,"C*",'T9'!R$4:R$68,"&lt;&gt;")+COUNTIFS('T9'!$C$4:$C$68,"TC",'T9'!R$4:R$68,"&lt;&gt;")&gt;0) + (COUNTIFS('T9'!$C$4:$C$68,"C*",'T9'!S$4:S$68,"&lt;&gt;")+COUNTIFS('T9'!$C$4:$C$68,"TC",'T9'!S$4:S$68,"&lt;&gt;")&gt;0) + (COUNTIFS('T9'!$C$4:$C$68,"C*",'T9'!T$4:T$68,"&lt;&gt;")+COUNTIFS('T9'!$C$4:$C$68,"TC",'T9'!T$4:T$68,"&lt;&gt;")&gt;0) + (COUNTIFS('T9'!$C$4:$C$68,"C*",'T9'!U$4:U$68,"&lt;&gt;")+COUNTIFS('T9'!$C$4:$C$68,"TC",'T9'!U$4:U$68,"&lt;&gt;")&gt;0) + (COUNTIFS('T9'!$C$4:$C$68,"C*",'T9'!V$4:V$68,"&lt;&gt;")+COUNTIFS('T9'!$C$4:$C$68,"TC",'T9'!V$4:V$68,"&lt;&gt;")&gt;0) + (COUNTIFS('T9'!$C$4:$C$68,"C*",'T9'!W$4:W$68,"&lt;&gt;")+COUNTIFS('T9'!$C$4:$C$68,"TC",'T9'!W$4:W$68,"&lt;&gt;")&gt;0) + (COUNTIFS('T9'!$C$4:$C$68,"C*",'T9'!X$4:X$68,"&lt;&gt;")+COUNTIFS('T9'!$C$4:$C$68,"TC",'T9'!X$4:X$68,"&lt;&gt;")&gt;0) + (COUNTIFS('T9'!$C$4:$C$68,"C*",'T9'!Y$4:Y$68,"&lt;&gt;")+COUNTIFS('T9'!$C$4:$C$68,"TC",'T9'!Y$4:Y$68,"&lt;&gt;")&gt;0) + (COUNTIFS('T9'!$C$4:$C$68,"C*",'T9'!Z$4:Z$68,"&lt;&gt;")+COUNTIFS('T9'!$C$4:$C$68,"TC",'T9'!Z$4:Z$68,"&lt;&gt;")&gt;0) + (COUNTIFS('T9'!$C$4:$C$68,"C*",'T9'!AA$4:AA$68,"&lt;&gt;")+COUNTIFS('T9'!$C$4:$C$68,"TC",'T9'!AA$4:AA$68,"&lt;&gt;")&gt;0) + (COUNTIFS('T9'!$C$4:$C$68,"C*",'T9'!AB$4:AB$68,"&lt;&gt;")+COUNTIFS('T9'!$C$4:$C$68,"TC",'T9'!AB$4:AB$68,"&lt;&gt;")&gt;0) + (COUNTIFS('T9'!$C$4:$C$68,"C*",'T9'!AC$4:AC$68,"&lt;&gt;")+COUNTIFS('T9'!$C$4:$C$68,"TC",'T9'!AC$4:AC$68,"&lt;&gt;")&gt;0) + (COUNTIFS('T9'!$C$4:$C$68,"C*",'T9'!AD$4:AD$68,"&lt;&gt;")+COUNTIFS('T9'!$C$4:$C$68,"TC",'T9'!AD$4:AD$68,"&lt;&gt;")&gt;0) + (COUNTIFS('T9'!$C$4:$C$68,"C*",'T9'!AE$4:AE$68,"&lt;&gt;")+COUNTIFS('T9'!$C$4:$C$68,"TC",'T9'!AE$4:AE$68,"&lt;&gt;")&gt;0) + (COUNTIFS('T9'!$C$4:$C$68,"C*",'T9'!AF$4:AF$68,"&lt;&gt;")+COUNTIFS('T9'!$C$4:$C$68,"TC",'T9'!AF$4:AF$68,"&lt;&gt;")&gt;0) + (COUNTIFS('T9'!$C$4:$C$68,"C*",'T9'!AG$4:AG$68,"&lt;&gt;")+COUNTIFS('T9'!$C$4:$C$68,"TC",'T9'!AG$4:AG$68,"&lt;&gt;")&gt;0)</f>
        <v>0</v>
      </c>
      <c r="H5" s="125"/>
      <c r="I5" s="128">
        <f ca="1">NOW()</f>
        <v>46253.615729861114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46261</v>
      </c>
      <c r="C8" s="59">
        <v>46267</v>
      </c>
      <c r="D8" s="60" t="str">
        <f>IF(((COUNTIFS('T8'!$C$4:$C$68,"C*",'T8'!AD$4:AD$68,"&lt;&gt;")+COUNTIFS('T8'!$C$4:$C$68,"TC",'T8'!AD$4:AD$68,"&lt;&gt;")) + (COUNTIFS('T8'!$C$4:$C$68,"C*",'T8'!AE$4:AE$68,"&lt;&gt;")+COUNTIFS('T8'!$C$4:$C$68,"TC",'T8'!AE$4:AE$68,"&lt;&gt;")) + (COUNTIFS('T8'!$C$4:$C$68,"C*",'T8'!AF$4:AF$68,"&lt;&gt;")+COUNTIFS('T8'!$C$4:$C$68,"TC",'T8'!AF$4:AF$68,"&lt;&gt;")) + (COUNTIFS('T8'!$C$4:$C$68,"C*",'T8'!AG$4:AG$68,"&lt;&gt;")+COUNTIFS('T8'!$C$4:$C$68,"TC",'T8'!AG$4:AG$68,"&lt;&gt;")) + (COUNTIFS('T8'!$C$4:$C$68,"C*",'T8'!AH$4:AH$68,"&lt;&gt;")+COUNTIFS('T8'!$C$4:$C$68,"TC",'T8'!AH$4:AH$68,"&lt;&gt;")) + (COUNTIFS('T9'!$C$4:$C$68,"C*",'T9'!D$4:D$68,"&lt;&gt;")+COUNTIFS('T9'!$C$4:$C$68,"TC",'T9'!D$4:D$68,"&lt;&gt;")) + (COUNTIFS('T9'!$C$4:$C$68,"C*",'T9'!E$4:E$68,"&lt;&gt;")+COUNTIFS('T9'!$C$4:$C$68,"TC",'T9'!E$4:E$68,"&lt;&gt;")))=0,"",((COUNTIFS('T8'!$C$4:$C$68,"C*",'T8'!AD$4:AD$68,"x*")-0.5*(COUNTIFS('T8'!$C$4:$C$68,"C*",'T8'!AD$4:AD$68,"x/2")))+(COUNTIFS('T8'!$C$4:$C$68,"C*",'T8'!AE$4:AE$68,"x*")-0.5*(COUNTIFS('T8'!$C$4:$C$68,"C*",'T8'!AE$4:AE$68,"x/2")))+(COUNTIFS('T8'!$C$4:$C$68,"C*",'T8'!AF$4:AF$68,"x*")-0.5*(COUNTIFS('T8'!$C$4:$C$68,"C*",'T8'!AF$4:AF$68,"x/2")))+(COUNTIFS('T8'!$C$4:$C$68,"C*",'T8'!AH$4:AH$68,"x*")-0.5*(COUNTIFS('T8'!$C$4:$C$68,"C*",'T8'!AH$4:AH$68,"x/2")))+(COUNTIFS('T9'!$C$4:$C$68,"C*",'T9'!D$4:D$68,"x*")-0.5*(COUNTIFS('T9'!$C$4:$C$68,"C*",'T9'!D$4:D$68,"x/2")))+(COUNTIFS('T9'!$C$4:$C$68,"C*",'T9'!E$4:E$68,"x*")-0.5*(COUNTIFS('T9'!$C$4:$C$68,"C*",'T9'!E$4:E$68,"x/2")))))</f>
        <v/>
      </c>
      <c r="E8" s="61" t="str">
        <f>IF(((COUNTIFS('T8'!$C$4:$C$68,"C*",'T8'!AD$4:AD$68,"&lt;&gt;")+COUNTIFS('T8'!$C$4:$C$68,"TC",'T8'!AD$4:AD$68,"&lt;&gt;")) + (COUNTIFS('T8'!$C$4:$C$68,"C*",'T8'!AE$4:AE$68,"&lt;&gt;")+COUNTIFS('T8'!$C$4:$C$68,"TC",'T8'!AE$4:AE$68,"&lt;&gt;")) + (COUNTIFS('T8'!$C$4:$C$68,"C*",'T8'!AF$4:AF$68,"&lt;&gt;")+COUNTIFS('T8'!$C$4:$C$68,"TC",'T8'!AF$4:AF$68,"&lt;&gt;")) + (COUNTIFS('T8'!$C$4:$C$68,"C*",'T8'!AG$4:AG$68,"&lt;&gt;")+COUNTIFS('T8'!$C$4:$C$68,"TC",'T8'!AG$4:AG$68,"&lt;&gt;")) + (COUNTIFS('T8'!$C$4:$C$68,"C*",'T8'!AH$4:AH$68,"&lt;&gt;")+COUNTIFS('T8'!$C$4:$C$68,"TC",'T8'!AH$4:AH$68,"&lt;&gt;")) + (COUNTIFS('T9'!$C$4:$C$68,"C*",'T9'!D$4:D$68,"&lt;&gt;")+COUNTIFS('T9'!$C$4:$C$68,"TC",'T9'!D$4:D$68,"&lt;&gt;")) + (COUNTIFS('T9'!$C$4:$C$68,"C*",'T9'!E$4:E$68,"&lt;&gt;")+COUNTIFS('T9'!$C$4:$C$68,"TC",'T9'!E$4:E$68,"&lt;&gt;")))=0,"",((COUNTIFS('T8'!$C$4:$C$68,"C*",'T8'!AG$4:AG$68,"x*")-0.5*(COUNTIFS('T8'!$C$4:$C$68,"C*",'T8'!AG$4:AG$68,"x/2")))))</f>
        <v/>
      </c>
      <c r="F8" s="60" t="str">
        <f t="shared" ref="F8:F13" si="0">IF(AND(D8="",E8=""),"",D8+E8)</f>
        <v/>
      </c>
      <c r="G8" s="60" t="str">
        <f>IF(((COUNTIFS('T8'!$C$4:$C$68,"C*",'T8'!AD$4:AD$68,"&lt;&gt;")+COUNTIFS('T8'!$C$4:$C$68,"TC",'T8'!AD$4:AD$68,"&lt;&gt;")) + (COUNTIFS('T8'!$C$4:$C$68,"C*",'T8'!AE$4:AE$68,"&lt;&gt;")+COUNTIFS('T8'!$C$4:$C$68,"TC",'T8'!AE$4:AE$68,"&lt;&gt;")) + (COUNTIFS('T8'!$C$4:$C$68,"C*",'T8'!AF$4:AF$68,"&lt;&gt;")+COUNTIFS('T8'!$C$4:$C$68,"TC",'T8'!AF$4:AF$68,"&lt;&gt;")) + (COUNTIFS('T8'!$C$4:$C$68,"C*",'T8'!AG$4:AG$68,"&lt;&gt;")+COUNTIFS('T8'!$C$4:$C$68,"TC",'T8'!AG$4:AG$68,"&lt;&gt;")) + (COUNTIFS('T8'!$C$4:$C$68,"C*",'T8'!AH$4:AH$68,"&lt;&gt;")+COUNTIFS('T8'!$C$4:$C$68,"TC",'T8'!AH$4:AH$68,"&lt;&gt;")) + (COUNTIFS('T9'!$C$4:$C$68,"C*",'T9'!D$4:D$68,"&lt;&gt;")+COUNTIFS('T9'!$C$4:$C$68,"TC",'T9'!D$4:D$68,"&lt;&gt;")) + (COUNTIFS('T9'!$C$4:$C$68,"C*",'T9'!E$4:E$68,"&lt;&gt;")+COUNTIFS('T9'!$C$4:$C$68,"TC",'T9'!E$4:E$68,"&lt;&gt;")))=0,"",(SUMIF('T8'!$C$4:$C$68,"TC",'T8'!AD$4:AD$68))+(SUMIF('T8'!$C$4:$C$68,"TC",'T8'!AE$4:AE$68))+(SUMIF('T8'!$C$4:$C$68,"TC",'T8'!AF$4:AF$68))+(SUMIF('T8'!$C$4:$C$68,"TC",'T8'!AH$4:AH$68))+(SUMIF('T9'!$C$4:$C$68,"TC",'T9'!D$4:D$68))+(SUMIF('T9'!$C$4:$C$68,"TC",'T9'!E$4:E$68)))</f>
        <v/>
      </c>
      <c r="H8" s="62" t="str">
        <f>IF(((COUNTIFS('T8'!$C$4:$C$68,"C*",'T8'!AD$4:AD$68,"&lt;&gt;")+COUNTIFS('T8'!$C$4:$C$68,"TC",'T8'!AD$4:AD$68,"&lt;&gt;")) + (COUNTIFS('T8'!$C$4:$C$68,"C*",'T8'!AE$4:AE$68,"&lt;&gt;")+COUNTIFS('T8'!$C$4:$C$68,"TC",'T8'!AE$4:AE$68,"&lt;&gt;")) + (COUNTIFS('T8'!$C$4:$C$68,"C*",'T8'!AF$4:AF$68,"&lt;&gt;")+COUNTIFS('T8'!$C$4:$C$68,"TC",'T8'!AF$4:AF$68,"&lt;&gt;")) + (COUNTIFS('T8'!$C$4:$C$68,"C*",'T8'!AG$4:AG$68,"&lt;&gt;")+COUNTIFS('T8'!$C$4:$C$68,"TC",'T8'!AG$4:AG$68,"&lt;&gt;")) + (COUNTIFS('T8'!$C$4:$C$68,"C*",'T8'!AH$4:AH$68,"&lt;&gt;")+COUNTIFS('T8'!$C$4:$C$68,"TC",'T8'!AH$4:AH$68,"&lt;&gt;")) + (COUNTIFS('T9'!$C$4:$C$68,"C*",'T9'!D$4:D$68,"&lt;&gt;")+COUNTIFS('T9'!$C$4:$C$68,"TC",'T9'!D$4:D$68,"&lt;&gt;")) + (COUNTIFS('T9'!$C$4:$C$68,"C*",'T9'!E$4:E$68,"&lt;&gt;")+COUNTIFS('T9'!$C$4:$C$68,"TC",'T9'!E$4:E$68,"&lt;&gt;")))=0,"",(SUMIF('T8'!$C$4:$C$68,"TC",'T8'!AD$4:AD$68))+(SUMIF('T8'!$C$4:$C$68,"TC",'T8'!AE$4:AE$68))+(SUMIF('T8'!$C$4:$C$68,"TC",'T8'!AF$4:AF$68))+(SUMIF('T8'!$C$4:$C$68,"TC",'T8'!AG$4:AG$68))+(SUMIF('T8'!$C$4:$C$68,"TC",'T8'!AH$4:AH$68))+(SUMIF('T9'!$C$4:$C$68,"TC",'T9'!D$4:D$68))+(SUMIF('T9'!$C$4:$C$68,"TC",'T9'!E$4:E$68)))</f>
        <v/>
      </c>
      <c r="I8" s="60" t="str">
        <f t="shared" ref="I8:I13" si="1">IF(H8="","",H8/8)</f>
        <v/>
      </c>
      <c r="J8" s="57" t="str">
        <f>IF(((COUNTIFS('T8'!$C$4:$C$68,"C*",'T8'!AD$4:AD$68,"&lt;&gt;")+COUNTIFS('T8'!$C$4:$C$68,"TC",'T8'!AD$4:AD$68,"&lt;&gt;")) + (COUNTIFS('T8'!$C$4:$C$68,"C*",'T8'!AE$4:AE$68,"&lt;&gt;")+COUNTIFS('T8'!$C$4:$C$68,"TC",'T8'!AE$4:AE$68,"&lt;&gt;")) + (COUNTIFS('T8'!$C$4:$C$68,"C*",'T8'!AF$4:AF$68,"&lt;&gt;")+COUNTIFS('T8'!$C$4:$C$68,"TC",'T8'!AF$4:AF$68,"&lt;&gt;")) + (COUNTIFS('T8'!$C$4:$C$68,"C*",'T8'!AG$4:AG$68,"&lt;&gt;")+COUNTIFS('T8'!$C$4:$C$68,"TC",'T8'!AG$4:AG$68,"&lt;&gt;")) + (COUNTIFS('T8'!$C$4:$C$68,"C*",'T8'!AH$4:AH$68,"&lt;&gt;")+COUNTIFS('T8'!$C$4:$C$68,"TC",'T8'!AH$4:AH$68,"&lt;&gt;")) + (COUNTIFS('T9'!$C$4:$C$68,"C*",'T9'!D$4:D$68,"&lt;&gt;")+COUNTIFS('T9'!$C$4:$C$68,"TC",'T9'!D$4:D$68,"&lt;&gt;")) + (COUNTIFS('T9'!$C$4:$C$68,"C*",'T9'!E$4:E$68,"&lt;&gt;")+COUNTIFS('T9'!$C$4:$C$68,"TC",'T9'!E$4:E$68,"&lt;&gt;")))=0,"Chưa nhập","Đã cập nhật")</f>
        <v>Chưa nhập</v>
      </c>
    </row>
    <row r="9" spans="1:10" x14ac:dyDescent="0.2">
      <c r="A9" s="57" t="s">
        <v>80</v>
      </c>
      <c r="B9" s="59">
        <v>46268</v>
      </c>
      <c r="C9" s="59">
        <v>46274</v>
      </c>
      <c r="D9" s="60" t="str">
        <f>IF(((COUNTIFS('T9'!$C$4:$C$68,"C*",'T9'!F$4:F$68,"&lt;&gt;")+COUNTIFS('T9'!$C$4:$C$68,"TC",'T9'!F$4:F$68,"&lt;&gt;")) + (COUNTIFS('T9'!$C$4:$C$68,"C*",'T9'!G$4:G$68,"&lt;&gt;")+COUNTIFS('T9'!$C$4:$C$68,"TC",'T9'!G$4:G$68,"&lt;&gt;")) + (COUNTIFS('T9'!$C$4:$C$68,"C*",'T9'!H$4:H$68,"&lt;&gt;")+COUNTIFS('T9'!$C$4:$C$68,"TC",'T9'!H$4:H$68,"&lt;&gt;")) + (COUNTIFS('T9'!$C$4:$C$68,"C*",'T9'!I$4:I$68,"&lt;&gt;")+COUNTIFS('T9'!$C$4:$C$68,"TC",'T9'!I$4:I$68,"&lt;&gt;")) + (COUNTIFS('T9'!$C$4:$C$68,"C*",'T9'!J$4:J$68,"&lt;&gt;")+COUNTIFS('T9'!$C$4:$C$68,"TC",'T9'!J$4:J$68,"&lt;&gt;")) + (COUNTIFS('T9'!$C$4:$C$68,"C*",'T9'!K$4:K$68,"&lt;&gt;")+COUNTIFS('T9'!$C$4:$C$68,"TC",'T9'!K$4:K$68,"&lt;&gt;")) + (COUNTIFS('T9'!$C$4:$C$68,"C*",'T9'!L$4:L$68,"&lt;&gt;")+COUNTIFS('T9'!$C$4:$C$68,"TC",'T9'!L$4:L$68,"&lt;&gt;")))=0,"",((COUNTIFS('T9'!$C$4:$C$68,"C*",'T9'!F$4:F$68,"x*")-0.5*(COUNTIFS('T9'!$C$4:$C$68,"C*",'T9'!F$4:F$68,"x/2")))+(COUNTIFS('T9'!$C$4:$C$68,"C*",'T9'!G$4:G$68,"x*")-0.5*(COUNTIFS('T9'!$C$4:$C$68,"C*",'T9'!G$4:G$68,"x/2")))+(COUNTIFS('T9'!$C$4:$C$68,"C*",'T9'!H$4:H$68,"x*")-0.5*(COUNTIFS('T9'!$C$4:$C$68,"C*",'T9'!H$4:H$68,"x/2")))+(COUNTIFS('T9'!$C$4:$C$68,"C*",'T9'!J$4:J$68,"x*")-0.5*(COUNTIFS('T9'!$C$4:$C$68,"C*",'T9'!J$4:J$68,"x/2")))+(COUNTIFS('T9'!$C$4:$C$68,"C*",'T9'!K$4:K$68,"x*")-0.5*(COUNTIFS('T9'!$C$4:$C$68,"C*",'T9'!K$4:K$68,"x/2")))+(COUNTIFS('T9'!$C$4:$C$68,"C*",'T9'!L$4:L$68,"x*")-0.5*(COUNTIFS('T9'!$C$4:$C$68,"C*",'T9'!L$4:L$68,"x/2")))))</f>
        <v/>
      </c>
      <c r="E9" s="61" t="str">
        <f>IF(((COUNTIFS('T9'!$C$4:$C$68,"C*",'T9'!F$4:F$68,"&lt;&gt;")+COUNTIFS('T9'!$C$4:$C$68,"TC",'T9'!F$4:F$68,"&lt;&gt;")) + (COUNTIFS('T9'!$C$4:$C$68,"C*",'T9'!G$4:G$68,"&lt;&gt;")+COUNTIFS('T9'!$C$4:$C$68,"TC",'T9'!G$4:G$68,"&lt;&gt;")) + (COUNTIFS('T9'!$C$4:$C$68,"C*",'T9'!H$4:H$68,"&lt;&gt;")+COUNTIFS('T9'!$C$4:$C$68,"TC",'T9'!H$4:H$68,"&lt;&gt;")) + (COUNTIFS('T9'!$C$4:$C$68,"C*",'T9'!I$4:I$68,"&lt;&gt;")+COUNTIFS('T9'!$C$4:$C$68,"TC",'T9'!I$4:I$68,"&lt;&gt;")) + (COUNTIFS('T9'!$C$4:$C$68,"C*",'T9'!J$4:J$68,"&lt;&gt;")+COUNTIFS('T9'!$C$4:$C$68,"TC",'T9'!J$4:J$68,"&lt;&gt;")) + (COUNTIFS('T9'!$C$4:$C$68,"C*",'T9'!K$4:K$68,"&lt;&gt;")+COUNTIFS('T9'!$C$4:$C$68,"TC",'T9'!K$4:K$68,"&lt;&gt;")) + (COUNTIFS('T9'!$C$4:$C$68,"C*",'T9'!L$4:L$68,"&lt;&gt;")+COUNTIFS('T9'!$C$4:$C$68,"TC",'T9'!L$4:L$68,"&lt;&gt;")))=0,"",((COUNTIFS('T9'!$C$4:$C$68,"C*",'T9'!I$4:I$68,"x*")-0.5*(COUNTIFS('T9'!$C$4:$C$68,"C*",'T9'!I$4:I$68,"x/2")))))</f>
        <v/>
      </c>
      <c r="F9" s="60" t="str">
        <f t="shared" si="0"/>
        <v/>
      </c>
      <c r="G9" s="60" t="str">
        <f>IF(((COUNTIFS('T9'!$C$4:$C$68,"C*",'T9'!F$4:F$68,"&lt;&gt;")+COUNTIFS('T9'!$C$4:$C$68,"TC",'T9'!F$4:F$68,"&lt;&gt;")) + (COUNTIFS('T9'!$C$4:$C$68,"C*",'T9'!G$4:G$68,"&lt;&gt;")+COUNTIFS('T9'!$C$4:$C$68,"TC",'T9'!G$4:G$68,"&lt;&gt;")) + (COUNTIFS('T9'!$C$4:$C$68,"C*",'T9'!H$4:H$68,"&lt;&gt;")+COUNTIFS('T9'!$C$4:$C$68,"TC",'T9'!H$4:H$68,"&lt;&gt;")) + (COUNTIFS('T9'!$C$4:$C$68,"C*",'T9'!I$4:I$68,"&lt;&gt;")+COUNTIFS('T9'!$C$4:$C$68,"TC",'T9'!I$4:I$68,"&lt;&gt;")) + (COUNTIFS('T9'!$C$4:$C$68,"C*",'T9'!J$4:J$68,"&lt;&gt;")+COUNTIFS('T9'!$C$4:$C$68,"TC",'T9'!J$4:J$68,"&lt;&gt;")) + (COUNTIFS('T9'!$C$4:$C$68,"C*",'T9'!K$4:K$68,"&lt;&gt;")+COUNTIFS('T9'!$C$4:$C$68,"TC",'T9'!K$4:K$68,"&lt;&gt;")) + (COUNTIFS('T9'!$C$4:$C$68,"C*",'T9'!L$4:L$68,"&lt;&gt;")+COUNTIFS('T9'!$C$4:$C$68,"TC",'T9'!L$4:L$68,"&lt;&gt;")))=0,"",(SUMIF('T9'!$C$4:$C$68,"TC",'T9'!F$4:F$68))+(SUMIF('T9'!$C$4:$C$68,"TC",'T9'!G$4:G$68))+(SUMIF('T9'!$C$4:$C$68,"TC",'T9'!H$4:H$68))+(SUMIF('T9'!$C$4:$C$68,"TC",'T9'!J$4:J$68))+(SUMIF('T9'!$C$4:$C$68,"TC",'T9'!K$4:K$68))+(SUMIF('T9'!$C$4:$C$68,"TC",'T9'!L$4:L$68)))</f>
        <v/>
      </c>
      <c r="H9" s="62" t="str">
        <f>IF(((COUNTIFS('T9'!$C$4:$C$68,"C*",'T9'!F$4:F$68,"&lt;&gt;")+COUNTIFS('T9'!$C$4:$C$68,"TC",'T9'!F$4:F$68,"&lt;&gt;")) + (COUNTIFS('T9'!$C$4:$C$68,"C*",'T9'!G$4:G$68,"&lt;&gt;")+COUNTIFS('T9'!$C$4:$C$68,"TC",'T9'!G$4:G$68,"&lt;&gt;")) + (COUNTIFS('T9'!$C$4:$C$68,"C*",'T9'!H$4:H$68,"&lt;&gt;")+COUNTIFS('T9'!$C$4:$C$68,"TC",'T9'!H$4:H$68,"&lt;&gt;")) + (COUNTIFS('T9'!$C$4:$C$68,"C*",'T9'!I$4:I$68,"&lt;&gt;")+COUNTIFS('T9'!$C$4:$C$68,"TC",'T9'!I$4:I$68,"&lt;&gt;")) + (COUNTIFS('T9'!$C$4:$C$68,"C*",'T9'!J$4:J$68,"&lt;&gt;")+COUNTIFS('T9'!$C$4:$C$68,"TC",'T9'!J$4:J$68,"&lt;&gt;")) + (COUNTIFS('T9'!$C$4:$C$68,"C*",'T9'!K$4:K$68,"&lt;&gt;")+COUNTIFS('T9'!$C$4:$C$68,"TC",'T9'!K$4:K$68,"&lt;&gt;")) + (COUNTIFS('T9'!$C$4:$C$68,"C*",'T9'!L$4:L$68,"&lt;&gt;")+COUNTIFS('T9'!$C$4:$C$68,"TC",'T9'!L$4:L$68,"&lt;&gt;")))=0,"",(SUMIF('T9'!$C$4:$C$68,"TC",'T9'!F$4:F$68))+(SUMIF('T9'!$C$4:$C$68,"TC",'T9'!G$4:G$68))+(SUMIF('T9'!$C$4:$C$68,"TC",'T9'!H$4:H$68))+(SUMIF('T9'!$C$4:$C$68,"TC",'T9'!I$4:I$68))+(SUMIF('T9'!$C$4:$C$68,"TC",'T9'!J$4:J$68))+(SUMIF('T9'!$C$4:$C$68,"TC",'T9'!K$4:K$68))+(SUMIF('T9'!$C$4:$C$68,"TC",'T9'!L$4:L$68)))</f>
        <v/>
      </c>
      <c r="I9" s="60" t="str">
        <f t="shared" si="1"/>
        <v/>
      </c>
      <c r="J9" s="57" t="str">
        <f>IF(((COUNTIFS('T9'!$C$4:$C$68,"C*",'T9'!F$4:F$68,"&lt;&gt;")+COUNTIFS('T9'!$C$4:$C$68,"TC",'T9'!F$4:F$68,"&lt;&gt;")) + (COUNTIFS('T9'!$C$4:$C$68,"C*",'T9'!G$4:G$68,"&lt;&gt;")+COUNTIFS('T9'!$C$4:$C$68,"TC",'T9'!G$4:G$68,"&lt;&gt;")) + (COUNTIFS('T9'!$C$4:$C$68,"C*",'T9'!H$4:H$68,"&lt;&gt;")+COUNTIFS('T9'!$C$4:$C$68,"TC",'T9'!H$4:H$68,"&lt;&gt;")) + (COUNTIFS('T9'!$C$4:$C$68,"C*",'T9'!I$4:I$68,"&lt;&gt;")+COUNTIFS('T9'!$C$4:$C$68,"TC",'T9'!I$4:I$68,"&lt;&gt;")) + (COUNTIFS('T9'!$C$4:$C$68,"C*",'T9'!J$4:J$68,"&lt;&gt;")+COUNTIFS('T9'!$C$4:$C$68,"TC",'T9'!J$4:J$68,"&lt;&gt;")) + (COUNTIFS('T9'!$C$4:$C$68,"C*",'T9'!K$4:K$68,"&lt;&gt;")+COUNTIFS('T9'!$C$4:$C$68,"TC",'T9'!K$4:K$68,"&lt;&gt;")) + (COUNTIFS('T9'!$C$4:$C$68,"C*",'T9'!L$4:L$68,"&lt;&gt;")+COUNTIFS('T9'!$C$4:$C$68,"TC",'T9'!L$4:L$68,"&lt;&gt;")))=0,"Chưa nhập","Đã cập nhật")</f>
        <v>Chưa nhập</v>
      </c>
    </row>
    <row r="10" spans="1:10" x14ac:dyDescent="0.2">
      <c r="A10" s="57" t="s">
        <v>81</v>
      </c>
      <c r="B10" s="59">
        <v>46275</v>
      </c>
      <c r="C10" s="59">
        <v>46281</v>
      </c>
      <c r="D10" s="60" t="str">
        <f>IF(((COUNTIFS('T9'!$C$4:$C$68,"C*",'T9'!M$4:M$68,"&lt;&gt;")+COUNTIFS('T9'!$C$4:$C$68,"TC",'T9'!M$4:M$68,"&lt;&gt;")) + (COUNTIFS('T9'!$C$4:$C$68,"C*",'T9'!N$4:N$68,"&lt;&gt;")+COUNTIFS('T9'!$C$4:$C$68,"TC",'T9'!N$4:N$68,"&lt;&gt;")) + (COUNTIFS('T9'!$C$4:$C$68,"C*",'T9'!O$4:O$68,"&lt;&gt;")+COUNTIFS('T9'!$C$4:$C$68,"TC",'T9'!O$4:O$68,"&lt;&gt;")) + (COUNTIFS('T9'!$C$4:$C$68,"C*",'T9'!P$4:P$68,"&lt;&gt;")+COUNTIFS('T9'!$C$4:$C$68,"TC",'T9'!P$4:P$68,"&lt;&gt;")) + (COUNTIFS('T9'!$C$4:$C$68,"C*",'T9'!Q$4:Q$68,"&lt;&gt;")+COUNTIFS('T9'!$C$4:$C$68,"TC",'T9'!Q$4:Q$68,"&lt;&gt;")) + (COUNTIFS('T9'!$C$4:$C$68,"C*",'T9'!R$4:R$68,"&lt;&gt;")+COUNTIFS('T9'!$C$4:$C$68,"TC",'T9'!R$4:R$68,"&lt;&gt;")) + (COUNTIFS('T9'!$C$4:$C$68,"C*",'T9'!S$4:S$68,"&lt;&gt;")+COUNTIFS('T9'!$C$4:$C$68,"TC",'T9'!S$4:S$68,"&lt;&gt;")))=0,"",((COUNTIFS('T9'!$C$4:$C$68,"C*",'T9'!M$4:M$68,"x*")-0.5*(COUNTIFS('T9'!$C$4:$C$68,"C*",'T9'!M$4:M$68,"x/2")))+(COUNTIFS('T9'!$C$4:$C$68,"C*",'T9'!N$4:N$68,"x*")-0.5*(COUNTIFS('T9'!$C$4:$C$68,"C*",'T9'!N$4:N$68,"x/2")))+(COUNTIFS('T9'!$C$4:$C$68,"C*",'T9'!O$4:O$68,"x*")-0.5*(COUNTIFS('T9'!$C$4:$C$68,"C*",'T9'!O$4:O$68,"x/2")))+(COUNTIFS('T9'!$C$4:$C$68,"C*",'T9'!Q$4:Q$68,"x*")-0.5*(COUNTIFS('T9'!$C$4:$C$68,"C*",'T9'!Q$4:Q$68,"x/2")))+(COUNTIFS('T9'!$C$4:$C$68,"C*",'T9'!R$4:R$68,"x*")-0.5*(COUNTIFS('T9'!$C$4:$C$68,"C*",'T9'!R$4:R$68,"x/2")))+(COUNTIFS('T9'!$C$4:$C$68,"C*",'T9'!S$4:S$68,"x*")-0.5*(COUNTIFS('T9'!$C$4:$C$68,"C*",'T9'!S$4:S$68,"x/2")))))</f>
        <v/>
      </c>
      <c r="E10" s="61" t="str">
        <f>IF(((COUNTIFS('T9'!$C$4:$C$68,"C*",'T9'!M$4:M$68,"&lt;&gt;")+COUNTIFS('T9'!$C$4:$C$68,"TC",'T9'!M$4:M$68,"&lt;&gt;")) + (COUNTIFS('T9'!$C$4:$C$68,"C*",'T9'!N$4:N$68,"&lt;&gt;")+COUNTIFS('T9'!$C$4:$C$68,"TC",'T9'!N$4:N$68,"&lt;&gt;")) + (COUNTIFS('T9'!$C$4:$C$68,"C*",'T9'!O$4:O$68,"&lt;&gt;")+COUNTIFS('T9'!$C$4:$C$68,"TC",'T9'!O$4:O$68,"&lt;&gt;")) + (COUNTIFS('T9'!$C$4:$C$68,"C*",'T9'!P$4:P$68,"&lt;&gt;")+COUNTIFS('T9'!$C$4:$C$68,"TC",'T9'!P$4:P$68,"&lt;&gt;")) + (COUNTIFS('T9'!$C$4:$C$68,"C*",'T9'!Q$4:Q$68,"&lt;&gt;")+COUNTIFS('T9'!$C$4:$C$68,"TC",'T9'!Q$4:Q$68,"&lt;&gt;")) + (COUNTIFS('T9'!$C$4:$C$68,"C*",'T9'!R$4:R$68,"&lt;&gt;")+COUNTIFS('T9'!$C$4:$C$68,"TC",'T9'!R$4:R$68,"&lt;&gt;")) + (COUNTIFS('T9'!$C$4:$C$68,"C*",'T9'!S$4:S$68,"&lt;&gt;")+COUNTIFS('T9'!$C$4:$C$68,"TC",'T9'!S$4:S$68,"&lt;&gt;")))=0,"",((COUNTIFS('T9'!$C$4:$C$68,"C*",'T9'!P$4:P$68,"x*")-0.5*(COUNTIFS('T9'!$C$4:$C$68,"C*",'T9'!P$4:P$68,"x/2")))))</f>
        <v/>
      </c>
      <c r="F10" s="60" t="str">
        <f t="shared" si="0"/>
        <v/>
      </c>
      <c r="G10" s="60" t="str">
        <f>IF(((COUNTIFS('T9'!$C$4:$C$68,"C*",'T9'!M$4:M$68,"&lt;&gt;")+COUNTIFS('T9'!$C$4:$C$68,"TC",'T9'!M$4:M$68,"&lt;&gt;")) + (COUNTIFS('T9'!$C$4:$C$68,"C*",'T9'!N$4:N$68,"&lt;&gt;")+COUNTIFS('T9'!$C$4:$C$68,"TC",'T9'!N$4:N$68,"&lt;&gt;")) + (COUNTIFS('T9'!$C$4:$C$68,"C*",'T9'!O$4:O$68,"&lt;&gt;")+COUNTIFS('T9'!$C$4:$C$68,"TC",'T9'!O$4:O$68,"&lt;&gt;")) + (COUNTIFS('T9'!$C$4:$C$68,"C*",'T9'!P$4:P$68,"&lt;&gt;")+COUNTIFS('T9'!$C$4:$C$68,"TC",'T9'!P$4:P$68,"&lt;&gt;")) + (COUNTIFS('T9'!$C$4:$C$68,"C*",'T9'!Q$4:Q$68,"&lt;&gt;")+COUNTIFS('T9'!$C$4:$C$68,"TC",'T9'!Q$4:Q$68,"&lt;&gt;")) + (COUNTIFS('T9'!$C$4:$C$68,"C*",'T9'!R$4:R$68,"&lt;&gt;")+COUNTIFS('T9'!$C$4:$C$68,"TC",'T9'!R$4:R$68,"&lt;&gt;")) + (COUNTIFS('T9'!$C$4:$C$68,"C*",'T9'!S$4:S$68,"&lt;&gt;")+COUNTIFS('T9'!$C$4:$C$68,"TC",'T9'!S$4:S$68,"&lt;&gt;")))=0,"",(SUMIF('T9'!$C$4:$C$68,"TC",'T9'!M$4:M$68))+(SUMIF('T9'!$C$4:$C$68,"TC",'T9'!N$4:N$68))+(SUMIF('T9'!$C$4:$C$68,"TC",'T9'!O$4:O$68))+(SUMIF('T9'!$C$4:$C$68,"TC",'T9'!Q$4:Q$68))+(SUMIF('T9'!$C$4:$C$68,"TC",'T9'!R$4:R$68))+(SUMIF('T9'!$C$4:$C$68,"TC",'T9'!S$4:S$68)))</f>
        <v/>
      </c>
      <c r="H10" s="62" t="str">
        <f>IF(((COUNTIFS('T9'!$C$4:$C$68,"C*",'T9'!M$4:M$68,"&lt;&gt;")+COUNTIFS('T9'!$C$4:$C$68,"TC",'T9'!M$4:M$68,"&lt;&gt;")) + (COUNTIFS('T9'!$C$4:$C$68,"C*",'T9'!N$4:N$68,"&lt;&gt;")+COUNTIFS('T9'!$C$4:$C$68,"TC",'T9'!N$4:N$68,"&lt;&gt;")) + (COUNTIFS('T9'!$C$4:$C$68,"C*",'T9'!O$4:O$68,"&lt;&gt;")+COUNTIFS('T9'!$C$4:$C$68,"TC",'T9'!O$4:O$68,"&lt;&gt;")) + (COUNTIFS('T9'!$C$4:$C$68,"C*",'T9'!P$4:P$68,"&lt;&gt;")+COUNTIFS('T9'!$C$4:$C$68,"TC",'T9'!P$4:P$68,"&lt;&gt;")) + (COUNTIFS('T9'!$C$4:$C$68,"C*",'T9'!Q$4:Q$68,"&lt;&gt;")+COUNTIFS('T9'!$C$4:$C$68,"TC",'T9'!Q$4:Q$68,"&lt;&gt;")) + (COUNTIFS('T9'!$C$4:$C$68,"C*",'T9'!R$4:R$68,"&lt;&gt;")+COUNTIFS('T9'!$C$4:$C$68,"TC",'T9'!R$4:R$68,"&lt;&gt;")) + (COUNTIFS('T9'!$C$4:$C$68,"C*",'T9'!S$4:S$68,"&lt;&gt;")+COUNTIFS('T9'!$C$4:$C$68,"TC",'T9'!S$4:S$68,"&lt;&gt;")))=0,"",(SUMIF('T9'!$C$4:$C$68,"TC",'T9'!M$4:M$68))+(SUMIF('T9'!$C$4:$C$68,"TC",'T9'!N$4:N$68))+(SUMIF('T9'!$C$4:$C$68,"TC",'T9'!O$4:O$68))+(SUMIF('T9'!$C$4:$C$68,"TC",'T9'!P$4:P$68))+(SUMIF('T9'!$C$4:$C$68,"TC",'T9'!Q$4:Q$68))+(SUMIF('T9'!$C$4:$C$68,"TC",'T9'!R$4:R$68))+(SUMIF('T9'!$C$4:$C$68,"TC",'T9'!S$4:S$68)))</f>
        <v/>
      </c>
      <c r="I10" s="60" t="str">
        <f t="shared" si="1"/>
        <v/>
      </c>
      <c r="J10" s="57" t="str">
        <f>IF(((COUNTIFS('T9'!$C$4:$C$68,"C*",'T9'!M$4:M$68,"&lt;&gt;")+COUNTIFS('T9'!$C$4:$C$68,"TC",'T9'!M$4:M$68,"&lt;&gt;")) + (COUNTIFS('T9'!$C$4:$C$68,"C*",'T9'!N$4:N$68,"&lt;&gt;")+COUNTIFS('T9'!$C$4:$C$68,"TC",'T9'!N$4:N$68,"&lt;&gt;")) + (COUNTIFS('T9'!$C$4:$C$68,"C*",'T9'!O$4:O$68,"&lt;&gt;")+COUNTIFS('T9'!$C$4:$C$68,"TC",'T9'!O$4:O$68,"&lt;&gt;")) + (COUNTIFS('T9'!$C$4:$C$68,"C*",'T9'!P$4:P$68,"&lt;&gt;")+COUNTIFS('T9'!$C$4:$C$68,"TC",'T9'!P$4:P$68,"&lt;&gt;")) + (COUNTIFS('T9'!$C$4:$C$68,"C*",'T9'!Q$4:Q$68,"&lt;&gt;")+COUNTIFS('T9'!$C$4:$C$68,"TC",'T9'!Q$4:Q$68,"&lt;&gt;")) + (COUNTIFS('T9'!$C$4:$C$68,"C*",'T9'!R$4:R$68,"&lt;&gt;")+COUNTIFS('T9'!$C$4:$C$68,"TC",'T9'!R$4:R$68,"&lt;&gt;")) + (COUNTIFS('T9'!$C$4:$C$68,"C*",'T9'!S$4:S$68,"&lt;&gt;")+COUNTIFS('T9'!$C$4:$C$68,"TC",'T9'!S$4:S$68,"&lt;&gt;")))=0,"Chưa nhập","Đã cập nhật")</f>
        <v>Chưa nhập</v>
      </c>
    </row>
    <row r="11" spans="1:10" x14ac:dyDescent="0.2">
      <c r="A11" s="57" t="s">
        <v>82</v>
      </c>
      <c r="B11" s="59">
        <v>46282</v>
      </c>
      <c r="C11" s="59">
        <v>46288</v>
      </c>
      <c r="D11" s="60" t="str">
        <f>IF(((COUNTIFS('T9'!$C$4:$C$68,"C*",'T9'!T$4:T$68,"&lt;&gt;")+COUNTIFS('T9'!$C$4:$C$68,"TC",'T9'!T$4:T$68,"&lt;&gt;")) + (COUNTIFS('T9'!$C$4:$C$68,"C*",'T9'!U$4:U$68,"&lt;&gt;")+COUNTIFS('T9'!$C$4:$C$68,"TC",'T9'!U$4:U$68,"&lt;&gt;")) + (COUNTIFS('T9'!$C$4:$C$68,"C*",'T9'!V$4:V$68,"&lt;&gt;")+COUNTIFS('T9'!$C$4:$C$68,"TC",'T9'!V$4:V$68,"&lt;&gt;")) + (COUNTIFS('T9'!$C$4:$C$68,"C*",'T9'!W$4:W$68,"&lt;&gt;")+COUNTIFS('T9'!$C$4:$C$68,"TC",'T9'!W$4:W$68,"&lt;&gt;")) + (COUNTIFS('T9'!$C$4:$C$68,"C*",'T9'!X$4:X$68,"&lt;&gt;")+COUNTIFS('T9'!$C$4:$C$68,"TC",'T9'!X$4:X$68,"&lt;&gt;")) + (COUNTIFS('T9'!$C$4:$C$68,"C*",'T9'!Y$4:Y$68,"&lt;&gt;")+COUNTIFS('T9'!$C$4:$C$68,"TC",'T9'!Y$4:Y$68,"&lt;&gt;")) + (COUNTIFS('T9'!$C$4:$C$68,"C*",'T9'!Z$4:Z$68,"&lt;&gt;")+COUNTIFS('T9'!$C$4:$C$68,"TC",'T9'!Z$4:Z$68,"&lt;&gt;")))=0,"",((COUNTIFS('T9'!$C$4:$C$68,"C*",'T9'!T$4:T$68,"x*")-0.5*(COUNTIFS('T9'!$C$4:$C$68,"C*",'T9'!T$4:T$68,"x/2")))+(COUNTIFS('T9'!$C$4:$C$68,"C*",'T9'!U$4:U$68,"x*")-0.5*(COUNTIFS('T9'!$C$4:$C$68,"C*",'T9'!U$4:U$68,"x/2")))+(COUNTIFS('T9'!$C$4:$C$68,"C*",'T9'!V$4:V$68,"x*")-0.5*(COUNTIFS('T9'!$C$4:$C$68,"C*",'T9'!V$4:V$68,"x/2")))+(COUNTIFS('T9'!$C$4:$C$68,"C*",'T9'!X$4:X$68,"x*")-0.5*(COUNTIFS('T9'!$C$4:$C$68,"C*",'T9'!X$4:X$68,"x/2")))+(COUNTIFS('T9'!$C$4:$C$68,"C*",'T9'!Y$4:Y$68,"x*")-0.5*(COUNTIFS('T9'!$C$4:$C$68,"C*",'T9'!Y$4:Y$68,"x/2")))+(COUNTIFS('T9'!$C$4:$C$68,"C*",'T9'!Z$4:Z$68,"x*")-0.5*(COUNTIFS('T9'!$C$4:$C$68,"C*",'T9'!Z$4:Z$68,"x/2")))))</f>
        <v/>
      </c>
      <c r="E11" s="61" t="str">
        <f>IF(((COUNTIFS('T9'!$C$4:$C$68,"C*",'T9'!T$4:T$68,"&lt;&gt;")+COUNTIFS('T9'!$C$4:$C$68,"TC",'T9'!T$4:T$68,"&lt;&gt;")) + (COUNTIFS('T9'!$C$4:$C$68,"C*",'T9'!U$4:U$68,"&lt;&gt;")+COUNTIFS('T9'!$C$4:$C$68,"TC",'T9'!U$4:U$68,"&lt;&gt;")) + (COUNTIFS('T9'!$C$4:$C$68,"C*",'T9'!V$4:V$68,"&lt;&gt;")+COUNTIFS('T9'!$C$4:$C$68,"TC",'T9'!V$4:V$68,"&lt;&gt;")) + (COUNTIFS('T9'!$C$4:$C$68,"C*",'T9'!W$4:W$68,"&lt;&gt;")+COUNTIFS('T9'!$C$4:$C$68,"TC",'T9'!W$4:W$68,"&lt;&gt;")) + (COUNTIFS('T9'!$C$4:$C$68,"C*",'T9'!X$4:X$68,"&lt;&gt;")+COUNTIFS('T9'!$C$4:$C$68,"TC",'T9'!X$4:X$68,"&lt;&gt;")) + (COUNTIFS('T9'!$C$4:$C$68,"C*",'T9'!Y$4:Y$68,"&lt;&gt;")+COUNTIFS('T9'!$C$4:$C$68,"TC",'T9'!Y$4:Y$68,"&lt;&gt;")) + (COUNTIFS('T9'!$C$4:$C$68,"C*",'T9'!Z$4:Z$68,"&lt;&gt;")+COUNTIFS('T9'!$C$4:$C$68,"TC",'T9'!Z$4:Z$68,"&lt;&gt;")))=0,"",((COUNTIFS('T9'!$C$4:$C$68,"C*",'T9'!W$4:W$68,"x*")-0.5*(COUNTIFS('T9'!$C$4:$C$68,"C*",'T9'!W$4:W$68,"x/2")))))</f>
        <v/>
      </c>
      <c r="F11" s="60" t="str">
        <f t="shared" si="0"/>
        <v/>
      </c>
      <c r="G11" s="60" t="str">
        <f>IF(((COUNTIFS('T9'!$C$4:$C$68,"C*",'T9'!T$4:T$68,"&lt;&gt;")+COUNTIFS('T9'!$C$4:$C$68,"TC",'T9'!T$4:T$68,"&lt;&gt;")) + (COUNTIFS('T9'!$C$4:$C$68,"C*",'T9'!U$4:U$68,"&lt;&gt;")+COUNTIFS('T9'!$C$4:$C$68,"TC",'T9'!U$4:U$68,"&lt;&gt;")) + (COUNTIFS('T9'!$C$4:$C$68,"C*",'T9'!V$4:V$68,"&lt;&gt;")+COUNTIFS('T9'!$C$4:$C$68,"TC",'T9'!V$4:V$68,"&lt;&gt;")) + (COUNTIFS('T9'!$C$4:$C$68,"C*",'T9'!W$4:W$68,"&lt;&gt;")+COUNTIFS('T9'!$C$4:$C$68,"TC",'T9'!W$4:W$68,"&lt;&gt;")) + (COUNTIFS('T9'!$C$4:$C$68,"C*",'T9'!X$4:X$68,"&lt;&gt;")+COUNTIFS('T9'!$C$4:$C$68,"TC",'T9'!X$4:X$68,"&lt;&gt;")) + (COUNTIFS('T9'!$C$4:$C$68,"C*",'T9'!Y$4:Y$68,"&lt;&gt;")+COUNTIFS('T9'!$C$4:$C$68,"TC",'T9'!Y$4:Y$68,"&lt;&gt;")) + (COUNTIFS('T9'!$C$4:$C$68,"C*",'T9'!Z$4:Z$68,"&lt;&gt;")+COUNTIFS('T9'!$C$4:$C$68,"TC",'T9'!Z$4:Z$68,"&lt;&gt;")))=0,"",(SUMIF('T9'!$C$4:$C$68,"TC",'T9'!T$4:T$68))+(SUMIF('T9'!$C$4:$C$68,"TC",'T9'!U$4:U$68))+(SUMIF('T9'!$C$4:$C$68,"TC",'T9'!V$4:V$68))+(SUMIF('T9'!$C$4:$C$68,"TC",'T9'!X$4:X$68))+(SUMIF('T9'!$C$4:$C$68,"TC",'T9'!Y$4:Y$68))+(SUMIF('T9'!$C$4:$C$68,"TC",'T9'!Z$4:Z$68)))</f>
        <v/>
      </c>
      <c r="H11" s="62" t="str">
        <f>IF(((COUNTIFS('T9'!$C$4:$C$68,"C*",'T9'!T$4:T$68,"&lt;&gt;")+COUNTIFS('T9'!$C$4:$C$68,"TC",'T9'!T$4:T$68,"&lt;&gt;")) + (COUNTIFS('T9'!$C$4:$C$68,"C*",'T9'!U$4:U$68,"&lt;&gt;")+COUNTIFS('T9'!$C$4:$C$68,"TC",'T9'!U$4:U$68,"&lt;&gt;")) + (COUNTIFS('T9'!$C$4:$C$68,"C*",'T9'!V$4:V$68,"&lt;&gt;")+COUNTIFS('T9'!$C$4:$C$68,"TC",'T9'!V$4:V$68,"&lt;&gt;")) + (COUNTIFS('T9'!$C$4:$C$68,"C*",'T9'!W$4:W$68,"&lt;&gt;")+COUNTIFS('T9'!$C$4:$C$68,"TC",'T9'!W$4:W$68,"&lt;&gt;")) + (COUNTIFS('T9'!$C$4:$C$68,"C*",'T9'!X$4:X$68,"&lt;&gt;")+COUNTIFS('T9'!$C$4:$C$68,"TC",'T9'!X$4:X$68,"&lt;&gt;")) + (COUNTIFS('T9'!$C$4:$C$68,"C*",'T9'!Y$4:Y$68,"&lt;&gt;")+COUNTIFS('T9'!$C$4:$C$68,"TC",'T9'!Y$4:Y$68,"&lt;&gt;")) + (COUNTIFS('T9'!$C$4:$C$68,"C*",'T9'!Z$4:Z$68,"&lt;&gt;")+COUNTIFS('T9'!$C$4:$C$68,"TC",'T9'!Z$4:Z$68,"&lt;&gt;")))=0,"",(SUMIF('T9'!$C$4:$C$68,"TC",'T9'!T$4:T$68))+(SUMIF('T9'!$C$4:$C$68,"TC",'T9'!U$4:U$68))+(SUMIF('T9'!$C$4:$C$68,"TC",'T9'!V$4:V$68))+(SUMIF('T9'!$C$4:$C$68,"TC",'T9'!W$4:W$68))+(SUMIF('T9'!$C$4:$C$68,"TC",'T9'!X$4:X$68))+(SUMIF('T9'!$C$4:$C$68,"TC",'T9'!Y$4:Y$68))+(SUMIF('T9'!$C$4:$C$68,"TC",'T9'!Z$4:Z$68)))</f>
        <v/>
      </c>
      <c r="I11" s="60" t="str">
        <f t="shared" si="1"/>
        <v/>
      </c>
      <c r="J11" s="57" t="str">
        <f>IF(((COUNTIFS('T9'!$C$4:$C$68,"C*",'T9'!T$4:T$68,"&lt;&gt;")+COUNTIFS('T9'!$C$4:$C$68,"TC",'T9'!T$4:T$68,"&lt;&gt;")) + (COUNTIFS('T9'!$C$4:$C$68,"C*",'T9'!U$4:U$68,"&lt;&gt;")+COUNTIFS('T9'!$C$4:$C$68,"TC",'T9'!U$4:U$68,"&lt;&gt;")) + (COUNTIFS('T9'!$C$4:$C$68,"C*",'T9'!V$4:V$68,"&lt;&gt;")+COUNTIFS('T9'!$C$4:$C$68,"TC",'T9'!V$4:V$68,"&lt;&gt;")) + (COUNTIFS('T9'!$C$4:$C$68,"C*",'T9'!W$4:W$68,"&lt;&gt;")+COUNTIFS('T9'!$C$4:$C$68,"TC",'T9'!W$4:W$68,"&lt;&gt;")) + (COUNTIFS('T9'!$C$4:$C$68,"C*",'T9'!X$4:X$68,"&lt;&gt;")+COUNTIFS('T9'!$C$4:$C$68,"TC",'T9'!X$4:X$68,"&lt;&gt;")) + (COUNTIFS('T9'!$C$4:$C$68,"C*",'T9'!Y$4:Y$68,"&lt;&gt;")+COUNTIFS('T9'!$C$4:$C$68,"TC",'T9'!Y$4:Y$68,"&lt;&gt;")) + (COUNTIFS('T9'!$C$4:$C$68,"C*",'T9'!Z$4:Z$68,"&lt;&gt;")+COUNTIFS('T9'!$C$4:$C$68,"TC",'T9'!Z$4:Z$68,"&lt;&gt;")))=0,"Chưa nhập","Đã cập nhật")</f>
        <v>Chưa nhập</v>
      </c>
    </row>
    <row r="12" spans="1:10" x14ac:dyDescent="0.2">
      <c r="A12" s="57" t="s">
        <v>88</v>
      </c>
      <c r="B12" s="59">
        <v>46289</v>
      </c>
      <c r="C12" s="59">
        <v>46295</v>
      </c>
      <c r="D12" s="60" t="str">
        <f>IF(((COUNTIFS('T9'!$C$4:$C$68,"C*",'T9'!AA$4:AA$68,"&lt;&gt;")+COUNTIFS('T9'!$C$4:$C$68,"TC",'T9'!AA$4:AA$68,"&lt;&gt;")) + (COUNTIFS('T9'!$C$4:$C$68,"C*",'T9'!AB$4:AB$68,"&lt;&gt;")+COUNTIFS('T9'!$C$4:$C$68,"TC",'T9'!AB$4:AB$68,"&lt;&gt;")) + (COUNTIFS('T9'!$C$4:$C$68,"C*",'T9'!AC$4:AC$68,"&lt;&gt;")+COUNTIFS('T9'!$C$4:$C$68,"TC",'T9'!AC$4:AC$68,"&lt;&gt;")) + (COUNTIFS('T9'!$C$4:$C$68,"C*",'T9'!AD$4:AD$68,"&lt;&gt;")+COUNTIFS('T9'!$C$4:$C$68,"TC",'T9'!AD$4:AD$68,"&lt;&gt;")) + (COUNTIFS('T9'!$C$4:$C$68,"C*",'T9'!AE$4:AE$68,"&lt;&gt;")+COUNTIFS('T9'!$C$4:$C$68,"TC",'T9'!AE$4:AE$68,"&lt;&gt;")) + (COUNTIFS('T9'!$C$4:$C$68,"C*",'T9'!AF$4:AF$68,"&lt;&gt;")+COUNTIFS('T9'!$C$4:$C$68,"TC",'T9'!AF$4:AF$68,"&lt;&gt;")) + (COUNTIFS('T9'!$C$4:$C$68,"C*",'T9'!AG$4:AG$68,"&lt;&gt;")+COUNTIFS('T9'!$C$4:$C$68,"TC",'T9'!AG$4:AG$68,"&lt;&gt;")))=0,"",((COUNTIFS('T9'!$C$4:$C$68,"C*",'T9'!AA$4:AA$68,"x*")-0.5*(COUNTIFS('T9'!$C$4:$C$68,"C*",'T9'!AA$4:AA$68,"x/2")))+(COUNTIFS('T9'!$C$4:$C$68,"C*",'T9'!AB$4:AB$68,"x*")-0.5*(COUNTIFS('T9'!$C$4:$C$68,"C*",'T9'!AB$4:AB$68,"x/2")))+(COUNTIFS('T9'!$C$4:$C$68,"C*",'T9'!AC$4:AC$68,"x*")-0.5*(COUNTIFS('T9'!$C$4:$C$68,"C*",'T9'!AC$4:AC$68,"x/2")))+(COUNTIFS('T9'!$C$4:$C$68,"C*",'T9'!AE$4:AE$68,"x*")-0.5*(COUNTIFS('T9'!$C$4:$C$68,"C*",'T9'!AE$4:AE$68,"x/2")))+(COUNTIFS('T9'!$C$4:$C$68,"C*",'T9'!AF$4:AF$68,"x*")-0.5*(COUNTIFS('T9'!$C$4:$C$68,"C*",'T9'!AF$4:AF$68,"x/2")))+(COUNTIFS('T9'!$C$4:$C$68,"C*",'T9'!AG$4:AG$68,"x*")-0.5*(COUNTIFS('T9'!$C$4:$C$68,"C*",'T9'!AG$4:AG$68,"x/2")))))</f>
        <v/>
      </c>
      <c r="E12" s="61" t="str">
        <f>IF(((COUNTIFS('T9'!$C$4:$C$68,"C*",'T9'!AA$4:AA$68,"&lt;&gt;")+COUNTIFS('T9'!$C$4:$C$68,"TC",'T9'!AA$4:AA$68,"&lt;&gt;")) + (COUNTIFS('T9'!$C$4:$C$68,"C*",'T9'!AB$4:AB$68,"&lt;&gt;")+COUNTIFS('T9'!$C$4:$C$68,"TC",'T9'!AB$4:AB$68,"&lt;&gt;")) + (COUNTIFS('T9'!$C$4:$C$68,"C*",'T9'!AC$4:AC$68,"&lt;&gt;")+COUNTIFS('T9'!$C$4:$C$68,"TC",'T9'!AC$4:AC$68,"&lt;&gt;")) + (COUNTIFS('T9'!$C$4:$C$68,"C*",'T9'!AD$4:AD$68,"&lt;&gt;")+COUNTIFS('T9'!$C$4:$C$68,"TC",'T9'!AD$4:AD$68,"&lt;&gt;")) + (COUNTIFS('T9'!$C$4:$C$68,"C*",'T9'!AE$4:AE$68,"&lt;&gt;")+COUNTIFS('T9'!$C$4:$C$68,"TC",'T9'!AE$4:AE$68,"&lt;&gt;")) + (COUNTIFS('T9'!$C$4:$C$68,"C*",'T9'!AF$4:AF$68,"&lt;&gt;")+COUNTIFS('T9'!$C$4:$C$68,"TC",'T9'!AF$4:AF$68,"&lt;&gt;")) + (COUNTIFS('T9'!$C$4:$C$68,"C*",'T9'!AG$4:AG$68,"&lt;&gt;")+COUNTIFS('T9'!$C$4:$C$68,"TC",'T9'!AG$4:AG$68,"&lt;&gt;")))=0,"",((COUNTIFS('T9'!$C$4:$C$68,"C*",'T9'!AD$4:AD$68,"x*")-0.5*(COUNTIFS('T9'!$C$4:$C$68,"C*",'T9'!AD$4:AD$68,"x/2")))))</f>
        <v/>
      </c>
      <c r="F12" s="60" t="str">
        <f t="shared" si="0"/>
        <v/>
      </c>
      <c r="G12" s="60" t="str">
        <f>IF(((COUNTIFS('T9'!$C$4:$C$68,"C*",'T9'!AA$4:AA$68,"&lt;&gt;")+COUNTIFS('T9'!$C$4:$C$68,"TC",'T9'!AA$4:AA$68,"&lt;&gt;")) + (COUNTIFS('T9'!$C$4:$C$68,"C*",'T9'!AB$4:AB$68,"&lt;&gt;")+COUNTIFS('T9'!$C$4:$C$68,"TC",'T9'!AB$4:AB$68,"&lt;&gt;")) + (COUNTIFS('T9'!$C$4:$C$68,"C*",'T9'!AC$4:AC$68,"&lt;&gt;")+COUNTIFS('T9'!$C$4:$C$68,"TC",'T9'!AC$4:AC$68,"&lt;&gt;")) + (COUNTIFS('T9'!$C$4:$C$68,"C*",'T9'!AD$4:AD$68,"&lt;&gt;")+COUNTIFS('T9'!$C$4:$C$68,"TC",'T9'!AD$4:AD$68,"&lt;&gt;")) + (COUNTIFS('T9'!$C$4:$C$68,"C*",'T9'!AE$4:AE$68,"&lt;&gt;")+COUNTIFS('T9'!$C$4:$C$68,"TC",'T9'!AE$4:AE$68,"&lt;&gt;")) + (COUNTIFS('T9'!$C$4:$C$68,"C*",'T9'!AF$4:AF$68,"&lt;&gt;")+COUNTIFS('T9'!$C$4:$C$68,"TC",'T9'!AF$4:AF$68,"&lt;&gt;")) + (COUNTIFS('T9'!$C$4:$C$68,"C*",'T9'!AG$4:AG$68,"&lt;&gt;")+COUNTIFS('T9'!$C$4:$C$68,"TC",'T9'!AG$4:AG$68,"&lt;&gt;")))=0,"",(SUMIF('T9'!$C$4:$C$68,"TC",'T9'!AA$4:AA$68))+(SUMIF('T9'!$C$4:$C$68,"TC",'T9'!AB$4:AB$68))+(SUMIF('T9'!$C$4:$C$68,"TC",'T9'!AC$4:AC$68))+(SUMIF('T9'!$C$4:$C$68,"TC",'T9'!AE$4:AE$68))+(SUMIF('T9'!$C$4:$C$68,"TC",'T9'!AF$4:AF$68))+(SUMIF('T9'!$C$4:$C$68,"TC",'T9'!AG$4:AG$68)))</f>
        <v/>
      </c>
      <c r="H12" s="62" t="str">
        <f>IF(((COUNTIFS('T9'!$C$4:$C$68,"C*",'T9'!AA$4:AA$68,"&lt;&gt;")+COUNTIFS('T9'!$C$4:$C$68,"TC",'T9'!AA$4:AA$68,"&lt;&gt;")) + (COUNTIFS('T9'!$C$4:$C$68,"C*",'T9'!AB$4:AB$68,"&lt;&gt;")+COUNTIFS('T9'!$C$4:$C$68,"TC",'T9'!AB$4:AB$68,"&lt;&gt;")) + (COUNTIFS('T9'!$C$4:$C$68,"C*",'T9'!AC$4:AC$68,"&lt;&gt;")+COUNTIFS('T9'!$C$4:$C$68,"TC",'T9'!AC$4:AC$68,"&lt;&gt;")) + (COUNTIFS('T9'!$C$4:$C$68,"C*",'T9'!AD$4:AD$68,"&lt;&gt;")+COUNTIFS('T9'!$C$4:$C$68,"TC",'T9'!AD$4:AD$68,"&lt;&gt;")) + (COUNTIFS('T9'!$C$4:$C$68,"C*",'T9'!AE$4:AE$68,"&lt;&gt;")+COUNTIFS('T9'!$C$4:$C$68,"TC",'T9'!AE$4:AE$68,"&lt;&gt;")) + (COUNTIFS('T9'!$C$4:$C$68,"C*",'T9'!AF$4:AF$68,"&lt;&gt;")+COUNTIFS('T9'!$C$4:$C$68,"TC",'T9'!AF$4:AF$68,"&lt;&gt;")) + (COUNTIFS('T9'!$C$4:$C$68,"C*",'T9'!AG$4:AG$68,"&lt;&gt;")+COUNTIFS('T9'!$C$4:$C$68,"TC",'T9'!AG$4:AG$68,"&lt;&gt;")))=0,"",(SUMIF('T9'!$C$4:$C$68,"TC",'T9'!AA$4:AA$68))+(SUMIF('T9'!$C$4:$C$68,"TC",'T9'!AB$4:AB$68))+(SUMIF('T9'!$C$4:$C$68,"TC",'T9'!AC$4:AC$68))+(SUMIF('T9'!$C$4:$C$68,"TC",'T9'!AD$4:AD$68))+(SUMIF('T9'!$C$4:$C$68,"TC",'T9'!AE$4:AE$68))+(SUMIF('T9'!$C$4:$C$68,"TC",'T9'!AF$4:AF$68))+(SUMIF('T9'!$C$4:$C$68,"TC",'T9'!AG$4:AG$68)))</f>
        <v/>
      </c>
      <c r="I12" s="60" t="str">
        <f t="shared" si="1"/>
        <v/>
      </c>
      <c r="J12" s="57" t="str">
        <f>IF(((COUNTIFS('T9'!$C$4:$C$68,"C*",'T9'!AA$4:AA$68,"&lt;&gt;")+COUNTIFS('T9'!$C$4:$C$68,"TC",'T9'!AA$4:AA$68,"&lt;&gt;")) + (COUNTIFS('T9'!$C$4:$C$68,"C*",'T9'!AB$4:AB$68,"&lt;&gt;")+COUNTIFS('T9'!$C$4:$C$68,"TC",'T9'!AB$4:AB$68,"&lt;&gt;")) + (COUNTIFS('T9'!$C$4:$C$68,"C*",'T9'!AC$4:AC$68,"&lt;&gt;")+COUNTIFS('T9'!$C$4:$C$68,"TC",'T9'!AC$4:AC$68,"&lt;&gt;")) + (COUNTIFS('T9'!$C$4:$C$68,"C*",'T9'!AD$4:AD$68,"&lt;&gt;")+COUNTIFS('T9'!$C$4:$C$68,"TC",'T9'!AD$4:AD$68,"&lt;&gt;")) + (COUNTIFS('T9'!$C$4:$C$68,"C*",'T9'!AE$4:AE$68,"&lt;&gt;")+COUNTIFS('T9'!$C$4:$C$68,"TC",'T9'!AE$4:AE$68,"&lt;&gt;")) + (COUNTIFS('T9'!$C$4:$C$68,"C*",'T9'!AF$4:AF$68,"&lt;&gt;")+COUNTIFS('T9'!$C$4:$C$68,"TC",'T9'!AF$4:AF$68,"&lt;&gt;")) + (COUNTIFS('T9'!$C$4:$C$68,"C*",'T9'!AG$4:AG$68,"&lt;&gt;")+COUNTIFS('T9'!$C$4:$C$68,"TC",'T9'!AG$4:AG$68,"&lt;&gt;")))=0,"Chưa nhập","Đã cập nhật")</f>
        <v>Chưa nhập</v>
      </c>
    </row>
    <row r="13" spans="1:10" ht="15" customHeight="1" x14ac:dyDescent="0.2">
      <c r="A13" s="133" t="s">
        <v>83</v>
      </c>
      <c r="B13" s="134"/>
      <c r="C13" s="135"/>
      <c r="D13" s="63" t="str">
        <f>IF(COUNT(D8:D12)=0,"",SUM(D8:D12))</f>
        <v/>
      </c>
      <c r="E13" s="63" t="str">
        <f>IF(COUNT(E8:E12)=0,"",SUM(E8:E12))</f>
        <v/>
      </c>
      <c r="F13" s="63" t="str">
        <f t="shared" si="0"/>
        <v/>
      </c>
      <c r="G13" s="63" t="str">
        <f>IF(COUNT(G8:G12)=0,"",SUM(G8:G12))</f>
        <v/>
      </c>
      <c r="H13" s="63" t="str">
        <f>IF(COUNT(H8:H12)=0,"",SUM(H8:H12))</f>
        <v/>
      </c>
      <c r="I13" s="63" t="str">
        <f t="shared" si="1"/>
        <v/>
      </c>
      <c r="J13" s="58"/>
    </row>
    <row r="14" spans="1:10" x14ac:dyDescent="0.2">
      <c r="D14" t="str">
        <f t="shared" ref="D14:I14" si="2">IF(COUNT(D8:D13)=0,"",SUM(D8:D13))</f>
        <v/>
      </c>
      <c r="E14" t="str">
        <f t="shared" si="2"/>
        <v/>
      </c>
      <c r="F14" t="str">
        <f t="shared" si="2"/>
        <v/>
      </c>
      <c r="G14" t="str">
        <f t="shared" si="2"/>
        <v/>
      </c>
      <c r="H14" t="str">
        <f t="shared" si="2"/>
        <v/>
      </c>
      <c r="I14" t="str">
        <f t="shared" si="2"/>
        <v/>
      </c>
    </row>
    <row r="15" spans="1:10" x14ac:dyDescent="0.2">
      <c r="A15" s="127" t="s">
        <v>84</v>
      </c>
      <c r="B15" s="125"/>
      <c r="C15" s="125"/>
      <c r="D15" s="125"/>
      <c r="E15" s="125"/>
      <c r="F15" s="125"/>
      <c r="G15" s="125"/>
      <c r="H15" s="125"/>
      <c r="I15" s="125"/>
      <c r="J15" s="125"/>
    </row>
  </sheetData>
  <mergeCells count="14">
    <mergeCell ref="A1:J1"/>
    <mergeCell ref="I4:J4"/>
    <mergeCell ref="A15:J15"/>
    <mergeCell ref="I5:J5"/>
    <mergeCell ref="A2:J2"/>
    <mergeCell ref="C4:D4"/>
    <mergeCell ref="A13:C13"/>
    <mergeCell ref="C5:D5"/>
    <mergeCell ref="A5:B5"/>
    <mergeCell ref="G5:H5"/>
    <mergeCell ref="E5:F5"/>
    <mergeCell ref="A4:B4"/>
    <mergeCell ref="G4:H4"/>
    <mergeCell ref="E4:F4"/>
  </mergeCells>
  <conditionalFormatting sqref="F8:F12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2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2">
    <cfRule type="expression" dxfId="7" priority="1">
      <formula>$J8="Chưa nhập"</formula>
    </cfRule>
    <cfRule type="expression" dxfId="6" priority="2">
      <formula>$J8="Đã cập nhật"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sqref="A1:J1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94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 t="str">
        <f>F12</f>
        <v/>
      </c>
      <c r="B5" s="125"/>
      <c r="C5" s="136" t="str">
        <f>E12</f>
        <v/>
      </c>
      <c r="D5" s="125"/>
      <c r="E5" s="136" t="str">
        <f>IF(((COUNTIFS('T10'!$C$4:$C$68,"C*",'T10'!D$4:D$68,"&lt;&gt;")+COUNTIFS('T10'!$C$4:$C$68,"TC",'T10'!D$4:D$68,"&lt;&gt;"))+(COUNTIFS('T10'!$C$4:$C$68,"C*",'T10'!E$4:E$68,"&lt;&gt;")+COUNTIFS('T10'!$C$4:$C$68,"TC",'T10'!E$4:E$68,"&lt;&gt;"))+(COUNTIFS('T10'!$C$4:$C$68,"C*",'T10'!F$4:F$68,"&lt;&gt;")+COUNTIFS('T10'!$C$4:$C$68,"TC",'T10'!F$4:F$68,"&lt;&gt;"))+(COUNTIFS('T10'!$C$4:$C$68,"C*",'T10'!G$4:G$68,"&lt;&gt;")+COUNTIFS('T10'!$C$4:$C$68,"TC",'T10'!G$4:G$68,"&lt;&gt;"))+(COUNTIFS('T10'!$C$4:$C$68,"C*",'T10'!H$4:H$68,"&lt;&gt;")+COUNTIFS('T10'!$C$4:$C$68,"TC",'T10'!H$4:H$68,"&lt;&gt;"))+(COUNTIFS('T10'!$C$4:$C$68,"C*",'T10'!I$4:I$68,"&lt;&gt;")+COUNTIFS('T10'!$C$4:$C$68,"TC",'T10'!I$4:I$68,"&lt;&gt;"))+(COUNTIFS('T10'!$C$4:$C$68,"C*",'T10'!J$4:J$68,"&lt;&gt;")+COUNTIFS('T10'!$C$4:$C$68,"TC",'T10'!J$4:J$68,"&lt;&gt;"))+(COUNTIFS('T10'!$C$4:$C$68,"C*",'T10'!K$4:K$68,"&lt;&gt;")+COUNTIFS('T10'!$C$4:$C$68,"TC",'T10'!K$4:K$68,"&lt;&gt;"))+(COUNTIFS('T10'!$C$4:$C$68,"C*",'T10'!L$4:L$68,"&lt;&gt;")+COUNTIFS('T10'!$C$4:$C$68,"TC",'T10'!L$4:L$68,"&lt;&gt;"))+(COUNTIFS('T10'!$C$4:$C$68,"C*",'T10'!M$4:M$68,"&lt;&gt;")+COUNTIFS('T10'!$C$4:$C$68,"TC",'T10'!M$4:M$68,"&lt;&gt;"))+(COUNTIFS('T10'!$C$4:$C$68,"C*",'T10'!N$4:N$68,"&lt;&gt;")+COUNTIFS('T10'!$C$4:$C$68,"TC",'T10'!N$4:N$68,"&lt;&gt;"))+(COUNTIFS('T10'!$C$4:$C$68,"C*",'T10'!O$4:O$68,"&lt;&gt;")+COUNTIFS('T10'!$C$4:$C$68,"TC",'T10'!O$4:O$68,"&lt;&gt;"))+(COUNTIFS('T10'!$C$4:$C$68,"C*",'T10'!P$4:P$68,"&lt;&gt;")+COUNTIFS('T10'!$C$4:$C$68,"TC",'T10'!P$4:P$68,"&lt;&gt;"))+(COUNTIFS('T10'!$C$4:$C$68,"C*",'T10'!Q$4:Q$68,"&lt;&gt;")+COUNTIFS('T10'!$C$4:$C$68,"TC",'T10'!Q$4:Q$68,"&lt;&gt;"))+(COUNTIFS('T10'!$C$4:$C$68,"C*",'T10'!R$4:R$68,"&lt;&gt;")+COUNTIFS('T10'!$C$4:$C$68,"TC",'T10'!R$4:R$68,"&lt;&gt;"))+(COUNTIFS('T10'!$C$4:$C$68,"C*",'T10'!S$4:S$68,"&lt;&gt;")+COUNTIFS('T10'!$C$4:$C$68,"TC",'T10'!S$4:S$68,"&lt;&gt;"))+(COUNTIFS('T10'!$C$4:$C$68,"C*",'T10'!T$4:T$68,"&lt;&gt;")+COUNTIFS('T10'!$C$4:$C$68,"TC",'T10'!T$4:T$68,"&lt;&gt;"))+(COUNTIFS('T10'!$C$4:$C$68,"C*",'T10'!U$4:U$68,"&lt;&gt;")+COUNTIFS('T10'!$C$4:$C$68,"TC",'T10'!U$4:U$68,"&lt;&gt;"))+(COUNTIFS('T10'!$C$4:$C$68,"C*",'T10'!V$4:V$68,"&lt;&gt;")+COUNTIFS('T10'!$C$4:$C$68,"TC",'T10'!V$4:V$68,"&lt;&gt;"))+(COUNTIFS('T10'!$C$4:$C$68,"C*",'T10'!W$4:W$68,"&lt;&gt;")+COUNTIFS('T10'!$C$4:$C$68,"TC",'T10'!W$4:W$68,"&lt;&gt;"))+(COUNTIFS('T10'!$C$4:$C$68,"C*",'T10'!X$4:X$68,"&lt;&gt;")+COUNTIFS('T10'!$C$4:$C$68,"TC",'T10'!X$4:X$68,"&lt;&gt;"))+(COUNTIFS('T10'!$C$4:$C$68,"C*",'T10'!Y$4:Y$68,"&lt;&gt;")+COUNTIFS('T10'!$C$4:$C$68,"TC",'T10'!Y$4:Y$68,"&lt;&gt;"))+(COUNTIFS('T10'!$C$4:$C$68,"C*",'T10'!Z$4:Z$68,"&lt;&gt;")+COUNTIFS('T10'!$C$4:$C$68,"TC",'T10'!Z$4:Z$68,"&lt;&gt;"))+(COUNTIFS('T10'!$C$4:$C$68,"C*",'T10'!AA$4:AA$68,"&lt;&gt;")+COUNTIFS('T10'!$C$4:$C$68,"TC",'T10'!AA$4:AA$68,"&lt;&gt;"))+(COUNTIFS('T10'!$C$4:$C$68,"C*",'T10'!AB$4:AB$68,"&lt;&gt;")+COUNTIFS('T10'!$C$4:$C$68,"TC",'T10'!AB$4:AB$68,"&lt;&gt;"))+(COUNTIFS('T10'!$C$4:$C$68,"C*",'T10'!AC$4:AC$68,"&lt;&gt;")+COUNTIFS('T10'!$C$4:$C$68,"TC",'T10'!AC$4:AC$68,"&lt;&gt;"))+(COUNTIFS('T10'!$C$4:$C$68,"C*",'T10'!AD$4:AD$68,"&lt;&gt;")+COUNTIFS('T10'!$C$4:$C$68,"TC",'T10'!AD$4:AD$68,"&lt;&gt;"))+(COUNTIFS('T10'!$C$4:$C$68,"C*",'T10'!AE$4:AE$68,"&lt;&gt;")+COUNTIFS('T10'!$C$4:$C$68,"TC",'T10'!AE$4:AE$68,"&lt;&gt;"))+(COUNTIFS('T10'!$C$4:$C$68,"C*",'T10'!AF$4:AF$68,"&lt;&gt;")+COUNTIFS('T10'!$C$4:$C$68,"TC",'T10'!AF$4:AF$68,"&lt;&gt;"))+(COUNTIFS('T10'!$C$4:$C$68,"C*",'T10'!AG$4:AG$68,"&lt;&gt;")+COUNTIFS('T10'!$C$4:$C$68,"TC",'T10'!AG$4:AG$68,"&lt;&gt;"))+(COUNTIFS('T10'!$C$4:$C$68,"C*",'T10'!AH$4:AH$68,"&lt;&gt;")+COUNTIFS('T10'!$C$4:$C$68,"TC",'T10'!AH$4:AH$68,"&lt;&gt;")))=0,"",((SUMIF('T10'!$C$4:$C$68,"TC",'T10'!D$4:D$68))+(SUMIF('T10'!$C$4:$C$68,"TC",'T10'!E$4:E$68))+(SUMIF('T10'!$C$4:$C$68,"TC",'T10'!F$4:F$68))+(SUMIF('T10'!$C$4:$C$68,"TC",'T10'!G$4:G$68))+(SUMIF('T10'!$C$4:$C$68,"TC",'T10'!H$4:H$68))+(SUMIF('T10'!$C$4:$C$68,"TC",'T10'!I$4:I$68))+(SUMIF('T10'!$C$4:$C$68,"TC",'T10'!J$4:J$68))+(SUMIF('T10'!$C$4:$C$68,"TC",'T10'!K$4:K$68))+(SUMIF('T10'!$C$4:$C$68,"TC",'T10'!L$4:L$68))+(SUMIF('T10'!$C$4:$C$68,"TC",'T10'!M$4:M$68))+(SUMIF('T10'!$C$4:$C$68,"TC",'T10'!N$4:N$68))+(SUMIF('T10'!$C$4:$C$68,"TC",'T10'!O$4:O$68))+(SUMIF('T10'!$C$4:$C$68,"TC",'T10'!P$4:P$68))+(SUMIF('T10'!$C$4:$C$68,"TC",'T10'!Q$4:Q$68))+(SUMIF('T10'!$C$4:$C$68,"TC",'T10'!R$4:R$68))+(SUMIF('T10'!$C$4:$C$68,"TC",'T10'!S$4:S$68))+(SUMIF('T10'!$C$4:$C$68,"TC",'T10'!T$4:T$68))+(SUMIF('T10'!$C$4:$C$68,"TC",'T10'!U$4:U$68))+(SUMIF('T10'!$C$4:$C$68,"TC",'T10'!V$4:V$68))+(SUMIF('T10'!$C$4:$C$68,"TC",'T10'!W$4:W$68))+(SUMIF('T10'!$C$4:$C$68,"TC",'T10'!X$4:X$68))+(SUMIF('T10'!$C$4:$C$68,"TC",'T10'!Y$4:Y$68))+(SUMIF('T10'!$C$4:$C$68,"TC",'T10'!Z$4:Z$68))+(SUMIF('T10'!$C$4:$C$68,"TC",'T10'!AA$4:AA$68))+(SUMIF('T10'!$C$4:$C$68,"TC",'T10'!AB$4:AB$68))+(SUMIF('T10'!$C$4:$C$68,"TC",'T10'!AC$4:AC$68))+(SUMIF('T10'!$C$4:$C$68,"TC",'T10'!AD$4:AD$68))+(SUMIF('T10'!$C$4:$C$68,"TC",'T10'!AE$4:AE$68))+(SUMIF('T10'!$C$4:$C$68,"TC",'T10'!AF$4:AF$68))+(SUMIF('T10'!$C$4:$C$68,"TC",'T10'!AG$4:AG$68))+(SUMIF('T10'!$C$4:$C$68,"TC",'T10'!AH$4:AH$68))))</f>
        <v/>
      </c>
      <c r="F5" s="125"/>
      <c r="G5" s="137">
        <f>(COUNTIFS('T10'!$C$4:$C$68,"C*",'T10'!D$4:D$68,"&lt;&gt;")+COUNTIFS('T10'!$C$4:$C$68,"TC",'T10'!D$4:D$68,"&lt;&gt;")&gt;0) + (COUNTIFS('T10'!$C$4:$C$68,"C*",'T10'!E$4:E$68,"&lt;&gt;")+COUNTIFS('T10'!$C$4:$C$68,"TC",'T10'!E$4:E$68,"&lt;&gt;")&gt;0) + (COUNTIFS('T10'!$C$4:$C$68,"C*",'T10'!F$4:F$68,"&lt;&gt;")+COUNTIFS('T10'!$C$4:$C$68,"TC",'T10'!F$4:F$68,"&lt;&gt;")&gt;0) + (COUNTIFS('T10'!$C$4:$C$68,"C*",'T10'!G$4:G$68,"&lt;&gt;")+COUNTIFS('T10'!$C$4:$C$68,"TC",'T10'!G$4:G$68,"&lt;&gt;")&gt;0) + (COUNTIFS('T10'!$C$4:$C$68,"C*",'T10'!H$4:H$68,"&lt;&gt;")+COUNTIFS('T10'!$C$4:$C$68,"TC",'T10'!H$4:H$68,"&lt;&gt;")&gt;0) + (COUNTIFS('T10'!$C$4:$C$68,"C*",'T10'!I$4:I$68,"&lt;&gt;")+COUNTIFS('T10'!$C$4:$C$68,"TC",'T10'!I$4:I$68,"&lt;&gt;")&gt;0) + (COUNTIFS('T10'!$C$4:$C$68,"C*",'T10'!J$4:J$68,"&lt;&gt;")+COUNTIFS('T10'!$C$4:$C$68,"TC",'T10'!J$4:J$68,"&lt;&gt;")&gt;0) + (COUNTIFS('T10'!$C$4:$C$68,"C*",'T10'!K$4:K$68,"&lt;&gt;")+COUNTIFS('T10'!$C$4:$C$68,"TC",'T10'!K$4:K$68,"&lt;&gt;")&gt;0) + (COUNTIFS('T10'!$C$4:$C$68,"C*",'T10'!L$4:L$68,"&lt;&gt;")+COUNTIFS('T10'!$C$4:$C$68,"TC",'T10'!L$4:L$68,"&lt;&gt;")&gt;0) + (COUNTIFS('T10'!$C$4:$C$68,"C*",'T10'!M$4:M$68,"&lt;&gt;")+COUNTIFS('T10'!$C$4:$C$68,"TC",'T10'!M$4:M$68,"&lt;&gt;")&gt;0) + (COUNTIFS('T10'!$C$4:$C$68,"C*",'T10'!N$4:N$68,"&lt;&gt;")+COUNTIFS('T10'!$C$4:$C$68,"TC",'T10'!N$4:N$68,"&lt;&gt;")&gt;0) + (COUNTIFS('T10'!$C$4:$C$68,"C*",'T10'!O$4:O$68,"&lt;&gt;")+COUNTIFS('T10'!$C$4:$C$68,"TC",'T10'!O$4:O$68,"&lt;&gt;")&gt;0) + (COUNTIFS('T10'!$C$4:$C$68,"C*",'T10'!P$4:P$68,"&lt;&gt;")+COUNTIFS('T10'!$C$4:$C$68,"TC",'T10'!P$4:P$68,"&lt;&gt;")&gt;0) + (COUNTIFS('T10'!$C$4:$C$68,"C*",'T10'!Q$4:Q$68,"&lt;&gt;")+COUNTIFS('T10'!$C$4:$C$68,"TC",'T10'!Q$4:Q$68,"&lt;&gt;")&gt;0) + (COUNTIFS('T10'!$C$4:$C$68,"C*",'T10'!R$4:R$68,"&lt;&gt;")+COUNTIFS('T10'!$C$4:$C$68,"TC",'T10'!R$4:R$68,"&lt;&gt;")&gt;0) + (COUNTIFS('T10'!$C$4:$C$68,"C*",'T10'!S$4:S$68,"&lt;&gt;")+COUNTIFS('T10'!$C$4:$C$68,"TC",'T10'!S$4:S$68,"&lt;&gt;")&gt;0) + (COUNTIFS('T10'!$C$4:$C$68,"C*",'T10'!T$4:T$68,"&lt;&gt;")+COUNTIFS('T10'!$C$4:$C$68,"TC",'T10'!T$4:T$68,"&lt;&gt;")&gt;0) + (COUNTIFS('T10'!$C$4:$C$68,"C*",'T10'!U$4:U$68,"&lt;&gt;")+COUNTIFS('T10'!$C$4:$C$68,"TC",'T10'!U$4:U$68,"&lt;&gt;")&gt;0) + (COUNTIFS('T10'!$C$4:$C$68,"C*",'T10'!V$4:V$68,"&lt;&gt;")+COUNTIFS('T10'!$C$4:$C$68,"TC",'T10'!V$4:V$68,"&lt;&gt;")&gt;0) + (COUNTIFS('T10'!$C$4:$C$68,"C*",'T10'!W$4:W$68,"&lt;&gt;")+COUNTIFS('T10'!$C$4:$C$68,"TC",'T10'!W$4:W$68,"&lt;&gt;")&gt;0) + (COUNTIFS('T10'!$C$4:$C$68,"C*",'T10'!X$4:X$68,"&lt;&gt;")+COUNTIFS('T10'!$C$4:$C$68,"TC",'T10'!X$4:X$68,"&lt;&gt;")&gt;0) + (COUNTIFS('T10'!$C$4:$C$68,"C*",'T10'!Y$4:Y$68,"&lt;&gt;")+COUNTIFS('T10'!$C$4:$C$68,"TC",'T10'!Y$4:Y$68,"&lt;&gt;")&gt;0) + (COUNTIFS('T10'!$C$4:$C$68,"C*",'T10'!Z$4:Z$68,"&lt;&gt;")+COUNTIFS('T10'!$C$4:$C$68,"TC",'T10'!Z$4:Z$68,"&lt;&gt;")&gt;0) + (COUNTIFS('T10'!$C$4:$C$68,"C*",'T10'!AA$4:AA$68,"&lt;&gt;")+COUNTIFS('T10'!$C$4:$C$68,"TC",'T10'!AA$4:AA$68,"&lt;&gt;")&gt;0) + (COUNTIFS('T10'!$C$4:$C$68,"C*",'T10'!AB$4:AB$68,"&lt;&gt;")+COUNTIFS('T10'!$C$4:$C$68,"TC",'T10'!AB$4:AB$68,"&lt;&gt;")&gt;0) + (COUNTIFS('T10'!$C$4:$C$68,"C*",'T10'!AC$4:AC$68,"&lt;&gt;")+COUNTIFS('T10'!$C$4:$C$68,"TC",'T10'!AC$4:AC$68,"&lt;&gt;")&gt;0) + (COUNTIFS('T10'!$C$4:$C$68,"C*",'T10'!AD$4:AD$68,"&lt;&gt;")+COUNTIFS('T10'!$C$4:$C$68,"TC",'T10'!AD$4:AD$68,"&lt;&gt;")&gt;0) + (COUNTIFS('T10'!$C$4:$C$68,"C*",'T10'!AE$4:AE$68,"&lt;&gt;")+COUNTIFS('T10'!$C$4:$C$68,"TC",'T10'!AE$4:AE$68,"&lt;&gt;")&gt;0) + (COUNTIFS('T10'!$C$4:$C$68,"C*",'T10'!AF$4:AF$68,"&lt;&gt;")+COUNTIFS('T10'!$C$4:$C$68,"TC",'T10'!AF$4:AF$68,"&lt;&gt;")&gt;0) + (COUNTIFS('T10'!$C$4:$C$68,"C*",'T10'!AG$4:AG$68,"&lt;&gt;")+COUNTIFS('T10'!$C$4:$C$68,"TC",'T10'!AG$4:AG$68,"&lt;&gt;")&gt;0) + (COUNTIFS('T10'!$C$4:$C$68,"C*",'T10'!AH$4:AH$68,"&lt;&gt;")+COUNTIFS('T10'!$C$4:$C$68,"TC",'T10'!AH$4:AH$68,"&lt;&gt;")&gt;0)</f>
        <v>0</v>
      </c>
      <c r="H5" s="125"/>
      <c r="I5" s="128">
        <f ca="1">NOW()</f>
        <v>46253.615729861114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46296</v>
      </c>
      <c r="C8" s="59">
        <v>46302</v>
      </c>
      <c r="D8" s="60" t="str">
        <f>IF(((COUNTIFS('T10'!$C$4:$C$68,"C*",'T10'!D$4:D$68,"&lt;&gt;")+COUNTIFS('T10'!$C$4:$C$68,"TC",'T10'!D$4:D$68,"&lt;&gt;")) + (COUNTIFS('T10'!$C$4:$C$68,"C*",'T10'!E$4:E$68,"&lt;&gt;")+COUNTIFS('T10'!$C$4:$C$68,"TC",'T10'!E$4:E$68,"&lt;&gt;")) + (COUNTIFS('T10'!$C$4:$C$68,"C*",'T10'!F$4:F$68,"&lt;&gt;")+COUNTIFS('T10'!$C$4:$C$68,"TC",'T10'!F$4:F$68,"&lt;&gt;")) + (COUNTIFS('T10'!$C$4:$C$68,"C*",'T10'!G$4:G$68,"&lt;&gt;")+COUNTIFS('T10'!$C$4:$C$68,"TC",'T10'!G$4:G$68,"&lt;&gt;")) + (COUNTIFS('T10'!$C$4:$C$68,"C*",'T10'!H$4:H$68,"&lt;&gt;")+COUNTIFS('T10'!$C$4:$C$68,"TC",'T10'!H$4:H$68,"&lt;&gt;")) + (COUNTIFS('T10'!$C$4:$C$68,"C*",'T10'!I$4:I$68,"&lt;&gt;")+COUNTIFS('T10'!$C$4:$C$68,"TC",'T10'!I$4:I$68,"&lt;&gt;")) + (COUNTIFS('T10'!$C$4:$C$68,"C*",'T10'!J$4:J$68,"&lt;&gt;")+COUNTIFS('T10'!$C$4:$C$68,"TC",'T10'!J$4:J$68,"&lt;&gt;")))=0,"",((COUNTIFS('T10'!$C$4:$C$68,"C*",'T10'!D$4:D$68,"x*")-0.5*(COUNTIFS('T10'!$C$4:$C$68,"C*",'T10'!D$4:D$68,"x/2")))+(COUNTIFS('T10'!$C$4:$C$68,"C*",'T10'!E$4:E$68,"x*")-0.5*(COUNTIFS('T10'!$C$4:$C$68,"C*",'T10'!E$4:E$68,"x/2")))+(COUNTIFS('T10'!$C$4:$C$68,"C*",'T10'!F$4:F$68,"x*")-0.5*(COUNTIFS('T10'!$C$4:$C$68,"C*",'T10'!F$4:F$68,"x/2")))+(COUNTIFS('T10'!$C$4:$C$68,"C*",'T10'!H$4:H$68,"x*")-0.5*(COUNTIFS('T10'!$C$4:$C$68,"C*",'T10'!H$4:H$68,"x/2")))+(COUNTIFS('T10'!$C$4:$C$68,"C*",'T10'!I$4:I$68,"x*")-0.5*(COUNTIFS('T10'!$C$4:$C$68,"C*",'T10'!I$4:I$68,"x/2")))+(COUNTIFS('T10'!$C$4:$C$68,"C*",'T10'!J$4:J$68,"x*")-0.5*(COUNTIFS('T10'!$C$4:$C$68,"C*",'T10'!J$4:J$68,"x/2")))))</f>
        <v/>
      </c>
      <c r="E8" s="61" t="str">
        <f>IF(((COUNTIFS('T10'!$C$4:$C$68,"C*",'T10'!D$4:D$68,"&lt;&gt;")+COUNTIFS('T10'!$C$4:$C$68,"TC",'T10'!D$4:D$68,"&lt;&gt;")) + (COUNTIFS('T10'!$C$4:$C$68,"C*",'T10'!E$4:E$68,"&lt;&gt;")+COUNTIFS('T10'!$C$4:$C$68,"TC",'T10'!E$4:E$68,"&lt;&gt;")) + (COUNTIFS('T10'!$C$4:$C$68,"C*",'T10'!F$4:F$68,"&lt;&gt;")+COUNTIFS('T10'!$C$4:$C$68,"TC",'T10'!F$4:F$68,"&lt;&gt;")) + (COUNTIFS('T10'!$C$4:$C$68,"C*",'T10'!G$4:G$68,"&lt;&gt;")+COUNTIFS('T10'!$C$4:$C$68,"TC",'T10'!G$4:G$68,"&lt;&gt;")) + (COUNTIFS('T10'!$C$4:$C$68,"C*",'T10'!H$4:H$68,"&lt;&gt;")+COUNTIFS('T10'!$C$4:$C$68,"TC",'T10'!H$4:H$68,"&lt;&gt;")) + (COUNTIFS('T10'!$C$4:$C$68,"C*",'T10'!I$4:I$68,"&lt;&gt;")+COUNTIFS('T10'!$C$4:$C$68,"TC",'T10'!I$4:I$68,"&lt;&gt;")) + (COUNTIFS('T10'!$C$4:$C$68,"C*",'T10'!J$4:J$68,"&lt;&gt;")+COUNTIFS('T10'!$C$4:$C$68,"TC",'T10'!J$4:J$68,"&lt;&gt;")))=0,"",((COUNTIFS('T10'!$C$4:$C$68,"C*",'T10'!G$4:G$68,"x*")-0.5*(COUNTIFS('T10'!$C$4:$C$68,"C*",'T10'!G$4:G$68,"x/2")))))</f>
        <v/>
      </c>
      <c r="F8" s="60" t="str">
        <f>IF(AND(D8="",E8=""),"",D8+E8)</f>
        <v/>
      </c>
      <c r="G8" s="60" t="str">
        <f>IF(((COUNTIFS('T10'!$C$4:$C$68,"C*",'T10'!D$4:D$68,"&lt;&gt;")+COUNTIFS('T10'!$C$4:$C$68,"TC",'T10'!D$4:D$68,"&lt;&gt;")) + (COUNTIFS('T10'!$C$4:$C$68,"C*",'T10'!E$4:E$68,"&lt;&gt;")+COUNTIFS('T10'!$C$4:$C$68,"TC",'T10'!E$4:E$68,"&lt;&gt;")) + (COUNTIFS('T10'!$C$4:$C$68,"C*",'T10'!F$4:F$68,"&lt;&gt;")+COUNTIFS('T10'!$C$4:$C$68,"TC",'T10'!F$4:F$68,"&lt;&gt;")) + (COUNTIFS('T10'!$C$4:$C$68,"C*",'T10'!G$4:G$68,"&lt;&gt;")+COUNTIFS('T10'!$C$4:$C$68,"TC",'T10'!G$4:G$68,"&lt;&gt;")) + (COUNTIFS('T10'!$C$4:$C$68,"C*",'T10'!H$4:H$68,"&lt;&gt;")+COUNTIFS('T10'!$C$4:$C$68,"TC",'T10'!H$4:H$68,"&lt;&gt;")) + (COUNTIFS('T10'!$C$4:$C$68,"C*",'T10'!I$4:I$68,"&lt;&gt;")+COUNTIFS('T10'!$C$4:$C$68,"TC",'T10'!I$4:I$68,"&lt;&gt;")) + (COUNTIFS('T10'!$C$4:$C$68,"C*",'T10'!J$4:J$68,"&lt;&gt;")+COUNTIFS('T10'!$C$4:$C$68,"TC",'T10'!J$4:J$68,"&lt;&gt;")))=0,"",(SUMIF('T10'!$C$4:$C$68,"TC",'T10'!D$4:D$68))+(SUMIF('T10'!$C$4:$C$68,"TC",'T10'!E$4:E$68))+(SUMIF('T10'!$C$4:$C$68,"TC",'T10'!F$4:F$68))+(SUMIF('T10'!$C$4:$C$68,"TC",'T10'!H$4:H$68))+(SUMIF('T10'!$C$4:$C$68,"TC",'T10'!I$4:I$68))+(SUMIF('T10'!$C$4:$C$68,"TC",'T10'!J$4:J$68)))</f>
        <v/>
      </c>
      <c r="H8" s="62" t="str">
        <f>IF(((COUNTIFS('T10'!$C$4:$C$68,"C*",'T10'!D$4:D$68,"&lt;&gt;")+COUNTIFS('T10'!$C$4:$C$68,"TC",'T10'!D$4:D$68,"&lt;&gt;")) + (COUNTIFS('T10'!$C$4:$C$68,"C*",'T10'!E$4:E$68,"&lt;&gt;")+COUNTIFS('T10'!$C$4:$C$68,"TC",'T10'!E$4:E$68,"&lt;&gt;")) + (COUNTIFS('T10'!$C$4:$C$68,"C*",'T10'!F$4:F$68,"&lt;&gt;")+COUNTIFS('T10'!$C$4:$C$68,"TC",'T10'!F$4:F$68,"&lt;&gt;")) + (COUNTIFS('T10'!$C$4:$C$68,"C*",'T10'!G$4:G$68,"&lt;&gt;")+COUNTIFS('T10'!$C$4:$C$68,"TC",'T10'!G$4:G$68,"&lt;&gt;")) + (COUNTIFS('T10'!$C$4:$C$68,"C*",'T10'!H$4:H$68,"&lt;&gt;")+COUNTIFS('T10'!$C$4:$C$68,"TC",'T10'!H$4:H$68,"&lt;&gt;")) + (COUNTIFS('T10'!$C$4:$C$68,"C*",'T10'!I$4:I$68,"&lt;&gt;")+COUNTIFS('T10'!$C$4:$C$68,"TC",'T10'!I$4:I$68,"&lt;&gt;")) + (COUNTIFS('T10'!$C$4:$C$68,"C*",'T10'!J$4:J$68,"&lt;&gt;")+COUNTIFS('T10'!$C$4:$C$68,"TC",'T10'!J$4:J$68,"&lt;&gt;")))=0,"",(SUMIF('T10'!$C$4:$C$68,"TC",'T10'!D$4:D$68))+(SUMIF('T10'!$C$4:$C$68,"TC",'T10'!E$4:E$68))+(SUMIF('T10'!$C$4:$C$68,"TC",'T10'!F$4:F$68))+(SUMIF('T10'!$C$4:$C$68,"TC",'T10'!G$4:G$68))+(SUMIF('T10'!$C$4:$C$68,"TC",'T10'!H$4:H$68))+(SUMIF('T10'!$C$4:$C$68,"TC",'T10'!I$4:I$68))+(SUMIF('T10'!$C$4:$C$68,"TC",'T10'!J$4:J$68)))</f>
        <v/>
      </c>
      <c r="I8" s="60" t="str">
        <f>IF(H8="","",H8/8)</f>
        <v/>
      </c>
      <c r="J8" s="57" t="str">
        <f>IF(((COUNTIFS('T10'!$C$4:$C$68,"C*",'T10'!D$4:D$68,"&lt;&gt;")+COUNTIFS('T10'!$C$4:$C$68,"TC",'T10'!D$4:D$68,"&lt;&gt;")) + (COUNTIFS('T10'!$C$4:$C$68,"C*",'T10'!E$4:E$68,"&lt;&gt;")+COUNTIFS('T10'!$C$4:$C$68,"TC",'T10'!E$4:E$68,"&lt;&gt;")) + (COUNTIFS('T10'!$C$4:$C$68,"C*",'T10'!F$4:F$68,"&lt;&gt;")+COUNTIFS('T10'!$C$4:$C$68,"TC",'T10'!F$4:F$68,"&lt;&gt;")) + (COUNTIFS('T10'!$C$4:$C$68,"C*",'T10'!G$4:G$68,"&lt;&gt;")+COUNTIFS('T10'!$C$4:$C$68,"TC",'T10'!G$4:G$68,"&lt;&gt;")) + (COUNTIFS('T10'!$C$4:$C$68,"C*",'T10'!H$4:H$68,"&lt;&gt;")+COUNTIFS('T10'!$C$4:$C$68,"TC",'T10'!H$4:H$68,"&lt;&gt;")) + (COUNTIFS('T10'!$C$4:$C$68,"C*",'T10'!I$4:I$68,"&lt;&gt;")+COUNTIFS('T10'!$C$4:$C$68,"TC",'T10'!I$4:I$68,"&lt;&gt;")) + (COUNTIFS('T10'!$C$4:$C$68,"C*",'T10'!J$4:J$68,"&lt;&gt;")+COUNTIFS('T10'!$C$4:$C$68,"TC",'T10'!J$4:J$68,"&lt;&gt;")))=0,"Chưa nhập","Đã cập nhật")</f>
        <v>Chưa nhập</v>
      </c>
    </row>
    <row r="9" spans="1:10" x14ac:dyDescent="0.2">
      <c r="A9" s="57" t="s">
        <v>80</v>
      </c>
      <c r="B9" s="59">
        <v>46303</v>
      </c>
      <c r="C9" s="59">
        <v>46309</v>
      </c>
      <c r="D9" s="60" t="str">
        <f>IF(((COUNTIFS('T10'!$C$4:$C$68,"C*",'T10'!K$4:K$68,"&lt;&gt;")+COUNTIFS('T10'!$C$4:$C$68,"TC",'T10'!K$4:K$68,"&lt;&gt;")) + (COUNTIFS('T10'!$C$4:$C$68,"C*",'T10'!L$4:L$68,"&lt;&gt;")+COUNTIFS('T10'!$C$4:$C$68,"TC",'T10'!L$4:L$68,"&lt;&gt;")) + (COUNTIFS('T10'!$C$4:$C$68,"C*",'T10'!M$4:M$68,"&lt;&gt;")+COUNTIFS('T10'!$C$4:$C$68,"TC",'T10'!M$4:M$68,"&lt;&gt;")) + (COUNTIFS('T10'!$C$4:$C$68,"C*",'T10'!N$4:N$68,"&lt;&gt;")+COUNTIFS('T10'!$C$4:$C$68,"TC",'T10'!N$4:N$68,"&lt;&gt;")) + (COUNTIFS('T10'!$C$4:$C$68,"C*",'T10'!O$4:O$68,"&lt;&gt;")+COUNTIFS('T10'!$C$4:$C$68,"TC",'T10'!O$4:O$68,"&lt;&gt;")) + (COUNTIFS('T10'!$C$4:$C$68,"C*",'T10'!P$4:P$68,"&lt;&gt;")+COUNTIFS('T10'!$C$4:$C$68,"TC",'T10'!P$4:P$68,"&lt;&gt;")) + (COUNTIFS('T10'!$C$4:$C$68,"C*",'T10'!Q$4:Q$68,"&lt;&gt;")+COUNTIFS('T10'!$C$4:$C$68,"TC",'T10'!Q$4:Q$68,"&lt;&gt;")))=0,"",((COUNTIFS('T10'!$C$4:$C$68,"C*",'T10'!K$4:K$68,"x*")-0.5*(COUNTIFS('T10'!$C$4:$C$68,"C*",'T10'!K$4:K$68,"x/2")))+(COUNTIFS('T10'!$C$4:$C$68,"C*",'T10'!L$4:L$68,"x*")-0.5*(COUNTIFS('T10'!$C$4:$C$68,"C*",'T10'!L$4:L$68,"x/2")))+(COUNTIFS('T10'!$C$4:$C$68,"C*",'T10'!M$4:M$68,"x*")-0.5*(COUNTIFS('T10'!$C$4:$C$68,"C*",'T10'!M$4:M$68,"x/2")))+(COUNTIFS('T10'!$C$4:$C$68,"C*",'T10'!O$4:O$68,"x*")-0.5*(COUNTIFS('T10'!$C$4:$C$68,"C*",'T10'!O$4:O$68,"x/2")))+(COUNTIFS('T10'!$C$4:$C$68,"C*",'T10'!P$4:P$68,"x*")-0.5*(COUNTIFS('T10'!$C$4:$C$68,"C*",'T10'!P$4:P$68,"x/2")))+(COUNTIFS('T10'!$C$4:$C$68,"C*",'T10'!Q$4:Q$68,"x*")-0.5*(COUNTIFS('T10'!$C$4:$C$68,"C*",'T10'!Q$4:Q$68,"x/2")))))</f>
        <v/>
      </c>
      <c r="E9" s="61" t="str">
        <f>IF(((COUNTIFS('T10'!$C$4:$C$68,"C*",'T10'!K$4:K$68,"&lt;&gt;")+COUNTIFS('T10'!$C$4:$C$68,"TC",'T10'!K$4:K$68,"&lt;&gt;")) + (COUNTIFS('T10'!$C$4:$C$68,"C*",'T10'!L$4:L$68,"&lt;&gt;")+COUNTIFS('T10'!$C$4:$C$68,"TC",'T10'!L$4:L$68,"&lt;&gt;")) + (COUNTIFS('T10'!$C$4:$C$68,"C*",'T10'!M$4:M$68,"&lt;&gt;")+COUNTIFS('T10'!$C$4:$C$68,"TC",'T10'!M$4:M$68,"&lt;&gt;")) + (COUNTIFS('T10'!$C$4:$C$68,"C*",'T10'!N$4:N$68,"&lt;&gt;")+COUNTIFS('T10'!$C$4:$C$68,"TC",'T10'!N$4:N$68,"&lt;&gt;")) + (COUNTIFS('T10'!$C$4:$C$68,"C*",'T10'!O$4:O$68,"&lt;&gt;")+COUNTIFS('T10'!$C$4:$C$68,"TC",'T10'!O$4:O$68,"&lt;&gt;")) + (COUNTIFS('T10'!$C$4:$C$68,"C*",'T10'!P$4:P$68,"&lt;&gt;")+COUNTIFS('T10'!$C$4:$C$68,"TC",'T10'!P$4:P$68,"&lt;&gt;")) + (COUNTIFS('T10'!$C$4:$C$68,"C*",'T10'!Q$4:Q$68,"&lt;&gt;")+COUNTIFS('T10'!$C$4:$C$68,"TC",'T10'!Q$4:Q$68,"&lt;&gt;")))=0,"",((COUNTIFS('T10'!$C$4:$C$68,"C*",'T10'!N$4:N$68,"x*")-0.5*(COUNTIFS('T10'!$C$4:$C$68,"C*",'T10'!N$4:N$68,"x/2")))))</f>
        <v/>
      </c>
      <c r="F9" s="60" t="str">
        <f>IF(AND(D9="",E9=""),"",D9+E9)</f>
        <v/>
      </c>
      <c r="G9" s="60" t="str">
        <f>IF(((COUNTIFS('T10'!$C$4:$C$68,"C*",'T10'!K$4:K$68,"&lt;&gt;")+COUNTIFS('T10'!$C$4:$C$68,"TC",'T10'!K$4:K$68,"&lt;&gt;")) + (COUNTIFS('T10'!$C$4:$C$68,"C*",'T10'!L$4:L$68,"&lt;&gt;")+COUNTIFS('T10'!$C$4:$C$68,"TC",'T10'!L$4:L$68,"&lt;&gt;")) + (COUNTIFS('T10'!$C$4:$C$68,"C*",'T10'!M$4:M$68,"&lt;&gt;")+COUNTIFS('T10'!$C$4:$C$68,"TC",'T10'!M$4:M$68,"&lt;&gt;")) + (COUNTIFS('T10'!$C$4:$C$68,"C*",'T10'!N$4:N$68,"&lt;&gt;")+COUNTIFS('T10'!$C$4:$C$68,"TC",'T10'!N$4:N$68,"&lt;&gt;")) + (COUNTIFS('T10'!$C$4:$C$68,"C*",'T10'!O$4:O$68,"&lt;&gt;")+COUNTIFS('T10'!$C$4:$C$68,"TC",'T10'!O$4:O$68,"&lt;&gt;")) + (COUNTIFS('T10'!$C$4:$C$68,"C*",'T10'!P$4:P$68,"&lt;&gt;")+COUNTIFS('T10'!$C$4:$C$68,"TC",'T10'!P$4:P$68,"&lt;&gt;")) + (COUNTIFS('T10'!$C$4:$C$68,"C*",'T10'!Q$4:Q$68,"&lt;&gt;")+COUNTIFS('T10'!$C$4:$C$68,"TC",'T10'!Q$4:Q$68,"&lt;&gt;")))=0,"",(SUMIF('T10'!$C$4:$C$68,"TC",'T10'!K$4:K$68))+(SUMIF('T10'!$C$4:$C$68,"TC",'T10'!L$4:L$68))+(SUMIF('T10'!$C$4:$C$68,"TC",'T10'!M$4:M$68))+(SUMIF('T10'!$C$4:$C$68,"TC",'T10'!O$4:O$68))+(SUMIF('T10'!$C$4:$C$68,"TC",'T10'!P$4:P$68))+(SUMIF('T10'!$C$4:$C$68,"TC",'T10'!Q$4:Q$68)))</f>
        <v/>
      </c>
      <c r="H9" s="62" t="str">
        <f>IF(((COUNTIFS('T10'!$C$4:$C$68,"C*",'T10'!K$4:K$68,"&lt;&gt;")+COUNTIFS('T10'!$C$4:$C$68,"TC",'T10'!K$4:K$68,"&lt;&gt;")) + (COUNTIFS('T10'!$C$4:$C$68,"C*",'T10'!L$4:L$68,"&lt;&gt;")+COUNTIFS('T10'!$C$4:$C$68,"TC",'T10'!L$4:L$68,"&lt;&gt;")) + (COUNTIFS('T10'!$C$4:$C$68,"C*",'T10'!M$4:M$68,"&lt;&gt;")+COUNTIFS('T10'!$C$4:$C$68,"TC",'T10'!M$4:M$68,"&lt;&gt;")) + (COUNTIFS('T10'!$C$4:$C$68,"C*",'T10'!N$4:N$68,"&lt;&gt;")+COUNTIFS('T10'!$C$4:$C$68,"TC",'T10'!N$4:N$68,"&lt;&gt;")) + (COUNTIFS('T10'!$C$4:$C$68,"C*",'T10'!O$4:O$68,"&lt;&gt;")+COUNTIFS('T10'!$C$4:$C$68,"TC",'T10'!O$4:O$68,"&lt;&gt;")) + (COUNTIFS('T10'!$C$4:$C$68,"C*",'T10'!P$4:P$68,"&lt;&gt;")+COUNTIFS('T10'!$C$4:$C$68,"TC",'T10'!P$4:P$68,"&lt;&gt;")) + (COUNTIFS('T10'!$C$4:$C$68,"C*",'T10'!Q$4:Q$68,"&lt;&gt;")+COUNTIFS('T10'!$C$4:$C$68,"TC",'T10'!Q$4:Q$68,"&lt;&gt;")))=0,"",(SUMIF('T10'!$C$4:$C$68,"TC",'T10'!K$4:K$68))+(SUMIF('T10'!$C$4:$C$68,"TC",'T10'!L$4:L$68))+(SUMIF('T10'!$C$4:$C$68,"TC",'T10'!M$4:M$68))+(SUMIF('T10'!$C$4:$C$68,"TC",'T10'!N$4:N$68))+(SUMIF('T10'!$C$4:$C$68,"TC",'T10'!O$4:O$68))+(SUMIF('T10'!$C$4:$C$68,"TC",'T10'!P$4:P$68))+(SUMIF('T10'!$C$4:$C$68,"TC",'T10'!Q$4:Q$68)))</f>
        <v/>
      </c>
      <c r="I9" s="60" t="str">
        <f>IF(H9="","",H9/8)</f>
        <v/>
      </c>
      <c r="J9" s="57" t="str">
        <f>IF(((COUNTIFS('T10'!$C$4:$C$68,"C*",'T10'!K$4:K$68,"&lt;&gt;")+COUNTIFS('T10'!$C$4:$C$68,"TC",'T10'!K$4:K$68,"&lt;&gt;")) + (COUNTIFS('T10'!$C$4:$C$68,"C*",'T10'!L$4:L$68,"&lt;&gt;")+COUNTIFS('T10'!$C$4:$C$68,"TC",'T10'!L$4:L$68,"&lt;&gt;")) + (COUNTIFS('T10'!$C$4:$C$68,"C*",'T10'!M$4:M$68,"&lt;&gt;")+COUNTIFS('T10'!$C$4:$C$68,"TC",'T10'!M$4:M$68,"&lt;&gt;")) + (COUNTIFS('T10'!$C$4:$C$68,"C*",'T10'!N$4:N$68,"&lt;&gt;")+COUNTIFS('T10'!$C$4:$C$68,"TC",'T10'!N$4:N$68,"&lt;&gt;")) + (COUNTIFS('T10'!$C$4:$C$68,"C*",'T10'!O$4:O$68,"&lt;&gt;")+COUNTIFS('T10'!$C$4:$C$68,"TC",'T10'!O$4:O$68,"&lt;&gt;")) + (COUNTIFS('T10'!$C$4:$C$68,"C*",'T10'!P$4:P$68,"&lt;&gt;")+COUNTIFS('T10'!$C$4:$C$68,"TC",'T10'!P$4:P$68,"&lt;&gt;")) + (COUNTIFS('T10'!$C$4:$C$68,"C*",'T10'!Q$4:Q$68,"&lt;&gt;")+COUNTIFS('T10'!$C$4:$C$68,"TC",'T10'!Q$4:Q$68,"&lt;&gt;")))=0,"Chưa nhập","Đã cập nhật")</f>
        <v>Chưa nhập</v>
      </c>
    </row>
    <row r="10" spans="1:10" x14ac:dyDescent="0.2">
      <c r="A10" s="57" t="s">
        <v>81</v>
      </c>
      <c r="B10" s="59">
        <v>46310</v>
      </c>
      <c r="C10" s="59">
        <v>46316</v>
      </c>
      <c r="D10" s="60" t="str">
        <f>IF(((COUNTIFS('T10'!$C$4:$C$68,"C*",'T10'!R$4:R$68,"&lt;&gt;")+COUNTIFS('T10'!$C$4:$C$68,"TC",'T10'!R$4:R$68,"&lt;&gt;")) + (COUNTIFS('T10'!$C$4:$C$68,"C*",'T10'!S$4:S$68,"&lt;&gt;")+COUNTIFS('T10'!$C$4:$C$68,"TC",'T10'!S$4:S$68,"&lt;&gt;")) + (COUNTIFS('T10'!$C$4:$C$68,"C*",'T10'!T$4:T$68,"&lt;&gt;")+COUNTIFS('T10'!$C$4:$C$68,"TC",'T10'!T$4:T$68,"&lt;&gt;")) + (COUNTIFS('T10'!$C$4:$C$68,"C*",'T10'!U$4:U$68,"&lt;&gt;")+COUNTIFS('T10'!$C$4:$C$68,"TC",'T10'!U$4:U$68,"&lt;&gt;")) + (COUNTIFS('T10'!$C$4:$C$68,"C*",'T10'!V$4:V$68,"&lt;&gt;")+COUNTIFS('T10'!$C$4:$C$68,"TC",'T10'!V$4:V$68,"&lt;&gt;")) + (COUNTIFS('T10'!$C$4:$C$68,"C*",'T10'!W$4:W$68,"&lt;&gt;")+COUNTIFS('T10'!$C$4:$C$68,"TC",'T10'!W$4:W$68,"&lt;&gt;")) + (COUNTIFS('T10'!$C$4:$C$68,"C*",'T10'!X$4:X$68,"&lt;&gt;")+COUNTIFS('T10'!$C$4:$C$68,"TC",'T10'!X$4:X$68,"&lt;&gt;")))=0,"",((COUNTIFS('T10'!$C$4:$C$68,"C*",'T10'!R$4:R$68,"x*")-0.5*(COUNTIFS('T10'!$C$4:$C$68,"C*",'T10'!R$4:R$68,"x/2")))+(COUNTIFS('T10'!$C$4:$C$68,"C*",'T10'!S$4:S$68,"x*")-0.5*(COUNTIFS('T10'!$C$4:$C$68,"C*",'T10'!S$4:S$68,"x/2")))+(COUNTIFS('T10'!$C$4:$C$68,"C*",'T10'!T$4:T$68,"x*")-0.5*(COUNTIFS('T10'!$C$4:$C$68,"C*",'T10'!T$4:T$68,"x/2")))+(COUNTIFS('T10'!$C$4:$C$68,"C*",'T10'!V$4:V$68,"x*")-0.5*(COUNTIFS('T10'!$C$4:$C$68,"C*",'T10'!V$4:V$68,"x/2")))+(COUNTIFS('T10'!$C$4:$C$68,"C*",'T10'!W$4:W$68,"x*")-0.5*(COUNTIFS('T10'!$C$4:$C$68,"C*",'T10'!W$4:W$68,"x/2")))+(COUNTIFS('T10'!$C$4:$C$68,"C*",'T10'!X$4:X$68,"x*")-0.5*(COUNTIFS('T10'!$C$4:$C$68,"C*",'T10'!X$4:X$68,"x/2")))))</f>
        <v/>
      </c>
      <c r="E10" s="61" t="str">
        <f>IF(((COUNTIFS('T10'!$C$4:$C$68,"C*",'T10'!R$4:R$68,"&lt;&gt;")+COUNTIFS('T10'!$C$4:$C$68,"TC",'T10'!R$4:R$68,"&lt;&gt;")) + (COUNTIFS('T10'!$C$4:$C$68,"C*",'T10'!S$4:S$68,"&lt;&gt;")+COUNTIFS('T10'!$C$4:$C$68,"TC",'T10'!S$4:S$68,"&lt;&gt;")) + (COUNTIFS('T10'!$C$4:$C$68,"C*",'T10'!T$4:T$68,"&lt;&gt;")+COUNTIFS('T10'!$C$4:$C$68,"TC",'T10'!T$4:T$68,"&lt;&gt;")) + (COUNTIFS('T10'!$C$4:$C$68,"C*",'T10'!U$4:U$68,"&lt;&gt;")+COUNTIFS('T10'!$C$4:$C$68,"TC",'T10'!U$4:U$68,"&lt;&gt;")) + (COUNTIFS('T10'!$C$4:$C$68,"C*",'T10'!V$4:V$68,"&lt;&gt;")+COUNTIFS('T10'!$C$4:$C$68,"TC",'T10'!V$4:V$68,"&lt;&gt;")) + (COUNTIFS('T10'!$C$4:$C$68,"C*",'T10'!W$4:W$68,"&lt;&gt;")+COUNTIFS('T10'!$C$4:$C$68,"TC",'T10'!W$4:W$68,"&lt;&gt;")) + (COUNTIFS('T10'!$C$4:$C$68,"C*",'T10'!X$4:X$68,"&lt;&gt;")+COUNTIFS('T10'!$C$4:$C$68,"TC",'T10'!X$4:X$68,"&lt;&gt;")))=0,"",((COUNTIFS('T10'!$C$4:$C$68,"C*",'T10'!U$4:U$68,"x*")-0.5*(COUNTIFS('T10'!$C$4:$C$68,"C*",'T10'!U$4:U$68,"x/2")))))</f>
        <v/>
      </c>
      <c r="F10" s="60" t="str">
        <f>IF(AND(D10="",E10=""),"",D10+E10)</f>
        <v/>
      </c>
      <c r="G10" s="60" t="str">
        <f>IF(((COUNTIFS('T10'!$C$4:$C$68,"C*",'T10'!R$4:R$68,"&lt;&gt;")+COUNTIFS('T10'!$C$4:$C$68,"TC",'T10'!R$4:R$68,"&lt;&gt;")) + (COUNTIFS('T10'!$C$4:$C$68,"C*",'T10'!S$4:S$68,"&lt;&gt;")+COUNTIFS('T10'!$C$4:$C$68,"TC",'T10'!S$4:S$68,"&lt;&gt;")) + (COUNTIFS('T10'!$C$4:$C$68,"C*",'T10'!T$4:T$68,"&lt;&gt;")+COUNTIFS('T10'!$C$4:$C$68,"TC",'T10'!T$4:T$68,"&lt;&gt;")) + (COUNTIFS('T10'!$C$4:$C$68,"C*",'T10'!U$4:U$68,"&lt;&gt;")+COUNTIFS('T10'!$C$4:$C$68,"TC",'T10'!U$4:U$68,"&lt;&gt;")) + (COUNTIFS('T10'!$C$4:$C$68,"C*",'T10'!V$4:V$68,"&lt;&gt;")+COUNTIFS('T10'!$C$4:$C$68,"TC",'T10'!V$4:V$68,"&lt;&gt;")) + (COUNTIFS('T10'!$C$4:$C$68,"C*",'T10'!W$4:W$68,"&lt;&gt;")+COUNTIFS('T10'!$C$4:$C$68,"TC",'T10'!W$4:W$68,"&lt;&gt;")) + (COUNTIFS('T10'!$C$4:$C$68,"C*",'T10'!X$4:X$68,"&lt;&gt;")+COUNTIFS('T10'!$C$4:$C$68,"TC",'T10'!X$4:X$68,"&lt;&gt;")))=0,"",(SUMIF('T10'!$C$4:$C$68,"TC",'T10'!R$4:R$68))+(SUMIF('T10'!$C$4:$C$68,"TC",'T10'!S$4:S$68))+(SUMIF('T10'!$C$4:$C$68,"TC",'T10'!T$4:T$68))+(SUMIF('T10'!$C$4:$C$68,"TC",'T10'!V$4:V$68))+(SUMIF('T10'!$C$4:$C$68,"TC",'T10'!W$4:W$68))+(SUMIF('T10'!$C$4:$C$68,"TC",'T10'!X$4:X$68)))</f>
        <v/>
      </c>
      <c r="H10" s="62" t="str">
        <f>IF(((COUNTIFS('T10'!$C$4:$C$68,"C*",'T10'!R$4:R$68,"&lt;&gt;")+COUNTIFS('T10'!$C$4:$C$68,"TC",'T10'!R$4:R$68,"&lt;&gt;")) + (COUNTIFS('T10'!$C$4:$C$68,"C*",'T10'!S$4:S$68,"&lt;&gt;")+COUNTIFS('T10'!$C$4:$C$68,"TC",'T10'!S$4:S$68,"&lt;&gt;")) + (COUNTIFS('T10'!$C$4:$C$68,"C*",'T10'!T$4:T$68,"&lt;&gt;")+COUNTIFS('T10'!$C$4:$C$68,"TC",'T10'!T$4:T$68,"&lt;&gt;")) + (COUNTIFS('T10'!$C$4:$C$68,"C*",'T10'!U$4:U$68,"&lt;&gt;")+COUNTIFS('T10'!$C$4:$C$68,"TC",'T10'!U$4:U$68,"&lt;&gt;")) + (COUNTIFS('T10'!$C$4:$C$68,"C*",'T10'!V$4:V$68,"&lt;&gt;")+COUNTIFS('T10'!$C$4:$C$68,"TC",'T10'!V$4:V$68,"&lt;&gt;")) + (COUNTIFS('T10'!$C$4:$C$68,"C*",'T10'!W$4:W$68,"&lt;&gt;")+COUNTIFS('T10'!$C$4:$C$68,"TC",'T10'!W$4:W$68,"&lt;&gt;")) + (COUNTIFS('T10'!$C$4:$C$68,"C*",'T10'!X$4:X$68,"&lt;&gt;")+COUNTIFS('T10'!$C$4:$C$68,"TC",'T10'!X$4:X$68,"&lt;&gt;")))=0,"",(SUMIF('T10'!$C$4:$C$68,"TC",'T10'!R$4:R$68))+(SUMIF('T10'!$C$4:$C$68,"TC",'T10'!S$4:S$68))+(SUMIF('T10'!$C$4:$C$68,"TC",'T10'!T$4:T$68))+(SUMIF('T10'!$C$4:$C$68,"TC",'T10'!U$4:U$68))+(SUMIF('T10'!$C$4:$C$68,"TC",'T10'!V$4:V$68))+(SUMIF('T10'!$C$4:$C$68,"TC",'T10'!W$4:W$68))+(SUMIF('T10'!$C$4:$C$68,"TC",'T10'!X$4:X$68)))</f>
        <v/>
      </c>
      <c r="I10" s="60" t="str">
        <f>IF(H10="","",H10/8)</f>
        <v/>
      </c>
      <c r="J10" s="57" t="str">
        <f>IF(((COUNTIFS('T10'!$C$4:$C$68,"C*",'T10'!R$4:R$68,"&lt;&gt;")+COUNTIFS('T10'!$C$4:$C$68,"TC",'T10'!R$4:R$68,"&lt;&gt;")) + (COUNTIFS('T10'!$C$4:$C$68,"C*",'T10'!S$4:S$68,"&lt;&gt;")+COUNTIFS('T10'!$C$4:$C$68,"TC",'T10'!S$4:S$68,"&lt;&gt;")) + (COUNTIFS('T10'!$C$4:$C$68,"C*",'T10'!T$4:T$68,"&lt;&gt;")+COUNTIFS('T10'!$C$4:$C$68,"TC",'T10'!T$4:T$68,"&lt;&gt;")) + (COUNTIFS('T10'!$C$4:$C$68,"C*",'T10'!U$4:U$68,"&lt;&gt;")+COUNTIFS('T10'!$C$4:$C$68,"TC",'T10'!U$4:U$68,"&lt;&gt;")) + (COUNTIFS('T10'!$C$4:$C$68,"C*",'T10'!V$4:V$68,"&lt;&gt;")+COUNTIFS('T10'!$C$4:$C$68,"TC",'T10'!V$4:V$68,"&lt;&gt;")) + (COUNTIFS('T10'!$C$4:$C$68,"C*",'T10'!W$4:W$68,"&lt;&gt;")+COUNTIFS('T10'!$C$4:$C$68,"TC",'T10'!W$4:W$68,"&lt;&gt;")) + (COUNTIFS('T10'!$C$4:$C$68,"C*",'T10'!X$4:X$68,"&lt;&gt;")+COUNTIFS('T10'!$C$4:$C$68,"TC",'T10'!X$4:X$68,"&lt;&gt;")))=0,"Chưa nhập","Đã cập nhật")</f>
        <v>Chưa nhập</v>
      </c>
    </row>
    <row r="11" spans="1:10" x14ac:dyDescent="0.2">
      <c r="A11" s="57" t="s">
        <v>82</v>
      </c>
      <c r="B11" s="59">
        <v>46317</v>
      </c>
      <c r="C11" s="59">
        <v>46323</v>
      </c>
      <c r="D11" s="60" t="str">
        <f>IF(((COUNTIFS('T10'!$C$4:$C$68,"C*",'T10'!Y$4:Y$68,"&lt;&gt;")+COUNTIFS('T10'!$C$4:$C$68,"TC",'T10'!Y$4:Y$68,"&lt;&gt;")) + (COUNTIFS('T10'!$C$4:$C$68,"C*",'T10'!Z$4:Z$68,"&lt;&gt;")+COUNTIFS('T10'!$C$4:$C$68,"TC",'T10'!Z$4:Z$68,"&lt;&gt;")) + (COUNTIFS('T10'!$C$4:$C$68,"C*",'T10'!AA$4:AA$68,"&lt;&gt;")+COUNTIFS('T10'!$C$4:$C$68,"TC",'T10'!AA$4:AA$68,"&lt;&gt;")) + (COUNTIFS('T10'!$C$4:$C$68,"C*",'T10'!AB$4:AB$68,"&lt;&gt;")+COUNTIFS('T10'!$C$4:$C$68,"TC",'T10'!AB$4:AB$68,"&lt;&gt;")) + (COUNTIFS('T10'!$C$4:$C$68,"C*",'T10'!AC$4:AC$68,"&lt;&gt;")+COUNTIFS('T10'!$C$4:$C$68,"TC",'T10'!AC$4:AC$68,"&lt;&gt;")) + (COUNTIFS('T10'!$C$4:$C$68,"C*",'T10'!AD$4:AD$68,"&lt;&gt;")+COUNTIFS('T10'!$C$4:$C$68,"TC",'T10'!AD$4:AD$68,"&lt;&gt;")) + (COUNTIFS('T10'!$C$4:$C$68,"C*",'T10'!AE$4:AE$68,"&lt;&gt;")+COUNTIFS('T10'!$C$4:$C$68,"TC",'T10'!AE$4:AE$68,"&lt;&gt;")))=0,"",((COUNTIFS('T10'!$C$4:$C$68,"C*",'T10'!Y$4:Y$68,"x*")-0.5*(COUNTIFS('T10'!$C$4:$C$68,"C*",'T10'!Y$4:Y$68,"x/2")))+(COUNTIFS('T10'!$C$4:$C$68,"C*",'T10'!Z$4:Z$68,"x*")-0.5*(COUNTIFS('T10'!$C$4:$C$68,"C*",'T10'!Z$4:Z$68,"x/2")))+(COUNTIFS('T10'!$C$4:$C$68,"C*",'T10'!AA$4:AA$68,"x*")-0.5*(COUNTIFS('T10'!$C$4:$C$68,"C*",'T10'!AA$4:AA$68,"x/2")))+(COUNTIFS('T10'!$C$4:$C$68,"C*",'T10'!AC$4:AC$68,"x*")-0.5*(COUNTIFS('T10'!$C$4:$C$68,"C*",'T10'!AC$4:AC$68,"x/2")))+(COUNTIFS('T10'!$C$4:$C$68,"C*",'T10'!AD$4:AD$68,"x*")-0.5*(COUNTIFS('T10'!$C$4:$C$68,"C*",'T10'!AD$4:AD$68,"x/2")))+(COUNTIFS('T10'!$C$4:$C$68,"C*",'T10'!AE$4:AE$68,"x*")-0.5*(COUNTIFS('T10'!$C$4:$C$68,"C*",'T10'!AE$4:AE$68,"x/2")))))</f>
        <v/>
      </c>
      <c r="E11" s="61" t="str">
        <f>IF(((COUNTIFS('T10'!$C$4:$C$68,"C*",'T10'!Y$4:Y$68,"&lt;&gt;")+COUNTIFS('T10'!$C$4:$C$68,"TC",'T10'!Y$4:Y$68,"&lt;&gt;")) + (COUNTIFS('T10'!$C$4:$C$68,"C*",'T10'!Z$4:Z$68,"&lt;&gt;")+COUNTIFS('T10'!$C$4:$C$68,"TC",'T10'!Z$4:Z$68,"&lt;&gt;")) + (COUNTIFS('T10'!$C$4:$C$68,"C*",'T10'!AA$4:AA$68,"&lt;&gt;")+COUNTIFS('T10'!$C$4:$C$68,"TC",'T10'!AA$4:AA$68,"&lt;&gt;")) + (COUNTIFS('T10'!$C$4:$C$68,"C*",'T10'!AB$4:AB$68,"&lt;&gt;")+COUNTIFS('T10'!$C$4:$C$68,"TC",'T10'!AB$4:AB$68,"&lt;&gt;")) + (COUNTIFS('T10'!$C$4:$C$68,"C*",'T10'!AC$4:AC$68,"&lt;&gt;")+COUNTIFS('T10'!$C$4:$C$68,"TC",'T10'!AC$4:AC$68,"&lt;&gt;")) + (COUNTIFS('T10'!$C$4:$C$68,"C*",'T10'!AD$4:AD$68,"&lt;&gt;")+COUNTIFS('T10'!$C$4:$C$68,"TC",'T10'!AD$4:AD$68,"&lt;&gt;")) + (COUNTIFS('T10'!$C$4:$C$68,"C*",'T10'!AE$4:AE$68,"&lt;&gt;")+COUNTIFS('T10'!$C$4:$C$68,"TC",'T10'!AE$4:AE$68,"&lt;&gt;")))=0,"",((COUNTIFS('T10'!$C$4:$C$68,"C*",'T10'!AB$4:AB$68,"x*")-0.5*(COUNTIFS('T10'!$C$4:$C$68,"C*",'T10'!AB$4:AB$68,"x/2")))))</f>
        <v/>
      </c>
      <c r="F11" s="60" t="str">
        <f>IF(AND(D11="",E11=""),"",D11+E11)</f>
        <v/>
      </c>
      <c r="G11" s="60" t="str">
        <f>IF(((COUNTIFS('T10'!$C$4:$C$68,"C*",'T10'!Y$4:Y$68,"&lt;&gt;")+COUNTIFS('T10'!$C$4:$C$68,"TC",'T10'!Y$4:Y$68,"&lt;&gt;")) + (COUNTIFS('T10'!$C$4:$C$68,"C*",'T10'!Z$4:Z$68,"&lt;&gt;")+COUNTIFS('T10'!$C$4:$C$68,"TC",'T10'!Z$4:Z$68,"&lt;&gt;")) + (COUNTIFS('T10'!$C$4:$C$68,"C*",'T10'!AA$4:AA$68,"&lt;&gt;")+COUNTIFS('T10'!$C$4:$C$68,"TC",'T10'!AA$4:AA$68,"&lt;&gt;")) + (COUNTIFS('T10'!$C$4:$C$68,"C*",'T10'!AB$4:AB$68,"&lt;&gt;")+COUNTIFS('T10'!$C$4:$C$68,"TC",'T10'!AB$4:AB$68,"&lt;&gt;")) + (COUNTIFS('T10'!$C$4:$C$68,"C*",'T10'!AC$4:AC$68,"&lt;&gt;")+COUNTIFS('T10'!$C$4:$C$68,"TC",'T10'!AC$4:AC$68,"&lt;&gt;")) + (COUNTIFS('T10'!$C$4:$C$68,"C*",'T10'!AD$4:AD$68,"&lt;&gt;")+COUNTIFS('T10'!$C$4:$C$68,"TC",'T10'!AD$4:AD$68,"&lt;&gt;")) + (COUNTIFS('T10'!$C$4:$C$68,"C*",'T10'!AE$4:AE$68,"&lt;&gt;")+COUNTIFS('T10'!$C$4:$C$68,"TC",'T10'!AE$4:AE$68,"&lt;&gt;")))=0,"",(SUMIF('T10'!$C$4:$C$68,"TC",'T10'!Y$4:Y$68))+(SUMIF('T10'!$C$4:$C$68,"TC",'T10'!Z$4:Z$68))+(SUMIF('T10'!$C$4:$C$68,"TC",'T10'!AA$4:AA$68))+(SUMIF('T10'!$C$4:$C$68,"TC",'T10'!AC$4:AC$68))+(SUMIF('T10'!$C$4:$C$68,"TC",'T10'!AD$4:AD$68))+(SUMIF('T10'!$C$4:$C$68,"TC",'T10'!AE$4:AE$68)))</f>
        <v/>
      </c>
      <c r="H11" s="62" t="str">
        <f>IF(((COUNTIFS('T10'!$C$4:$C$68,"C*",'T10'!Y$4:Y$68,"&lt;&gt;")+COUNTIFS('T10'!$C$4:$C$68,"TC",'T10'!Y$4:Y$68,"&lt;&gt;")) + (COUNTIFS('T10'!$C$4:$C$68,"C*",'T10'!Z$4:Z$68,"&lt;&gt;")+COUNTIFS('T10'!$C$4:$C$68,"TC",'T10'!Z$4:Z$68,"&lt;&gt;")) + (COUNTIFS('T10'!$C$4:$C$68,"C*",'T10'!AA$4:AA$68,"&lt;&gt;")+COUNTIFS('T10'!$C$4:$C$68,"TC",'T10'!AA$4:AA$68,"&lt;&gt;")) + (COUNTIFS('T10'!$C$4:$C$68,"C*",'T10'!AB$4:AB$68,"&lt;&gt;")+COUNTIFS('T10'!$C$4:$C$68,"TC",'T10'!AB$4:AB$68,"&lt;&gt;")) + (COUNTIFS('T10'!$C$4:$C$68,"C*",'T10'!AC$4:AC$68,"&lt;&gt;")+COUNTIFS('T10'!$C$4:$C$68,"TC",'T10'!AC$4:AC$68,"&lt;&gt;")) + (COUNTIFS('T10'!$C$4:$C$68,"C*",'T10'!AD$4:AD$68,"&lt;&gt;")+COUNTIFS('T10'!$C$4:$C$68,"TC",'T10'!AD$4:AD$68,"&lt;&gt;")) + (COUNTIFS('T10'!$C$4:$C$68,"C*",'T10'!AE$4:AE$68,"&lt;&gt;")+COUNTIFS('T10'!$C$4:$C$68,"TC",'T10'!AE$4:AE$68,"&lt;&gt;")))=0,"",(SUMIF('T10'!$C$4:$C$68,"TC",'T10'!Y$4:Y$68))+(SUMIF('T10'!$C$4:$C$68,"TC",'T10'!Z$4:Z$68))+(SUMIF('T10'!$C$4:$C$68,"TC",'T10'!AA$4:AA$68))+(SUMIF('T10'!$C$4:$C$68,"TC",'T10'!AB$4:AB$68))+(SUMIF('T10'!$C$4:$C$68,"TC",'T10'!AC$4:AC$68))+(SUMIF('T10'!$C$4:$C$68,"TC",'T10'!AD$4:AD$68))+(SUMIF('T10'!$C$4:$C$68,"TC",'T10'!AE$4:AE$68)))</f>
        <v/>
      </c>
      <c r="I11" s="60" t="str">
        <f>IF(H11="","",H11/8)</f>
        <v/>
      </c>
      <c r="J11" s="57" t="str">
        <f>IF(((COUNTIFS('T10'!$C$4:$C$68,"C*",'T10'!Y$4:Y$68,"&lt;&gt;")+COUNTIFS('T10'!$C$4:$C$68,"TC",'T10'!Y$4:Y$68,"&lt;&gt;")) + (COUNTIFS('T10'!$C$4:$C$68,"C*",'T10'!Z$4:Z$68,"&lt;&gt;")+COUNTIFS('T10'!$C$4:$C$68,"TC",'T10'!Z$4:Z$68,"&lt;&gt;")) + (COUNTIFS('T10'!$C$4:$C$68,"C*",'T10'!AA$4:AA$68,"&lt;&gt;")+COUNTIFS('T10'!$C$4:$C$68,"TC",'T10'!AA$4:AA$68,"&lt;&gt;")) + (COUNTIFS('T10'!$C$4:$C$68,"C*",'T10'!AB$4:AB$68,"&lt;&gt;")+COUNTIFS('T10'!$C$4:$C$68,"TC",'T10'!AB$4:AB$68,"&lt;&gt;")) + (COUNTIFS('T10'!$C$4:$C$68,"C*",'T10'!AC$4:AC$68,"&lt;&gt;")+COUNTIFS('T10'!$C$4:$C$68,"TC",'T10'!AC$4:AC$68,"&lt;&gt;")) + (COUNTIFS('T10'!$C$4:$C$68,"C*",'T10'!AD$4:AD$68,"&lt;&gt;")+COUNTIFS('T10'!$C$4:$C$68,"TC",'T10'!AD$4:AD$68,"&lt;&gt;")) + (COUNTIFS('T10'!$C$4:$C$68,"C*",'T10'!AE$4:AE$68,"&lt;&gt;")+COUNTIFS('T10'!$C$4:$C$68,"TC",'T10'!AE$4:AE$68,"&lt;&gt;")))=0,"Chưa nhập","Đã cập nhật")</f>
        <v>Chưa nhập</v>
      </c>
    </row>
    <row r="12" spans="1:10" x14ac:dyDescent="0.2">
      <c r="A12" s="130" t="s">
        <v>83</v>
      </c>
      <c r="B12" s="131"/>
      <c r="C12" s="132"/>
      <c r="D12" s="60" t="str">
        <f t="shared" ref="D12:I12" si="0">IF(COUNT(D8:D11)=0,"",SUM(D8:D11))</f>
        <v/>
      </c>
      <c r="E12" s="61" t="str">
        <f t="shared" si="0"/>
        <v/>
      </c>
      <c r="F12" s="60" t="str">
        <f t="shared" si="0"/>
        <v/>
      </c>
      <c r="G12" s="60" t="str">
        <f t="shared" si="0"/>
        <v/>
      </c>
      <c r="H12" s="62" t="str">
        <f t="shared" si="0"/>
        <v/>
      </c>
      <c r="I12" s="60" t="str">
        <f t="shared" si="0"/>
        <v/>
      </c>
      <c r="J12" s="57"/>
    </row>
    <row r="13" spans="1:10" ht="15" customHeight="1" x14ac:dyDescent="0.2">
      <c r="A13" s="133"/>
      <c r="B13" s="134"/>
      <c r="C13" s="135"/>
      <c r="D13" s="63" t="str">
        <f t="shared" ref="D13:I13" si="1">IF(COUNT(D8:D12)=0,"",SUM(D8:D12))</f>
        <v/>
      </c>
      <c r="E13" s="63" t="str">
        <f t="shared" si="1"/>
        <v/>
      </c>
      <c r="F13" s="63" t="str">
        <f t="shared" si="1"/>
        <v/>
      </c>
      <c r="G13" s="63" t="str">
        <f t="shared" si="1"/>
        <v/>
      </c>
      <c r="H13" s="63" t="str">
        <f t="shared" si="1"/>
        <v/>
      </c>
      <c r="I13" s="63" t="str">
        <f t="shared" si="1"/>
        <v/>
      </c>
      <c r="J13" s="58"/>
    </row>
    <row r="15" spans="1:10" x14ac:dyDescent="0.2">
      <c r="A15" s="127" t="s">
        <v>84</v>
      </c>
      <c r="B15" s="125"/>
      <c r="C15" s="125"/>
      <c r="D15" s="125"/>
      <c r="E15" s="125"/>
      <c r="F15" s="125"/>
      <c r="G15" s="125"/>
      <c r="H15" s="125"/>
      <c r="I15" s="125"/>
      <c r="J15" s="125"/>
    </row>
  </sheetData>
  <mergeCells count="15">
    <mergeCell ref="A1:J1"/>
    <mergeCell ref="I4:J4"/>
    <mergeCell ref="A15:J15"/>
    <mergeCell ref="I5:J5"/>
    <mergeCell ref="A2:J2"/>
    <mergeCell ref="A12:C12"/>
    <mergeCell ref="C4:D4"/>
    <mergeCell ref="A13:C13"/>
    <mergeCell ref="C5:D5"/>
    <mergeCell ref="A5:B5"/>
    <mergeCell ref="G5:H5"/>
    <mergeCell ref="E5:F5"/>
    <mergeCell ref="A4:B4"/>
    <mergeCell ref="G4:H4"/>
    <mergeCell ref="E4:F4"/>
  </mergeCells>
  <conditionalFormatting sqref="F8:F12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2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2">
    <cfRule type="expression" dxfId="5" priority="1">
      <formula>$J8="Chưa nhập"</formula>
    </cfRule>
    <cfRule type="expression" dxfId="4" priority="2">
      <formula>$J8="Đã cập nhật"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5"/>
  <sheetViews>
    <sheetView workbookViewId="0">
      <selection sqref="A1:J1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95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 t="str">
        <f>F12</f>
        <v/>
      </c>
      <c r="B5" s="125"/>
      <c r="C5" s="136" t="str">
        <f>E12</f>
        <v/>
      </c>
      <c r="D5" s="125"/>
      <c r="E5" s="136" t="str">
        <f>IF(((COUNTIFS('T11'!$C$4:$C$68,"C*",'T11'!D$4:D$68,"&lt;&gt;")+COUNTIFS('T11'!$C$4:$C$68,"TC",'T11'!D$4:D$68,"&lt;&gt;"))+(COUNTIFS('T11'!$C$4:$C$68,"C*",'T11'!E$4:E$68,"&lt;&gt;")+COUNTIFS('T11'!$C$4:$C$68,"TC",'T11'!E$4:E$68,"&lt;&gt;"))+(COUNTIFS('T11'!$C$4:$C$68,"C*",'T11'!F$4:F$68,"&lt;&gt;")+COUNTIFS('T11'!$C$4:$C$68,"TC",'T11'!F$4:F$68,"&lt;&gt;"))+(COUNTIFS('T11'!$C$4:$C$68,"C*",'T11'!G$4:G$68,"&lt;&gt;")+COUNTIFS('T11'!$C$4:$C$68,"TC",'T11'!G$4:G$68,"&lt;&gt;"))+(COUNTIFS('T11'!$C$4:$C$68,"C*",'T11'!H$4:H$68,"&lt;&gt;")+COUNTIFS('T11'!$C$4:$C$68,"TC",'T11'!H$4:H$68,"&lt;&gt;"))+(COUNTIFS('T11'!$C$4:$C$68,"C*",'T11'!I$4:I$68,"&lt;&gt;")+COUNTIFS('T11'!$C$4:$C$68,"TC",'T11'!I$4:I$68,"&lt;&gt;"))+(COUNTIFS('T11'!$C$4:$C$68,"C*",'T11'!J$4:J$68,"&lt;&gt;")+COUNTIFS('T11'!$C$4:$C$68,"TC",'T11'!J$4:J$68,"&lt;&gt;"))+(COUNTIFS('T11'!$C$4:$C$68,"C*",'T11'!K$4:K$68,"&lt;&gt;")+COUNTIFS('T11'!$C$4:$C$68,"TC",'T11'!K$4:K$68,"&lt;&gt;"))+(COUNTIFS('T11'!$C$4:$C$68,"C*",'T11'!L$4:L$68,"&lt;&gt;")+COUNTIFS('T11'!$C$4:$C$68,"TC",'T11'!L$4:L$68,"&lt;&gt;"))+(COUNTIFS('T11'!$C$4:$C$68,"C*",'T11'!M$4:M$68,"&lt;&gt;")+COUNTIFS('T11'!$C$4:$C$68,"TC",'T11'!M$4:M$68,"&lt;&gt;"))+(COUNTIFS('T11'!$C$4:$C$68,"C*",'T11'!N$4:N$68,"&lt;&gt;")+COUNTIFS('T11'!$C$4:$C$68,"TC",'T11'!N$4:N$68,"&lt;&gt;"))+(COUNTIFS('T11'!$C$4:$C$68,"C*",'T11'!O$4:O$68,"&lt;&gt;")+COUNTIFS('T11'!$C$4:$C$68,"TC",'T11'!O$4:O$68,"&lt;&gt;"))+(COUNTIFS('T11'!$C$4:$C$68,"C*",'T11'!P$4:P$68,"&lt;&gt;")+COUNTIFS('T11'!$C$4:$C$68,"TC",'T11'!P$4:P$68,"&lt;&gt;"))+(COUNTIFS('T11'!$C$4:$C$68,"C*",'T11'!Q$4:Q$68,"&lt;&gt;")+COUNTIFS('T11'!$C$4:$C$68,"TC",'T11'!Q$4:Q$68,"&lt;&gt;"))+(COUNTIFS('T11'!$C$4:$C$68,"C*",'T11'!R$4:R$68,"&lt;&gt;")+COUNTIFS('T11'!$C$4:$C$68,"TC",'T11'!R$4:R$68,"&lt;&gt;"))+(COUNTIFS('T11'!$C$4:$C$68,"C*",'T11'!S$4:S$68,"&lt;&gt;")+COUNTIFS('T11'!$C$4:$C$68,"TC",'T11'!S$4:S$68,"&lt;&gt;"))+(COUNTIFS('T11'!$C$4:$C$68,"C*",'T11'!T$4:T$68,"&lt;&gt;")+COUNTIFS('T11'!$C$4:$C$68,"TC",'T11'!T$4:T$68,"&lt;&gt;"))+(COUNTIFS('T11'!$C$4:$C$68,"C*",'T11'!U$4:U$68,"&lt;&gt;")+COUNTIFS('T11'!$C$4:$C$68,"TC",'T11'!U$4:U$68,"&lt;&gt;"))+(COUNTIFS('T11'!$C$4:$C$68,"C*",'T11'!V$4:V$68,"&lt;&gt;")+COUNTIFS('T11'!$C$4:$C$68,"TC",'T11'!V$4:V$68,"&lt;&gt;"))+(COUNTIFS('T11'!$C$4:$C$68,"C*",'T11'!W$4:W$68,"&lt;&gt;")+COUNTIFS('T11'!$C$4:$C$68,"TC",'T11'!W$4:W$68,"&lt;&gt;"))+(COUNTIFS('T11'!$C$4:$C$68,"C*",'T11'!X$4:X$68,"&lt;&gt;")+COUNTIFS('T11'!$C$4:$C$68,"TC",'T11'!X$4:X$68,"&lt;&gt;"))+(COUNTIFS('T11'!$C$4:$C$68,"C*",'T11'!Y$4:Y$68,"&lt;&gt;")+COUNTIFS('T11'!$C$4:$C$68,"TC",'T11'!Y$4:Y$68,"&lt;&gt;"))+(COUNTIFS('T11'!$C$4:$C$68,"C*",'T11'!Z$4:Z$68,"&lt;&gt;")+COUNTIFS('T11'!$C$4:$C$68,"TC",'T11'!Z$4:Z$68,"&lt;&gt;"))+(COUNTIFS('T11'!$C$4:$C$68,"C*",'T11'!AA$4:AA$68,"&lt;&gt;")+COUNTIFS('T11'!$C$4:$C$68,"TC",'T11'!AA$4:AA$68,"&lt;&gt;"))+(COUNTIFS('T11'!$C$4:$C$68,"C*",'T11'!AB$4:AB$68,"&lt;&gt;")+COUNTIFS('T11'!$C$4:$C$68,"TC",'T11'!AB$4:AB$68,"&lt;&gt;"))+(COUNTIFS('T11'!$C$4:$C$68,"C*",'T11'!AC$4:AC$68,"&lt;&gt;")+COUNTIFS('T11'!$C$4:$C$68,"TC",'T11'!AC$4:AC$68,"&lt;&gt;"))+(COUNTIFS('T11'!$C$4:$C$68,"C*",'T11'!AD$4:AD$68,"&lt;&gt;")+COUNTIFS('T11'!$C$4:$C$68,"TC",'T11'!AD$4:AD$68,"&lt;&gt;"))+(COUNTIFS('T11'!$C$4:$C$68,"C*",'T11'!AE$4:AE$68,"&lt;&gt;")+COUNTIFS('T11'!$C$4:$C$68,"TC",'T11'!AE$4:AE$68,"&lt;&gt;"))+(COUNTIFS('T11'!$C$4:$C$68,"C*",'T11'!AF$4:AF$68,"&lt;&gt;")+COUNTIFS('T11'!$C$4:$C$68,"TC",'T11'!AF$4:AF$68,"&lt;&gt;"))+(COUNTIFS('T11'!$C$4:$C$68,"C*",'T11'!AG$4:AG$68,"&lt;&gt;")+COUNTIFS('T11'!$C$4:$C$68,"TC",'T11'!AG$4:AG$68,"&lt;&gt;")))=0,"",((SUMIF('T11'!$C$4:$C$68,"TC",'T11'!D$4:D$68))+(SUMIF('T11'!$C$4:$C$68,"TC",'T11'!E$4:E$68))+(SUMIF('T11'!$C$4:$C$68,"TC",'T11'!F$4:F$68))+(SUMIF('T11'!$C$4:$C$68,"TC",'T11'!G$4:G$68))+(SUMIF('T11'!$C$4:$C$68,"TC",'T11'!H$4:H$68))+(SUMIF('T11'!$C$4:$C$68,"TC",'T11'!I$4:I$68))+(SUMIF('T11'!$C$4:$C$68,"TC",'T11'!J$4:J$68))+(SUMIF('T11'!$C$4:$C$68,"TC",'T11'!K$4:K$68))+(SUMIF('T11'!$C$4:$C$68,"TC",'T11'!L$4:L$68))+(SUMIF('T11'!$C$4:$C$68,"TC",'T11'!M$4:M$68))+(SUMIF('T11'!$C$4:$C$68,"TC",'T11'!N$4:N$68))+(SUMIF('T11'!$C$4:$C$68,"TC",'T11'!O$4:O$68))+(SUMIF('T11'!$C$4:$C$68,"TC",'T11'!P$4:P$68))+(SUMIF('T11'!$C$4:$C$68,"TC",'T11'!Q$4:Q$68))+(SUMIF('T11'!$C$4:$C$68,"TC",'T11'!R$4:R$68))+(SUMIF('T11'!$C$4:$C$68,"TC",'T11'!S$4:S$68))+(SUMIF('T11'!$C$4:$C$68,"TC",'T11'!T$4:T$68))+(SUMIF('T11'!$C$4:$C$68,"TC",'T11'!U$4:U$68))+(SUMIF('T11'!$C$4:$C$68,"TC",'T11'!V$4:V$68))+(SUMIF('T11'!$C$4:$C$68,"TC",'T11'!W$4:W$68))+(SUMIF('T11'!$C$4:$C$68,"TC",'T11'!X$4:X$68))+(SUMIF('T11'!$C$4:$C$68,"TC",'T11'!Y$4:Y$68))+(SUMIF('T11'!$C$4:$C$68,"TC",'T11'!Z$4:Z$68))+(SUMIF('T11'!$C$4:$C$68,"TC",'T11'!AA$4:AA$68))+(SUMIF('T11'!$C$4:$C$68,"TC",'T11'!AB$4:AB$68))+(SUMIF('T11'!$C$4:$C$68,"TC",'T11'!AC$4:AC$68))+(SUMIF('T11'!$C$4:$C$68,"TC",'T11'!AD$4:AD$68))+(SUMIF('T11'!$C$4:$C$68,"TC",'T11'!AE$4:AE$68))+(SUMIF('T11'!$C$4:$C$68,"TC",'T11'!AF$4:AF$68))+(SUMIF('T11'!$C$4:$C$68,"TC",'T11'!AG$4:AG$68))))</f>
        <v/>
      </c>
      <c r="F5" s="125"/>
      <c r="G5" s="137">
        <f>(COUNTIFS('T11'!$C$4:$C$68,"C*",'T11'!D$4:D$68,"&lt;&gt;")+COUNTIFS('T11'!$C$4:$C$68,"TC",'T11'!D$4:D$68,"&lt;&gt;")&gt;0) + (COUNTIFS('T11'!$C$4:$C$68,"C*",'T11'!E$4:E$68,"&lt;&gt;")+COUNTIFS('T11'!$C$4:$C$68,"TC",'T11'!E$4:E$68,"&lt;&gt;")&gt;0) + (COUNTIFS('T11'!$C$4:$C$68,"C*",'T11'!F$4:F$68,"&lt;&gt;")+COUNTIFS('T11'!$C$4:$C$68,"TC",'T11'!F$4:F$68,"&lt;&gt;")&gt;0) + (COUNTIFS('T11'!$C$4:$C$68,"C*",'T11'!G$4:G$68,"&lt;&gt;")+COUNTIFS('T11'!$C$4:$C$68,"TC",'T11'!G$4:G$68,"&lt;&gt;")&gt;0) + (COUNTIFS('T11'!$C$4:$C$68,"C*",'T11'!H$4:H$68,"&lt;&gt;")+COUNTIFS('T11'!$C$4:$C$68,"TC",'T11'!H$4:H$68,"&lt;&gt;")&gt;0) + (COUNTIFS('T11'!$C$4:$C$68,"C*",'T11'!I$4:I$68,"&lt;&gt;")+COUNTIFS('T11'!$C$4:$C$68,"TC",'T11'!I$4:I$68,"&lt;&gt;")&gt;0) + (COUNTIFS('T11'!$C$4:$C$68,"C*",'T11'!J$4:J$68,"&lt;&gt;")+COUNTIFS('T11'!$C$4:$C$68,"TC",'T11'!J$4:J$68,"&lt;&gt;")&gt;0) + (COUNTIFS('T11'!$C$4:$C$68,"C*",'T11'!K$4:K$68,"&lt;&gt;")+COUNTIFS('T11'!$C$4:$C$68,"TC",'T11'!K$4:K$68,"&lt;&gt;")&gt;0) + (COUNTIFS('T11'!$C$4:$C$68,"C*",'T11'!L$4:L$68,"&lt;&gt;")+COUNTIFS('T11'!$C$4:$C$68,"TC",'T11'!L$4:L$68,"&lt;&gt;")&gt;0) + (COUNTIFS('T11'!$C$4:$C$68,"C*",'T11'!M$4:M$68,"&lt;&gt;")+COUNTIFS('T11'!$C$4:$C$68,"TC",'T11'!M$4:M$68,"&lt;&gt;")&gt;0) + (COUNTIFS('T11'!$C$4:$C$68,"C*",'T11'!N$4:N$68,"&lt;&gt;")+COUNTIFS('T11'!$C$4:$C$68,"TC",'T11'!N$4:N$68,"&lt;&gt;")&gt;0) + (COUNTIFS('T11'!$C$4:$C$68,"C*",'T11'!O$4:O$68,"&lt;&gt;")+COUNTIFS('T11'!$C$4:$C$68,"TC",'T11'!O$4:O$68,"&lt;&gt;")&gt;0) + (COUNTIFS('T11'!$C$4:$C$68,"C*",'T11'!P$4:P$68,"&lt;&gt;")+COUNTIFS('T11'!$C$4:$C$68,"TC",'T11'!P$4:P$68,"&lt;&gt;")&gt;0) + (COUNTIFS('T11'!$C$4:$C$68,"C*",'T11'!Q$4:Q$68,"&lt;&gt;")+COUNTIFS('T11'!$C$4:$C$68,"TC",'T11'!Q$4:Q$68,"&lt;&gt;")&gt;0) + (COUNTIFS('T11'!$C$4:$C$68,"C*",'T11'!R$4:R$68,"&lt;&gt;")+COUNTIFS('T11'!$C$4:$C$68,"TC",'T11'!R$4:R$68,"&lt;&gt;")&gt;0) + (COUNTIFS('T11'!$C$4:$C$68,"C*",'T11'!S$4:S$68,"&lt;&gt;")+COUNTIFS('T11'!$C$4:$C$68,"TC",'T11'!S$4:S$68,"&lt;&gt;")&gt;0) + (COUNTIFS('T11'!$C$4:$C$68,"C*",'T11'!T$4:T$68,"&lt;&gt;")+COUNTIFS('T11'!$C$4:$C$68,"TC",'T11'!T$4:T$68,"&lt;&gt;")&gt;0) + (COUNTIFS('T11'!$C$4:$C$68,"C*",'T11'!U$4:U$68,"&lt;&gt;")+COUNTIFS('T11'!$C$4:$C$68,"TC",'T11'!U$4:U$68,"&lt;&gt;")&gt;0) + (COUNTIFS('T11'!$C$4:$C$68,"C*",'T11'!V$4:V$68,"&lt;&gt;")+COUNTIFS('T11'!$C$4:$C$68,"TC",'T11'!V$4:V$68,"&lt;&gt;")&gt;0) + (COUNTIFS('T11'!$C$4:$C$68,"C*",'T11'!W$4:W$68,"&lt;&gt;")+COUNTIFS('T11'!$C$4:$C$68,"TC",'T11'!W$4:W$68,"&lt;&gt;")&gt;0) + (COUNTIFS('T11'!$C$4:$C$68,"C*",'T11'!X$4:X$68,"&lt;&gt;")+COUNTIFS('T11'!$C$4:$C$68,"TC",'T11'!X$4:X$68,"&lt;&gt;")&gt;0) + (COUNTIFS('T11'!$C$4:$C$68,"C*",'T11'!Y$4:Y$68,"&lt;&gt;")+COUNTIFS('T11'!$C$4:$C$68,"TC",'T11'!Y$4:Y$68,"&lt;&gt;")&gt;0) + (COUNTIFS('T11'!$C$4:$C$68,"C*",'T11'!Z$4:Z$68,"&lt;&gt;")+COUNTIFS('T11'!$C$4:$C$68,"TC",'T11'!Z$4:Z$68,"&lt;&gt;")&gt;0) + (COUNTIFS('T11'!$C$4:$C$68,"C*",'T11'!AA$4:AA$68,"&lt;&gt;")+COUNTIFS('T11'!$C$4:$C$68,"TC",'T11'!AA$4:AA$68,"&lt;&gt;")&gt;0) + (COUNTIFS('T11'!$C$4:$C$68,"C*",'T11'!AB$4:AB$68,"&lt;&gt;")+COUNTIFS('T11'!$C$4:$C$68,"TC",'T11'!AB$4:AB$68,"&lt;&gt;")&gt;0) + (COUNTIFS('T11'!$C$4:$C$68,"C*",'T11'!AC$4:AC$68,"&lt;&gt;")+COUNTIFS('T11'!$C$4:$C$68,"TC",'T11'!AC$4:AC$68,"&lt;&gt;")&gt;0) + (COUNTIFS('T11'!$C$4:$C$68,"C*",'T11'!AD$4:AD$68,"&lt;&gt;")+COUNTIFS('T11'!$C$4:$C$68,"TC",'T11'!AD$4:AD$68,"&lt;&gt;")&gt;0) + (COUNTIFS('T11'!$C$4:$C$68,"C*",'T11'!AE$4:AE$68,"&lt;&gt;")+COUNTIFS('T11'!$C$4:$C$68,"TC",'T11'!AE$4:AE$68,"&lt;&gt;")&gt;0) + (COUNTIFS('T11'!$C$4:$C$68,"C*",'T11'!AF$4:AF$68,"&lt;&gt;")+COUNTIFS('T11'!$C$4:$C$68,"TC",'T11'!AF$4:AF$68,"&lt;&gt;")&gt;0) + (COUNTIFS('T11'!$C$4:$C$68,"C*",'T11'!AG$4:AG$68,"&lt;&gt;")+COUNTIFS('T11'!$C$4:$C$68,"TC",'T11'!AG$4:AG$68,"&lt;&gt;")&gt;0)</f>
        <v>0</v>
      </c>
      <c r="H5" s="125"/>
      <c r="I5" s="128">
        <f ca="1">NOW()</f>
        <v>46253.615729745368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46324</v>
      </c>
      <c r="C8" s="59">
        <v>46330</v>
      </c>
      <c r="D8" s="60" t="str">
        <f>IF(((COUNTIFS('T10'!$C$4:$C$68,"C*",'T10'!AF$4:AF$68,"&lt;&gt;")+COUNTIFS('T10'!$C$4:$C$68,"TC",'T10'!AF$4:AF$68,"&lt;&gt;")) + (COUNTIFS('T10'!$C$4:$C$68,"C*",'T10'!AG$4:AG$68,"&lt;&gt;")+COUNTIFS('T10'!$C$4:$C$68,"TC",'T10'!AG$4:AG$68,"&lt;&gt;")) + (COUNTIFS('T10'!$C$4:$C$68,"C*",'T10'!AH$4:AH$68,"&lt;&gt;")+COUNTIFS('T10'!$C$4:$C$68,"TC",'T10'!AH$4:AH$68,"&lt;&gt;")) + (COUNTIFS('T11'!$C$4:$C$68,"C*",'T11'!D$4:D$68,"&lt;&gt;")+COUNTIFS('T11'!$C$4:$C$68,"TC",'T11'!D$4:D$68,"&lt;&gt;")) + (COUNTIFS('T11'!$C$4:$C$68,"C*",'T11'!E$4:E$68,"&lt;&gt;")+COUNTIFS('T11'!$C$4:$C$68,"TC",'T11'!E$4:E$68,"&lt;&gt;")) + (COUNTIFS('T11'!$C$4:$C$68,"C*",'T11'!F$4:F$68,"&lt;&gt;")+COUNTIFS('T11'!$C$4:$C$68,"TC",'T11'!F$4:F$68,"&lt;&gt;")) + (COUNTIFS('T11'!$C$4:$C$68,"C*",'T11'!G$4:G$68,"&lt;&gt;")+COUNTIFS('T11'!$C$4:$C$68,"TC",'T11'!G$4:G$68,"&lt;&gt;")))=0,"",((COUNTIFS('T10'!$C$4:$C$68,"C*",'T10'!AF$4:AF$68,"x*")-0.5*(COUNTIFS('T10'!$C$4:$C$68,"C*",'T10'!AF$4:AF$68,"x/2")))+(COUNTIFS('T10'!$C$4:$C$68,"C*",'T10'!AG$4:AG$68,"x*")-0.5*(COUNTIFS('T10'!$C$4:$C$68,"C*",'T10'!AG$4:AG$68,"x/2")))+(COUNTIFS('T10'!$C$4:$C$68,"C*",'T10'!AH$4:AH$68,"x*")-0.5*(COUNTIFS('T10'!$C$4:$C$68,"C*",'T10'!AH$4:AH$68,"x/2")))+(COUNTIFS('T11'!$C$4:$C$68,"C*",'T11'!E$4:E$68,"x*")-0.5*(COUNTIFS('T11'!$C$4:$C$68,"C*",'T11'!E$4:E$68,"x/2")))+(COUNTIFS('T11'!$C$4:$C$68,"C*",'T11'!F$4:F$68,"x*")-0.5*(COUNTIFS('T11'!$C$4:$C$68,"C*",'T11'!F$4:F$68,"x/2")))+(COUNTIFS('T11'!$C$4:$C$68,"C*",'T11'!G$4:G$68,"x*")-0.5*(COUNTIFS('T11'!$C$4:$C$68,"C*",'T11'!G$4:G$68,"x/2")))))</f>
        <v/>
      </c>
      <c r="E8" s="61" t="str">
        <f>IF(((COUNTIFS('T10'!$C$4:$C$68,"C*",'T10'!AF$4:AF$68,"&lt;&gt;")+COUNTIFS('T10'!$C$4:$C$68,"TC",'T10'!AF$4:AF$68,"&lt;&gt;")) + (COUNTIFS('T10'!$C$4:$C$68,"C*",'T10'!AG$4:AG$68,"&lt;&gt;")+COUNTIFS('T10'!$C$4:$C$68,"TC",'T10'!AG$4:AG$68,"&lt;&gt;")) + (COUNTIFS('T10'!$C$4:$C$68,"C*",'T10'!AH$4:AH$68,"&lt;&gt;")+COUNTIFS('T10'!$C$4:$C$68,"TC",'T10'!AH$4:AH$68,"&lt;&gt;")) + (COUNTIFS('T11'!$C$4:$C$68,"C*",'T11'!D$4:D$68,"&lt;&gt;")+COUNTIFS('T11'!$C$4:$C$68,"TC",'T11'!D$4:D$68,"&lt;&gt;")) + (COUNTIFS('T11'!$C$4:$C$68,"C*",'T11'!E$4:E$68,"&lt;&gt;")+COUNTIFS('T11'!$C$4:$C$68,"TC",'T11'!E$4:E$68,"&lt;&gt;")) + (COUNTIFS('T11'!$C$4:$C$68,"C*",'T11'!F$4:F$68,"&lt;&gt;")+COUNTIFS('T11'!$C$4:$C$68,"TC",'T11'!F$4:F$68,"&lt;&gt;")) + (COUNTIFS('T11'!$C$4:$C$68,"C*",'T11'!G$4:G$68,"&lt;&gt;")+COUNTIFS('T11'!$C$4:$C$68,"TC",'T11'!G$4:G$68,"&lt;&gt;")))=0,"",((COUNTIFS('T11'!$C$4:$C$68,"C*",'T11'!D$4:D$68,"x*")-0.5*(COUNTIFS('T11'!$C$4:$C$68,"C*",'T11'!D$4:D$68,"x/2")))))</f>
        <v/>
      </c>
      <c r="F8" s="60" t="str">
        <f>IF(AND(D8="",E8=""),"",D8+E8)</f>
        <v/>
      </c>
      <c r="G8" s="60" t="str">
        <f>IF(((COUNTIFS('T10'!$C$4:$C$68,"C*",'T10'!AF$4:AF$68,"&lt;&gt;")+COUNTIFS('T10'!$C$4:$C$68,"TC",'T10'!AF$4:AF$68,"&lt;&gt;")) + (COUNTIFS('T10'!$C$4:$C$68,"C*",'T10'!AG$4:AG$68,"&lt;&gt;")+COUNTIFS('T10'!$C$4:$C$68,"TC",'T10'!AG$4:AG$68,"&lt;&gt;")) + (COUNTIFS('T10'!$C$4:$C$68,"C*",'T10'!AH$4:AH$68,"&lt;&gt;")+COUNTIFS('T10'!$C$4:$C$68,"TC",'T10'!AH$4:AH$68,"&lt;&gt;")) + (COUNTIFS('T11'!$C$4:$C$68,"C*",'T11'!D$4:D$68,"&lt;&gt;")+COUNTIFS('T11'!$C$4:$C$68,"TC",'T11'!D$4:D$68,"&lt;&gt;")) + (COUNTIFS('T11'!$C$4:$C$68,"C*",'T11'!E$4:E$68,"&lt;&gt;")+COUNTIFS('T11'!$C$4:$C$68,"TC",'T11'!E$4:E$68,"&lt;&gt;")) + (COUNTIFS('T11'!$C$4:$C$68,"C*",'T11'!F$4:F$68,"&lt;&gt;")+COUNTIFS('T11'!$C$4:$C$68,"TC",'T11'!F$4:F$68,"&lt;&gt;")) + (COUNTIFS('T11'!$C$4:$C$68,"C*",'T11'!G$4:G$68,"&lt;&gt;")+COUNTIFS('T11'!$C$4:$C$68,"TC",'T11'!G$4:G$68,"&lt;&gt;")))=0,"",(SUMIF('T10'!$C$4:$C$68,"TC",'T10'!AF$4:AF$68))+(SUMIF('T10'!$C$4:$C$68,"TC",'T10'!AG$4:AG$68))+(SUMIF('T10'!$C$4:$C$68,"TC",'T10'!AH$4:AH$68))+(SUMIF('T11'!$C$4:$C$68,"TC",'T11'!E$4:E$68))+(SUMIF('T11'!$C$4:$C$68,"TC",'T11'!F$4:F$68))+(SUMIF('T11'!$C$4:$C$68,"TC",'T11'!G$4:G$68)))</f>
        <v/>
      </c>
      <c r="H8" s="62" t="str">
        <f>IF(((COUNTIFS('T10'!$C$4:$C$68,"C*",'T10'!AF$4:AF$68,"&lt;&gt;")+COUNTIFS('T10'!$C$4:$C$68,"TC",'T10'!AF$4:AF$68,"&lt;&gt;")) + (COUNTIFS('T10'!$C$4:$C$68,"C*",'T10'!AG$4:AG$68,"&lt;&gt;")+COUNTIFS('T10'!$C$4:$C$68,"TC",'T10'!AG$4:AG$68,"&lt;&gt;")) + (COUNTIFS('T10'!$C$4:$C$68,"C*",'T10'!AH$4:AH$68,"&lt;&gt;")+COUNTIFS('T10'!$C$4:$C$68,"TC",'T10'!AH$4:AH$68,"&lt;&gt;")) + (COUNTIFS('T11'!$C$4:$C$68,"C*",'T11'!D$4:D$68,"&lt;&gt;")+COUNTIFS('T11'!$C$4:$C$68,"TC",'T11'!D$4:D$68,"&lt;&gt;")) + (COUNTIFS('T11'!$C$4:$C$68,"C*",'T11'!E$4:E$68,"&lt;&gt;")+COUNTIFS('T11'!$C$4:$C$68,"TC",'T11'!E$4:E$68,"&lt;&gt;")) + (COUNTIFS('T11'!$C$4:$C$68,"C*",'T11'!F$4:F$68,"&lt;&gt;")+COUNTIFS('T11'!$C$4:$C$68,"TC",'T11'!F$4:F$68,"&lt;&gt;")) + (COUNTIFS('T11'!$C$4:$C$68,"C*",'T11'!G$4:G$68,"&lt;&gt;")+COUNTIFS('T11'!$C$4:$C$68,"TC",'T11'!G$4:G$68,"&lt;&gt;")))=0,"",(SUMIF('T10'!$C$4:$C$68,"TC",'T10'!AF$4:AF$68))+(SUMIF('T10'!$C$4:$C$68,"TC",'T10'!AG$4:AG$68))+(SUMIF('T10'!$C$4:$C$68,"TC",'T10'!AH$4:AH$68))+(SUMIF('T11'!$C$4:$C$68,"TC",'T11'!D$4:D$68))+(SUMIF('T11'!$C$4:$C$68,"TC",'T11'!E$4:E$68))+(SUMIF('T11'!$C$4:$C$68,"TC",'T11'!F$4:F$68))+(SUMIF('T11'!$C$4:$C$68,"TC",'T11'!G$4:G$68)))</f>
        <v/>
      </c>
      <c r="I8" s="60" t="str">
        <f>IF(H8="","",H8/8)</f>
        <v/>
      </c>
      <c r="J8" s="57" t="str">
        <f>IF(((COUNTIFS('T10'!$C$4:$C$68,"C*",'T10'!AF$4:AF$68,"&lt;&gt;")+COUNTIFS('T10'!$C$4:$C$68,"TC",'T10'!AF$4:AF$68,"&lt;&gt;")) + (COUNTIFS('T10'!$C$4:$C$68,"C*",'T10'!AG$4:AG$68,"&lt;&gt;")+COUNTIFS('T10'!$C$4:$C$68,"TC",'T10'!AG$4:AG$68,"&lt;&gt;")) + (COUNTIFS('T10'!$C$4:$C$68,"C*",'T10'!AH$4:AH$68,"&lt;&gt;")+COUNTIFS('T10'!$C$4:$C$68,"TC",'T10'!AH$4:AH$68,"&lt;&gt;")) + (COUNTIFS('T11'!$C$4:$C$68,"C*",'T11'!D$4:D$68,"&lt;&gt;")+COUNTIFS('T11'!$C$4:$C$68,"TC",'T11'!D$4:D$68,"&lt;&gt;")) + (COUNTIFS('T11'!$C$4:$C$68,"C*",'T11'!E$4:E$68,"&lt;&gt;")+COUNTIFS('T11'!$C$4:$C$68,"TC",'T11'!E$4:E$68,"&lt;&gt;")) + (COUNTIFS('T11'!$C$4:$C$68,"C*",'T11'!F$4:F$68,"&lt;&gt;")+COUNTIFS('T11'!$C$4:$C$68,"TC",'T11'!F$4:F$68,"&lt;&gt;")) + (COUNTIFS('T11'!$C$4:$C$68,"C*",'T11'!G$4:G$68,"&lt;&gt;")+COUNTIFS('T11'!$C$4:$C$68,"TC",'T11'!G$4:G$68,"&lt;&gt;")))=0,"Chưa nhập","Đã cập nhật")</f>
        <v>Chưa nhập</v>
      </c>
    </row>
    <row r="9" spans="1:10" x14ac:dyDescent="0.2">
      <c r="A9" s="57" t="s">
        <v>80</v>
      </c>
      <c r="B9" s="59">
        <v>46331</v>
      </c>
      <c r="C9" s="59">
        <v>46337</v>
      </c>
      <c r="D9" s="60" t="str">
        <f>IF(((COUNTIFS('T11'!$C$4:$C$68,"C*",'T11'!H$4:H$68,"&lt;&gt;")+COUNTIFS('T11'!$C$4:$C$68,"TC",'T11'!H$4:H$68,"&lt;&gt;")) + (COUNTIFS('T11'!$C$4:$C$68,"C*",'T11'!I$4:I$68,"&lt;&gt;")+COUNTIFS('T11'!$C$4:$C$68,"TC",'T11'!I$4:I$68,"&lt;&gt;")) + (COUNTIFS('T11'!$C$4:$C$68,"C*",'T11'!J$4:J$68,"&lt;&gt;")+COUNTIFS('T11'!$C$4:$C$68,"TC",'T11'!J$4:J$68,"&lt;&gt;")) + (COUNTIFS('T11'!$C$4:$C$68,"C*",'T11'!K$4:K$68,"&lt;&gt;")+COUNTIFS('T11'!$C$4:$C$68,"TC",'T11'!K$4:K$68,"&lt;&gt;")) + (COUNTIFS('T11'!$C$4:$C$68,"C*",'T11'!L$4:L$68,"&lt;&gt;")+COUNTIFS('T11'!$C$4:$C$68,"TC",'T11'!L$4:L$68,"&lt;&gt;")) + (COUNTIFS('T11'!$C$4:$C$68,"C*",'T11'!M$4:M$68,"&lt;&gt;")+COUNTIFS('T11'!$C$4:$C$68,"TC",'T11'!M$4:M$68,"&lt;&gt;")) + (COUNTIFS('T11'!$C$4:$C$68,"C*",'T11'!N$4:N$68,"&lt;&gt;")+COUNTIFS('T11'!$C$4:$C$68,"TC",'T11'!N$4:N$68,"&lt;&gt;")))=0,"",((COUNTIFS('T11'!$C$4:$C$68,"C*",'T11'!H$4:H$68,"x*")-0.5*(COUNTIFS('T11'!$C$4:$C$68,"C*",'T11'!H$4:H$68,"x/2")))+(COUNTIFS('T11'!$C$4:$C$68,"C*",'T11'!I$4:I$68,"x*")-0.5*(COUNTIFS('T11'!$C$4:$C$68,"C*",'T11'!I$4:I$68,"x/2")))+(COUNTIFS('T11'!$C$4:$C$68,"C*",'T11'!J$4:J$68,"x*")-0.5*(COUNTIFS('T11'!$C$4:$C$68,"C*",'T11'!J$4:J$68,"x/2")))+(COUNTIFS('T11'!$C$4:$C$68,"C*",'T11'!L$4:L$68,"x*")-0.5*(COUNTIFS('T11'!$C$4:$C$68,"C*",'T11'!L$4:L$68,"x/2")))+(COUNTIFS('T11'!$C$4:$C$68,"C*",'T11'!M$4:M$68,"x*")-0.5*(COUNTIFS('T11'!$C$4:$C$68,"C*",'T11'!M$4:M$68,"x/2")))+(COUNTIFS('T11'!$C$4:$C$68,"C*",'T11'!N$4:N$68,"x*")-0.5*(COUNTIFS('T11'!$C$4:$C$68,"C*",'T11'!N$4:N$68,"x/2")))))</f>
        <v/>
      </c>
      <c r="E9" s="61" t="str">
        <f>IF(((COUNTIFS('T11'!$C$4:$C$68,"C*",'T11'!H$4:H$68,"&lt;&gt;")+COUNTIFS('T11'!$C$4:$C$68,"TC",'T11'!H$4:H$68,"&lt;&gt;")) + (COUNTIFS('T11'!$C$4:$C$68,"C*",'T11'!I$4:I$68,"&lt;&gt;")+COUNTIFS('T11'!$C$4:$C$68,"TC",'T11'!I$4:I$68,"&lt;&gt;")) + (COUNTIFS('T11'!$C$4:$C$68,"C*",'T11'!J$4:J$68,"&lt;&gt;")+COUNTIFS('T11'!$C$4:$C$68,"TC",'T11'!J$4:J$68,"&lt;&gt;")) + (COUNTIFS('T11'!$C$4:$C$68,"C*",'T11'!K$4:K$68,"&lt;&gt;")+COUNTIFS('T11'!$C$4:$C$68,"TC",'T11'!K$4:K$68,"&lt;&gt;")) + (COUNTIFS('T11'!$C$4:$C$68,"C*",'T11'!L$4:L$68,"&lt;&gt;")+COUNTIFS('T11'!$C$4:$C$68,"TC",'T11'!L$4:L$68,"&lt;&gt;")) + (COUNTIFS('T11'!$C$4:$C$68,"C*",'T11'!M$4:M$68,"&lt;&gt;")+COUNTIFS('T11'!$C$4:$C$68,"TC",'T11'!M$4:M$68,"&lt;&gt;")) + (COUNTIFS('T11'!$C$4:$C$68,"C*",'T11'!N$4:N$68,"&lt;&gt;")+COUNTIFS('T11'!$C$4:$C$68,"TC",'T11'!N$4:N$68,"&lt;&gt;")))=0,"",((COUNTIFS('T11'!$C$4:$C$68,"C*",'T11'!K$4:K$68,"x*")-0.5*(COUNTIFS('T11'!$C$4:$C$68,"C*",'T11'!K$4:K$68,"x/2")))))</f>
        <v/>
      </c>
      <c r="F9" s="60" t="str">
        <f>IF(AND(D9="",E9=""),"",D9+E9)</f>
        <v/>
      </c>
      <c r="G9" s="60" t="str">
        <f>IF(((COUNTIFS('T11'!$C$4:$C$68,"C*",'T11'!H$4:H$68,"&lt;&gt;")+COUNTIFS('T11'!$C$4:$C$68,"TC",'T11'!H$4:H$68,"&lt;&gt;")) + (COUNTIFS('T11'!$C$4:$C$68,"C*",'T11'!I$4:I$68,"&lt;&gt;")+COUNTIFS('T11'!$C$4:$C$68,"TC",'T11'!I$4:I$68,"&lt;&gt;")) + (COUNTIFS('T11'!$C$4:$C$68,"C*",'T11'!J$4:J$68,"&lt;&gt;")+COUNTIFS('T11'!$C$4:$C$68,"TC",'T11'!J$4:J$68,"&lt;&gt;")) + (COUNTIFS('T11'!$C$4:$C$68,"C*",'T11'!K$4:K$68,"&lt;&gt;")+COUNTIFS('T11'!$C$4:$C$68,"TC",'T11'!K$4:K$68,"&lt;&gt;")) + (COUNTIFS('T11'!$C$4:$C$68,"C*",'T11'!L$4:L$68,"&lt;&gt;")+COUNTIFS('T11'!$C$4:$C$68,"TC",'T11'!L$4:L$68,"&lt;&gt;")) + (COUNTIFS('T11'!$C$4:$C$68,"C*",'T11'!M$4:M$68,"&lt;&gt;")+COUNTIFS('T11'!$C$4:$C$68,"TC",'T11'!M$4:M$68,"&lt;&gt;")) + (COUNTIFS('T11'!$C$4:$C$68,"C*",'T11'!N$4:N$68,"&lt;&gt;")+COUNTIFS('T11'!$C$4:$C$68,"TC",'T11'!N$4:N$68,"&lt;&gt;")))=0,"",(SUMIF('T11'!$C$4:$C$68,"TC",'T11'!H$4:H$68))+(SUMIF('T11'!$C$4:$C$68,"TC",'T11'!I$4:I$68))+(SUMIF('T11'!$C$4:$C$68,"TC",'T11'!J$4:J$68))+(SUMIF('T11'!$C$4:$C$68,"TC",'T11'!L$4:L$68))+(SUMIF('T11'!$C$4:$C$68,"TC",'T11'!M$4:M$68))+(SUMIF('T11'!$C$4:$C$68,"TC",'T11'!N$4:N$68)))</f>
        <v/>
      </c>
      <c r="H9" s="62" t="str">
        <f>IF(((COUNTIFS('T11'!$C$4:$C$68,"C*",'T11'!H$4:H$68,"&lt;&gt;")+COUNTIFS('T11'!$C$4:$C$68,"TC",'T11'!H$4:H$68,"&lt;&gt;")) + (COUNTIFS('T11'!$C$4:$C$68,"C*",'T11'!I$4:I$68,"&lt;&gt;")+COUNTIFS('T11'!$C$4:$C$68,"TC",'T11'!I$4:I$68,"&lt;&gt;")) + (COUNTIFS('T11'!$C$4:$C$68,"C*",'T11'!J$4:J$68,"&lt;&gt;")+COUNTIFS('T11'!$C$4:$C$68,"TC",'T11'!J$4:J$68,"&lt;&gt;")) + (COUNTIFS('T11'!$C$4:$C$68,"C*",'T11'!K$4:K$68,"&lt;&gt;")+COUNTIFS('T11'!$C$4:$C$68,"TC",'T11'!K$4:K$68,"&lt;&gt;")) + (COUNTIFS('T11'!$C$4:$C$68,"C*",'T11'!L$4:L$68,"&lt;&gt;")+COUNTIFS('T11'!$C$4:$C$68,"TC",'T11'!L$4:L$68,"&lt;&gt;")) + (COUNTIFS('T11'!$C$4:$C$68,"C*",'T11'!M$4:M$68,"&lt;&gt;")+COUNTIFS('T11'!$C$4:$C$68,"TC",'T11'!M$4:M$68,"&lt;&gt;")) + (COUNTIFS('T11'!$C$4:$C$68,"C*",'T11'!N$4:N$68,"&lt;&gt;")+COUNTIFS('T11'!$C$4:$C$68,"TC",'T11'!N$4:N$68,"&lt;&gt;")))=0,"",(SUMIF('T11'!$C$4:$C$68,"TC",'T11'!H$4:H$68))+(SUMIF('T11'!$C$4:$C$68,"TC",'T11'!I$4:I$68))+(SUMIF('T11'!$C$4:$C$68,"TC",'T11'!J$4:J$68))+(SUMIF('T11'!$C$4:$C$68,"TC",'T11'!K$4:K$68))+(SUMIF('T11'!$C$4:$C$68,"TC",'T11'!L$4:L$68))+(SUMIF('T11'!$C$4:$C$68,"TC",'T11'!M$4:M$68))+(SUMIF('T11'!$C$4:$C$68,"TC",'T11'!N$4:N$68)))</f>
        <v/>
      </c>
      <c r="I9" s="60" t="str">
        <f>IF(H9="","",H9/8)</f>
        <v/>
      </c>
      <c r="J9" s="57" t="str">
        <f>IF(((COUNTIFS('T11'!$C$4:$C$68,"C*",'T11'!H$4:H$68,"&lt;&gt;")+COUNTIFS('T11'!$C$4:$C$68,"TC",'T11'!H$4:H$68,"&lt;&gt;")) + (COUNTIFS('T11'!$C$4:$C$68,"C*",'T11'!I$4:I$68,"&lt;&gt;")+COUNTIFS('T11'!$C$4:$C$68,"TC",'T11'!I$4:I$68,"&lt;&gt;")) + (COUNTIFS('T11'!$C$4:$C$68,"C*",'T11'!J$4:J$68,"&lt;&gt;")+COUNTIFS('T11'!$C$4:$C$68,"TC",'T11'!J$4:J$68,"&lt;&gt;")) + (COUNTIFS('T11'!$C$4:$C$68,"C*",'T11'!K$4:K$68,"&lt;&gt;")+COUNTIFS('T11'!$C$4:$C$68,"TC",'T11'!K$4:K$68,"&lt;&gt;")) + (COUNTIFS('T11'!$C$4:$C$68,"C*",'T11'!L$4:L$68,"&lt;&gt;")+COUNTIFS('T11'!$C$4:$C$68,"TC",'T11'!L$4:L$68,"&lt;&gt;")) + (COUNTIFS('T11'!$C$4:$C$68,"C*",'T11'!M$4:M$68,"&lt;&gt;")+COUNTIFS('T11'!$C$4:$C$68,"TC",'T11'!M$4:M$68,"&lt;&gt;")) + (COUNTIFS('T11'!$C$4:$C$68,"C*",'T11'!N$4:N$68,"&lt;&gt;")+COUNTIFS('T11'!$C$4:$C$68,"TC",'T11'!N$4:N$68,"&lt;&gt;")))=0,"Chưa nhập","Đã cập nhật")</f>
        <v>Chưa nhập</v>
      </c>
    </row>
    <row r="10" spans="1:10" x14ac:dyDescent="0.2">
      <c r="A10" s="57" t="s">
        <v>81</v>
      </c>
      <c r="B10" s="59">
        <v>46338</v>
      </c>
      <c r="C10" s="59">
        <v>46344</v>
      </c>
      <c r="D10" s="60" t="str">
        <f>IF(((COUNTIFS('T11'!$C$4:$C$68,"C*",'T11'!O$4:O$68,"&lt;&gt;")+COUNTIFS('T11'!$C$4:$C$68,"TC",'T11'!O$4:O$68,"&lt;&gt;")) + (COUNTIFS('T11'!$C$4:$C$68,"C*",'T11'!P$4:P$68,"&lt;&gt;")+COUNTIFS('T11'!$C$4:$C$68,"TC",'T11'!P$4:P$68,"&lt;&gt;")) + (COUNTIFS('T11'!$C$4:$C$68,"C*",'T11'!Q$4:Q$68,"&lt;&gt;")+COUNTIFS('T11'!$C$4:$C$68,"TC",'T11'!Q$4:Q$68,"&lt;&gt;")) + (COUNTIFS('T11'!$C$4:$C$68,"C*",'T11'!R$4:R$68,"&lt;&gt;")+COUNTIFS('T11'!$C$4:$C$68,"TC",'T11'!R$4:R$68,"&lt;&gt;")) + (COUNTIFS('T11'!$C$4:$C$68,"C*",'T11'!S$4:S$68,"&lt;&gt;")+COUNTIFS('T11'!$C$4:$C$68,"TC",'T11'!S$4:S$68,"&lt;&gt;")) + (COUNTIFS('T11'!$C$4:$C$68,"C*",'T11'!T$4:T$68,"&lt;&gt;")+COUNTIFS('T11'!$C$4:$C$68,"TC",'T11'!T$4:T$68,"&lt;&gt;")) + (COUNTIFS('T11'!$C$4:$C$68,"C*",'T11'!U$4:U$68,"&lt;&gt;")+COUNTIFS('T11'!$C$4:$C$68,"TC",'T11'!U$4:U$68,"&lt;&gt;")))=0,"",((COUNTIFS('T11'!$C$4:$C$68,"C*",'T11'!O$4:O$68,"x*")-0.5*(COUNTIFS('T11'!$C$4:$C$68,"C*",'T11'!O$4:O$68,"x/2")))+(COUNTIFS('T11'!$C$4:$C$68,"C*",'T11'!P$4:P$68,"x*")-0.5*(COUNTIFS('T11'!$C$4:$C$68,"C*",'T11'!P$4:P$68,"x/2")))+(COUNTIFS('T11'!$C$4:$C$68,"C*",'T11'!Q$4:Q$68,"x*")-0.5*(COUNTIFS('T11'!$C$4:$C$68,"C*",'T11'!Q$4:Q$68,"x/2")))+(COUNTIFS('T11'!$C$4:$C$68,"C*",'T11'!S$4:S$68,"x*")-0.5*(COUNTIFS('T11'!$C$4:$C$68,"C*",'T11'!S$4:S$68,"x/2")))+(COUNTIFS('T11'!$C$4:$C$68,"C*",'T11'!T$4:T$68,"x*")-0.5*(COUNTIFS('T11'!$C$4:$C$68,"C*",'T11'!T$4:T$68,"x/2")))+(COUNTIFS('T11'!$C$4:$C$68,"C*",'T11'!U$4:U$68,"x*")-0.5*(COUNTIFS('T11'!$C$4:$C$68,"C*",'T11'!U$4:U$68,"x/2")))))</f>
        <v/>
      </c>
      <c r="E10" s="61" t="str">
        <f>IF(((COUNTIFS('T11'!$C$4:$C$68,"C*",'T11'!O$4:O$68,"&lt;&gt;")+COUNTIFS('T11'!$C$4:$C$68,"TC",'T11'!O$4:O$68,"&lt;&gt;")) + (COUNTIFS('T11'!$C$4:$C$68,"C*",'T11'!P$4:P$68,"&lt;&gt;")+COUNTIFS('T11'!$C$4:$C$68,"TC",'T11'!P$4:P$68,"&lt;&gt;")) + (COUNTIFS('T11'!$C$4:$C$68,"C*",'T11'!Q$4:Q$68,"&lt;&gt;")+COUNTIFS('T11'!$C$4:$C$68,"TC",'T11'!Q$4:Q$68,"&lt;&gt;")) + (COUNTIFS('T11'!$C$4:$C$68,"C*",'T11'!R$4:R$68,"&lt;&gt;")+COUNTIFS('T11'!$C$4:$C$68,"TC",'T11'!R$4:R$68,"&lt;&gt;")) + (COUNTIFS('T11'!$C$4:$C$68,"C*",'T11'!S$4:S$68,"&lt;&gt;")+COUNTIFS('T11'!$C$4:$C$68,"TC",'T11'!S$4:S$68,"&lt;&gt;")) + (COUNTIFS('T11'!$C$4:$C$68,"C*",'T11'!T$4:T$68,"&lt;&gt;")+COUNTIFS('T11'!$C$4:$C$68,"TC",'T11'!T$4:T$68,"&lt;&gt;")) + (COUNTIFS('T11'!$C$4:$C$68,"C*",'T11'!U$4:U$68,"&lt;&gt;")+COUNTIFS('T11'!$C$4:$C$68,"TC",'T11'!U$4:U$68,"&lt;&gt;")))=0,"",((COUNTIFS('T11'!$C$4:$C$68,"C*",'T11'!R$4:R$68,"x*")-0.5*(COUNTIFS('T11'!$C$4:$C$68,"C*",'T11'!R$4:R$68,"x/2")))))</f>
        <v/>
      </c>
      <c r="F10" s="60" t="str">
        <f>IF(AND(D10="",E10=""),"",D10+E10)</f>
        <v/>
      </c>
      <c r="G10" s="60" t="str">
        <f>IF(((COUNTIFS('T11'!$C$4:$C$68,"C*",'T11'!O$4:O$68,"&lt;&gt;")+COUNTIFS('T11'!$C$4:$C$68,"TC",'T11'!O$4:O$68,"&lt;&gt;")) + (COUNTIFS('T11'!$C$4:$C$68,"C*",'T11'!P$4:P$68,"&lt;&gt;")+COUNTIFS('T11'!$C$4:$C$68,"TC",'T11'!P$4:P$68,"&lt;&gt;")) + (COUNTIFS('T11'!$C$4:$C$68,"C*",'T11'!Q$4:Q$68,"&lt;&gt;")+COUNTIFS('T11'!$C$4:$C$68,"TC",'T11'!Q$4:Q$68,"&lt;&gt;")) + (COUNTIFS('T11'!$C$4:$C$68,"C*",'T11'!R$4:R$68,"&lt;&gt;")+COUNTIFS('T11'!$C$4:$C$68,"TC",'T11'!R$4:R$68,"&lt;&gt;")) + (COUNTIFS('T11'!$C$4:$C$68,"C*",'T11'!S$4:S$68,"&lt;&gt;")+COUNTIFS('T11'!$C$4:$C$68,"TC",'T11'!S$4:S$68,"&lt;&gt;")) + (COUNTIFS('T11'!$C$4:$C$68,"C*",'T11'!T$4:T$68,"&lt;&gt;")+COUNTIFS('T11'!$C$4:$C$68,"TC",'T11'!T$4:T$68,"&lt;&gt;")) + (COUNTIFS('T11'!$C$4:$C$68,"C*",'T11'!U$4:U$68,"&lt;&gt;")+COUNTIFS('T11'!$C$4:$C$68,"TC",'T11'!U$4:U$68,"&lt;&gt;")))=0,"",(SUMIF('T11'!$C$4:$C$68,"TC",'T11'!O$4:O$68))+(SUMIF('T11'!$C$4:$C$68,"TC",'T11'!P$4:P$68))+(SUMIF('T11'!$C$4:$C$68,"TC",'T11'!Q$4:Q$68))+(SUMIF('T11'!$C$4:$C$68,"TC",'T11'!S$4:S$68))+(SUMIF('T11'!$C$4:$C$68,"TC",'T11'!T$4:T$68))+(SUMIF('T11'!$C$4:$C$68,"TC",'T11'!U$4:U$68)))</f>
        <v/>
      </c>
      <c r="H10" s="62" t="str">
        <f>IF(((COUNTIFS('T11'!$C$4:$C$68,"C*",'T11'!O$4:O$68,"&lt;&gt;")+COUNTIFS('T11'!$C$4:$C$68,"TC",'T11'!O$4:O$68,"&lt;&gt;")) + (COUNTIFS('T11'!$C$4:$C$68,"C*",'T11'!P$4:P$68,"&lt;&gt;")+COUNTIFS('T11'!$C$4:$C$68,"TC",'T11'!P$4:P$68,"&lt;&gt;")) + (COUNTIFS('T11'!$C$4:$C$68,"C*",'T11'!Q$4:Q$68,"&lt;&gt;")+COUNTIFS('T11'!$C$4:$C$68,"TC",'T11'!Q$4:Q$68,"&lt;&gt;")) + (COUNTIFS('T11'!$C$4:$C$68,"C*",'T11'!R$4:R$68,"&lt;&gt;")+COUNTIFS('T11'!$C$4:$C$68,"TC",'T11'!R$4:R$68,"&lt;&gt;")) + (COUNTIFS('T11'!$C$4:$C$68,"C*",'T11'!S$4:S$68,"&lt;&gt;")+COUNTIFS('T11'!$C$4:$C$68,"TC",'T11'!S$4:S$68,"&lt;&gt;")) + (COUNTIFS('T11'!$C$4:$C$68,"C*",'T11'!T$4:T$68,"&lt;&gt;")+COUNTIFS('T11'!$C$4:$C$68,"TC",'T11'!T$4:T$68,"&lt;&gt;")) + (COUNTIFS('T11'!$C$4:$C$68,"C*",'T11'!U$4:U$68,"&lt;&gt;")+COUNTIFS('T11'!$C$4:$C$68,"TC",'T11'!U$4:U$68,"&lt;&gt;")))=0,"",(SUMIF('T11'!$C$4:$C$68,"TC",'T11'!O$4:O$68))+(SUMIF('T11'!$C$4:$C$68,"TC",'T11'!P$4:P$68))+(SUMIF('T11'!$C$4:$C$68,"TC",'T11'!Q$4:Q$68))+(SUMIF('T11'!$C$4:$C$68,"TC",'T11'!R$4:R$68))+(SUMIF('T11'!$C$4:$C$68,"TC",'T11'!S$4:S$68))+(SUMIF('T11'!$C$4:$C$68,"TC",'T11'!T$4:T$68))+(SUMIF('T11'!$C$4:$C$68,"TC",'T11'!U$4:U$68)))</f>
        <v/>
      </c>
      <c r="I10" s="60" t="str">
        <f>IF(H10="","",H10/8)</f>
        <v/>
      </c>
      <c r="J10" s="57" t="str">
        <f>IF(((COUNTIFS('T11'!$C$4:$C$68,"C*",'T11'!O$4:O$68,"&lt;&gt;")+COUNTIFS('T11'!$C$4:$C$68,"TC",'T11'!O$4:O$68,"&lt;&gt;")) + (COUNTIFS('T11'!$C$4:$C$68,"C*",'T11'!P$4:P$68,"&lt;&gt;")+COUNTIFS('T11'!$C$4:$C$68,"TC",'T11'!P$4:P$68,"&lt;&gt;")) + (COUNTIFS('T11'!$C$4:$C$68,"C*",'T11'!Q$4:Q$68,"&lt;&gt;")+COUNTIFS('T11'!$C$4:$C$68,"TC",'T11'!Q$4:Q$68,"&lt;&gt;")) + (COUNTIFS('T11'!$C$4:$C$68,"C*",'T11'!R$4:R$68,"&lt;&gt;")+COUNTIFS('T11'!$C$4:$C$68,"TC",'T11'!R$4:R$68,"&lt;&gt;")) + (COUNTIFS('T11'!$C$4:$C$68,"C*",'T11'!S$4:S$68,"&lt;&gt;")+COUNTIFS('T11'!$C$4:$C$68,"TC",'T11'!S$4:S$68,"&lt;&gt;")) + (COUNTIFS('T11'!$C$4:$C$68,"C*",'T11'!T$4:T$68,"&lt;&gt;")+COUNTIFS('T11'!$C$4:$C$68,"TC",'T11'!T$4:T$68,"&lt;&gt;")) + (COUNTIFS('T11'!$C$4:$C$68,"C*",'T11'!U$4:U$68,"&lt;&gt;")+COUNTIFS('T11'!$C$4:$C$68,"TC",'T11'!U$4:U$68,"&lt;&gt;")))=0,"Chưa nhập","Đã cập nhật")</f>
        <v>Chưa nhập</v>
      </c>
    </row>
    <row r="11" spans="1:10" x14ac:dyDescent="0.2">
      <c r="A11" s="57" t="s">
        <v>82</v>
      </c>
      <c r="B11" s="59">
        <v>46345</v>
      </c>
      <c r="C11" s="59">
        <v>46351</v>
      </c>
      <c r="D11" s="60" t="str">
        <f>IF(((COUNTIFS('T11'!$C$4:$C$68,"C*",'T11'!V$4:V$68,"&lt;&gt;")+COUNTIFS('T11'!$C$4:$C$68,"TC",'T11'!V$4:V$68,"&lt;&gt;")) + (COUNTIFS('T11'!$C$4:$C$68,"C*",'T11'!W$4:W$68,"&lt;&gt;")+COUNTIFS('T11'!$C$4:$C$68,"TC",'T11'!W$4:W$68,"&lt;&gt;")) + (COUNTIFS('T11'!$C$4:$C$68,"C*",'T11'!X$4:X$68,"&lt;&gt;")+COUNTIFS('T11'!$C$4:$C$68,"TC",'T11'!X$4:X$68,"&lt;&gt;")) + (COUNTIFS('T11'!$C$4:$C$68,"C*",'T11'!Y$4:Y$68,"&lt;&gt;")+COUNTIFS('T11'!$C$4:$C$68,"TC",'T11'!Y$4:Y$68,"&lt;&gt;")) + (COUNTIFS('T11'!$C$4:$C$68,"C*",'T11'!Z$4:Z$68,"&lt;&gt;")+COUNTIFS('T11'!$C$4:$C$68,"TC",'T11'!Z$4:Z$68,"&lt;&gt;")) + (COUNTIFS('T11'!$C$4:$C$68,"C*",'T11'!AA$4:AA$68,"&lt;&gt;")+COUNTIFS('T11'!$C$4:$C$68,"TC",'T11'!AA$4:AA$68,"&lt;&gt;")) + (COUNTIFS('T11'!$C$4:$C$68,"C*",'T11'!AB$4:AB$68,"&lt;&gt;")+COUNTIFS('T11'!$C$4:$C$68,"TC",'T11'!AB$4:AB$68,"&lt;&gt;")))=0,"",((COUNTIFS('T11'!$C$4:$C$68,"C*",'T11'!V$4:V$68,"x*")-0.5*(COUNTIFS('T11'!$C$4:$C$68,"C*",'T11'!V$4:V$68,"x/2")))+(COUNTIFS('T11'!$C$4:$C$68,"C*",'T11'!W$4:W$68,"x*")-0.5*(COUNTIFS('T11'!$C$4:$C$68,"C*",'T11'!W$4:W$68,"x/2")))+(COUNTIFS('T11'!$C$4:$C$68,"C*",'T11'!X$4:X$68,"x*")-0.5*(COUNTIFS('T11'!$C$4:$C$68,"C*",'T11'!X$4:X$68,"x/2")))+(COUNTIFS('T11'!$C$4:$C$68,"C*",'T11'!Z$4:Z$68,"x*")-0.5*(COUNTIFS('T11'!$C$4:$C$68,"C*",'T11'!Z$4:Z$68,"x/2")))+(COUNTIFS('T11'!$C$4:$C$68,"C*",'T11'!AA$4:AA$68,"x*")-0.5*(COUNTIFS('T11'!$C$4:$C$68,"C*",'T11'!AA$4:AA$68,"x/2")))+(COUNTIFS('T11'!$C$4:$C$68,"C*",'T11'!AB$4:AB$68,"x*")-0.5*(COUNTIFS('T11'!$C$4:$C$68,"C*",'T11'!AB$4:AB$68,"x/2")))))</f>
        <v/>
      </c>
      <c r="E11" s="61" t="str">
        <f>IF(((COUNTIFS('T11'!$C$4:$C$68,"C*",'T11'!V$4:V$68,"&lt;&gt;")+COUNTIFS('T11'!$C$4:$C$68,"TC",'T11'!V$4:V$68,"&lt;&gt;")) + (COUNTIFS('T11'!$C$4:$C$68,"C*",'T11'!W$4:W$68,"&lt;&gt;")+COUNTIFS('T11'!$C$4:$C$68,"TC",'T11'!W$4:W$68,"&lt;&gt;")) + (COUNTIFS('T11'!$C$4:$C$68,"C*",'T11'!X$4:X$68,"&lt;&gt;")+COUNTIFS('T11'!$C$4:$C$68,"TC",'T11'!X$4:X$68,"&lt;&gt;")) + (COUNTIFS('T11'!$C$4:$C$68,"C*",'T11'!Y$4:Y$68,"&lt;&gt;")+COUNTIFS('T11'!$C$4:$C$68,"TC",'T11'!Y$4:Y$68,"&lt;&gt;")) + (COUNTIFS('T11'!$C$4:$C$68,"C*",'T11'!Z$4:Z$68,"&lt;&gt;")+COUNTIFS('T11'!$C$4:$C$68,"TC",'T11'!Z$4:Z$68,"&lt;&gt;")) + (COUNTIFS('T11'!$C$4:$C$68,"C*",'T11'!AA$4:AA$68,"&lt;&gt;")+COUNTIFS('T11'!$C$4:$C$68,"TC",'T11'!AA$4:AA$68,"&lt;&gt;")) + (COUNTIFS('T11'!$C$4:$C$68,"C*",'T11'!AB$4:AB$68,"&lt;&gt;")+COUNTIFS('T11'!$C$4:$C$68,"TC",'T11'!AB$4:AB$68,"&lt;&gt;")))=0,"",((COUNTIFS('T11'!$C$4:$C$68,"C*",'T11'!Y$4:Y$68,"x*")-0.5*(COUNTIFS('T11'!$C$4:$C$68,"C*",'T11'!Y$4:Y$68,"x/2")))))</f>
        <v/>
      </c>
      <c r="F11" s="60" t="str">
        <f>IF(AND(D11="",E11=""),"",D11+E11)</f>
        <v/>
      </c>
      <c r="G11" s="60" t="str">
        <f>IF(((COUNTIFS('T11'!$C$4:$C$68,"C*",'T11'!V$4:V$68,"&lt;&gt;")+COUNTIFS('T11'!$C$4:$C$68,"TC",'T11'!V$4:V$68,"&lt;&gt;")) + (COUNTIFS('T11'!$C$4:$C$68,"C*",'T11'!W$4:W$68,"&lt;&gt;")+COUNTIFS('T11'!$C$4:$C$68,"TC",'T11'!W$4:W$68,"&lt;&gt;")) + (COUNTIFS('T11'!$C$4:$C$68,"C*",'T11'!X$4:X$68,"&lt;&gt;")+COUNTIFS('T11'!$C$4:$C$68,"TC",'T11'!X$4:X$68,"&lt;&gt;")) + (COUNTIFS('T11'!$C$4:$C$68,"C*",'T11'!Y$4:Y$68,"&lt;&gt;")+COUNTIFS('T11'!$C$4:$C$68,"TC",'T11'!Y$4:Y$68,"&lt;&gt;")) + (COUNTIFS('T11'!$C$4:$C$68,"C*",'T11'!Z$4:Z$68,"&lt;&gt;")+COUNTIFS('T11'!$C$4:$C$68,"TC",'T11'!Z$4:Z$68,"&lt;&gt;")) + (COUNTIFS('T11'!$C$4:$C$68,"C*",'T11'!AA$4:AA$68,"&lt;&gt;")+COUNTIFS('T11'!$C$4:$C$68,"TC",'T11'!AA$4:AA$68,"&lt;&gt;")) + (COUNTIFS('T11'!$C$4:$C$68,"C*",'T11'!AB$4:AB$68,"&lt;&gt;")+COUNTIFS('T11'!$C$4:$C$68,"TC",'T11'!AB$4:AB$68,"&lt;&gt;")))=0,"",(SUMIF('T11'!$C$4:$C$68,"TC",'T11'!V$4:V$68))+(SUMIF('T11'!$C$4:$C$68,"TC",'T11'!W$4:W$68))+(SUMIF('T11'!$C$4:$C$68,"TC",'T11'!X$4:X$68))+(SUMIF('T11'!$C$4:$C$68,"TC",'T11'!Z$4:Z$68))+(SUMIF('T11'!$C$4:$C$68,"TC",'T11'!AA$4:AA$68))+(SUMIF('T11'!$C$4:$C$68,"TC",'T11'!AB$4:AB$68)))</f>
        <v/>
      </c>
      <c r="H11" s="62" t="str">
        <f>IF(((COUNTIFS('T11'!$C$4:$C$68,"C*",'T11'!V$4:V$68,"&lt;&gt;")+COUNTIFS('T11'!$C$4:$C$68,"TC",'T11'!V$4:V$68,"&lt;&gt;")) + (COUNTIFS('T11'!$C$4:$C$68,"C*",'T11'!W$4:W$68,"&lt;&gt;")+COUNTIFS('T11'!$C$4:$C$68,"TC",'T11'!W$4:W$68,"&lt;&gt;")) + (COUNTIFS('T11'!$C$4:$C$68,"C*",'T11'!X$4:X$68,"&lt;&gt;")+COUNTIFS('T11'!$C$4:$C$68,"TC",'T11'!X$4:X$68,"&lt;&gt;")) + (COUNTIFS('T11'!$C$4:$C$68,"C*",'T11'!Y$4:Y$68,"&lt;&gt;")+COUNTIFS('T11'!$C$4:$C$68,"TC",'T11'!Y$4:Y$68,"&lt;&gt;")) + (COUNTIFS('T11'!$C$4:$C$68,"C*",'T11'!Z$4:Z$68,"&lt;&gt;")+COUNTIFS('T11'!$C$4:$C$68,"TC",'T11'!Z$4:Z$68,"&lt;&gt;")) + (COUNTIFS('T11'!$C$4:$C$68,"C*",'T11'!AA$4:AA$68,"&lt;&gt;")+COUNTIFS('T11'!$C$4:$C$68,"TC",'T11'!AA$4:AA$68,"&lt;&gt;")) + (COUNTIFS('T11'!$C$4:$C$68,"C*",'T11'!AB$4:AB$68,"&lt;&gt;")+COUNTIFS('T11'!$C$4:$C$68,"TC",'T11'!AB$4:AB$68,"&lt;&gt;")))=0,"",(SUMIF('T11'!$C$4:$C$68,"TC",'T11'!V$4:V$68))+(SUMIF('T11'!$C$4:$C$68,"TC",'T11'!W$4:W$68))+(SUMIF('T11'!$C$4:$C$68,"TC",'T11'!X$4:X$68))+(SUMIF('T11'!$C$4:$C$68,"TC",'T11'!Y$4:Y$68))+(SUMIF('T11'!$C$4:$C$68,"TC",'T11'!Z$4:Z$68))+(SUMIF('T11'!$C$4:$C$68,"TC",'T11'!AA$4:AA$68))+(SUMIF('T11'!$C$4:$C$68,"TC",'T11'!AB$4:AB$68)))</f>
        <v/>
      </c>
      <c r="I11" s="60" t="str">
        <f>IF(H11="","",H11/8)</f>
        <v/>
      </c>
      <c r="J11" s="57" t="str">
        <f>IF(((COUNTIFS('T11'!$C$4:$C$68,"C*",'T11'!V$4:V$68,"&lt;&gt;")+COUNTIFS('T11'!$C$4:$C$68,"TC",'T11'!V$4:V$68,"&lt;&gt;")) + (COUNTIFS('T11'!$C$4:$C$68,"C*",'T11'!W$4:W$68,"&lt;&gt;")+COUNTIFS('T11'!$C$4:$C$68,"TC",'T11'!W$4:W$68,"&lt;&gt;")) + (COUNTIFS('T11'!$C$4:$C$68,"C*",'T11'!X$4:X$68,"&lt;&gt;")+COUNTIFS('T11'!$C$4:$C$68,"TC",'T11'!X$4:X$68,"&lt;&gt;")) + (COUNTIFS('T11'!$C$4:$C$68,"C*",'T11'!Y$4:Y$68,"&lt;&gt;")+COUNTIFS('T11'!$C$4:$C$68,"TC",'T11'!Y$4:Y$68,"&lt;&gt;")) + (COUNTIFS('T11'!$C$4:$C$68,"C*",'T11'!Z$4:Z$68,"&lt;&gt;")+COUNTIFS('T11'!$C$4:$C$68,"TC",'T11'!Z$4:Z$68,"&lt;&gt;")) + (COUNTIFS('T11'!$C$4:$C$68,"C*",'T11'!AA$4:AA$68,"&lt;&gt;")+COUNTIFS('T11'!$C$4:$C$68,"TC",'T11'!AA$4:AA$68,"&lt;&gt;")) + (COUNTIFS('T11'!$C$4:$C$68,"C*",'T11'!AB$4:AB$68,"&lt;&gt;")+COUNTIFS('T11'!$C$4:$C$68,"TC",'T11'!AB$4:AB$68,"&lt;&gt;")))=0,"Chưa nhập","Đã cập nhật")</f>
        <v>Chưa nhập</v>
      </c>
    </row>
    <row r="12" spans="1:10" x14ac:dyDescent="0.2">
      <c r="A12" s="130" t="s">
        <v>83</v>
      </c>
      <c r="B12" s="131"/>
      <c r="C12" s="132"/>
      <c r="D12" s="60" t="str">
        <f t="shared" ref="D12:I12" si="0">IF(COUNT(D8:D11)=0,"",SUM(D8:D11))</f>
        <v/>
      </c>
      <c r="E12" s="61" t="str">
        <f t="shared" si="0"/>
        <v/>
      </c>
      <c r="F12" s="60" t="str">
        <f t="shared" si="0"/>
        <v/>
      </c>
      <c r="G12" s="60" t="str">
        <f t="shared" si="0"/>
        <v/>
      </c>
      <c r="H12" s="62" t="str">
        <f t="shared" si="0"/>
        <v/>
      </c>
      <c r="I12" s="60" t="str">
        <f t="shared" si="0"/>
        <v/>
      </c>
      <c r="J12" s="57"/>
    </row>
    <row r="13" spans="1:10" ht="15" customHeight="1" x14ac:dyDescent="0.2">
      <c r="A13" s="133"/>
      <c r="B13" s="134"/>
      <c r="C13" s="135"/>
      <c r="D13" s="63" t="str">
        <f t="shared" ref="D13:I13" si="1">IF(COUNT(D8:D12)=0,"",SUM(D8:D12))</f>
        <v/>
      </c>
      <c r="E13" s="63" t="str">
        <f t="shared" si="1"/>
        <v/>
      </c>
      <c r="F13" s="63" t="str">
        <f t="shared" si="1"/>
        <v/>
      </c>
      <c r="G13" s="63" t="str">
        <f t="shared" si="1"/>
        <v/>
      </c>
      <c r="H13" s="63" t="str">
        <f t="shared" si="1"/>
        <v/>
      </c>
      <c r="I13" s="63" t="str">
        <f t="shared" si="1"/>
        <v/>
      </c>
      <c r="J13" s="58"/>
    </row>
    <row r="15" spans="1:10" x14ac:dyDescent="0.2">
      <c r="A15" s="127" t="s">
        <v>84</v>
      </c>
      <c r="B15" s="125"/>
      <c r="C15" s="125"/>
      <c r="D15" s="125"/>
      <c r="E15" s="125"/>
      <c r="F15" s="125"/>
      <c r="G15" s="125"/>
      <c r="H15" s="125"/>
      <c r="I15" s="125"/>
      <c r="J15" s="125"/>
    </row>
  </sheetData>
  <mergeCells count="15">
    <mergeCell ref="A1:J1"/>
    <mergeCell ref="I4:J4"/>
    <mergeCell ref="A15:J15"/>
    <mergeCell ref="I5:J5"/>
    <mergeCell ref="A2:J2"/>
    <mergeCell ref="A12:C12"/>
    <mergeCell ref="C4:D4"/>
    <mergeCell ref="A13:C13"/>
    <mergeCell ref="C5:D5"/>
    <mergeCell ref="A5:B5"/>
    <mergeCell ref="G5:H5"/>
    <mergeCell ref="E5:F5"/>
    <mergeCell ref="A4:B4"/>
    <mergeCell ref="G4:H4"/>
    <mergeCell ref="E4:F4"/>
  </mergeCells>
  <conditionalFormatting sqref="F8:F12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2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2">
    <cfRule type="expression" dxfId="3" priority="1">
      <formula>$J8="Chưa nhập"</formula>
    </cfRule>
    <cfRule type="expression" dxfId="2" priority="2">
      <formula>$J8="Đã cập nhật"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6"/>
  <sheetViews>
    <sheetView workbookViewId="0">
      <selection activeCell="J22" sqref="J22"/>
    </sheetView>
  </sheetViews>
  <sheetFormatPr defaultRowHeight="14.25" x14ac:dyDescent="0.2"/>
  <cols>
    <col min="1" max="1" width="12" customWidth="1"/>
    <col min="2" max="3" width="13" customWidth="1"/>
    <col min="4" max="4" width="18" customWidth="1"/>
    <col min="5" max="5" width="15" customWidth="1"/>
    <col min="6" max="6" width="13" customWidth="1"/>
    <col min="7" max="7" width="20" customWidth="1"/>
    <col min="8" max="8" width="16" customWidth="1"/>
    <col min="9" max="9" width="17" customWidth="1"/>
    <col min="10" max="10" width="16" customWidth="1"/>
  </cols>
  <sheetData>
    <row r="1" spans="1:10" ht="27.95" customHeight="1" x14ac:dyDescent="0.2">
      <c r="A1" s="124" t="s">
        <v>96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2.1" customHeight="1" x14ac:dyDescent="0.2">
      <c r="A2" s="129" t="s">
        <v>64</v>
      </c>
      <c r="B2" s="125"/>
      <c r="C2" s="125"/>
      <c r="D2" s="125"/>
      <c r="E2" s="125"/>
      <c r="F2" s="125"/>
      <c r="G2" s="125"/>
      <c r="H2" s="125"/>
      <c r="I2" s="125"/>
      <c r="J2" s="125"/>
    </row>
    <row r="4" spans="1:10" ht="15" customHeight="1" x14ac:dyDescent="0.2">
      <c r="A4" s="126" t="s">
        <v>65</v>
      </c>
      <c r="B4" s="125"/>
      <c r="C4" s="126" t="s">
        <v>66</v>
      </c>
      <c r="D4" s="125"/>
      <c r="E4" s="126" t="s">
        <v>67</v>
      </c>
      <c r="F4" s="125"/>
      <c r="G4" s="126" t="s">
        <v>68</v>
      </c>
      <c r="H4" s="125"/>
      <c r="I4" s="126" t="s">
        <v>69</v>
      </c>
      <c r="J4" s="125"/>
    </row>
    <row r="5" spans="1:10" ht="15" customHeight="1" x14ac:dyDescent="0.2">
      <c r="A5" s="136" t="str">
        <f>F13</f>
        <v/>
      </c>
      <c r="B5" s="125"/>
      <c r="C5" s="136" t="str">
        <f>E13</f>
        <v/>
      </c>
      <c r="D5" s="125"/>
      <c r="E5" s="136" t="str">
        <f>IF(((COUNTIFS('T12'!$C$4:$C$68,"C*",'T12'!D$4:D$68,"&lt;&gt;")+COUNTIFS('T12'!$C$4:$C$68,"TC",'T12'!D$4:D$68,"&lt;&gt;"))+(COUNTIFS('T12'!$C$4:$C$68,"C*",'T12'!E$4:E$68,"&lt;&gt;")+COUNTIFS('T12'!$C$4:$C$68,"TC",'T12'!E$4:E$68,"&lt;&gt;"))+(COUNTIFS('T12'!$C$4:$C$68,"C*",'T12'!F$4:F$68,"&lt;&gt;")+COUNTIFS('T12'!$C$4:$C$68,"TC",'T12'!F$4:F$68,"&lt;&gt;"))+(COUNTIFS('T12'!$C$4:$C$68,"C*",'T12'!G$4:G$68,"&lt;&gt;")+COUNTIFS('T12'!$C$4:$C$68,"TC",'T12'!G$4:G$68,"&lt;&gt;"))+(COUNTIFS('T12'!$C$4:$C$68,"C*",'T12'!H$4:H$68,"&lt;&gt;")+COUNTIFS('T12'!$C$4:$C$68,"TC",'T12'!H$4:H$68,"&lt;&gt;"))+(COUNTIFS('T12'!$C$4:$C$68,"C*",'T12'!I$4:I$68,"&lt;&gt;")+COUNTIFS('T12'!$C$4:$C$68,"TC",'T12'!I$4:I$68,"&lt;&gt;"))+(COUNTIFS('T12'!$C$4:$C$68,"C*",'T12'!J$4:J$68,"&lt;&gt;")+COUNTIFS('T12'!$C$4:$C$68,"TC",'T12'!J$4:J$68,"&lt;&gt;"))+(COUNTIFS('T12'!$C$4:$C$68,"C*",'T12'!K$4:K$68,"&lt;&gt;")+COUNTIFS('T12'!$C$4:$C$68,"TC",'T12'!K$4:K$68,"&lt;&gt;"))+(COUNTIFS('T12'!$C$4:$C$68,"C*",'T12'!L$4:L$68,"&lt;&gt;")+COUNTIFS('T12'!$C$4:$C$68,"TC",'T12'!L$4:L$68,"&lt;&gt;"))+(COUNTIFS('T12'!$C$4:$C$68,"C*",'T12'!M$4:M$68,"&lt;&gt;")+COUNTIFS('T12'!$C$4:$C$68,"TC",'T12'!M$4:M$68,"&lt;&gt;"))+(COUNTIFS('T12'!$C$4:$C$68,"C*",'T12'!N$4:N$68,"&lt;&gt;")+COUNTIFS('T12'!$C$4:$C$68,"TC",'T12'!N$4:N$68,"&lt;&gt;"))+(COUNTIFS('T12'!$C$4:$C$68,"C*",'T12'!O$4:O$68,"&lt;&gt;")+COUNTIFS('T12'!$C$4:$C$68,"TC",'T12'!O$4:O$68,"&lt;&gt;"))+(COUNTIFS('T12'!$C$4:$C$68,"C*",'T12'!P$4:P$68,"&lt;&gt;")+COUNTIFS('T12'!$C$4:$C$68,"TC",'T12'!P$4:P$68,"&lt;&gt;"))+(COUNTIFS('T12'!$C$4:$C$68,"C*",'T12'!Q$4:Q$68,"&lt;&gt;")+COUNTIFS('T12'!$C$4:$C$68,"TC",'T12'!Q$4:Q$68,"&lt;&gt;"))+(COUNTIFS('T12'!$C$4:$C$68,"C*",'T12'!R$4:R$68,"&lt;&gt;")+COUNTIFS('T12'!$C$4:$C$68,"TC",'T12'!R$4:R$68,"&lt;&gt;"))+(COUNTIFS('T12'!$C$4:$C$68,"C*",'T12'!S$4:S$68,"&lt;&gt;")+COUNTIFS('T12'!$C$4:$C$68,"TC",'T12'!S$4:S$68,"&lt;&gt;"))+(COUNTIFS('T12'!$C$4:$C$68,"C*",'T12'!T$4:T$68,"&lt;&gt;")+COUNTIFS('T12'!$C$4:$C$68,"TC",'T12'!T$4:T$68,"&lt;&gt;"))+(COUNTIFS('T12'!$C$4:$C$68,"C*",'T12'!U$4:U$68,"&lt;&gt;")+COUNTIFS('T12'!$C$4:$C$68,"TC",'T12'!U$4:U$68,"&lt;&gt;"))+(COUNTIFS('T12'!$C$4:$C$68,"C*",'T12'!V$4:V$68,"&lt;&gt;")+COUNTIFS('T12'!$C$4:$C$68,"TC",'T12'!V$4:V$68,"&lt;&gt;"))+(COUNTIFS('T12'!$C$4:$C$68,"C*",'T12'!W$4:W$68,"&lt;&gt;")+COUNTIFS('T12'!$C$4:$C$68,"TC",'T12'!W$4:W$68,"&lt;&gt;"))+(COUNTIFS('T12'!$C$4:$C$68,"C*",'T12'!X$4:X$68,"&lt;&gt;")+COUNTIFS('T12'!$C$4:$C$68,"TC",'T12'!X$4:X$68,"&lt;&gt;"))+(COUNTIFS('T12'!$C$4:$C$68,"C*",'T12'!Y$4:Y$68,"&lt;&gt;")+COUNTIFS('T12'!$C$4:$C$68,"TC",'T12'!Y$4:Y$68,"&lt;&gt;"))+(COUNTIFS('T12'!$C$4:$C$68,"C*",'T12'!Z$4:Z$68,"&lt;&gt;")+COUNTIFS('T12'!$C$4:$C$68,"TC",'T12'!Z$4:Z$68,"&lt;&gt;"))+(COUNTIFS('T12'!$C$4:$C$68,"C*",'T12'!AA$4:AA$68,"&lt;&gt;")+COUNTIFS('T12'!$C$4:$C$68,"TC",'T12'!AA$4:AA$68,"&lt;&gt;"))+(COUNTIFS('T12'!$C$4:$C$68,"C*",'T12'!AB$4:AB$68,"&lt;&gt;")+COUNTIFS('T12'!$C$4:$C$68,"TC",'T12'!AB$4:AB$68,"&lt;&gt;"))+(COUNTIFS('T12'!$C$4:$C$68,"C*",'T12'!AC$4:AC$68,"&lt;&gt;")+COUNTIFS('T12'!$C$4:$C$68,"TC",'T12'!AC$4:AC$68,"&lt;&gt;"))+(COUNTIFS('T12'!$C$4:$C$68,"C*",'T12'!AD$4:AD$68,"&lt;&gt;")+COUNTIFS('T12'!$C$4:$C$68,"TC",'T12'!AD$4:AD$68,"&lt;&gt;"))+(COUNTIFS('T12'!$C$4:$C$68,"C*",'T12'!AE$4:AE$68,"&lt;&gt;")+COUNTIFS('T12'!$C$4:$C$68,"TC",'T12'!AE$4:AE$68,"&lt;&gt;"))+(COUNTIFS('T12'!$C$4:$C$68,"C*",'T12'!AF$4:AF$68,"&lt;&gt;")+COUNTIFS('T12'!$C$4:$C$68,"TC",'T12'!AF$4:AF$68,"&lt;&gt;"))+(COUNTIFS('T12'!$C$4:$C$68,"C*",'T12'!AG$4:AG$68,"&lt;&gt;")+COUNTIFS('T12'!$C$4:$C$68,"TC",'T12'!AG$4:AG$68,"&lt;&gt;"))+(COUNTIFS('T12'!$C$4:$C$68,"C*",'T12'!AH$4:AH$68,"&lt;&gt;")+COUNTIFS('T12'!$C$4:$C$68,"TC",'T12'!AH$4:AH$68,"&lt;&gt;")))=0,"",((SUMIF('T12'!$C$4:$C$68,"TC",'T12'!D$4:D$68))+(SUMIF('T12'!$C$4:$C$68,"TC",'T12'!E$4:E$68))+(SUMIF('T12'!$C$4:$C$68,"TC",'T12'!F$4:F$68))+(SUMIF('T12'!$C$4:$C$68,"TC",'T12'!G$4:G$68))+(SUMIF('T12'!$C$4:$C$68,"TC",'T12'!H$4:H$68))+(SUMIF('T12'!$C$4:$C$68,"TC",'T12'!I$4:I$68))+(SUMIF('T12'!$C$4:$C$68,"TC",'T12'!J$4:J$68))+(SUMIF('T12'!$C$4:$C$68,"TC",'T12'!K$4:K$68))+(SUMIF('T12'!$C$4:$C$68,"TC",'T12'!L$4:L$68))+(SUMIF('T12'!$C$4:$C$68,"TC",'T12'!M$4:M$68))+(SUMIF('T12'!$C$4:$C$68,"TC",'T12'!N$4:N$68))+(SUMIF('T12'!$C$4:$C$68,"TC",'T12'!O$4:O$68))+(SUMIF('T12'!$C$4:$C$68,"TC",'T12'!P$4:P$68))+(SUMIF('T12'!$C$4:$C$68,"TC",'T12'!Q$4:Q$68))+(SUMIF('T12'!$C$4:$C$68,"TC",'T12'!R$4:R$68))+(SUMIF('T12'!$C$4:$C$68,"TC",'T12'!S$4:S$68))+(SUMIF('T12'!$C$4:$C$68,"TC",'T12'!T$4:T$68))+(SUMIF('T12'!$C$4:$C$68,"TC",'T12'!U$4:U$68))+(SUMIF('T12'!$C$4:$C$68,"TC",'T12'!V$4:V$68))+(SUMIF('T12'!$C$4:$C$68,"TC",'T12'!W$4:W$68))+(SUMIF('T12'!$C$4:$C$68,"TC",'T12'!X$4:X$68))+(SUMIF('T12'!$C$4:$C$68,"TC",'T12'!Y$4:Y$68))+(SUMIF('T12'!$C$4:$C$68,"TC",'T12'!Z$4:Z$68))+(SUMIF('T12'!$C$4:$C$68,"TC",'T12'!AA$4:AA$68))+(SUMIF('T12'!$C$4:$C$68,"TC",'T12'!AB$4:AB$68))+(SUMIF('T12'!$C$4:$C$68,"TC",'T12'!AC$4:AC$68))+(SUMIF('T12'!$C$4:$C$68,"TC",'T12'!AD$4:AD$68))+(SUMIF('T12'!$C$4:$C$68,"TC",'T12'!AE$4:AE$68))+(SUMIF('T12'!$C$4:$C$68,"TC",'T12'!AF$4:AF$68))+(SUMIF('T12'!$C$4:$C$68,"TC",'T12'!AG$4:AG$68))+(SUMIF('T12'!$C$4:$C$68,"TC",'T12'!AH$4:AH$68))))</f>
        <v/>
      </c>
      <c r="F5" s="125"/>
      <c r="G5" s="137">
        <f>(COUNTIFS('T12'!$C$4:$C$68,"C*",'T12'!D$4:D$68,"&lt;&gt;")+COUNTIFS('T12'!$C$4:$C$68,"TC",'T12'!D$4:D$68,"&lt;&gt;")&gt;0) + (COUNTIFS('T12'!$C$4:$C$68,"C*",'T12'!E$4:E$68,"&lt;&gt;")+COUNTIFS('T12'!$C$4:$C$68,"TC",'T12'!E$4:E$68,"&lt;&gt;")&gt;0) + (COUNTIFS('T12'!$C$4:$C$68,"C*",'T12'!F$4:F$68,"&lt;&gt;")+COUNTIFS('T12'!$C$4:$C$68,"TC",'T12'!F$4:F$68,"&lt;&gt;")&gt;0) + (COUNTIFS('T12'!$C$4:$C$68,"C*",'T12'!G$4:G$68,"&lt;&gt;")+COUNTIFS('T12'!$C$4:$C$68,"TC",'T12'!G$4:G$68,"&lt;&gt;")&gt;0) + (COUNTIFS('T12'!$C$4:$C$68,"C*",'T12'!H$4:H$68,"&lt;&gt;")+COUNTIFS('T12'!$C$4:$C$68,"TC",'T12'!H$4:H$68,"&lt;&gt;")&gt;0) + (COUNTIFS('T12'!$C$4:$C$68,"C*",'T12'!I$4:I$68,"&lt;&gt;")+COUNTIFS('T12'!$C$4:$C$68,"TC",'T12'!I$4:I$68,"&lt;&gt;")&gt;0) + (COUNTIFS('T12'!$C$4:$C$68,"C*",'T12'!J$4:J$68,"&lt;&gt;")+COUNTIFS('T12'!$C$4:$C$68,"TC",'T12'!J$4:J$68,"&lt;&gt;")&gt;0) + (COUNTIFS('T12'!$C$4:$C$68,"C*",'T12'!K$4:K$68,"&lt;&gt;")+COUNTIFS('T12'!$C$4:$C$68,"TC",'T12'!K$4:K$68,"&lt;&gt;")&gt;0) + (COUNTIFS('T12'!$C$4:$C$68,"C*",'T12'!L$4:L$68,"&lt;&gt;")+COUNTIFS('T12'!$C$4:$C$68,"TC",'T12'!L$4:L$68,"&lt;&gt;")&gt;0) + (COUNTIFS('T12'!$C$4:$C$68,"C*",'T12'!M$4:M$68,"&lt;&gt;")+COUNTIFS('T12'!$C$4:$C$68,"TC",'T12'!M$4:M$68,"&lt;&gt;")&gt;0) + (COUNTIFS('T12'!$C$4:$C$68,"C*",'T12'!N$4:N$68,"&lt;&gt;")+COUNTIFS('T12'!$C$4:$C$68,"TC",'T12'!N$4:N$68,"&lt;&gt;")&gt;0) + (COUNTIFS('T12'!$C$4:$C$68,"C*",'T12'!O$4:O$68,"&lt;&gt;")+COUNTIFS('T12'!$C$4:$C$68,"TC",'T12'!O$4:O$68,"&lt;&gt;")&gt;0) + (COUNTIFS('T12'!$C$4:$C$68,"C*",'T12'!P$4:P$68,"&lt;&gt;")+COUNTIFS('T12'!$C$4:$C$68,"TC",'T12'!P$4:P$68,"&lt;&gt;")&gt;0) + (COUNTIFS('T12'!$C$4:$C$68,"C*",'T12'!Q$4:Q$68,"&lt;&gt;")+COUNTIFS('T12'!$C$4:$C$68,"TC",'T12'!Q$4:Q$68,"&lt;&gt;")&gt;0) + (COUNTIFS('T12'!$C$4:$C$68,"C*",'T12'!R$4:R$68,"&lt;&gt;")+COUNTIFS('T12'!$C$4:$C$68,"TC",'T12'!R$4:R$68,"&lt;&gt;")&gt;0) + (COUNTIFS('T12'!$C$4:$C$68,"C*",'T12'!S$4:S$68,"&lt;&gt;")+COUNTIFS('T12'!$C$4:$C$68,"TC",'T12'!S$4:S$68,"&lt;&gt;")&gt;0) + (COUNTIFS('T12'!$C$4:$C$68,"C*",'T12'!T$4:T$68,"&lt;&gt;")+COUNTIFS('T12'!$C$4:$C$68,"TC",'T12'!T$4:T$68,"&lt;&gt;")&gt;0) + (COUNTIFS('T12'!$C$4:$C$68,"C*",'T12'!U$4:U$68,"&lt;&gt;")+COUNTIFS('T12'!$C$4:$C$68,"TC",'T12'!U$4:U$68,"&lt;&gt;")&gt;0) + (COUNTIFS('T12'!$C$4:$C$68,"C*",'T12'!V$4:V$68,"&lt;&gt;")+COUNTIFS('T12'!$C$4:$C$68,"TC",'T12'!V$4:V$68,"&lt;&gt;")&gt;0) + (COUNTIFS('T12'!$C$4:$C$68,"C*",'T12'!W$4:W$68,"&lt;&gt;")+COUNTIFS('T12'!$C$4:$C$68,"TC",'T12'!W$4:W$68,"&lt;&gt;")&gt;0) + (COUNTIFS('T12'!$C$4:$C$68,"C*",'T12'!X$4:X$68,"&lt;&gt;")+COUNTIFS('T12'!$C$4:$C$68,"TC",'T12'!X$4:X$68,"&lt;&gt;")&gt;0) + (COUNTIFS('T12'!$C$4:$C$68,"C*",'T12'!Y$4:Y$68,"&lt;&gt;")+COUNTIFS('T12'!$C$4:$C$68,"TC",'T12'!Y$4:Y$68,"&lt;&gt;")&gt;0) + (COUNTIFS('T12'!$C$4:$C$68,"C*",'T12'!Z$4:Z$68,"&lt;&gt;")+COUNTIFS('T12'!$C$4:$C$68,"TC",'T12'!Z$4:Z$68,"&lt;&gt;")&gt;0) + (COUNTIFS('T12'!$C$4:$C$68,"C*",'T12'!AA$4:AA$68,"&lt;&gt;")+COUNTIFS('T12'!$C$4:$C$68,"TC",'T12'!AA$4:AA$68,"&lt;&gt;")&gt;0) + (COUNTIFS('T12'!$C$4:$C$68,"C*",'T12'!AB$4:AB$68,"&lt;&gt;")+COUNTIFS('T12'!$C$4:$C$68,"TC",'T12'!AB$4:AB$68,"&lt;&gt;")&gt;0) + (COUNTIFS('T12'!$C$4:$C$68,"C*",'T12'!AC$4:AC$68,"&lt;&gt;")+COUNTIFS('T12'!$C$4:$C$68,"TC",'T12'!AC$4:AC$68,"&lt;&gt;")&gt;0) + (COUNTIFS('T12'!$C$4:$C$68,"C*",'T12'!AD$4:AD$68,"&lt;&gt;")+COUNTIFS('T12'!$C$4:$C$68,"TC",'T12'!AD$4:AD$68,"&lt;&gt;")&gt;0) + (COUNTIFS('T12'!$C$4:$C$68,"C*",'T12'!AE$4:AE$68,"&lt;&gt;")+COUNTIFS('T12'!$C$4:$C$68,"TC",'T12'!AE$4:AE$68,"&lt;&gt;")&gt;0) + (COUNTIFS('T12'!$C$4:$C$68,"C*",'T12'!AF$4:AF$68,"&lt;&gt;")+COUNTIFS('T12'!$C$4:$C$68,"TC",'T12'!AF$4:AF$68,"&lt;&gt;")&gt;0) + (COUNTIFS('T12'!$C$4:$C$68,"C*",'T12'!AG$4:AG$68,"&lt;&gt;")+COUNTIFS('T12'!$C$4:$C$68,"TC",'T12'!AG$4:AG$68,"&lt;&gt;")&gt;0) + (COUNTIFS('T12'!$C$4:$C$68,"C*",'T12'!AH$4:AH$68,"&lt;&gt;")+COUNTIFS('T12'!$C$4:$C$68,"TC",'T12'!AH$4:AH$68,"&lt;&gt;")&gt;0)</f>
        <v>0</v>
      </c>
      <c r="H5" s="125"/>
      <c r="I5" s="128">
        <f ca="1">NOW()</f>
        <v>46253.615729861114</v>
      </c>
      <c r="J5" s="125"/>
    </row>
    <row r="7" spans="1:10" ht="33.950000000000003" customHeight="1" x14ac:dyDescent="0.2">
      <c r="A7" s="56" t="s">
        <v>70</v>
      </c>
      <c r="B7" s="56" t="s">
        <v>71</v>
      </c>
      <c r="C7" s="56" t="s">
        <v>72</v>
      </c>
      <c r="D7" s="56" t="s">
        <v>73</v>
      </c>
      <c r="E7" s="56" t="s">
        <v>66</v>
      </c>
      <c r="F7" s="56" t="s">
        <v>74</v>
      </c>
      <c r="G7" s="56" t="s">
        <v>75</v>
      </c>
      <c r="H7" s="56" t="s">
        <v>76</v>
      </c>
      <c r="I7" s="56" t="s">
        <v>77</v>
      </c>
      <c r="J7" s="56" t="s">
        <v>78</v>
      </c>
    </row>
    <row r="8" spans="1:10" x14ac:dyDescent="0.2">
      <c r="A8" s="57" t="s">
        <v>79</v>
      </c>
      <c r="B8" s="59">
        <v>46352</v>
      </c>
      <c r="C8" s="59">
        <v>46358</v>
      </c>
      <c r="D8" s="60" t="str">
        <f>IF(((COUNTIFS('T11'!$C$4:$C$68,"C*",'T11'!AC$4:AC$68,"&lt;&gt;")+COUNTIFS('T11'!$C$4:$C$68,"TC",'T11'!AC$4:AC$68,"&lt;&gt;")) + (COUNTIFS('T11'!$C$4:$C$68,"C*",'T11'!AD$4:AD$68,"&lt;&gt;")+COUNTIFS('T11'!$C$4:$C$68,"TC",'T11'!AD$4:AD$68,"&lt;&gt;")) + (COUNTIFS('T11'!$C$4:$C$68,"C*",'T11'!AE$4:AE$68,"&lt;&gt;")+COUNTIFS('T11'!$C$4:$C$68,"TC",'T11'!AE$4:AE$68,"&lt;&gt;")) + (COUNTIFS('T11'!$C$4:$C$68,"C*",'T11'!AF$4:AF$68,"&lt;&gt;")+COUNTIFS('T11'!$C$4:$C$68,"TC",'T11'!AF$4:AF$68,"&lt;&gt;")) + (COUNTIFS('T11'!$C$4:$C$68,"C*",'T11'!AG$4:AG$68,"&lt;&gt;")+COUNTIFS('T11'!$C$4:$C$68,"TC",'T11'!AG$4:AG$68,"&lt;&gt;")) + (COUNTIFS('T12'!$C$4:$C$68,"C*",'T12'!D$4:D$68,"&lt;&gt;")+COUNTIFS('T12'!$C$4:$C$68,"TC",'T12'!D$4:D$68,"&lt;&gt;")) + (COUNTIFS('T12'!$C$4:$C$68,"C*",'T12'!E$4:E$68,"&lt;&gt;")+COUNTIFS('T12'!$C$4:$C$68,"TC",'T12'!E$4:E$68,"&lt;&gt;")))=0,"",((COUNTIFS('T11'!$C$4:$C$68,"C*",'T11'!AC$4:AC$68,"x*")-0.5*(COUNTIFS('T11'!$C$4:$C$68,"C*",'T11'!AC$4:AC$68,"x/2")))+(COUNTIFS('T11'!$C$4:$C$68,"C*",'T11'!AD$4:AD$68,"x*")-0.5*(COUNTIFS('T11'!$C$4:$C$68,"C*",'T11'!AD$4:AD$68,"x/2")))+(COUNTIFS('T11'!$C$4:$C$68,"C*",'T11'!AE$4:AE$68,"x*")-0.5*(COUNTIFS('T11'!$C$4:$C$68,"C*",'T11'!AE$4:AE$68,"x/2")))+(COUNTIFS('T11'!$C$4:$C$68,"C*",'T11'!AG$4:AG$68,"x*")-0.5*(COUNTIFS('T11'!$C$4:$C$68,"C*",'T11'!AG$4:AG$68,"x/2")))+(COUNTIFS('T12'!$C$4:$C$68,"C*",'T12'!D$4:D$68,"x*")-0.5*(COUNTIFS('T12'!$C$4:$C$68,"C*",'T12'!D$4:D$68,"x/2")))+(COUNTIFS('T12'!$C$4:$C$68,"C*",'T12'!E$4:E$68,"x*")-0.5*(COUNTIFS('T12'!$C$4:$C$68,"C*",'T12'!E$4:E$68,"x/2")))))</f>
        <v/>
      </c>
      <c r="E8" s="61" t="str">
        <f>IF(((COUNTIFS('T11'!$C$4:$C$68,"C*",'T11'!AC$4:AC$68,"&lt;&gt;")+COUNTIFS('T11'!$C$4:$C$68,"TC",'T11'!AC$4:AC$68,"&lt;&gt;")) + (COUNTIFS('T11'!$C$4:$C$68,"C*",'T11'!AD$4:AD$68,"&lt;&gt;")+COUNTIFS('T11'!$C$4:$C$68,"TC",'T11'!AD$4:AD$68,"&lt;&gt;")) + (COUNTIFS('T11'!$C$4:$C$68,"C*",'T11'!AE$4:AE$68,"&lt;&gt;")+COUNTIFS('T11'!$C$4:$C$68,"TC",'T11'!AE$4:AE$68,"&lt;&gt;")) + (COUNTIFS('T11'!$C$4:$C$68,"C*",'T11'!AF$4:AF$68,"&lt;&gt;")+COUNTIFS('T11'!$C$4:$C$68,"TC",'T11'!AF$4:AF$68,"&lt;&gt;")) + (COUNTIFS('T11'!$C$4:$C$68,"C*",'T11'!AG$4:AG$68,"&lt;&gt;")+COUNTIFS('T11'!$C$4:$C$68,"TC",'T11'!AG$4:AG$68,"&lt;&gt;")) + (COUNTIFS('T12'!$C$4:$C$68,"C*",'T12'!D$4:D$68,"&lt;&gt;")+COUNTIFS('T12'!$C$4:$C$68,"TC",'T12'!D$4:D$68,"&lt;&gt;")) + (COUNTIFS('T12'!$C$4:$C$68,"C*",'T12'!E$4:E$68,"&lt;&gt;")+COUNTIFS('T12'!$C$4:$C$68,"TC",'T12'!E$4:E$68,"&lt;&gt;")))=0,"",((COUNTIFS('T11'!$C$4:$C$68,"C*",'T11'!AF$4:AF$68,"x*")-0.5*(COUNTIFS('T11'!$C$4:$C$68,"C*",'T11'!AF$4:AF$68,"x/2")))))</f>
        <v/>
      </c>
      <c r="F8" s="60" t="str">
        <f t="shared" ref="F8:F13" si="0">IF(AND(D8="",E8=""),"",D8+E8)</f>
        <v/>
      </c>
      <c r="G8" s="60" t="str">
        <f>IF(((COUNTIFS('T11'!$C$4:$C$68,"C*",'T11'!AC$4:AC$68,"&lt;&gt;")+COUNTIFS('T11'!$C$4:$C$68,"TC",'T11'!AC$4:AC$68,"&lt;&gt;")) + (COUNTIFS('T11'!$C$4:$C$68,"C*",'T11'!AD$4:AD$68,"&lt;&gt;")+COUNTIFS('T11'!$C$4:$C$68,"TC",'T11'!AD$4:AD$68,"&lt;&gt;")) + (COUNTIFS('T11'!$C$4:$C$68,"C*",'T11'!AE$4:AE$68,"&lt;&gt;")+COUNTIFS('T11'!$C$4:$C$68,"TC",'T11'!AE$4:AE$68,"&lt;&gt;")) + (COUNTIFS('T11'!$C$4:$C$68,"C*",'T11'!AF$4:AF$68,"&lt;&gt;")+COUNTIFS('T11'!$C$4:$C$68,"TC",'T11'!AF$4:AF$68,"&lt;&gt;")) + (COUNTIFS('T11'!$C$4:$C$68,"C*",'T11'!AG$4:AG$68,"&lt;&gt;")+COUNTIFS('T11'!$C$4:$C$68,"TC",'T11'!AG$4:AG$68,"&lt;&gt;")) + (COUNTIFS('T12'!$C$4:$C$68,"C*",'T12'!D$4:D$68,"&lt;&gt;")+COUNTIFS('T12'!$C$4:$C$68,"TC",'T12'!D$4:D$68,"&lt;&gt;")) + (COUNTIFS('T12'!$C$4:$C$68,"C*",'T12'!E$4:E$68,"&lt;&gt;")+COUNTIFS('T12'!$C$4:$C$68,"TC",'T12'!E$4:E$68,"&lt;&gt;")))=0,"",(SUMIF('T11'!$C$4:$C$68,"TC",'T11'!AC$4:AC$68))+(SUMIF('T11'!$C$4:$C$68,"TC",'T11'!AD$4:AD$68))+(SUMIF('T11'!$C$4:$C$68,"TC",'T11'!AE$4:AE$68))+(SUMIF('T11'!$C$4:$C$68,"TC",'T11'!AG$4:AG$68))+(SUMIF('T12'!$C$4:$C$68,"TC",'T12'!D$4:D$68))+(SUMIF('T12'!$C$4:$C$68,"TC",'T12'!E$4:E$68)))</f>
        <v/>
      </c>
      <c r="H8" s="62" t="str">
        <f>IF(((COUNTIFS('T11'!$C$4:$C$68,"C*",'T11'!AC$4:AC$68,"&lt;&gt;")+COUNTIFS('T11'!$C$4:$C$68,"TC",'T11'!AC$4:AC$68,"&lt;&gt;")) + (COUNTIFS('T11'!$C$4:$C$68,"C*",'T11'!AD$4:AD$68,"&lt;&gt;")+COUNTIFS('T11'!$C$4:$C$68,"TC",'T11'!AD$4:AD$68,"&lt;&gt;")) + (COUNTIFS('T11'!$C$4:$C$68,"C*",'T11'!AE$4:AE$68,"&lt;&gt;")+COUNTIFS('T11'!$C$4:$C$68,"TC",'T11'!AE$4:AE$68,"&lt;&gt;")) + (COUNTIFS('T11'!$C$4:$C$68,"C*",'T11'!AF$4:AF$68,"&lt;&gt;")+COUNTIFS('T11'!$C$4:$C$68,"TC",'T11'!AF$4:AF$68,"&lt;&gt;")) + (COUNTIFS('T11'!$C$4:$C$68,"C*",'T11'!AG$4:AG$68,"&lt;&gt;")+COUNTIFS('T11'!$C$4:$C$68,"TC",'T11'!AG$4:AG$68,"&lt;&gt;")) + (COUNTIFS('T12'!$C$4:$C$68,"C*",'T12'!D$4:D$68,"&lt;&gt;")+COUNTIFS('T12'!$C$4:$C$68,"TC",'T12'!D$4:D$68,"&lt;&gt;")) + (COUNTIFS('T12'!$C$4:$C$68,"C*",'T12'!E$4:E$68,"&lt;&gt;")+COUNTIFS('T12'!$C$4:$C$68,"TC",'T12'!E$4:E$68,"&lt;&gt;")))=0,"",(SUMIF('T11'!$C$4:$C$68,"TC",'T11'!AC$4:AC$68))+(SUMIF('T11'!$C$4:$C$68,"TC",'T11'!AD$4:AD$68))+(SUMIF('T11'!$C$4:$C$68,"TC",'T11'!AE$4:AE$68))+(SUMIF('T11'!$C$4:$C$68,"TC",'T11'!AF$4:AF$68))+(SUMIF('T11'!$C$4:$C$68,"TC",'T11'!AG$4:AG$68))+(SUMIF('T12'!$C$4:$C$68,"TC",'T12'!D$4:D$68))+(SUMIF('T12'!$C$4:$C$68,"TC",'T12'!E$4:E$68)))</f>
        <v/>
      </c>
      <c r="I8" s="60" t="str">
        <f t="shared" ref="I8:I13" si="1">IF(H8="","",H8/8)</f>
        <v/>
      </c>
      <c r="J8" s="57" t="str">
        <f>IF(((COUNTIFS('T11'!$C$4:$C$68,"C*",'T11'!AC$4:AC$68,"&lt;&gt;")+COUNTIFS('T11'!$C$4:$C$68,"TC",'T11'!AC$4:AC$68,"&lt;&gt;")) + (COUNTIFS('T11'!$C$4:$C$68,"C*",'T11'!AD$4:AD$68,"&lt;&gt;")+COUNTIFS('T11'!$C$4:$C$68,"TC",'T11'!AD$4:AD$68,"&lt;&gt;")) + (COUNTIFS('T11'!$C$4:$C$68,"C*",'T11'!AE$4:AE$68,"&lt;&gt;")+COUNTIFS('T11'!$C$4:$C$68,"TC",'T11'!AE$4:AE$68,"&lt;&gt;")) + (COUNTIFS('T11'!$C$4:$C$68,"C*",'T11'!AF$4:AF$68,"&lt;&gt;")+COUNTIFS('T11'!$C$4:$C$68,"TC",'T11'!AF$4:AF$68,"&lt;&gt;")) + (COUNTIFS('T11'!$C$4:$C$68,"C*",'T11'!AG$4:AG$68,"&lt;&gt;")+COUNTIFS('T11'!$C$4:$C$68,"TC",'T11'!AG$4:AG$68,"&lt;&gt;")) + (COUNTIFS('T12'!$C$4:$C$68,"C*",'T12'!D$4:D$68,"&lt;&gt;")+COUNTIFS('T12'!$C$4:$C$68,"TC",'T12'!D$4:D$68,"&lt;&gt;")) + (COUNTIFS('T12'!$C$4:$C$68,"C*",'T12'!E$4:E$68,"&lt;&gt;")+COUNTIFS('T12'!$C$4:$C$68,"TC",'T12'!E$4:E$68,"&lt;&gt;")))=0,"Chưa nhập","Đã cập nhật")</f>
        <v>Chưa nhập</v>
      </c>
    </row>
    <row r="9" spans="1:10" x14ac:dyDescent="0.2">
      <c r="A9" s="57" t="s">
        <v>80</v>
      </c>
      <c r="B9" s="59">
        <v>46359</v>
      </c>
      <c r="C9" s="59">
        <v>46365</v>
      </c>
      <c r="D9" s="60" t="str">
        <f>IF(((COUNTIFS('T12'!$C$4:$C$68,"C*",'T12'!F$4:F$68,"&lt;&gt;")+COUNTIFS('T12'!$C$4:$C$68,"TC",'T12'!F$4:F$68,"&lt;&gt;")) + (COUNTIFS('T12'!$C$4:$C$68,"C*",'T12'!G$4:G$68,"&lt;&gt;")+COUNTIFS('T12'!$C$4:$C$68,"TC",'T12'!G$4:G$68,"&lt;&gt;")) + (COUNTIFS('T12'!$C$4:$C$68,"C*",'T12'!H$4:H$68,"&lt;&gt;")+COUNTIFS('T12'!$C$4:$C$68,"TC",'T12'!H$4:H$68,"&lt;&gt;")) + (COUNTIFS('T12'!$C$4:$C$68,"C*",'T12'!I$4:I$68,"&lt;&gt;")+COUNTIFS('T12'!$C$4:$C$68,"TC",'T12'!I$4:I$68,"&lt;&gt;")) + (COUNTIFS('T12'!$C$4:$C$68,"C*",'T12'!J$4:J$68,"&lt;&gt;")+COUNTIFS('T12'!$C$4:$C$68,"TC",'T12'!J$4:J$68,"&lt;&gt;")) + (COUNTIFS('T12'!$C$4:$C$68,"C*",'T12'!K$4:K$68,"&lt;&gt;")+COUNTIFS('T12'!$C$4:$C$68,"TC",'T12'!K$4:K$68,"&lt;&gt;")) + (COUNTIFS('T12'!$C$4:$C$68,"C*",'T12'!L$4:L$68,"&lt;&gt;")+COUNTIFS('T12'!$C$4:$C$68,"TC",'T12'!L$4:L$68,"&lt;&gt;")))=0,"",((COUNTIFS('T12'!$C$4:$C$68,"C*",'T12'!F$4:F$68,"x*")-0.5*(COUNTIFS('T12'!$C$4:$C$68,"C*",'T12'!F$4:F$68,"x/2")))+(COUNTIFS('T12'!$C$4:$C$68,"C*",'T12'!G$4:G$68,"x*")-0.5*(COUNTIFS('T12'!$C$4:$C$68,"C*",'T12'!G$4:G$68,"x/2")))+(COUNTIFS('T12'!$C$4:$C$68,"C*",'T12'!H$4:H$68,"x*")-0.5*(COUNTIFS('T12'!$C$4:$C$68,"C*",'T12'!H$4:H$68,"x/2")))+(COUNTIFS('T12'!$C$4:$C$68,"C*",'T12'!J$4:J$68,"x*")-0.5*(COUNTIFS('T12'!$C$4:$C$68,"C*",'T12'!J$4:J$68,"x/2")))+(COUNTIFS('T12'!$C$4:$C$68,"C*",'T12'!K$4:K$68,"x*")-0.5*(COUNTIFS('T12'!$C$4:$C$68,"C*",'T12'!K$4:K$68,"x/2")))+(COUNTIFS('T12'!$C$4:$C$68,"C*",'T12'!L$4:L$68,"x*")-0.5*(COUNTIFS('T12'!$C$4:$C$68,"C*",'T12'!L$4:L$68,"x/2")))))</f>
        <v/>
      </c>
      <c r="E9" s="61" t="str">
        <f>IF(((COUNTIFS('T12'!$C$4:$C$68,"C*",'T12'!F$4:F$68,"&lt;&gt;")+COUNTIFS('T12'!$C$4:$C$68,"TC",'T12'!F$4:F$68,"&lt;&gt;")) + (COUNTIFS('T12'!$C$4:$C$68,"C*",'T12'!G$4:G$68,"&lt;&gt;")+COUNTIFS('T12'!$C$4:$C$68,"TC",'T12'!G$4:G$68,"&lt;&gt;")) + (COUNTIFS('T12'!$C$4:$C$68,"C*",'T12'!H$4:H$68,"&lt;&gt;")+COUNTIFS('T12'!$C$4:$C$68,"TC",'T12'!H$4:H$68,"&lt;&gt;")) + (COUNTIFS('T12'!$C$4:$C$68,"C*",'T12'!I$4:I$68,"&lt;&gt;")+COUNTIFS('T12'!$C$4:$C$68,"TC",'T12'!I$4:I$68,"&lt;&gt;")) + (COUNTIFS('T12'!$C$4:$C$68,"C*",'T12'!J$4:J$68,"&lt;&gt;")+COUNTIFS('T12'!$C$4:$C$68,"TC",'T12'!J$4:J$68,"&lt;&gt;")) + (COUNTIFS('T12'!$C$4:$C$68,"C*",'T12'!K$4:K$68,"&lt;&gt;")+COUNTIFS('T12'!$C$4:$C$68,"TC",'T12'!K$4:K$68,"&lt;&gt;")) + (COUNTIFS('T12'!$C$4:$C$68,"C*",'T12'!L$4:L$68,"&lt;&gt;")+COUNTIFS('T12'!$C$4:$C$68,"TC",'T12'!L$4:L$68,"&lt;&gt;")))=0,"",((COUNTIFS('T12'!$C$4:$C$68,"C*",'T12'!I$4:I$68,"x*")-0.5*(COUNTIFS('T12'!$C$4:$C$68,"C*",'T12'!I$4:I$68,"x/2")))))</f>
        <v/>
      </c>
      <c r="F9" s="60" t="str">
        <f t="shared" si="0"/>
        <v/>
      </c>
      <c r="G9" s="60" t="str">
        <f>IF(((COUNTIFS('T12'!$C$4:$C$68,"C*",'T12'!F$4:F$68,"&lt;&gt;")+COUNTIFS('T12'!$C$4:$C$68,"TC",'T12'!F$4:F$68,"&lt;&gt;")) + (COUNTIFS('T12'!$C$4:$C$68,"C*",'T12'!G$4:G$68,"&lt;&gt;")+COUNTIFS('T12'!$C$4:$C$68,"TC",'T12'!G$4:G$68,"&lt;&gt;")) + (COUNTIFS('T12'!$C$4:$C$68,"C*",'T12'!H$4:H$68,"&lt;&gt;")+COUNTIFS('T12'!$C$4:$C$68,"TC",'T12'!H$4:H$68,"&lt;&gt;")) + (COUNTIFS('T12'!$C$4:$C$68,"C*",'T12'!I$4:I$68,"&lt;&gt;")+COUNTIFS('T12'!$C$4:$C$68,"TC",'T12'!I$4:I$68,"&lt;&gt;")) + (COUNTIFS('T12'!$C$4:$C$68,"C*",'T12'!J$4:J$68,"&lt;&gt;")+COUNTIFS('T12'!$C$4:$C$68,"TC",'T12'!J$4:J$68,"&lt;&gt;")) + (COUNTIFS('T12'!$C$4:$C$68,"C*",'T12'!K$4:K$68,"&lt;&gt;")+COUNTIFS('T12'!$C$4:$C$68,"TC",'T12'!K$4:K$68,"&lt;&gt;")) + (COUNTIFS('T12'!$C$4:$C$68,"C*",'T12'!L$4:L$68,"&lt;&gt;")+COUNTIFS('T12'!$C$4:$C$68,"TC",'T12'!L$4:L$68,"&lt;&gt;")))=0,"",(SUMIF('T12'!$C$4:$C$68,"TC",'T12'!F$4:F$68))+(SUMIF('T12'!$C$4:$C$68,"TC",'T12'!G$4:G$68))+(SUMIF('T12'!$C$4:$C$68,"TC",'T12'!H$4:H$68))+(SUMIF('T12'!$C$4:$C$68,"TC",'T12'!J$4:J$68))+(SUMIF('T12'!$C$4:$C$68,"TC",'T12'!K$4:K$68))+(SUMIF('T12'!$C$4:$C$68,"TC",'T12'!L$4:L$68)))</f>
        <v/>
      </c>
      <c r="H9" s="62" t="str">
        <f>IF(((COUNTIFS('T12'!$C$4:$C$68,"C*",'T12'!F$4:F$68,"&lt;&gt;")+COUNTIFS('T12'!$C$4:$C$68,"TC",'T12'!F$4:F$68,"&lt;&gt;")) + (COUNTIFS('T12'!$C$4:$C$68,"C*",'T12'!G$4:G$68,"&lt;&gt;")+COUNTIFS('T12'!$C$4:$C$68,"TC",'T12'!G$4:G$68,"&lt;&gt;")) + (COUNTIFS('T12'!$C$4:$C$68,"C*",'T12'!H$4:H$68,"&lt;&gt;")+COUNTIFS('T12'!$C$4:$C$68,"TC",'T12'!H$4:H$68,"&lt;&gt;")) + (COUNTIFS('T12'!$C$4:$C$68,"C*",'T12'!I$4:I$68,"&lt;&gt;")+COUNTIFS('T12'!$C$4:$C$68,"TC",'T12'!I$4:I$68,"&lt;&gt;")) + (COUNTIFS('T12'!$C$4:$C$68,"C*",'T12'!J$4:J$68,"&lt;&gt;")+COUNTIFS('T12'!$C$4:$C$68,"TC",'T12'!J$4:J$68,"&lt;&gt;")) + (COUNTIFS('T12'!$C$4:$C$68,"C*",'T12'!K$4:K$68,"&lt;&gt;")+COUNTIFS('T12'!$C$4:$C$68,"TC",'T12'!K$4:K$68,"&lt;&gt;")) + (COUNTIFS('T12'!$C$4:$C$68,"C*",'T12'!L$4:L$68,"&lt;&gt;")+COUNTIFS('T12'!$C$4:$C$68,"TC",'T12'!L$4:L$68,"&lt;&gt;")))=0,"",(SUMIF('T12'!$C$4:$C$68,"TC",'T12'!F$4:F$68))+(SUMIF('T12'!$C$4:$C$68,"TC",'T12'!G$4:G$68))+(SUMIF('T12'!$C$4:$C$68,"TC",'T12'!H$4:H$68))+(SUMIF('T12'!$C$4:$C$68,"TC",'T12'!I$4:I$68))+(SUMIF('T12'!$C$4:$C$68,"TC",'T12'!J$4:J$68))+(SUMIF('T12'!$C$4:$C$68,"TC",'T12'!K$4:K$68))+(SUMIF('T12'!$C$4:$C$68,"TC",'T12'!L$4:L$68)))</f>
        <v/>
      </c>
      <c r="I9" s="60" t="str">
        <f t="shared" si="1"/>
        <v/>
      </c>
      <c r="J9" s="57" t="str">
        <f>IF(((COUNTIFS('T12'!$C$4:$C$68,"C*",'T12'!F$4:F$68,"&lt;&gt;")+COUNTIFS('T12'!$C$4:$C$68,"TC",'T12'!F$4:F$68,"&lt;&gt;")) + (COUNTIFS('T12'!$C$4:$C$68,"C*",'T12'!G$4:G$68,"&lt;&gt;")+COUNTIFS('T12'!$C$4:$C$68,"TC",'T12'!G$4:G$68,"&lt;&gt;")) + (COUNTIFS('T12'!$C$4:$C$68,"C*",'T12'!H$4:H$68,"&lt;&gt;")+COUNTIFS('T12'!$C$4:$C$68,"TC",'T12'!H$4:H$68,"&lt;&gt;")) + (COUNTIFS('T12'!$C$4:$C$68,"C*",'T12'!I$4:I$68,"&lt;&gt;")+COUNTIFS('T12'!$C$4:$C$68,"TC",'T12'!I$4:I$68,"&lt;&gt;")) + (COUNTIFS('T12'!$C$4:$C$68,"C*",'T12'!J$4:J$68,"&lt;&gt;")+COUNTIFS('T12'!$C$4:$C$68,"TC",'T12'!J$4:J$68,"&lt;&gt;")) + (COUNTIFS('T12'!$C$4:$C$68,"C*",'T12'!K$4:K$68,"&lt;&gt;")+COUNTIFS('T12'!$C$4:$C$68,"TC",'T12'!K$4:K$68,"&lt;&gt;")) + (COUNTIFS('T12'!$C$4:$C$68,"C*",'T12'!L$4:L$68,"&lt;&gt;")+COUNTIFS('T12'!$C$4:$C$68,"TC",'T12'!L$4:L$68,"&lt;&gt;")))=0,"Chưa nhập","Đã cập nhật")</f>
        <v>Chưa nhập</v>
      </c>
    </row>
    <row r="10" spans="1:10" x14ac:dyDescent="0.2">
      <c r="A10" s="57" t="s">
        <v>81</v>
      </c>
      <c r="B10" s="59">
        <v>46366</v>
      </c>
      <c r="C10" s="59">
        <v>46372</v>
      </c>
      <c r="D10" s="60" t="str">
        <f>IF(((COUNTIFS('T12'!$C$4:$C$68,"C*",'T12'!M$4:M$68,"&lt;&gt;")+COUNTIFS('T12'!$C$4:$C$68,"TC",'T12'!M$4:M$68,"&lt;&gt;")) + (COUNTIFS('T12'!$C$4:$C$68,"C*",'T12'!N$4:N$68,"&lt;&gt;")+COUNTIFS('T12'!$C$4:$C$68,"TC",'T12'!N$4:N$68,"&lt;&gt;")) + (COUNTIFS('T12'!$C$4:$C$68,"C*",'T12'!O$4:O$68,"&lt;&gt;")+COUNTIFS('T12'!$C$4:$C$68,"TC",'T12'!O$4:O$68,"&lt;&gt;")) + (COUNTIFS('T12'!$C$4:$C$68,"C*",'T12'!P$4:P$68,"&lt;&gt;")+COUNTIFS('T12'!$C$4:$C$68,"TC",'T12'!P$4:P$68,"&lt;&gt;")) + (COUNTIFS('T12'!$C$4:$C$68,"C*",'T12'!Q$4:Q$68,"&lt;&gt;")+COUNTIFS('T12'!$C$4:$C$68,"TC",'T12'!Q$4:Q$68,"&lt;&gt;")) + (COUNTIFS('T12'!$C$4:$C$68,"C*",'T12'!R$4:R$68,"&lt;&gt;")+COUNTIFS('T12'!$C$4:$C$68,"TC",'T12'!R$4:R$68,"&lt;&gt;")) + (COUNTIFS('T12'!$C$4:$C$68,"C*",'T12'!S$4:S$68,"&lt;&gt;")+COUNTIFS('T12'!$C$4:$C$68,"TC",'T12'!S$4:S$68,"&lt;&gt;")))=0,"",((COUNTIFS('T12'!$C$4:$C$68,"C*",'T12'!M$4:M$68,"x*")-0.5*(COUNTIFS('T12'!$C$4:$C$68,"C*",'T12'!M$4:M$68,"x/2")))+(COUNTIFS('T12'!$C$4:$C$68,"C*",'T12'!N$4:N$68,"x*")-0.5*(COUNTIFS('T12'!$C$4:$C$68,"C*",'T12'!N$4:N$68,"x/2")))+(COUNTIFS('T12'!$C$4:$C$68,"C*",'T12'!O$4:O$68,"x*")-0.5*(COUNTIFS('T12'!$C$4:$C$68,"C*",'T12'!O$4:O$68,"x/2")))+(COUNTIFS('T12'!$C$4:$C$68,"C*",'T12'!Q$4:Q$68,"x*")-0.5*(COUNTIFS('T12'!$C$4:$C$68,"C*",'T12'!Q$4:Q$68,"x/2")))+(COUNTIFS('T12'!$C$4:$C$68,"C*",'T12'!R$4:R$68,"x*")-0.5*(COUNTIFS('T12'!$C$4:$C$68,"C*",'T12'!R$4:R$68,"x/2")))+(COUNTIFS('T12'!$C$4:$C$68,"C*",'T12'!S$4:S$68,"x*")-0.5*(COUNTIFS('T12'!$C$4:$C$68,"C*",'T12'!S$4:S$68,"x/2")))))</f>
        <v/>
      </c>
      <c r="E10" s="61" t="str">
        <f>IF(((COUNTIFS('T12'!$C$4:$C$68,"C*",'T12'!M$4:M$68,"&lt;&gt;")+COUNTIFS('T12'!$C$4:$C$68,"TC",'T12'!M$4:M$68,"&lt;&gt;")) + (COUNTIFS('T12'!$C$4:$C$68,"C*",'T12'!N$4:N$68,"&lt;&gt;")+COUNTIFS('T12'!$C$4:$C$68,"TC",'T12'!N$4:N$68,"&lt;&gt;")) + (COUNTIFS('T12'!$C$4:$C$68,"C*",'T12'!O$4:O$68,"&lt;&gt;")+COUNTIFS('T12'!$C$4:$C$68,"TC",'T12'!O$4:O$68,"&lt;&gt;")) + (COUNTIFS('T12'!$C$4:$C$68,"C*",'T12'!P$4:P$68,"&lt;&gt;")+COUNTIFS('T12'!$C$4:$C$68,"TC",'T12'!P$4:P$68,"&lt;&gt;")) + (COUNTIFS('T12'!$C$4:$C$68,"C*",'T12'!Q$4:Q$68,"&lt;&gt;")+COUNTIFS('T12'!$C$4:$C$68,"TC",'T12'!Q$4:Q$68,"&lt;&gt;")) + (COUNTIFS('T12'!$C$4:$C$68,"C*",'T12'!R$4:R$68,"&lt;&gt;")+COUNTIFS('T12'!$C$4:$C$68,"TC",'T12'!R$4:R$68,"&lt;&gt;")) + (COUNTIFS('T12'!$C$4:$C$68,"C*",'T12'!S$4:S$68,"&lt;&gt;")+COUNTIFS('T12'!$C$4:$C$68,"TC",'T12'!S$4:S$68,"&lt;&gt;")))=0,"",((COUNTIFS('T12'!$C$4:$C$68,"C*",'T12'!P$4:P$68,"x*")-0.5*(COUNTIFS('T12'!$C$4:$C$68,"C*",'T12'!P$4:P$68,"x/2")))))</f>
        <v/>
      </c>
      <c r="F10" s="60" t="str">
        <f t="shared" si="0"/>
        <v/>
      </c>
      <c r="G10" s="60" t="str">
        <f>IF(((COUNTIFS('T12'!$C$4:$C$68,"C*",'T12'!M$4:M$68,"&lt;&gt;")+COUNTIFS('T12'!$C$4:$C$68,"TC",'T12'!M$4:M$68,"&lt;&gt;")) + (COUNTIFS('T12'!$C$4:$C$68,"C*",'T12'!N$4:N$68,"&lt;&gt;")+COUNTIFS('T12'!$C$4:$C$68,"TC",'T12'!N$4:N$68,"&lt;&gt;")) + (COUNTIFS('T12'!$C$4:$C$68,"C*",'T12'!O$4:O$68,"&lt;&gt;")+COUNTIFS('T12'!$C$4:$C$68,"TC",'T12'!O$4:O$68,"&lt;&gt;")) + (COUNTIFS('T12'!$C$4:$C$68,"C*",'T12'!P$4:P$68,"&lt;&gt;")+COUNTIFS('T12'!$C$4:$C$68,"TC",'T12'!P$4:P$68,"&lt;&gt;")) + (COUNTIFS('T12'!$C$4:$C$68,"C*",'T12'!Q$4:Q$68,"&lt;&gt;")+COUNTIFS('T12'!$C$4:$C$68,"TC",'T12'!Q$4:Q$68,"&lt;&gt;")) + (COUNTIFS('T12'!$C$4:$C$68,"C*",'T12'!R$4:R$68,"&lt;&gt;")+COUNTIFS('T12'!$C$4:$C$68,"TC",'T12'!R$4:R$68,"&lt;&gt;")) + (COUNTIFS('T12'!$C$4:$C$68,"C*",'T12'!S$4:S$68,"&lt;&gt;")+COUNTIFS('T12'!$C$4:$C$68,"TC",'T12'!S$4:S$68,"&lt;&gt;")))=0,"",(SUMIF('T12'!$C$4:$C$68,"TC",'T12'!M$4:M$68))+(SUMIF('T12'!$C$4:$C$68,"TC",'T12'!N$4:N$68))+(SUMIF('T12'!$C$4:$C$68,"TC",'T12'!O$4:O$68))+(SUMIF('T12'!$C$4:$C$68,"TC",'T12'!Q$4:Q$68))+(SUMIF('T12'!$C$4:$C$68,"TC",'T12'!R$4:R$68))+(SUMIF('T12'!$C$4:$C$68,"TC",'T12'!S$4:S$68)))</f>
        <v/>
      </c>
      <c r="H10" s="62" t="str">
        <f>IF(((COUNTIFS('T12'!$C$4:$C$68,"C*",'T12'!M$4:M$68,"&lt;&gt;")+COUNTIFS('T12'!$C$4:$C$68,"TC",'T12'!M$4:M$68,"&lt;&gt;")) + (COUNTIFS('T12'!$C$4:$C$68,"C*",'T12'!N$4:N$68,"&lt;&gt;")+COUNTIFS('T12'!$C$4:$C$68,"TC",'T12'!N$4:N$68,"&lt;&gt;")) + (COUNTIFS('T12'!$C$4:$C$68,"C*",'T12'!O$4:O$68,"&lt;&gt;")+COUNTIFS('T12'!$C$4:$C$68,"TC",'T12'!O$4:O$68,"&lt;&gt;")) + (COUNTIFS('T12'!$C$4:$C$68,"C*",'T12'!P$4:P$68,"&lt;&gt;")+COUNTIFS('T12'!$C$4:$C$68,"TC",'T12'!P$4:P$68,"&lt;&gt;")) + (COUNTIFS('T12'!$C$4:$C$68,"C*",'T12'!Q$4:Q$68,"&lt;&gt;")+COUNTIFS('T12'!$C$4:$C$68,"TC",'T12'!Q$4:Q$68,"&lt;&gt;")) + (COUNTIFS('T12'!$C$4:$C$68,"C*",'T12'!R$4:R$68,"&lt;&gt;")+COUNTIFS('T12'!$C$4:$C$68,"TC",'T12'!R$4:R$68,"&lt;&gt;")) + (COUNTIFS('T12'!$C$4:$C$68,"C*",'T12'!S$4:S$68,"&lt;&gt;")+COUNTIFS('T12'!$C$4:$C$68,"TC",'T12'!S$4:S$68,"&lt;&gt;")))=0,"",(SUMIF('T12'!$C$4:$C$68,"TC",'T12'!M$4:M$68))+(SUMIF('T12'!$C$4:$C$68,"TC",'T12'!N$4:N$68))+(SUMIF('T12'!$C$4:$C$68,"TC",'T12'!O$4:O$68))+(SUMIF('T12'!$C$4:$C$68,"TC",'T12'!P$4:P$68))+(SUMIF('T12'!$C$4:$C$68,"TC",'T12'!Q$4:Q$68))+(SUMIF('T12'!$C$4:$C$68,"TC",'T12'!R$4:R$68))+(SUMIF('T12'!$C$4:$C$68,"TC",'T12'!S$4:S$68)))</f>
        <v/>
      </c>
      <c r="I10" s="60" t="str">
        <f t="shared" si="1"/>
        <v/>
      </c>
      <c r="J10" s="57" t="str">
        <f>IF(((COUNTIFS('T12'!$C$4:$C$68,"C*",'T12'!M$4:M$68,"&lt;&gt;")+COUNTIFS('T12'!$C$4:$C$68,"TC",'T12'!M$4:M$68,"&lt;&gt;")) + (COUNTIFS('T12'!$C$4:$C$68,"C*",'T12'!N$4:N$68,"&lt;&gt;")+COUNTIFS('T12'!$C$4:$C$68,"TC",'T12'!N$4:N$68,"&lt;&gt;")) + (COUNTIFS('T12'!$C$4:$C$68,"C*",'T12'!O$4:O$68,"&lt;&gt;")+COUNTIFS('T12'!$C$4:$C$68,"TC",'T12'!O$4:O$68,"&lt;&gt;")) + (COUNTIFS('T12'!$C$4:$C$68,"C*",'T12'!P$4:P$68,"&lt;&gt;")+COUNTIFS('T12'!$C$4:$C$68,"TC",'T12'!P$4:P$68,"&lt;&gt;")) + (COUNTIFS('T12'!$C$4:$C$68,"C*",'T12'!Q$4:Q$68,"&lt;&gt;")+COUNTIFS('T12'!$C$4:$C$68,"TC",'T12'!Q$4:Q$68,"&lt;&gt;")) + (COUNTIFS('T12'!$C$4:$C$68,"C*",'T12'!R$4:R$68,"&lt;&gt;")+COUNTIFS('T12'!$C$4:$C$68,"TC",'T12'!R$4:R$68,"&lt;&gt;")) + (COUNTIFS('T12'!$C$4:$C$68,"C*",'T12'!S$4:S$68,"&lt;&gt;")+COUNTIFS('T12'!$C$4:$C$68,"TC",'T12'!S$4:S$68,"&lt;&gt;")))=0,"Chưa nhập","Đã cập nhật")</f>
        <v>Chưa nhập</v>
      </c>
    </row>
    <row r="11" spans="1:10" x14ac:dyDescent="0.2">
      <c r="A11" s="57" t="s">
        <v>82</v>
      </c>
      <c r="B11" s="59">
        <v>46373</v>
      </c>
      <c r="C11" s="59">
        <v>46379</v>
      </c>
      <c r="D11" s="60" t="str">
        <f>IF(((COUNTIFS('T12'!$C$4:$C$68,"C*",'T12'!T$4:T$68,"&lt;&gt;")+COUNTIFS('T12'!$C$4:$C$68,"TC",'T12'!T$4:T$68,"&lt;&gt;")) + (COUNTIFS('T12'!$C$4:$C$68,"C*",'T12'!U$4:U$68,"&lt;&gt;")+COUNTIFS('T12'!$C$4:$C$68,"TC",'T12'!U$4:U$68,"&lt;&gt;")) + (COUNTIFS('T12'!$C$4:$C$68,"C*",'T12'!V$4:V$68,"&lt;&gt;")+COUNTIFS('T12'!$C$4:$C$68,"TC",'T12'!V$4:V$68,"&lt;&gt;")) + (COUNTIFS('T12'!$C$4:$C$68,"C*",'T12'!W$4:W$68,"&lt;&gt;")+COUNTIFS('T12'!$C$4:$C$68,"TC",'T12'!W$4:W$68,"&lt;&gt;")) + (COUNTIFS('T12'!$C$4:$C$68,"C*",'T12'!X$4:X$68,"&lt;&gt;")+COUNTIFS('T12'!$C$4:$C$68,"TC",'T12'!X$4:X$68,"&lt;&gt;")) + (COUNTIFS('T12'!$C$4:$C$68,"C*",'T12'!Y$4:Y$68,"&lt;&gt;")+COUNTIFS('T12'!$C$4:$C$68,"TC",'T12'!Y$4:Y$68,"&lt;&gt;")) + (COUNTIFS('T12'!$C$4:$C$68,"C*",'T12'!Z$4:Z$68,"&lt;&gt;")+COUNTIFS('T12'!$C$4:$C$68,"TC",'T12'!Z$4:Z$68,"&lt;&gt;")))=0,"",((COUNTIFS('T12'!$C$4:$C$68,"C*",'T12'!T$4:T$68,"x*")-0.5*(COUNTIFS('T12'!$C$4:$C$68,"C*",'T12'!T$4:T$68,"x/2")))+(COUNTIFS('T12'!$C$4:$C$68,"C*",'T12'!U$4:U$68,"x*")-0.5*(COUNTIFS('T12'!$C$4:$C$68,"C*",'T12'!U$4:U$68,"x/2")))+(COUNTIFS('T12'!$C$4:$C$68,"C*",'T12'!V$4:V$68,"x*")-0.5*(COUNTIFS('T12'!$C$4:$C$68,"C*",'T12'!V$4:V$68,"x/2")))+(COUNTIFS('T12'!$C$4:$C$68,"C*",'T12'!X$4:X$68,"x*")-0.5*(COUNTIFS('T12'!$C$4:$C$68,"C*",'T12'!X$4:X$68,"x/2")))+(COUNTIFS('T12'!$C$4:$C$68,"C*",'T12'!Y$4:Y$68,"x*")-0.5*(COUNTIFS('T12'!$C$4:$C$68,"C*",'T12'!Y$4:Y$68,"x/2")))+(COUNTIFS('T12'!$C$4:$C$68,"C*",'T12'!Z$4:Z$68,"x*")-0.5*(COUNTIFS('T12'!$C$4:$C$68,"C*",'T12'!Z$4:Z$68,"x/2")))))</f>
        <v/>
      </c>
      <c r="E11" s="61" t="str">
        <f>IF(((COUNTIFS('T12'!$C$4:$C$68,"C*",'T12'!T$4:T$68,"&lt;&gt;")+COUNTIFS('T12'!$C$4:$C$68,"TC",'T12'!T$4:T$68,"&lt;&gt;")) + (COUNTIFS('T12'!$C$4:$C$68,"C*",'T12'!U$4:U$68,"&lt;&gt;")+COUNTIFS('T12'!$C$4:$C$68,"TC",'T12'!U$4:U$68,"&lt;&gt;")) + (COUNTIFS('T12'!$C$4:$C$68,"C*",'T12'!V$4:V$68,"&lt;&gt;")+COUNTIFS('T12'!$C$4:$C$68,"TC",'T12'!V$4:V$68,"&lt;&gt;")) + (COUNTIFS('T12'!$C$4:$C$68,"C*",'T12'!W$4:W$68,"&lt;&gt;")+COUNTIFS('T12'!$C$4:$C$68,"TC",'T12'!W$4:W$68,"&lt;&gt;")) + (COUNTIFS('T12'!$C$4:$C$68,"C*",'T12'!X$4:X$68,"&lt;&gt;")+COUNTIFS('T12'!$C$4:$C$68,"TC",'T12'!X$4:X$68,"&lt;&gt;")) + (COUNTIFS('T12'!$C$4:$C$68,"C*",'T12'!Y$4:Y$68,"&lt;&gt;")+COUNTIFS('T12'!$C$4:$C$68,"TC",'T12'!Y$4:Y$68,"&lt;&gt;")) + (COUNTIFS('T12'!$C$4:$C$68,"C*",'T12'!Z$4:Z$68,"&lt;&gt;")+COUNTIFS('T12'!$C$4:$C$68,"TC",'T12'!Z$4:Z$68,"&lt;&gt;")))=0,"",((COUNTIFS('T12'!$C$4:$C$68,"C*",'T12'!W$4:W$68,"x*")-0.5*(COUNTIFS('T12'!$C$4:$C$68,"C*",'T12'!W$4:W$68,"x/2")))))</f>
        <v/>
      </c>
      <c r="F11" s="60" t="str">
        <f t="shared" si="0"/>
        <v/>
      </c>
      <c r="G11" s="60" t="str">
        <f>IF(((COUNTIFS('T12'!$C$4:$C$68,"C*",'T12'!T$4:T$68,"&lt;&gt;")+COUNTIFS('T12'!$C$4:$C$68,"TC",'T12'!T$4:T$68,"&lt;&gt;")) + (COUNTIFS('T12'!$C$4:$C$68,"C*",'T12'!U$4:U$68,"&lt;&gt;")+COUNTIFS('T12'!$C$4:$C$68,"TC",'T12'!U$4:U$68,"&lt;&gt;")) + (COUNTIFS('T12'!$C$4:$C$68,"C*",'T12'!V$4:V$68,"&lt;&gt;")+COUNTIFS('T12'!$C$4:$C$68,"TC",'T12'!V$4:V$68,"&lt;&gt;")) + (COUNTIFS('T12'!$C$4:$C$68,"C*",'T12'!W$4:W$68,"&lt;&gt;")+COUNTIFS('T12'!$C$4:$C$68,"TC",'T12'!W$4:W$68,"&lt;&gt;")) + (COUNTIFS('T12'!$C$4:$C$68,"C*",'T12'!X$4:X$68,"&lt;&gt;")+COUNTIFS('T12'!$C$4:$C$68,"TC",'T12'!X$4:X$68,"&lt;&gt;")) + (COUNTIFS('T12'!$C$4:$C$68,"C*",'T12'!Y$4:Y$68,"&lt;&gt;")+COUNTIFS('T12'!$C$4:$C$68,"TC",'T12'!Y$4:Y$68,"&lt;&gt;")) + (COUNTIFS('T12'!$C$4:$C$68,"C*",'T12'!Z$4:Z$68,"&lt;&gt;")+COUNTIFS('T12'!$C$4:$C$68,"TC",'T12'!Z$4:Z$68,"&lt;&gt;")))=0,"",(SUMIF('T12'!$C$4:$C$68,"TC",'T12'!T$4:T$68))+(SUMIF('T12'!$C$4:$C$68,"TC",'T12'!U$4:U$68))+(SUMIF('T12'!$C$4:$C$68,"TC",'T12'!V$4:V$68))+(SUMIF('T12'!$C$4:$C$68,"TC",'T12'!X$4:X$68))+(SUMIF('T12'!$C$4:$C$68,"TC",'T12'!Y$4:Y$68))+(SUMIF('T12'!$C$4:$C$68,"TC",'T12'!Z$4:Z$68)))</f>
        <v/>
      </c>
      <c r="H11" s="62" t="str">
        <f>IF(((COUNTIFS('T12'!$C$4:$C$68,"C*",'T12'!T$4:T$68,"&lt;&gt;")+COUNTIFS('T12'!$C$4:$C$68,"TC",'T12'!T$4:T$68,"&lt;&gt;")) + (COUNTIFS('T12'!$C$4:$C$68,"C*",'T12'!U$4:U$68,"&lt;&gt;")+COUNTIFS('T12'!$C$4:$C$68,"TC",'T12'!U$4:U$68,"&lt;&gt;")) + (COUNTIFS('T12'!$C$4:$C$68,"C*",'T12'!V$4:V$68,"&lt;&gt;")+COUNTIFS('T12'!$C$4:$C$68,"TC",'T12'!V$4:V$68,"&lt;&gt;")) + (COUNTIFS('T12'!$C$4:$C$68,"C*",'T12'!W$4:W$68,"&lt;&gt;")+COUNTIFS('T12'!$C$4:$C$68,"TC",'T12'!W$4:W$68,"&lt;&gt;")) + (COUNTIFS('T12'!$C$4:$C$68,"C*",'T12'!X$4:X$68,"&lt;&gt;")+COUNTIFS('T12'!$C$4:$C$68,"TC",'T12'!X$4:X$68,"&lt;&gt;")) + (COUNTIFS('T12'!$C$4:$C$68,"C*",'T12'!Y$4:Y$68,"&lt;&gt;")+COUNTIFS('T12'!$C$4:$C$68,"TC",'T12'!Y$4:Y$68,"&lt;&gt;")) + (COUNTIFS('T12'!$C$4:$C$68,"C*",'T12'!Z$4:Z$68,"&lt;&gt;")+COUNTIFS('T12'!$C$4:$C$68,"TC",'T12'!Z$4:Z$68,"&lt;&gt;")))=0,"",(SUMIF('T12'!$C$4:$C$68,"TC",'T12'!T$4:T$68))+(SUMIF('T12'!$C$4:$C$68,"TC",'T12'!U$4:U$68))+(SUMIF('T12'!$C$4:$C$68,"TC",'T12'!V$4:V$68))+(SUMIF('T12'!$C$4:$C$68,"TC",'T12'!W$4:W$68))+(SUMIF('T12'!$C$4:$C$68,"TC",'T12'!X$4:X$68))+(SUMIF('T12'!$C$4:$C$68,"TC",'T12'!Y$4:Y$68))+(SUMIF('T12'!$C$4:$C$68,"TC",'T12'!Z$4:Z$68)))</f>
        <v/>
      </c>
      <c r="I11" s="60" t="str">
        <f t="shared" si="1"/>
        <v/>
      </c>
      <c r="J11" s="57" t="str">
        <f>IF(((COUNTIFS('T12'!$C$4:$C$68,"C*",'T12'!T$4:T$68,"&lt;&gt;")+COUNTIFS('T12'!$C$4:$C$68,"TC",'T12'!T$4:T$68,"&lt;&gt;")) + (COUNTIFS('T12'!$C$4:$C$68,"C*",'T12'!U$4:U$68,"&lt;&gt;")+COUNTIFS('T12'!$C$4:$C$68,"TC",'T12'!U$4:U$68,"&lt;&gt;")) + (COUNTIFS('T12'!$C$4:$C$68,"C*",'T12'!V$4:V$68,"&lt;&gt;")+COUNTIFS('T12'!$C$4:$C$68,"TC",'T12'!V$4:V$68,"&lt;&gt;")) + (COUNTIFS('T12'!$C$4:$C$68,"C*",'T12'!W$4:W$68,"&lt;&gt;")+COUNTIFS('T12'!$C$4:$C$68,"TC",'T12'!W$4:W$68,"&lt;&gt;")) + (COUNTIFS('T12'!$C$4:$C$68,"C*",'T12'!X$4:X$68,"&lt;&gt;")+COUNTIFS('T12'!$C$4:$C$68,"TC",'T12'!X$4:X$68,"&lt;&gt;")) + (COUNTIFS('T12'!$C$4:$C$68,"C*",'T12'!Y$4:Y$68,"&lt;&gt;")+COUNTIFS('T12'!$C$4:$C$68,"TC",'T12'!Y$4:Y$68,"&lt;&gt;")) + (COUNTIFS('T12'!$C$4:$C$68,"C*",'T12'!Z$4:Z$68,"&lt;&gt;")+COUNTIFS('T12'!$C$4:$C$68,"TC",'T12'!Z$4:Z$68,"&lt;&gt;")))=0,"Chưa nhập","Đã cập nhật")</f>
        <v>Chưa nhập</v>
      </c>
    </row>
    <row r="12" spans="1:10" x14ac:dyDescent="0.2">
      <c r="A12" s="57" t="s">
        <v>88</v>
      </c>
      <c r="B12" s="59">
        <v>46380</v>
      </c>
      <c r="C12" s="59">
        <v>46386</v>
      </c>
      <c r="D12" s="60" t="str">
        <f>IF(((COUNTIFS('T12'!$C$4:$C$68,"C*",'T12'!AA$4:AA$68,"&lt;&gt;")+COUNTIFS('T12'!$C$4:$C$68,"TC",'T12'!AA$4:AA$68,"&lt;&gt;")) + (COUNTIFS('T12'!$C$4:$C$68,"C*",'T12'!AB$4:AB$68,"&lt;&gt;")+COUNTIFS('T12'!$C$4:$C$68,"TC",'T12'!AB$4:AB$68,"&lt;&gt;")) + (COUNTIFS('T12'!$C$4:$C$68,"C*",'T12'!AC$4:AC$68,"&lt;&gt;")+COUNTIFS('T12'!$C$4:$C$68,"TC",'T12'!AC$4:AC$68,"&lt;&gt;")) + (COUNTIFS('T12'!$C$4:$C$68,"C*",'T12'!AD$4:AD$68,"&lt;&gt;")+COUNTIFS('T12'!$C$4:$C$68,"TC",'T12'!AD$4:AD$68,"&lt;&gt;")) + (COUNTIFS('T12'!$C$4:$C$68,"C*",'T12'!AE$4:AE$68,"&lt;&gt;")+COUNTIFS('T12'!$C$4:$C$68,"TC",'T12'!AE$4:AE$68,"&lt;&gt;")) + (COUNTIFS('T12'!$C$4:$C$68,"C*",'T12'!AF$4:AF$68,"&lt;&gt;")+COUNTIFS('T12'!$C$4:$C$68,"TC",'T12'!AF$4:AF$68,"&lt;&gt;")) + (COUNTIFS('T12'!$C$4:$C$68,"C*",'T12'!AG$4:AG$68,"&lt;&gt;")+COUNTIFS('T12'!$C$4:$C$68,"TC",'T12'!AG$4:AG$68,"&lt;&gt;")))=0,"",((COUNTIFS('T12'!$C$4:$C$68,"C*",'T12'!AA$4:AA$68,"x*")-0.5*(COUNTIFS('T12'!$C$4:$C$68,"C*",'T12'!AA$4:AA$68,"x/2")))+(COUNTIFS('T12'!$C$4:$C$68,"C*",'T12'!AB$4:AB$68,"x*")-0.5*(COUNTIFS('T12'!$C$4:$C$68,"C*",'T12'!AB$4:AB$68,"x/2")))+(COUNTIFS('T12'!$C$4:$C$68,"C*",'T12'!AC$4:AC$68,"x*")-0.5*(COUNTIFS('T12'!$C$4:$C$68,"C*",'T12'!AC$4:AC$68,"x/2")))+(COUNTIFS('T12'!$C$4:$C$68,"C*",'T12'!AE$4:AE$68,"x*")-0.5*(COUNTIFS('T12'!$C$4:$C$68,"C*",'T12'!AE$4:AE$68,"x/2")))+(COUNTIFS('T12'!$C$4:$C$68,"C*",'T12'!AF$4:AF$68,"x*")-0.5*(COUNTIFS('T12'!$C$4:$C$68,"C*",'T12'!AF$4:AF$68,"x/2")))+(COUNTIFS('T12'!$C$4:$C$68,"C*",'T12'!AG$4:AG$68,"x*")-0.5*(COUNTIFS('T12'!$C$4:$C$68,"C*",'T12'!AG$4:AG$68,"x/2")))))</f>
        <v/>
      </c>
      <c r="E12" s="61" t="str">
        <f>IF(((COUNTIFS('T12'!$C$4:$C$68,"C*",'T12'!AA$4:AA$68,"&lt;&gt;")+COUNTIFS('T12'!$C$4:$C$68,"TC",'T12'!AA$4:AA$68,"&lt;&gt;")) + (COUNTIFS('T12'!$C$4:$C$68,"C*",'T12'!AB$4:AB$68,"&lt;&gt;")+COUNTIFS('T12'!$C$4:$C$68,"TC",'T12'!AB$4:AB$68,"&lt;&gt;")) + (COUNTIFS('T12'!$C$4:$C$68,"C*",'T12'!AC$4:AC$68,"&lt;&gt;")+COUNTIFS('T12'!$C$4:$C$68,"TC",'T12'!AC$4:AC$68,"&lt;&gt;")) + (COUNTIFS('T12'!$C$4:$C$68,"C*",'T12'!AD$4:AD$68,"&lt;&gt;")+COUNTIFS('T12'!$C$4:$C$68,"TC",'T12'!AD$4:AD$68,"&lt;&gt;")) + (COUNTIFS('T12'!$C$4:$C$68,"C*",'T12'!AE$4:AE$68,"&lt;&gt;")+COUNTIFS('T12'!$C$4:$C$68,"TC",'T12'!AE$4:AE$68,"&lt;&gt;")) + (COUNTIFS('T12'!$C$4:$C$68,"C*",'T12'!AF$4:AF$68,"&lt;&gt;")+COUNTIFS('T12'!$C$4:$C$68,"TC",'T12'!AF$4:AF$68,"&lt;&gt;")) + (COUNTIFS('T12'!$C$4:$C$68,"C*",'T12'!AG$4:AG$68,"&lt;&gt;")+COUNTIFS('T12'!$C$4:$C$68,"TC",'T12'!AG$4:AG$68,"&lt;&gt;")))=0,"",((COUNTIFS('T12'!$C$4:$C$68,"C*",'T12'!AD$4:AD$68,"x*")-0.5*(COUNTIFS('T12'!$C$4:$C$68,"C*",'T12'!AD$4:AD$68,"x/2")))))</f>
        <v/>
      </c>
      <c r="F12" s="60" t="str">
        <f t="shared" si="0"/>
        <v/>
      </c>
      <c r="G12" s="60" t="str">
        <f>IF(((COUNTIFS('T12'!$C$4:$C$68,"C*",'T12'!AA$4:AA$68,"&lt;&gt;")+COUNTIFS('T12'!$C$4:$C$68,"TC",'T12'!AA$4:AA$68,"&lt;&gt;")) + (COUNTIFS('T12'!$C$4:$C$68,"C*",'T12'!AB$4:AB$68,"&lt;&gt;")+COUNTIFS('T12'!$C$4:$C$68,"TC",'T12'!AB$4:AB$68,"&lt;&gt;")) + (COUNTIFS('T12'!$C$4:$C$68,"C*",'T12'!AC$4:AC$68,"&lt;&gt;")+COUNTIFS('T12'!$C$4:$C$68,"TC",'T12'!AC$4:AC$68,"&lt;&gt;")) + (COUNTIFS('T12'!$C$4:$C$68,"C*",'T12'!AD$4:AD$68,"&lt;&gt;")+COUNTIFS('T12'!$C$4:$C$68,"TC",'T12'!AD$4:AD$68,"&lt;&gt;")) + (COUNTIFS('T12'!$C$4:$C$68,"C*",'T12'!AE$4:AE$68,"&lt;&gt;")+COUNTIFS('T12'!$C$4:$C$68,"TC",'T12'!AE$4:AE$68,"&lt;&gt;")) + (COUNTIFS('T12'!$C$4:$C$68,"C*",'T12'!AF$4:AF$68,"&lt;&gt;")+COUNTIFS('T12'!$C$4:$C$68,"TC",'T12'!AF$4:AF$68,"&lt;&gt;")) + (COUNTIFS('T12'!$C$4:$C$68,"C*",'T12'!AG$4:AG$68,"&lt;&gt;")+COUNTIFS('T12'!$C$4:$C$68,"TC",'T12'!AG$4:AG$68,"&lt;&gt;")))=0,"",(SUMIF('T12'!$C$4:$C$68,"TC",'T12'!AA$4:AA$68))+(SUMIF('T12'!$C$4:$C$68,"TC",'T12'!AB$4:AB$68))+(SUMIF('T12'!$C$4:$C$68,"TC",'T12'!AC$4:AC$68))+(SUMIF('T12'!$C$4:$C$68,"TC",'T12'!AE$4:AE$68))+(SUMIF('T12'!$C$4:$C$68,"TC",'T12'!AF$4:AF$68))+(SUMIF('T12'!$C$4:$C$68,"TC",'T12'!AG$4:AG$68)))</f>
        <v/>
      </c>
      <c r="H12" s="62" t="str">
        <f>IF(((COUNTIFS('T12'!$C$4:$C$68,"C*",'T12'!AA$4:AA$68,"&lt;&gt;")+COUNTIFS('T12'!$C$4:$C$68,"TC",'T12'!AA$4:AA$68,"&lt;&gt;")) + (COUNTIFS('T12'!$C$4:$C$68,"C*",'T12'!AB$4:AB$68,"&lt;&gt;")+COUNTIFS('T12'!$C$4:$C$68,"TC",'T12'!AB$4:AB$68,"&lt;&gt;")) + (COUNTIFS('T12'!$C$4:$C$68,"C*",'T12'!AC$4:AC$68,"&lt;&gt;")+COUNTIFS('T12'!$C$4:$C$68,"TC",'T12'!AC$4:AC$68,"&lt;&gt;")) + (COUNTIFS('T12'!$C$4:$C$68,"C*",'T12'!AD$4:AD$68,"&lt;&gt;")+COUNTIFS('T12'!$C$4:$C$68,"TC",'T12'!AD$4:AD$68,"&lt;&gt;")) + (COUNTIFS('T12'!$C$4:$C$68,"C*",'T12'!AE$4:AE$68,"&lt;&gt;")+COUNTIFS('T12'!$C$4:$C$68,"TC",'T12'!AE$4:AE$68,"&lt;&gt;")) + (COUNTIFS('T12'!$C$4:$C$68,"C*",'T12'!AF$4:AF$68,"&lt;&gt;")+COUNTIFS('T12'!$C$4:$C$68,"TC",'T12'!AF$4:AF$68,"&lt;&gt;")) + (COUNTIFS('T12'!$C$4:$C$68,"C*",'T12'!AG$4:AG$68,"&lt;&gt;")+COUNTIFS('T12'!$C$4:$C$68,"TC",'T12'!AG$4:AG$68,"&lt;&gt;")))=0,"",(SUMIF('T12'!$C$4:$C$68,"TC",'T12'!AA$4:AA$68))+(SUMIF('T12'!$C$4:$C$68,"TC",'T12'!AB$4:AB$68))+(SUMIF('T12'!$C$4:$C$68,"TC",'T12'!AC$4:AC$68))+(SUMIF('T12'!$C$4:$C$68,"TC",'T12'!AD$4:AD$68))+(SUMIF('T12'!$C$4:$C$68,"TC",'T12'!AE$4:AE$68))+(SUMIF('T12'!$C$4:$C$68,"TC",'T12'!AF$4:AF$68))+(SUMIF('T12'!$C$4:$C$68,"TC",'T12'!AG$4:AG$68)))</f>
        <v/>
      </c>
      <c r="I12" s="60" t="str">
        <f t="shared" si="1"/>
        <v/>
      </c>
      <c r="J12" s="57" t="str">
        <f>IF(((COUNTIFS('T12'!$C$4:$C$68,"C*",'T12'!AA$4:AA$68,"&lt;&gt;")+COUNTIFS('T12'!$C$4:$C$68,"TC",'T12'!AA$4:AA$68,"&lt;&gt;")) + (COUNTIFS('T12'!$C$4:$C$68,"C*",'T12'!AB$4:AB$68,"&lt;&gt;")+COUNTIFS('T12'!$C$4:$C$68,"TC",'T12'!AB$4:AB$68,"&lt;&gt;")) + (COUNTIFS('T12'!$C$4:$C$68,"C*",'T12'!AC$4:AC$68,"&lt;&gt;")+COUNTIFS('T12'!$C$4:$C$68,"TC",'T12'!AC$4:AC$68,"&lt;&gt;")) + (COUNTIFS('T12'!$C$4:$C$68,"C*",'T12'!AD$4:AD$68,"&lt;&gt;")+COUNTIFS('T12'!$C$4:$C$68,"TC",'T12'!AD$4:AD$68,"&lt;&gt;")) + (COUNTIFS('T12'!$C$4:$C$68,"C*",'T12'!AE$4:AE$68,"&lt;&gt;")+COUNTIFS('T12'!$C$4:$C$68,"TC",'T12'!AE$4:AE$68,"&lt;&gt;")) + (COUNTIFS('T12'!$C$4:$C$68,"C*",'T12'!AF$4:AF$68,"&lt;&gt;")+COUNTIFS('T12'!$C$4:$C$68,"TC",'T12'!AF$4:AF$68,"&lt;&gt;")) + (COUNTIFS('T12'!$C$4:$C$68,"C*",'T12'!AG$4:AG$68,"&lt;&gt;")+COUNTIFS('T12'!$C$4:$C$68,"TC",'T12'!AG$4:AG$68,"&lt;&gt;")))=0,"Chưa nhập","Đã cập nhật")</f>
        <v>Chưa nhập</v>
      </c>
    </row>
    <row r="13" spans="1:10" x14ac:dyDescent="0.2">
      <c r="A13" s="130" t="s">
        <v>83</v>
      </c>
      <c r="B13" s="131"/>
      <c r="C13" s="132"/>
      <c r="D13" s="60" t="str">
        <f>IF(COUNT(D8:D12)=0,"",SUM(D8:D12))</f>
        <v/>
      </c>
      <c r="E13" s="61" t="str">
        <f>IF(COUNT(E8:E12)=0,"",SUM(E8:E12))</f>
        <v/>
      </c>
      <c r="F13" s="60" t="str">
        <f t="shared" si="0"/>
        <v/>
      </c>
      <c r="G13" s="60" t="str">
        <f>IF(COUNT(G8:G12)=0,"",SUM(G8:G12))</f>
        <v/>
      </c>
      <c r="H13" s="62" t="str">
        <f>IF(COUNT(H8:H12)=0,"",SUM(H8:H12))</f>
        <v/>
      </c>
      <c r="I13" s="60" t="str">
        <f t="shared" si="1"/>
        <v/>
      </c>
      <c r="J13" s="57"/>
    </row>
    <row r="14" spans="1:10" ht="15" customHeight="1" x14ac:dyDescent="0.2">
      <c r="A14" s="133"/>
      <c r="B14" s="134"/>
      <c r="C14" s="135"/>
      <c r="D14" s="63" t="str">
        <f t="shared" ref="D14:I14" si="2">IF(COUNT(D8:D13)=0,"",SUM(D8:D13))</f>
        <v/>
      </c>
      <c r="E14" s="63" t="str">
        <f t="shared" si="2"/>
        <v/>
      </c>
      <c r="F14" s="63" t="str">
        <f t="shared" si="2"/>
        <v/>
      </c>
      <c r="G14" s="63" t="str">
        <f t="shared" si="2"/>
        <v/>
      </c>
      <c r="H14" s="63" t="str">
        <f t="shared" si="2"/>
        <v/>
      </c>
      <c r="I14" s="63" t="str">
        <f t="shared" si="2"/>
        <v/>
      </c>
      <c r="J14" s="58"/>
    </row>
    <row r="16" spans="1:10" x14ac:dyDescent="0.2">
      <c r="A16" s="127" t="s">
        <v>84</v>
      </c>
      <c r="B16" s="125"/>
      <c r="C16" s="125"/>
      <c r="D16" s="125"/>
      <c r="E16" s="125"/>
      <c r="F16" s="125"/>
      <c r="G16" s="125"/>
      <c r="H16" s="125"/>
      <c r="I16" s="125"/>
      <c r="J16" s="125"/>
    </row>
  </sheetData>
  <mergeCells count="15">
    <mergeCell ref="A4:B4"/>
    <mergeCell ref="G4:H4"/>
    <mergeCell ref="E4:F4"/>
    <mergeCell ref="A1:J1"/>
    <mergeCell ref="I4:J4"/>
    <mergeCell ref="A2:J2"/>
    <mergeCell ref="C4:D4"/>
    <mergeCell ref="A13:C13"/>
    <mergeCell ref="A16:J16"/>
    <mergeCell ref="A14:C14"/>
    <mergeCell ref="C5:D5"/>
    <mergeCell ref="A5:B5"/>
    <mergeCell ref="G5:H5"/>
    <mergeCell ref="E5:F5"/>
    <mergeCell ref="I5:J5"/>
  </mergeCells>
  <conditionalFormatting sqref="F8:F13"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7">
      <dataBar>
        <cfvo type="min"/>
        <cfvo type="max"/>
        <color rgb="FF5B9BD5"/>
      </dataBar>
    </cfRule>
  </conditionalFormatting>
  <conditionalFormatting sqref="H8:H13"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  <cfRule type="dataBar" priority="8">
      <dataBar>
        <cfvo type="min"/>
        <cfvo type="max"/>
        <color rgb="FFED7D31"/>
      </dataBar>
    </cfRule>
  </conditionalFormatting>
  <conditionalFormatting sqref="J8:J13">
    <cfRule type="expression" dxfId="1" priority="1">
      <formula>$J8="Chưa nhập"</formula>
    </cfRule>
    <cfRule type="expression" dxfId="0" priority="2">
      <formula>$J8="Đã cập nhật"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  <vt:lpstr>BC_T1</vt:lpstr>
      <vt:lpstr>BC_T2</vt:lpstr>
      <vt:lpstr>BC_T3</vt:lpstr>
      <vt:lpstr>BC_T4</vt:lpstr>
      <vt:lpstr>BC_T5</vt:lpstr>
      <vt:lpstr>BC_T6</vt:lpstr>
      <vt:lpstr>BC_T7</vt:lpstr>
      <vt:lpstr>BC_T8</vt:lpstr>
      <vt:lpstr>BC_T9</vt:lpstr>
      <vt:lpstr>BC_T10</vt:lpstr>
      <vt:lpstr>BC_T11</vt:lpstr>
      <vt:lpstr>BC_T12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 Ha</cp:lastModifiedBy>
  <dcterms:created xsi:type="dcterms:W3CDTF">2026-08-07T13:38:48Z</dcterms:created>
  <dcterms:modified xsi:type="dcterms:W3CDTF">2026-08-19T07:47:05Z</dcterms:modified>
</cp:coreProperties>
</file>