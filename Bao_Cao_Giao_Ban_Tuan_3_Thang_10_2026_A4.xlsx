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_Cao_Giao_Ban_Tuan_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Roboto"/>
      <b val="1"/>
      <color rgb="00FFFFFF"/>
      <sz val="13"/>
    </font>
    <font>
      <name val="Roboto"/>
      <b val="1"/>
      <color rgb="00FFFFFF"/>
      <sz val="8.5"/>
    </font>
    <font>
      <name val="Roboto"/>
      <color rgb="00475569"/>
      <sz val="7.5"/>
    </font>
    <font>
      <name val="Roboto"/>
      <b val="1"/>
      <color rgb="00FFFFFF"/>
      <sz val="9"/>
    </font>
    <font>
      <name val="Roboto"/>
      <b val="1"/>
      <color rgb="00475569"/>
      <sz val="7.5"/>
    </font>
    <font>
      <name val="Roboto"/>
      <b val="1"/>
      <color rgb="000F172A"/>
      <sz val="8"/>
    </font>
    <font>
      <name val="Roboto"/>
      <b val="1"/>
      <color rgb="001E40AF"/>
      <sz val="8"/>
    </font>
    <font>
      <name val="Roboto"/>
      <b val="1"/>
      <color rgb="00991B1B"/>
      <sz val="8"/>
    </font>
    <font>
      <name val="Roboto"/>
      <b val="1"/>
      <color rgb="00FFFFFF"/>
      <sz val="7.5"/>
    </font>
    <font>
      <name val="Roboto"/>
      <color rgb="000F172A"/>
      <sz val="8"/>
    </font>
    <font>
      <name val="Roboto"/>
      <b val="1"/>
      <color rgb="00047857"/>
      <sz val="8.5"/>
    </font>
    <font>
      <name val="Roboto"/>
      <b val="1"/>
      <color rgb="001E3A8A"/>
      <sz val="8"/>
    </font>
    <font>
      <name val="Roboto"/>
      <b val="1"/>
      <color rgb="000F172A"/>
      <sz val="9"/>
    </font>
  </fonts>
  <fills count="13">
    <fill>
      <patternFill/>
    </fill>
    <fill>
      <patternFill patternType="gray125"/>
    </fill>
    <fill>
      <patternFill patternType="solid">
        <fgColor rgb="00047857"/>
      </patternFill>
    </fill>
    <fill>
      <patternFill patternType="solid">
        <fgColor rgb="00065F46"/>
      </patternFill>
    </fill>
    <fill>
      <patternFill patternType="solid">
        <fgColor rgb="000F766E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EFF6FF"/>
      </patternFill>
    </fill>
    <fill>
      <patternFill patternType="solid">
        <fgColor rgb="00D1FAE5"/>
      </patternFill>
    </fill>
    <fill>
      <patternFill patternType="solid">
        <fgColor rgb="001E40AF"/>
      </patternFill>
    </fill>
    <fill>
      <patternFill patternType="solid">
        <fgColor rgb="001D4ED8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3" fontId="10" fillId="6" borderId="1" applyAlignment="1" pivotButton="0" quotePrefix="0" xfId="0">
      <alignment horizontal="right" vertical="center"/>
    </xf>
    <xf numFmtId="164" fontId="11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3" fontId="10" fillId="8" borderId="1" applyAlignment="1" pivotButton="0" quotePrefix="0" xfId="0">
      <alignment horizontal="right" vertical="center"/>
    </xf>
    <xf numFmtId="3" fontId="12" fillId="9" borderId="1" applyAlignment="1" pivotButton="0" quotePrefix="0" xfId="0">
      <alignment horizontal="right" vertical="center"/>
    </xf>
    <xf numFmtId="0" fontId="0" fillId="10" borderId="1" pivotButton="0" quotePrefix="0" xfId="0"/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3" fontId="6" fillId="10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top"/>
    </xf>
    <xf numFmtId="0" fontId="0" fillId="8" borderId="1" pivotButton="0" quotePrefix="0" xfId="0"/>
    <xf numFmtId="0" fontId="10" fillId="8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0" fillId="6" borderId="1" pivotButton="0" quotePrefix="0" xfId="0"/>
    <xf numFmtId="0" fontId="10" fillId="6" borderId="1" applyAlignment="1" pivotButton="0" quotePrefix="0" xfId="0">
      <alignment horizontal="left" vertical="top" wrapText="1"/>
    </xf>
    <xf numFmtId="0" fontId="4" fillId="11" borderId="0" applyAlignment="1" pivotButton="0" quotePrefix="0" xfId="0">
      <alignment horizontal="left" vertical="center" indent="1"/>
    </xf>
    <xf numFmtId="0" fontId="9" fillId="12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2" customWidth="1" min="4" max="4"/>
    <col width="16" customWidth="1" min="5" max="5"/>
    <col width="18" customWidth="1" min="6" max="6"/>
    <col width="18" customWidth="1" min="7" max="7"/>
    <col width="18" customWidth="1" min="8" max="8"/>
  </cols>
  <sheetData>
    <row r="1" ht="23" customHeight="1">
      <c r="A1" s="1" t="inlineStr">
        <is>
          <t>BÁO CÁO GIAO BAN TUẦN 3 - THÁNG 10/2026 (PHÂN XƯỞNG CƠ KHÍ GCCK)</t>
        </is>
      </c>
    </row>
    <row r="2" ht="17" customHeight="1">
      <c r="A2" s="2" t="inlineStr">
        <is>
          <t>NHÀ MÁY ĐÚC THÉP HỢP KIM &amp; CƠ KHÍ CHÍNH XÁC GCCK 2026 | HỌP GIAO BAN: 14:00 THỨ NĂM (22/10/2026) | QUẢN ĐỐC HOÀNG HÀ</t>
        </is>
      </c>
    </row>
    <row r="3" ht="15" customHeight="1">
      <c r="A3" s="3" t="inlineStr">
        <is>
          <t>📅 Chu kỳ Tuần 3: 06:00 Thứ Năm (15/10) ➔ 08:30 Thứ Năm (22/10/2026) [Khóa sổ 21/10] | 17 Máy chạy 3 Ca | 🔄 TP chuyển PX Hoàn Thiện &amp; Phôi chuyển Sub-con</t>
        </is>
      </c>
      <c r="E3" s="4" t="inlineStr">
        <is>
          <t>🔄 Phân luồng: TP chuyển PX Hoàn Thiện | Phôi công đoạn chuyển vệ tinh Sub-con gia công tiếp</t>
        </is>
      </c>
    </row>
    <row r="4" ht="17" customHeight="1">
      <c r="A4" s="5" t="inlineStr">
        <is>
          <t>I. QUÂN SỐ TRỰC TIẾP, CA CÔNG VÀ NHÂN LỰC TĂNG CA (DỮ LIỆU TỪ BẢNG CHẤM CÔNG THỰC TẾ)</t>
        </is>
      </c>
    </row>
    <row r="5" ht="16" customHeight="1">
      <c r="A5" s="6" t="inlineStr">
        <is>
          <t>THỢ TRỰC TIẾP</t>
        </is>
      </c>
      <c r="B5" s="6" t="inlineStr">
        <is>
          <t>CÔNG CHUẨN (6 NGÀY)</t>
        </is>
      </c>
      <c r="C5" s="6" t="inlineStr">
        <is>
          <t>TĂNG CA NGÀY THƯỜNG</t>
        </is>
      </c>
      <c r="D5" s="6" t="inlineStr">
        <is>
          <t>TĂNG CA CHỦ NHẬT</t>
        </is>
      </c>
      <c r="E5" s="6" t="inlineStr">
        <is>
          <t>TỔNG GIỜ TC (QUY CÔNG)</t>
        </is>
      </c>
      <c r="F5" s="6" t="inlineStr">
        <is>
          <t>CÔNG ĐI LÀM THỰC TẾ</t>
        </is>
      </c>
      <c r="G5" s="6" t="inlineStr">
        <is>
          <t>SẢN LƯỢNG ĐẠT (OK TUẦN)</t>
        </is>
      </c>
      <c r="H5" s="6" t="inlineStr">
        <is>
          <t>SL HỎNG BỎ (NG TUẦN)</t>
        </is>
      </c>
    </row>
    <row r="6" ht="17" customHeight="1">
      <c r="A6" s="7" t="inlineStr">
        <is>
          <t>12 Thợ (+1 QĐ)</t>
        </is>
      </c>
      <c r="B6" s="7" t="inlineStr">
        <is>
          <t>72 Công (576h)</t>
        </is>
      </c>
      <c r="C6" s="7" t="inlineStr">
        <is>
          <t>102,5 Giờ (TC 1,5)</t>
        </is>
      </c>
      <c r="D6" s="7" t="inlineStr">
        <is>
          <t>95,0 Giờ (~11 thợ CN)</t>
        </is>
      </c>
      <c r="E6" s="8" t="inlineStr">
        <is>
          <t>197,5h (~24,7 công TC)</t>
        </is>
      </c>
      <c r="F6" s="7" t="inlineStr">
        <is>
          <t>72 Công chuẩn + 24,7 TC</t>
        </is>
      </c>
      <c r="G6" s="7" t="inlineStr">
        <is>
          <t>1.785 Lượt g/c nguyên công</t>
        </is>
      </c>
      <c r="H6" s="9" t="inlineStr">
        <is>
          <t>24 CT (Tỷ lệ 1,33% &lt; 1,5%)</t>
        </is>
      </c>
    </row>
    <row r="7" ht="15" customHeight="1">
      <c r="A7" s="3" t="inlineStr">
        <is>
          <t>💡 Vai trò 197,5h tăng ca: Tập trung máy tiện M01/M02 để gia công phôi công đoạn kịp chuyển vệ tinh Sub-con và cân bằng chuyền. Thiếu công lý do: [ ................................................................ ]</t>
        </is>
      </c>
    </row>
    <row r="8" ht="17" customHeight="1">
      <c r="A8" s="5" t="inlineStr">
        <is>
          <t>II. TIẾN ĐỘ 3 KHÁCH HÀNG: THÀNH PHẨM, CÔNG ĐOẠN CHUYỂN SUB-CON &amp; % ĐẠT TIẾN ĐỘ</t>
        </is>
      </c>
    </row>
    <row r="9" ht="20" customHeight="1">
      <c r="A9" s="10" t="inlineStr">
        <is>
          <t>STT</t>
        </is>
      </c>
      <c r="B9" s="10" t="inlineStr">
        <is>
          <t>Khách Hàng Trực Tiếp</t>
        </is>
      </c>
      <c r="C9" s="10" t="inlineStr">
        <is>
          <t>Định Biên Thợ (Công)</t>
        </is>
      </c>
      <c r="D9" s="10" t="inlineStr">
        <is>
          <t>KH Chuẩn (72 Công)</t>
        </is>
      </c>
      <c r="E9" s="10" t="inlineStr">
        <is>
          <t>TP Xong (Chuyển PX HT)</t>
        </is>
      </c>
      <c r="F9" s="10" t="inlineStr">
        <is>
          <t>Công Đoạn Chuyển Sub-con</t>
        </is>
      </c>
      <c r="G9" s="10" t="inlineStr">
        <is>
          <t>BTP Dở Dang Tại Xưởng</t>
        </is>
      </c>
      <c r="H9" s="10" t="inlineStr">
        <is>
          <t>% HOÀN THÀNH TIẾN ĐỘ</t>
        </is>
      </c>
    </row>
    <row r="10" ht="17" customHeight="1">
      <c r="A10" s="11" t="n">
        <v>1</v>
      </c>
      <c r="B10" s="12" t="inlineStr">
        <is>
          <t>Win-Win</t>
        </is>
      </c>
      <c r="C10" s="7" t="inlineStr">
        <is>
          <t>6 Thợ (36 công)</t>
        </is>
      </c>
      <c r="D10" s="13" t="n">
        <v>500</v>
      </c>
      <c r="E10" s="13" t="n">
        <v>517</v>
      </c>
      <c r="F10" s="13" t="n">
        <v>0</v>
      </c>
      <c r="G10" s="13" t="n">
        <v>0</v>
      </c>
      <c r="H10" s="14" t="n">
        <v>1.034</v>
      </c>
    </row>
    <row r="11" ht="17" customHeight="1">
      <c r="A11" s="15" t="n">
        <v>2</v>
      </c>
      <c r="B11" s="16" t="inlineStr">
        <is>
          <t>Thyssen</t>
        </is>
      </c>
      <c r="C11" s="17" t="inlineStr">
        <is>
          <t>4 Thợ (24 công)</t>
        </is>
      </c>
      <c r="D11" s="18" t="n">
        <v>250</v>
      </c>
      <c r="E11" s="18" t="n">
        <v>137</v>
      </c>
      <c r="F11" s="19" t="n">
        <v>300</v>
      </c>
      <c r="G11" s="18" t="n">
        <v>581</v>
      </c>
      <c r="H11" s="14" t="n">
        <v>1.748</v>
      </c>
    </row>
    <row r="12" ht="17" customHeight="1">
      <c r="A12" s="11" t="n">
        <v>3</v>
      </c>
      <c r="B12" s="12" t="inlineStr">
        <is>
          <t>Vico - QLTB</t>
        </is>
      </c>
      <c r="C12" s="7" t="inlineStr">
        <is>
          <t>2 Thợ (12 công)</t>
        </is>
      </c>
      <c r="D12" s="13" t="n">
        <v>150</v>
      </c>
      <c r="E12" s="13" t="n">
        <v>168</v>
      </c>
      <c r="F12" s="13" t="n">
        <v>0</v>
      </c>
      <c r="G12" s="13" t="n">
        <v>3</v>
      </c>
      <c r="H12" s="14" t="n">
        <v>1.12</v>
      </c>
    </row>
    <row r="13" ht="18" customHeight="1">
      <c r="A13" s="20" t="inlineStr"/>
      <c r="B13" s="21" t="inlineStr">
        <is>
          <t>TỔNG 12 THỢ TRỰC TIẾP</t>
        </is>
      </c>
      <c r="C13" s="22" t="inlineStr">
        <is>
          <t>12 Thợ (72 công)</t>
        </is>
      </c>
      <c r="D13" s="23">
        <f>SUM(D10:D12)</f>
        <v/>
      </c>
      <c r="E13" s="23">
        <f>SUM(E10:E12)</f>
        <v/>
      </c>
      <c r="F13" s="19">
        <f>SUM(F10:F12)</f>
        <v/>
      </c>
      <c r="G13" s="23">
        <f>SUM(G10:G12)</f>
        <v/>
      </c>
      <c r="H13" s="24" t="inlineStr">
        <is>
          <t>124,7% (VƯỢT NHỜ OT)</t>
        </is>
      </c>
    </row>
    <row r="14" ht="17" customHeight="1">
      <c r="A14" s="5" t="inlineStr">
        <is>
          <t>III. PHÁT SINH TRONG TUẦN &amp; TÌNH HÌNH CÂN BẰNG TẢI 17 MÁY</t>
        </is>
      </c>
    </row>
    <row r="15" ht="32" customHeight="1">
      <c r="A15" s="25" t="inlineStr">
        <is>
          <t>CÂN BẰNG TẢI 17 MÁY:</t>
        </is>
      </c>
      <c r="B15" s="48" t="n"/>
      <c r="C15" s="27" t="inlineStr">
        <is>
          <t>• NGHẼN TẢI: Tiện OKUMA M02 (206% - thiếu 102h), Tiện FUJI M01 (132% - thiếu 31h), Phay OKK3 M09 (121% - thiếu 21h).
• CÂN BẰNG CHUYỀN: Bố trí 102,5h tăng ca ngày thường và 95h Chủ Nhật (~11 thợ) gia công phôi công đoạn để chuyển Sub-con kịp tiến độ.
• DƯ CÔNG SUẤT: Cắt dây DK7745 (52%), Phay OKK2 (55%), Tiện T630 (22%) ➔ Bố trí làm dưỡng gá kẹp và phụ tùng.</t>
        </is>
      </c>
      <c r="D15" s="49" t="n"/>
      <c r="E15" s="49" t="n"/>
      <c r="F15" s="49" t="n"/>
      <c r="G15" s="49" t="n"/>
      <c r="H15" s="48" t="n"/>
    </row>
    <row r="16" ht="17" customHeight="1">
      <c r="A16" s="5" t="inlineStr">
        <is>
          <t>IV. KIỂM SOÁT PHẾ PHẨM QA/QC TRONG TUẦN (SOP 02) - TÍNH RIÊNG 7 NGÀY BÁO CÁO</t>
        </is>
      </c>
    </row>
    <row r="17" ht="34" customHeight="1">
      <c r="A17" s="28" t="inlineStr">
        <is>
          <t>TỔNG HỢP PHẾ PHẨM TUẦN:
(Tính riêng chu kỳ 7 ngày)</t>
        </is>
      </c>
      <c r="B17" s="48" t="n"/>
      <c r="C17" s="30" t="inlineStr">
        <is>
          <t>• Tổng SL bỏ (hỏng hủy NG) phát sinh trong tuần: 24 chi tiết (Tỷ lệ: 1,33% / Tổng 1.809 chi tiết đưa vào gia công).
• Phân loại lỗi thực tế theo SOP 02: 18 chi tiết do phôi đúc rỗ xỉ/nứt ngầm (Xưởng đúc chịu chi phí bù phôi) | 6 chi tiết do thợ thao tác sai kích thước (Thợ chịu trách nhiệm công đoạn, xưởng hỗ trợ để giữ nhịp độ).
• Trường hợp chưa xác định rõ nguồn gốc: Chờ KCS và Quản đốc lập biên bản NCR nghiệm thu phân định sau ca.</t>
        </is>
      </c>
      <c r="D17" s="49" t="n"/>
      <c r="E17" s="49" t="n"/>
      <c r="F17" s="49" t="n"/>
      <c r="G17" s="49" t="n"/>
      <c r="H17" s="48" t="n"/>
    </row>
    <row r="18" ht="17" customHeight="1">
      <c r="A18" s="5" t="inlineStr">
        <is>
          <t>V. QUYẾT ĐỊNH ĐIỀU HÀNH TẠI XƯỞNG CỦA QUẢN ĐỐC (ACTION PLAN)</t>
        </is>
      </c>
    </row>
    <row r="19" ht="30" customHeight="1">
      <c r="A19" s="27" t="inlineStr">
        <is>
          <t>1. Bàn giao sản phẩm: Chuyển dứt điểm 517 TP Win-Win sang PX Hoàn Thiện; Bàn giao 300 phôi công đoạn Thyssen cho vệ tinh Sub-con.
2. Cân bằng chuyền &amp; Làm bù: Duy trì 102,5h tăng ca ngày thường và huy động ~11 thợ ngày Chủ Nhật để giải phóng 581 BTP dở dang.
3. Hỗ trợ kỹ thuật: Cắt dây DK7745 hoàn thành 100% dưỡng kiểm và dao định hình cho lô hàng Thyssen tuần tới.</t>
        </is>
      </c>
      <c r="B19" s="49" t="n"/>
      <c r="C19" s="49" t="n"/>
      <c r="D19" s="49" t="n"/>
      <c r="E19" s="49" t="n"/>
      <c r="F19" s="49" t="n"/>
      <c r="G19" s="49" t="n"/>
      <c r="H19" s="48" t="n"/>
    </row>
    <row r="20" ht="18" customHeight="1">
      <c r="A20" s="31" t="inlineStr">
        <is>
          <t>VI. KẾ HOẠCH TUẦN TIẾP THEO &amp; ĐỀ XUẤT THUÊ NGOÀI (CĂN CỨ 72 CÔNG CHUẨN + KẾ HOẠCH TĂNG CA)</t>
        </is>
      </c>
    </row>
    <row r="21" ht="18" customHeight="1">
      <c r="A21" s="32" t="inlineStr">
        <is>
          <t>Phân Loại</t>
        </is>
      </c>
      <c r="B21" s="32" t="inlineStr">
        <is>
          <t>Khách Hàng</t>
        </is>
      </c>
      <c r="C21" s="32" t="inlineStr">
        <is>
          <t>Định Biên (Công)</t>
        </is>
      </c>
      <c r="D21" s="32" t="inlineStr">
        <is>
          <t>KH Chuẩn (6 Ngày)</t>
        </is>
      </c>
      <c r="E21" s="32" t="inlineStr">
        <is>
          <t>Kế Hoạch Tăng Ca / Bù</t>
        </is>
      </c>
      <c r="F21" s="32" t="inlineStr">
        <is>
          <t>Điểm Nghẽn Máy Móc</t>
        </is>
      </c>
      <c r="G21" s="32" t="inlineStr">
        <is>
          <t>Đề Xuất Thuê Ngoài (Sub-con)</t>
        </is>
      </c>
      <c r="H21" s="32" t="inlineStr">
        <is>
          <t>Đơn Vị / Vệ Tinh</t>
        </is>
      </c>
    </row>
    <row r="22" ht="24" customHeight="1">
      <c r="A22" s="33" t="inlineStr">
        <is>
          <t>KẾ HOẠCH NỘI BỘ</t>
        </is>
      </c>
      <c r="B22" s="34" t="inlineStr">
        <is>
          <t>1. Win-Win</t>
        </is>
      </c>
      <c r="C22" s="35" t="inlineStr">
        <is>
          <t>6 Thợ (36 công)</t>
        </is>
      </c>
      <c r="D22" s="36" t="n">
        <v>500</v>
      </c>
      <c r="E22" s="36" t="inlineStr">
        <is>
          <t>TC ngày thường 50h</t>
        </is>
      </c>
      <c r="F22" s="36" t="inlineStr">
        <is>
          <t>Tiện CNC M01/M02 chạy hết tải</t>
        </is>
      </c>
      <c r="G22" s="36" t="inlineStr">
        <is>
          <t>Gia công nội bộ 100% tại xưởng (Ưu tiên số 1)</t>
        </is>
      </c>
      <c r="H22" s="36" t="inlineStr">
        <is>
          <t>Tổ Tiện 1 + Phay</t>
        </is>
      </c>
    </row>
    <row r="23" ht="24" customHeight="1">
      <c r="A23" s="37" t="inlineStr">
        <is>
          <t>KẾ HOẠCH NỘI BỘ</t>
        </is>
      </c>
      <c r="B23" s="38" t="inlineStr">
        <is>
          <t>2. Thyssen</t>
        </is>
      </c>
      <c r="C23" s="39" t="inlineStr">
        <is>
          <t>4 Thợ (24 công)</t>
        </is>
      </c>
      <c r="D23" s="40" t="n">
        <v>250</v>
      </c>
      <c r="E23" s="40" t="inlineStr">
        <is>
          <t>TC thường 50h + CN (~11 thợ)</t>
        </is>
      </c>
      <c r="F23" s="40" t="inlineStr">
        <is>
          <t>Nghẽn tiện thô phôi đúc nặng</t>
        </is>
      </c>
      <c r="G23" s="40" t="inlineStr">
        <is>
          <t>Làm xong công đoạn tiện thô ➔ CHUYỂN SUB-CON gia công tiếp</t>
        </is>
      </c>
      <c r="H23" s="40" t="inlineStr">
        <is>
          <t>Vệ tinh: Cơ khí Việt Nhật</t>
        </is>
      </c>
    </row>
    <row r="24" ht="24" customHeight="1">
      <c r="A24" s="33" t="inlineStr">
        <is>
          <t>KẾ HOẠCH NỘI BỘ</t>
        </is>
      </c>
      <c r="B24" s="34" t="inlineStr">
        <is>
          <t>3. Vico - QLTB</t>
        </is>
      </c>
      <c r="C24" s="35" t="inlineStr">
        <is>
          <t>2 Thợ (12 công)</t>
        </is>
      </c>
      <c r="D24" s="36" t="n">
        <v>150</v>
      </c>
      <c r="E24" s="36" t="inlineStr">
        <is>
          <t>Theo yêu cầu đột xuất</t>
        </is>
      </c>
      <c r="F24" s="36" t="inlineStr">
        <is>
          <t>Đột xuất bảo dưỡng lò đúc</t>
        </is>
      </c>
      <c r="G24" s="36" t="inlineStr">
        <is>
          <t>Gia công nội bộ trên máy tiện T630 &amp; phay đứng</t>
        </is>
      </c>
      <c r="H24" s="36" t="inlineStr">
        <is>
          <t>Tổ Tiện + Cắt dây</t>
        </is>
      </c>
    </row>
    <row r="25" ht="24" customHeight="1">
      <c r="A25" s="41" t="inlineStr">
        <is>
          <t>ĐỀ XUẤT THUÊ NGOÀI
(KHÔNG VÀO ĐƯỢC LỊCH)</t>
        </is>
      </c>
      <c r="B25" s="42" t="inlineStr">
        <is>
          <t>Molycop, Tường Long,
UCC, Hải Vinh, TFG</t>
        </is>
      </c>
      <c r="C25" s="43" t="inlineStr">
        <is>
          <t>0 Thợ (Hết tải)</t>
        </is>
      </c>
      <c r="D25" s="44" t="inlineStr">
        <is>
          <t>Chuyển giao 100%
[....................]</t>
        </is>
      </c>
      <c r="E25" s="44" t="inlineStr">
        <is>
          <t>Không bố trí tăng ca
(dồn hết cho 3 khách trên)</t>
        </is>
      </c>
      <c r="F25" s="44" t="inlineStr">
        <is>
          <t>12 thợ trực tiếp đã dồn 100% công suất cho Win, Thyssen, Vico</t>
        </is>
      </c>
      <c r="G25" s="44" t="inlineStr">
        <is>
          <t>Thuê ngoài trọn gói chi tiết đơn lẻ để bảo đảm tiến độ giao hàng [Chi tiết: ....................................]</t>
        </is>
      </c>
      <c r="H25" s="44" t="inlineStr">
        <is>
          <t>Vệ tinh: Cơ khí Hoàng Phát
&amp; Cơ khí Tân Thành</t>
        </is>
      </c>
    </row>
    <row r="26" ht="10" customHeight="1"/>
    <row r="27" ht="14" customHeight="1">
      <c r="A27" s="45" t="inlineStr">
        <is>
          <t>QUẢN ĐỐC PHÂN XƯỞNG CƠ KHÍ</t>
        </is>
      </c>
      <c r="E27" s="45" t="inlineStr">
        <is>
          <t>BAN GIÁM ĐỐC PHÊ DUYỆT CHỦ TRƯƠNG THUÊ NGOÀI</t>
        </is>
      </c>
    </row>
    <row r="28" ht="14" customHeight="1">
      <c r="A28" s="46" t="inlineStr">
        <is>
          <t>(Ký, ghi rõ họ tên)</t>
        </is>
      </c>
      <c r="E28" s="46" t="inlineStr">
        <is>
          <t>(Ký duyệt ngân sách Sub-con)</t>
        </is>
      </c>
    </row>
    <row r="29" ht="14" customHeight="1"/>
    <row r="30" ht="14" customHeight="1"/>
    <row r="31" ht="14" customHeight="1">
      <c r="A31" s="47" t="inlineStr">
        <is>
          <t>Quản Đốc Hoàng Hà</t>
        </is>
      </c>
      <c r="E31" s="45" t="inlineStr">
        <is>
          <t>....................................................................</t>
        </is>
      </c>
    </row>
  </sheetData>
  <mergeCells count="22">
    <mergeCell ref="A15:B15"/>
    <mergeCell ref="A27:C27"/>
    <mergeCell ref="A1:H1"/>
    <mergeCell ref="E3:H3"/>
    <mergeCell ref="A7:H7"/>
    <mergeCell ref="A16:H16"/>
    <mergeCell ref="C17:H17"/>
    <mergeCell ref="A18:H18"/>
    <mergeCell ref="A28:C28"/>
    <mergeCell ref="A2:H2"/>
    <mergeCell ref="A31:C31"/>
    <mergeCell ref="A14:H14"/>
    <mergeCell ref="A17:B17"/>
    <mergeCell ref="A8:H8"/>
    <mergeCell ref="E28:H28"/>
    <mergeCell ref="C15:H15"/>
    <mergeCell ref="A4:H4"/>
    <mergeCell ref="E31:H31"/>
    <mergeCell ref="A20:H20"/>
    <mergeCell ref="A3:D3"/>
    <mergeCell ref="A19:H19"/>
    <mergeCell ref="E27:H27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2026-10-12T10:31:44Z</dcterms:created>
  <dcterms:modified xsi:type="dcterms:W3CDTF">2026-10-22T09:19:32Z</dcterms:modified>
</cp:coreProperties>
</file>