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_Hoach_Don_Hang_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"/>
    <numFmt numFmtId="166" formatCode="#,##0 &quot;cái&quot;"/>
    <numFmt numFmtId="167" formatCode="#,##0.0 &quot;kg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0E0E0"/>
      <sz val="9.5"/>
    </font>
    <font>
      <name val="Segoe UI"/>
      <b val="1"/>
      <color rgb="00FFFFFF"/>
      <sz val="9.5"/>
    </font>
    <font>
      <name val="Segoe UI"/>
      <color rgb="00000000"/>
      <sz val="9"/>
    </font>
    <font>
      <name val="Segoe U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047857"/>
        <bgColor rgb="00047857"/>
      </patternFill>
    </fill>
    <fill>
      <patternFill patternType="solid">
        <fgColor rgb="00059669"/>
        <bgColor rgb="00059669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4785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right" vertical="center"/>
    </xf>
    <xf numFmtId="0" fontId="0" fillId="0" borderId="2" pivotButton="0" quotePrefix="0" xfId="0"/>
    <xf numFmtId="166" fontId="5" fillId="8" borderId="2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 wrapText="1"/>
    </xf>
    <xf numFmtId="167" fontId="5" fillId="8" borderId="2" applyAlignment="1" pivotButton="0" quotePrefix="0" xfId="0">
      <alignment horizontal="right" vertical="center"/>
    </xf>
    <xf numFmtId="3" fontId="5" fillId="8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38" customWidth="1" min="4" max="4"/>
    <col width="26" customWidth="1" min="5" max="5"/>
    <col width="8" customWidth="1" min="6" max="6"/>
    <col width="14" customWidth="1" min="7" max="7"/>
    <col width="14" customWidth="1" min="8" max="8"/>
    <col width="18" customWidth="1" min="9" max="9"/>
    <col width="14" customWidth="1" min="10" max="10"/>
    <col width="16" customWidth="1" min="11" max="11"/>
    <col width="10" customWidth="1" min="12" max="12"/>
    <col width="12" customWidth="1" min="13" max="13"/>
    <col width="12" customWidth="1" min="14" max="14"/>
    <col width="14" customWidth="1" min="15" max="15"/>
    <col width="16" customWidth="1" min="16" max="16"/>
    <col width="18" customWidth="1" min="17" max="17"/>
    <col width="22" customWidth="1" min="18" max="18"/>
  </cols>
  <sheetData>
    <row r="1" ht="28" customHeight="1">
      <c r="A1" s="1" t="inlineStr">
        <is>
          <t>MẪU THEO DÕI &amp; NHẬP ĐƠN HÀNG KẾ HOẠCH SẢN XUẤT (PO CHUẨN HÓA GCCK 2026)</t>
        </is>
      </c>
    </row>
    <row r="2" ht="20" customHeight="1">
      <c r="A2" s="2" t="inlineStr">
        <is>
          <t>Phân Xưởng Cơ Khí GCCK - Công Ty TNHH Thắng Lợi | Chuẩn hóa bổ sung CỘT NGÀY NHẬP ĐƠN để nạp trực tiếp vào hệ thống</t>
        </is>
      </c>
    </row>
    <row r="3" ht="20" customHeight="1">
      <c r="A3" s="3" t="inlineStr">
        <is>
          <t>I. THÔNG TIN ĐƠN HÀNG &amp; KHÁCH HÀNG</t>
        </is>
      </c>
      <c r="F3" s="3" t="inlineStr">
        <is>
          <t>II. QUY CÁCH &amp; KHỐI LƯỢNG</t>
        </is>
      </c>
      <c r="J3" s="3" t="inlineStr">
        <is>
          <t>III. TIẾN ĐỘ THỜI GIAN</t>
        </is>
      </c>
      <c r="L3" s="3" t="inlineStr">
        <is>
          <t>IV. THEO DÕI TIẾN ĐỘ THÀNH PHẨM GIA CÔNG (CÁI)</t>
        </is>
      </c>
      <c r="R3" s="3" t="inlineStr">
        <is>
          <t>V. GHI CHÚ</t>
        </is>
      </c>
    </row>
    <row r="4" ht="26" customHeight="1">
      <c r="A4" s="4" t="inlineStr">
        <is>
          <t>STT</t>
        </is>
      </c>
      <c r="B4" s="5" t="inlineStr">
        <is>
          <t>Ngày Nhập Đơn (*)</t>
        </is>
      </c>
      <c r="C4" s="4" t="inlineStr">
        <is>
          <t>Khách Hàng (*)</t>
        </is>
      </c>
      <c r="D4" s="4" t="inlineStr">
        <is>
          <t>Tên Sản Phẩm (*)</t>
        </is>
      </c>
      <c r="E4" s="4" t="inlineStr">
        <is>
          <t>Số PO / Lệnh SX (*)</t>
        </is>
      </c>
      <c r="F4" s="4" t="inlineStr">
        <is>
          <t>Đơn Vị</t>
        </is>
      </c>
      <c r="G4" s="4" t="inlineStr">
        <is>
          <t>Số Lượng Đặt (*)</t>
        </is>
      </c>
      <c r="H4" s="4" t="inlineStr">
        <is>
          <t>Đơn Trọng (kg)</t>
        </is>
      </c>
      <c r="I4" s="4" t="inlineStr">
        <is>
          <t>Tổng Khối Lượng (kg)</t>
        </is>
      </c>
      <c r="J4" s="4" t="inlineStr">
        <is>
          <t>Hạn Giao Hàng (*)</t>
        </is>
      </c>
      <c r="K4" s="4" t="inlineStr">
        <is>
          <t>Tiến Độ (Còn Lại)</t>
        </is>
      </c>
      <c r="L4" s="4" t="inlineStr">
        <is>
          <t>Tồn Đầu</t>
        </is>
      </c>
      <c r="M4" s="4" t="inlineStr">
        <is>
          <t>Đã Sản Xuất</t>
        </is>
      </c>
      <c r="N4" s="4" t="inlineStr">
        <is>
          <t>Đã Xuất Giao</t>
        </is>
      </c>
      <c r="O4" s="4" t="inlineStr">
        <is>
          <t>Tồn Cuối (WIP)</t>
        </is>
      </c>
      <c r="P4" s="4" t="inlineStr">
        <is>
          <t>Còn Thiếu Kế Hoạch</t>
        </is>
      </c>
      <c r="Q4" s="4" t="inlineStr">
        <is>
          <t>Tình Trạng PO</t>
        </is>
      </c>
      <c r="R4" s="4" t="inlineStr">
        <is>
          <t>Ghi Chú Kỹ Thuật</t>
        </is>
      </c>
    </row>
    <row r="5" ht="20" customHeight="1">
      <c r="A5" s="6" t="n">
        <v>1</v>
      </c>
      <c r="B5" s="7" t="inlineStr">
        <is>
          <t>2026-01-15</t>
        </is>
      </c>
      <c r="C5" s="8" t="inlineStr">
        <is>
          <t>Win-Win</t>
        </is>
      </c>
      <c r="D5" s="8" t="inlineStr">
        <is>
          <t>ISHIZUE OMEGA267.4-950</t>
        </is>
      </c>
      <c r="E5" s="8" t="inlineStr">
        <is>
          <t>Win win-21012026-76072</t>
        </is>
      </c>
      <c r="F5" s="6" t="inlineStr">
        <is>
          <t>Cái</t>
        </is>
      </c>
      <c r="G5" s="9" t="n">
        <v>500</v>
      </c>
      <c r="H5" s="10" t="n">
        <v>302</v>
      </c>
      <c r="I5" s="10">
        <f>G5*H5</f>
        <v/>
      </c>
      <c r="J5" s="11" t="inlineStr">
        <is>
          <t>2026-01-30</t>
        </is>
      </c>
      <c r="K5" s="6" t="inlineStr">
        <is>
          <t>Đúng hạn</t>
        </is>
      </c>
      <c r="L5" s="9" t="n">
        <v>0</v>
      </c>
      <c r="M5" s="9" t="n">
        <v>500</v>
      </c>
      <c r="N5" s="9" t="n">
        <v>480</v>
      </c>
      <c r="O5" s="9">
        <f>L5+M5-N5</f>
        <v/>
      </c>
      <c r="P5" s="9">
        <f>MAX(0, G5-M5)</f>
        <v/>
      </c>
      <c r="Q5" s="8" t="inlineStr">
        <is>
          <t>Hoàn thành 100%</t>
        </is>
      </c>
      <c r="R5" s="8" t="inlineStr">
        <is>
          <t>Đã chuyển hoàn thiện</t>
        </is>
      </c>
    </row>
    <row r="6" ht="20" customHeight="1">
      <c r="A6" s="12" t="n">
        <v>2</v>
      </c>
      <c r="B6" s="7" t="inlineStr">
        <is>
          <t>2026-01-15</t>
        </is>
      </c>
      <c r="C6" s="13" t="inlineStr">
        <is>
          <t>Win-Win</t>
        </is>
      </c>
      <c r="D6" s="13" t="inlineStr">
        <is>
          <t>ISHIZUE OMEGA318.5-1010</t>
        </is>
      </c>
      <c r="E6" s="13" t="inlineStr">
        <is>
          <t>Win win-21012026-81449</t>
        </is>
      </c>
      <c r="F6" s="12" t="inlineStr">
        <is>
          <t>Cái</t>
        </is>
      </c>
      <c r="G6" s="14" t="n">
        <v>500</v>
      </c>
      <c r="H6" s="15" t="n">
        <v>380</v>
      </c>
      <c r="I6" s="15">
        <f>G6*H6</f>
        <v/>
      </c>
      <c r="J6" s="16" t="inlineStr">
        <is>
          <t>2026-01-30</t>
        </is>
      </c>
      <c r="K6" s="12" t="inlineStr">
        <is>
          <t>Đúng hạn</t>
        </is>
      </c>
      <c r="L6" s="14" t="n">
        <v>0</v>
      </c>
      <c r="M6" s="14" t="n">
        <v>500</v>
      </c>
      <c r="N6" s="14" t="n">
        <v>500</v>
      </c>
      <c r="O6" s="14">
        <f>L6+M6-N6</f>
        <v/>
      </c>
      <c r="P6" s="14">
        <f>MAX(0, G6-M6)</f>
        <v/>
      </c>
      <c r="Q6" s="13" t="inlineStr">
        <is>
          <t>Đã xuất đủ</t>
        </is>
      </c>
      <c r="R6" s="13" t="inlineStr">
        <is>
          <t>Giao hàng đợt 1</t>
        </is>
      </c>
    </row>
    <row r="7" ht="20" customHeight="1">
      <c r="A7" s="6" t="n">
        <v>3</v>
      </c>
      <c r="B7" s="7" t="inlineStr">
        <is>
          <t>2026-01-15</t>
        </is>
      </c>
      <c r="C7" s="8" t="inlineStr">
        <is>
          <t>Win-Win</t>
        </is>
      </c>
      <c r="D7" s="8" t="inlineStr">
        <is>
          <t>ISHIZUE OMEGA355.6-1060</t>
        </is>
      </c>
      <c r="E7" s="8" t="inlineStr">
        <is>
          <t>Win win-21012026-70903</t>
        </is>
      </c>
      <c r="F7" s="6" t="inlineStr">
        <is>
          <t>Cái</t>
        </is>
      </c>
      <c r="G7" s="9" t="n">
        <v>500</v>
      </c>
      <c r="H7" s="10" t="n">
        <v>450</v>
      </c>
      <c r="I7" s="10">
        <f>G7*H7</f>
        <v/>
      </c>
      <c r="J7" s="11" t="inlineStr">
        <is>
          <t>2026-01-30</t>
        </is>
      </c>
      <c r="K7" s="6" t="inlineStr">
        <is>
          <t>Đúng hạn</t>
        </is>
      </c>
      <c r="L7" s="9" t="n">
        <v>0</v>
      </c>
      <c r="M7" s="9" t="n">
        <v>517</v>
      </c>
      <c r="N7" s="9" t="n">
        <v>500</v>
      </c>
      <c r="O7" s="9">
        <f>L7+M7-N7</f>
        <v/>
      </c>
      <c r="P7" s="9">
        <f>MAX(0, G7-M7)</f>
        <v/>
      </c>
      <c r="Q7" s="8" t="inlineStr">
        <is>
          <t>Vượt kế hoạch</t>
        </is>
      </c>
      <c r="R7" s="8" t="inlineStr">
        <is>
          <t>Tăng ca bù</t>
        </is>
      </c>
    </row>
    <row r="8" ht="20" customHeight="1">
      <c r="A8" s="12" t="n">
        <v>4</v>
      </c>
      <c r="B8" s="7" t="inlineStr">
        <is>
          <t>2026-03-01</t>
        </is>
      </c>
      <c r="C8" s="13" t="inlineStr">
        <is>
          <t>Taniguchi</t>
        </is>
      </c>
      <c r="D8" s="13" t="inlineStr">
        <is>
          <t>Máng gạt gang Mold FA31B16 ZT-9107-001A4</t>
        </is>
      </c>
      <c r="E8" s="13" t="inlineStr">
        <is>
          <t>Taniguchi-10032026-70554</t>
        </is>
      </c>
      <c r="F8" s="12" t="inlineStr">
        <is>
          <t>Cái</t>
        </is>
      </c>
      <c r="G8" s="14" t="n">
        <v>5</v>
      </c>
      <c r="H8" s="15" t="n">
        <v>1210</v>
      </c>
      <c r="I8" s="15">
        <f>G8*H8</f>
        <v/>
      </c>
      <c r="J8" s="16" t="inlineStr">
        <is>
          <t>2026-03-13</t>
        </is>
      </c>
      <c r="K8" s="12" t="inlineStr">
        <is>
          <t>Đúng hạn</t>
        </is>
      </c>
      <c r="L8" s="14" t="n">
        <v>0</v>
      </c>
      <c r="M8" s="14" t="n">
        <v>5</v>
      </c>
      <c r="N8" s="14" t="n">
        <v>5</v>
      </c>
      <c r="O8" s="14">
        <f>L8+M8-N8</f>
        <v/>
      </c>
      <c r="P8" s="14">
        <f>MAX(0, G8-M8)</f>
        <v/>
      </c>
      <c r="Q8" s="13" t="inlineStr">
        <is>
          <t>Đã hoàn thành</t>
        </is>
      </c>
      <c r="R8" s="13" t="inlineStr">
        <is>
          <t>Phay mặt đạt chuẩn</t>
        </is>
      </c>
    </row>
    <row r="9" ht="20" customHeight="1">
      <c r="A9" s="6" t="n">
        <v>5</v>
      </c>
      <c r="B9" s="7" t="inlineStr">
        <is>
          <t>2026-03-01</t>
        </is>
      </c>
      <c r="C9" s="8" t="inlineStr">
        <is>
          <t>Taniguchi</t>
        </is>
      </c>
      <c r="D9" s="8" t="inlineStr">
        <is>
          <t>Tay búa lỗ tâm Φ43, vật liệu thép SCMnH3</t>
        </is>
      </c>
      <c r="E9" s="8" t="inlineStr">
        <is>
          <t>Taniguchi-10032026-53342</t>
        </is>
      </c>
      <c r="F9" s="6" t="inlineStr">
        <is>
          <t>Cái</t>
        </is>
      </c>
      <c r="G9" s="9" t="n">
        <v>200</v>
      </c>
      <c r="H9" s="10" t="n">
        <v>5.3</v>
      </c>
      <c r="I9" s="10">
        <f>G9*H9</f>
        <v/>
      </c>
      <c r="J9" s="11" t="inlineStr">
        <is>
          <t>2026-03-10</t>
        </is>
      </c>
      <c r="K9" s="6" t="inlineStr">
        <is>
          <t>Đúng hạn</t>
        </is>
      </c>
      <c r="L9" s="9" t="n">
        <v>0</v>
      </c>
      <c r="M9" s="9" t="n">
        <v>200</v>
      </c>
      <c r="N9" s="9" t="n">
        <v>200</v>
      </c>
      <c r="O9" s="9">
        <f>L9+M9-N9</f>
        <v/>
      </c>
      <c r="P9" s="9">
        <f>MAX(0, G9-M9)</f>
        <v/>
      </c>
      <c r="Q9" s="8" t="inlineStr">
        <is>
          <t>Đã hoàn thành</t>
        </is>
      </c>
      <c r="R9" s="8" t="inlineStr">
        <is>
          <t>Thép chịu mài mòn</t>
        </is>
      </c>
    </row>
    <row r="10" ht="20" customHeight="1">
      <c r="A10" s="12" t="n">
        <v>6</v>
      </c>
      <c r="B10" s="7" t="inlineStr">
        <is>
          <t>2026-03-01</t>
        </is>
      </c>
      <c r="C10" s="13" t="inlineStr">
        <is>
          <t>Taniguchi</t>
        </is>
      </c>
      <c r="D10" s="13" t="inlineStr">
        <is>
          <t>Tay búa lỗ tâm Φ51, vật liệu thép SCMnH3</t>
        </is>
      </c>
      <c r="E10" s="13" t="inlineStr">
        <is>
          <t>Taniguchi-10032026-57951</t>
        </is>
      </c>
      <c r="F10" s="12" t="inlineStr">
        <is>
          <t>Cái</t>
        </is>
      </c>
      <c r="G10" s="14" t="n">
        <v>560</v>
      </c>
      <c r="H10" s="15" t="n">
        <v>5.6</v>
      </c>
      <c r="I10" s="15">
        <f>G10*H10</f>
        <v/>
      </c>
      <c r="J10" s="16" t="inlineStr">
        <is>
          <t>2026-03-10</t>
        </is>
      </c>
      <c r="K10" s="12" t="inlineStr">
        <is>
          <t>Đúng hạn</t>
        </is>
      </c>
      <c r="L10" s="14" t="n">
        <v>0</v>
      </c>
      <c r="M10" s="14" t="n">
        <v>560</v>
      </c>
      <c r="N10" s="14" t="n">
        <v>500</v>
      </c>
      <c r="O10" s="14">
        <f>L10+M10-N10</f>
        <v/>
      </c>
      <c r="P10" s="14">
        <f>MAX(0, G10-M10)</f>
        <v/>
      </c>
      <c r="Q10" s="13" t="inlineStr">
        <is>
          <t>Đang giao dở dang</t>
        </is>
      </c>
      <c r="R10" s="13" t="inlineStr">
        <is>
          <t>Tồn kho 60 cái</t>
        </is>
      </c>
    </row>
    <row r="11" ht="20" customHeight="1">
      <c r="A11" s="6" t="n">
        <v>7</v>
      </c>
      <c r="B11" s="7" t="inlineStr">
        <is>
          <t>2026-05-10</t>
        </is>
      </c>
      <c r="C11" s="8" t="inlineStr">
        <is>
          <t>Hòa Phát DQ</t>
        </is>
      </c>
      <c r="D11" s="8" t="inlineStr">
        <is>
          <t>Đầu súng bắn bùn TMT1021054</t>
        </is>
      </c>
      <c r="E11" s="8" t="inlineStr">
        <is>
          <t>Hòa Phát DQ-10032026-77474</t>
        </is>
      </c>
      <c r="F11" s="6" t="inlineStr">
        <is>
          <t>Cái</t>
        </is>
      </c>
      <c r="G11" s="9" t="n">
        <v>20</v>
      </c>
      <c r="H11" s="10" t="n">
        <v>80</v>
      </c>
      <c r="I11" s="10">
        <f>G11*H11</f>
        <v/>
      </c>
      <c r="J11" s="11" t="inlineStr">
        <is>
          <t>2026-05-24</t>
        </is>
      </c>
      <c r="K11" s="6" t="inlineStr">
        <is>
          <t>Đúng hạn</t>
        </is>
      </c>
      <c r="L11" s="9" t="n">
        <v>0</v>
      </c>
      <c r="M11" s="9" t="n">
        <v>20</v>
      </c>
      <c r="N11" s="9" t="n">
        <v>20</v>
      </c>
      <c r="O11" s="9">
        <f>L11+M11-N11</f>
        <v/>
      </c>
      <c r="P11" s="9">
        <f>MAX(0, G11-M11)</f>
        <v/>
      </c>
      <c r="Q11" s="8" t="inlineStr">
        <is>
          <t>Đã nghiệm thu</t>
        </is>
      </c>
      <c r="R11" s="8" t="inlineStr">
        <is>
          <t>Đạt KCS 100%</t>
        </is>
      </c>
    </row>
    <row r="12" ht="20" customHeight="1">
      <c r="A12" s="12" t="n">
        <v>8</v>
      </c>
      <c r="B12" s="7" t="inlineStr">
        <is>
          <t>2026-07-10</t>
        </is>
      </c>
      <c r="C12" s="13" t="inlineStr">
        <is>
          <t>Thyssen</t>
        </is>
      </c>
      <c r="D12" s="13" t="inlineStr">
        <is>
          <t>High-temperature nozzle NC 500-06</t>
        </is>
      </c>
      <c r="E12" s="13" t="inlineStr">
        <is>
          <t>Thyssen-10072026-70554</t>
        </is>
      </c>
      <c r="F12" s="12" t="inlineStr">
        <is>
          <t>Cái</t>
        </is>
      </c>
      <c r="G12" s="14" t="n">
        <v>108</v>
      </c>
      <c r="H12" s="15" t="n">
        <v>49.8</v>
      </c>
      <c r="I12" s="15">
        <f>G12*H12</f>
        <v/>
      </c>
      <c r="J12" s="16" t="inlineStr">
        <is>
          <t>2026-07-22</t>
        </is>
      </c>
      <c r="K12" s="12" t="inlineStr">
        <is>
          <t>Đúng hạn</t>
        </is>
      </c>
      <c r="L12" s="14" t="n">
        <v>0</v>
      </c>
      <c r="M12" s="14" t="n">
        <v>108</v>
      </c>
      <c r="N12" s="14" t="n">
        <v>108</v>
      </c>
      <c r="O12" s="14">
        <f>L12+M12-N12</f>
        <v/>
      </c>
      <c r="P12" s="14">
        <f>MAX(0, G12-M12)</f>
        <v/>
      </c>
      <c r="Q12" s="13" t="inlineStr">
        <is>
          <t>Đã xuất đủ</t>
        </is>
      </c>
      <c r="R12" s="13" t="inlineStr">
        <is>
          <t>Gia công tiện phay</t>
        </is>
      </c>
    </row>
    <row r="13" ht="20" customHeight="1">
      <c r="A13" s="6" t="n">
        <v>9</v>
      </c>
      <c r="B13" s="7" t="inlineStr">
        <is>
          <t>2026-08-10</t>
        </is>
      </c>
      <c r="C13" s="8" t="inlineStr">
        <is>
          <t>Thyssen</t>
        </is>
      </c>
      <c r="D13" s="8" t="inlineStr">
        <is>
          <t>Sealing strip, below</t>
        </is>
      </c>
      <c r="E13" s="8" t="inlineStr">
        <is>
          <t>Thyssen-16082026-70554</t>
        </is>
      </c>
      <c r="F13" s="6" t="inlineStr">
        <is>
          <t>Cái</t>
        </is>
      </c>
      <c r="G13" s="9" t="n">
        <v>1300</v>
      </c>
      <c r="H13" s="10" t="n">
        <v>7</v>
      </c>
      <c r="I13" s="10">
        <f>G13*H13</f>
        <v/>
      </c>
      <c r="J13" s="11" t="inlineStr">
        <is>
          <t>2026-09-30</t>
        </is>
      </c>
      <c r="K13" s="6" t="inlineStr">
        <is>
          <t>Đúng hạn</t>
        </is>
      </c>
      <c r="L13" s="9" t="n">
        <v>0</v>
      </c>
      <c r="M13" s="9" t="n">
        <v>1300</v>
      </c>
      <c r="N13" s="9" t="n">
        <v>1200</v>
      </c>
      <c r="O13" s="9">
        <f>L13+M13-N13</f>
        <v/>
      </c>
      <c r="P13" s="9">
        <f>MAX(0, G13-M13)</f>
        <v/>
      </c>
      <c r="Q13" s="8" t="inlineStr">
        <is>
          <t>Đang bàn giao</t>
        </is>
      </c>
      <c r="R13" s="8" t="inlineStr">
        <is>
          <t>Gia công rãnh CNC</t>
        </is>
      </c>
    </row>
    <row r="14" ht="20" customHeight="1">
      <c r="A14" s="12" t="n">
        <v>10</v>
      </c>
      <c r="B14" s="7" t="inlineStr">
        <is>
          <t>2026-08-10</t>
        </is>
      </c>
      <c r="C14" s="13" t="inlineStr">
        <is>
          <t>Thyssen</t>
        </is>
      </c>
      <c r="D14" s="13" t="inlineStr">
        <is>
          <t>Sealing strip, above</t>
        </is>
      </c>
      <c r="E14" s="13" t="inlineStr">
        <is>
          <t>Thyssen-16082026-53342</t>
        </is>
      </c>
      <c r="F14" s="12" t="inlineStr">
        <is>
          <t>Cái</t>
        </is>
      </c>
      <c r="G14" s="14" t="n">
        <v>1300</v>
      </c>
      <c r="H14" s="15" t="n">
        <v>13</v>
      </c>
      <c r="I14" s="15">
        <f>G14*H14</f>
        <v/>
      </c>
      <c r="J14" s="16" t="inlineStr">
        <is>
          <t>2026-09-30</t>
        </is>
      </c>
      <c r="K14" s="12" t="inlineStr">
        <is>
          <t>Đúng hạn</t>
        </is>
      </c>
      <c r="L14" s="14" t="n">
        <v>0</v>
      </c>
      <c r="M14" s="14" t="n">
        <v>1300</v>
      </c>
      <c r="N14" s="14" t="n">
        <v>1200</v>
      </c>
      <c r="O14" s="14">
        <f>L14+M14-N14</f>
        <v/>
      </c>
      <c r="P14" s="14">
        <f>MAX(0, G14-M14)</f>
        <v/>
      </c>
      <c r="Q14" s="13" t="inlineStr">
        <is>
          <t>Đang bàn giao</t>
        </is>
      </c>
      <c r="R14" s="13" t="inlineStr">
        <is>
          <t>Gia công rãnh CNC</t>
        </is>
      </c>
    </row>
    <row r="15" ht="24" customHeight="1">
      <c r="A15" s="17" t="inlineStr">
        <is>
          <t>TỔNG CỘNG ĐƠN HÀNG:</t>
        </is>
      </c>
      <c r="B15" s="18" t="n"/>
      <c r="C15" s="18" t="n"/>
      <c r="D15" s="18" t="n"/>
      <c r="E15" s="18" t="n"/>
      <c r="F15" s="18" t="n"/>
      <c r="G15" s="19">
        <f>SUM(G5:G14)</f>
        <v/>
      </c>
      <c r="H15" s="20" t="inlineStr">
        <is>
          <t>-</t>
        </is>
      </c>
      <c r="I15" s="21">
        <f>SUM(I5:I14)</f>
        <v/>
      </c>
      <c r="J15" s="20" t="inlineStr">
        <is>
          <t>-</t>
        </is>
      </c>
      <c r="K15" s="20" t="inlineStr">
        <is>
          <t>-</t>
        </is>
      </c>
      <c r="L15" s="22">
        <f>SUM(L5:L14)</f>
        <v/>
      </c>
      <c r="M15" s="22">
        <f>SUM(M5:M14)</f>
        <v/>
      </c>
      <c r="N15" s="22">
        <f>SUM(N5:N14)</f>
        <v/>
      </c>
      <c r="O15" s="22">
        <f>SUM(O5:O14)</f>
        <v/>
      </c>
      <c r="P15" s="22">
        <f>SUM(P5:P14)</f>
        <v/>
      </c>
      <c r="Q15" s="20" t="inlineStr">
        <is>
          <t>-</t>
        </is>
      </c>
      <c r="R15" s="20" t="inlineStr"/>
    </row>
  </sheetData>
  <mergeCells count="7">
    <mergeCell ref="J3:K3"/>
    <mergeCell ref="A2:R2"/>
    <mergeCell ref="F3:I3"/>
    <mergeCell ref="A1:R1"/>
    <mergeCell ref="L3:Q3"/>
    <mergeCell ref="A15:F1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2026-10-23T07:53:28Z</dcterms:created>
  <dcterms:modified xsi:type="dcterms:W3CDTF">2026-10-23T07:53:28Z</dcterms:modified>
</cp:coreProperties>
</file>