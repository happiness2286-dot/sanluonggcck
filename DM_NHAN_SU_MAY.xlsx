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QuanLyGCCK\"/>
    </mc:Choice>
  </mc:AlternateContent>
  <xr:revisionPtr revIDLastSave="0" documentId="13_ncr:1_{C710C143-313D-4DAE-8969-9CFEF8E4C47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1" l="1"/>
  <c r="Q24" i="1"/>
  <c r="S23" i="1"/>
  <c r="Q23" i="1"/>
  <c r="S22" i="1"/>
  <c r="Q22" i="1"/>
  <c r="S21" i="1"/>
  <c r="Q21" i="1"/>
  <c r="S20" i="1"/>
  <c r="Q20" i="1"/>
  <c r="S19" i="1"/>
  <c r="Q19" i="1"/>
  <c r="S18" i="1"/>
  <c r="Q18" i="1"/>
  <c r="S17" i="1"/>
  <c r="Q17" i="1"/>
  <c r="S16" i="1"/>
  <c r="Q16" i="1"/>
  <c r="S15" i="1"/>
  <c r="Q15" i="1"/>
  <c r="S14" i="1"/>
  <c r="Q14" i="1"/>
  <c r="G14" i="1"/>
  <c r="S13" i="1"/>
  <c r="Q13" i="1"/>
  <c r="G13" i="1"/>
  <c r="S12" i="1"/>
  <c r="Q12" i="1"/>
  <c r="G12" i="1"/>
  <c r="S11" i="1"/>
  <c r="Q11" i="1"/>
  <c r="G11" i="1"/>
  <c r="S10" i="1"/>
  <c r="Q10" i="1"/>
  <c r="G10" i="1"/>
  <c r="S9" i="1"/>
  <c r="Q9" i="1"/>
  <c r="G9" i="1"/>
  <c r="S8" i="1"/>
  <c r="Q8" i="1"/>
  <c r="G8" i="1"/>
  <c r="S7" i="1"/>
  <c r="Q7" i="1"/>
  <c r="G7" i="1"/>
  <c r="S6" i="1"/>
  <c r="Q6" i="1"/>
  <c r="G6" i="1"/>
  <c r="S5" i="1"/>
  <c r="Q5" i="1"/>
  <c r="G5" i="1"/>
  <c r="S4" i="1"/>
  <c r="Q4" i="1"/>
  <c r="G4" i="1"/>
  <c r="S3" i="1"/>
  <c r="Q3" i="1"/>
  <c r="G3" i="1"/>
  <c r="S2" i="1"/>
  <c r="Q2" i="1"/>
  <c r="G2" i="1"/>
</calcChain>
</file>

<file path=xl/sharedStrings.xml><?xml version="1.0" encoding="utf-8"?>
<sst xmlns="http://schemas.openxmlformats.org/spreadsheetml/2006/main" count="214" uniqueCount="150">
  <si>
    <t>Mã NV</t>
  </si>
  <si>
    <t>Họ và Tên</t>
  </si>
  <si>
    <t>Chức danh</t>
  </si>
  <si>
    <t>Vai trò</t>
  </si>
  <si>
    <t>Chế độ Lương</t>
  </si>
  <si>
    <t>Lương CB Ca 8h (VNĐ)</t>
  </si>
  <si>
    <t>Đơn giá Giây NV (VNĐ/s)</t>
  </si>
  <si>
    <t>Telegram Chat_ID</t>
  </si>
  <si>
    <t>Trạng thái</t>
  </si>
  <si>
    <t>Ghi chú</t>
  </si>
  <si>
    <t>Mã Máy</t>
  </si>
  <si>
    <t>Tên Máy</t>
  </si>
  <si>
    <t>Nhóm Công Nghệ (Tham chiếu Bảng 2)</t>
  </si>
  <si>
    <t>Mã Tài Sản</t>
  </si>
  <si>
    <t>Quỹ Giờ/Ngày</t>
  </si>
  <si>
    <t>Đơn giá Máy+Điện+KH / Giờ (đ/h) [Đã trừ Lương CN]</t>
  </si>
  <si>
    <t>Đơn Giá Trọn Gói 1 Ca 8h Công Ty (VNĐ/Ca)</t>
  </si>
  <si>
    <t>Đơn Giá Trọn Gói / Giờ (đ/h) [=Ca/8]</t>
  </si>
  <si>
    <t>NV00053</t>
  </si>
  <si>
    <t>Hoàng Ngọc Hà</t>
  </si>
  <si>
    <t>QĐ</t>
  </si>
  <si>
    <t>Quản đốc</t>
  </si>
  <si>
    <t>Hành chính (Tháng)</t>
  </si>
  <si>
    <t>CHAT_ID_NV00053</t>
  </si>
  <si>
    <t>Đang làm</t>
  </si>
  <si>
    <t>Quản đốc phân xưởng - Lương ngày công HC</t>
  </si>
  <si>
    <t>M01</t>
  </si>
  <si>
    <t>Máy tiện đứng T1516</t>
  </si>
  <si>
    <t>Tiện Đứng (M02-Ref)</t>
  </si>
  <si>
    <t>TN-2-X6.2-GC-B</t>
  </si>
  <si>
    <t>NV00266</t>
  </si>
  <si>
    <t>Trần Văn Dũng</t>
  </si>
  <si>
    <t>TC</t>
  </si>
  <si>
    <t>Trưởng ca</t>
  </si>
  <si>
    <t>Khoán 1 + 0.33 máy</t>
  </si>
  <si>
    <t>CHAT_ID_NV00266</t>
  </si>
  <si>
    <t>Trưởng ca (Đã gồm phụ cấp TC trong lương CB)</t>
  </si>
  <si>
    <t>M02</t>
  </si>
  <si>
    <t>Máy Tiện CNC 1</t>
  </si>
  <si>
    <t>Tiện CNC 2 trục (M01)</t>
  </si>
  <si>
    <t>TN-1A-X6.2-GC-B</t>
  </si>
  <si>
    <t>NV00214</t>
  </si>
  <si>
    <t>Trần Văn Quỳnh</t>
  </si>
  <si>
    <t>CN</t>
  </si>
  <si>
    <t>Công nhân</t>
  </si>
  <si>
    <t>CHAT_ID_NV00214</t>
  </si>
  <si>
    <t>Công nhân vận hành máy</t>
  </si>
  <si>
    <t>M03</t>
  </si>
  <si>
    <t>Máy Tiện CNC 2</t>
  </si>
  <si>
    <t>TN-1B-X6.2-GC-B</t>
  </si>
  <si>
    <t>NV00215</t>
  </si>
  <si>
    <t>Phạm Văn Tráng</t>
  </si>
  <si>
    <t>CHAT_ID_NV00215</t>
  </si>
  <si>
    <t>M04</t>
  </si>
  <si>
    <t>Máy tiện OKUMA</t>
  </si>
  <si>
    <t>TN-5-X6.2-GC-B</t>
  </si>
  <si>
    <t>NV00219</t>
  </si>
  <si>
    <t>Phùng Công Thắng</t>
  </si>
  <si>
    <t>CHAT_ID_NV00219</t>
  </si>
  <si>
    <t>M05</t>
  </si>
  <si>
    <t>Máy tiện FUJI</t>
  </si>
  <si>
    <t>TN-6-X6.2-GC-B</t>
  </si>
  <si>
    <t>NV00265</t>
  </si>
  <si>
    <t>Phạm Văn Sam</t>
  </si>
  <si>
    <t>CHAT_ID_NV00265</t>
  </si>
  <si>
    <t>Công nhân vận hành máy (Ảnh 2: Phạm Ngọc Sam)</t>
  </si>
  <si>
    <t>M06</t>
  </si>
  <si>
    <t>Máy tiện T630</t>
  </si>
  <si>
    <t>Tiện vạn năng Cơ (M06)</t>
  </si>
  <si>
    <t>TN-3-X6.2-GC-B</t>
  </si>
  <si>
    <t>NV00283</t>
  </si>
  <si>
    <t>Vũ Tiến Thuận</t>
  </si>
  <si>
    <t>CHAT_ID_NV00283</t>
  </si>
  <si>
    <t>M07</t>
  </si>
  <si>
    <t>Máy Phay CNC1</t>
  </si>
  <si>
    <t>Phay CNC 3 trục (M03)</t>
  </si>
  <si>
    <t>PY-7A-X6.2-GC-B</t>
  </si>
  <si>
    <t>NV00267</t>
  </si>
  <si>
    <t>Phùng Gia Phúc</t>
  </si>
  <si>
    <t>CHAT_ID_NV00267</t>
  </si>
  <si>
    <t>M08</t>
  </si>
  <si>
    <t>Máy Phay CNC2</t>
  </si>
  <si>
    <t>PY-7B-X6.2-GC-B</t>
  </si>
  <si>
    <t>NV00282</t>
  </si>
  <si>
    <t>Phùng Đình Hùng</t>
  </si>
  <si>
    <t>NV</t>
  </si>
  <si>
    <t>CHAT_ID_NV00282</t>
  </si>
  <si>
    <t>M09</t>
  </si>
  <si>
    <t>Máy phay OKK1</t>
  </si>
  <si>
    <t>Phay cơ vạn năng (M07)</t>
  </si>
  <si>
    <t>PY-4-X6.2-GC-B</t>
  </si>
  <si>
    <t>NV00218</t>
  </si>
  <si>
    <t>Nguyễn Trung Đông</t>
  </si>
  <si>
    <t>CHAT_ID_NV00218</t>
  </si>
  <si>
    <t>M10</t>
  </si>
  <si>
    <t>Máy phay OKK2</t>
  </si>
  <si>
    <t>PY-5-X6.2-GC-B</t>
  </si>
  <si>
    <t>NV00279</t>
  </si>
  <si>
    <t>Đinh Văn Nhận</t>
  </si>
  <si>
    <t>CHAT_ID_NV00279</t>
  </si>
  <si>
    <t>M11</t>
  </si>
  <si>
    <t>Máy phay OKK3</t>
  </si>
  <si>
    <t>PY-6-X6.2-GC-B</t>
  </si>
  <si>
    <t>NV00216</t>
  </si>
  <si>
    <t>Nguyễn Văn Thanh</t>
  </si>
  <si>
    <t>CHAT_ID_NV00216</t>
  </si>
  <si>
    <t>M12</t>
  </si>
  <si>
    <t>Máy Phay OIGO 1</t>
  </si>
  <si>
    <t>PY-3A-X6.2-GC-B</t>
  </si>
  <si>
    <t>NV00261</t>
  </si>
  <si>
    <t>Đặng Ngọc Long</t>
  </si>
  <si>
    <t>CHAT_ID_NV00261</t>
  </si>
  <si>
    <t>M13</t>
  </si>
  <si>
    <t>Máy Phay OIGO 2</t>
  </si>
  <si>
    <t>PY-3B-X6.2-GC-B</t>
  </si>
  <si>
    <t>M14</t>
  </si>
  <si>
    <t>Máy phay YM</t>
  </si>
  <si>
    <t>PY-1-X6.2-GC-B</t>
  </si>
  <si>
    <t>M15</t>
  </si>
  <si>
    <t>Máy Cắt Dây DK7745 - 1</t>
  </si>
  <si>
    <t>Cắt Dây EDM</t>
  </si>
  <si>
    <t>MCD-2A-X6-3-GC-B</t>
  </si>
  <si>
    <t>M16</t>
  </si>
  <si>
    <t>Máy Cắt Dây DK7745 - 2</t>
  </si>
  <si>
    <t>MCD-2B-X6-3-GC-B</t>
  </si>
  <si>
    <t>M17</t>
  </si>
  <si>
    <t>Máy Cắt Dây DK7745 - 3</t>
  </si>
  <si>
    <t>MCD-2C-X6-3-GC-B</t>
  </si>
  <si>
    <t>M18</t>
  </si>
  <si>
    <t>Máy mài băng từ 1</t>
  </si>
  <si>
    <t>Mài Từ</t>
  </si>
  <si>
    <t>MA-2A-X6-2-GC-B</t>
  </si>
  <si>
    <t>M19</t>
  </si>
  <si>
    <t>Máy mài băng từ 2</t>
  </si>
  <si>
    <t>MA-2B-X6-2-GC-B</t>
  </si>
  <si>
    <t>M20</t>
  </si>
  <si>
    <t>Máy Khoan cần Yoshida</t>
  </si>
  <si>
    <t>Khoan / Taro (M05)</t>
  </si>
  <si>
    <t>KH-1-X6.2-GC-C</t>
  </si>
  <si>
    <t>M21</t>
  </si>
  <si>
    <t>Máy cưa băng</t>
  </si>
  <si>
    <t>Cưa phôi</t>
  </si>
  <si>
    <t>CU-1-X6.2-GC-B</t>
  </si>
  <si>
    <t>M22</t>
  </si>
  <si>
    <t>Máy in 3D số 1</t>
  </si>
  <si>
    <t>In 3D Tạo Mẫu</t>
  </si>
  <si>
    <t>MI-1-X6.2-GCCK-C</t>
  </si>
  <si>
    <t>M23</t>
  </si>
  <si>
    <t>Máy in 3D số 2</t>
  </si>
  <si>
    <t>MI-2-X6.2-GCCK-C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</si>
</sst>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0D47A1"/>
        <bgColor rgb="FF0D47A1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3" fontId="2" fillId="3" borderId="1" xfId="0" applyNumberFormat="1" applyFont="1" applyFill="1" applyBorder="1"/>
    <xf numFmtId="4" fontId="2" fillId="3" borderId="1" xfId="0" applyNumberFormat="1" applyFont="1" applyFill="1" applyBorder="1"/>
    <xf numFmtId="0" fontId="2" fillId="0" borderId="1" xfId="0" applyFont="1" applyBorder="1"/>
    <xf numFmtId="3" fontId="2" fillId="0" borderId="1" xfId="0" applyNumberFormat="1" applyFont="1" applyBorder="1"/>
    <xf numFmtId="4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26" customWidth="1"/>
    <col min="5" max="5" width="22" customWidth="1"/>
    <col min="6" max="6" width="24" customWidth="1"/>
    <col min="7" max="7" width="27" customWidth="1"/>
    <col min="8" max="8" width="20" customWidth="1"/>
    <col min="9" max="9" width="14" customWidth="1"/>
    <col min="10" max="10" width="48" customWidth="1"/>
    <col min="11" max="12" width="12" customWidth="1"/>
    <col min="13" max="13" width="26" customWidth="1"/>
    <col min="14" max="14" width="38" customWidth="1"/>
    <col min="15" max="15" width="20" customWidth="1"/>
    <col min="16" max="16" width="16" customWidth="1"/>
    <col min="17" max="17" width="25" customWidth="1"/>
    <col min="18" max="19" width="26" customWidth="1"/>
  </cols>
  <sheetData>
    <row r="1" spans="1:19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3">
        <v>540000</v>
      </c>
      <c r="G2" s="4">
        <f t="shared" ref="G2:G14" si="0">ROUND(F2/28800, 2)</f>
        <v>18.75</v>
      </c>
      <c r="H2" s="2" t="s">
        <v>23</v>
      </c>
      <c r="I2" s="2" t="s">
        <v>24</v>
      </c>
      <c r="J2" s="2" t="s">
        <v>25</v>
      </c>
      <c r="K2" s="2"/>
      <c r="L2" s="2" t="s">
        <v>26</v>
      </c>
      <c r="M2" s="2" t="s">
        <v>27</v>
      </c>
      <c r="N2" s="2" t="s">
        <v>28</v>
      </c>
      <c r="O2" s="2" t="s">
        <v>29</v>
      </c>
      <c r="P2" s="2">
        <v>16</v>
      </c>
      <c r="Q2" s="3">
        <f t="shared" ref="Q2:Q24" si="1">ROUND((R2-385000)/8, 0)</f>
        <v>39375</v>
      </c>
      <c r="R2" s="3">
        <v>700000</v>
      </c>
      <c r="S2" s="3">
        <f t="shared" ref="S2:S24" si="2">ROUND(R2/8, 0)</f>
        <v>87500</v>
      </c>
    </row>
    <row r="3" spans="1:19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6">
        <v>410000</v>
      </c>
      <c r="G3" s="7">
        <f t="shared" si="0"/>
        <v>14.24</v>
      </c>
      <c r="H3" s="5" t="s">
        <v>35</v>
      </c>
      <c r="I3" s="5" t="s">
        <v>24</v>
      </c>
      <c r="J3" s="5" t="s">
        <v>36</v>
      </c>
      <c r="K3" s="5"/>
      <c r="L3" s="5" t="s">
        <v>37</v>
      </c>
      <c r="M3" s="5" t="s">
        <v>38</v>
      </c>
      <c r="N3" s="5" t="s">
        <v>39</v>
      </c>
      <c r="O3" s="5" t="s">
        <v>40</v>
      </c>
      <c r="P3" s="5">
        <v>16</v>
      </c>
      <c r="Q3" s="6">
        <f t="shared" si="1"/>
        <v>39375</v>
      </c>
      <c r="R3" s="6">
        <v>700000</v>
      </c>
      <c r="S3" s="6">
        <f t="shared" si="2"/>
        <v>87500</v>
      </c>
    </row>
    <row r="4" spans="1:19" x14ac:dyDescent="0.25">
      <c r="A4" s="2" t="s">
        <v>41</v>
      </c>
      <c r="B4" s="2" t="s">
        <v>42</v>
      </c>
      <c r="C4" s="2" t="s">
        <v>43</v>
      </c>
      <c r="D4" s="2" t="s">
        <v>44</v>
      </c>
      <c r="E4" s="2" t="s">
        <v>34</v>
      </c>
      <c r="F4" s="3">
        <v>400000</v>
      </c>
      <c r="G4" s="4">
        <f t="shared" si="0"/>
        <v>13.89</v>
      </c>
      <c r="H4" s="2" t="s">
        <v>45</v>
      </c>
      <c r="I4" s="2" t="s">
        <v>24</v>
      </c>
      <c r="J4" s="2" t="s">
        <v>46</v>
      </c>
      <c r="K4" s="2"/>
      <c r="L4" s="2" t="s">
        <v>47</v>
      </c>
      <c r="M4" s="2" t="s">
        <v>48</v>
      </c>
      <c r="N4" s="2" t="s">
        <v>39</v>
      </c>
      <c r="O4" s="2" t="s">
        <v>49</v>
      </c>
      <c r="P4" s="2">
        <v>16</v>
      </c>
      <c r="Q4" s="3">
        <f t="shared" si="1"/>
        <v>39375</v>
      </c>
      <c r="R4" s="3">
        <v>700000</v>
      </c>
      <c r="S4" s="3">
        <f t="shared" si="2"/>
        <v>87500</v>
      </c>
    </row>
    <row r="5" spans="1:19" x14ac:dyDescent="0.25">
      <c r="A5" s="5" t="s">
        <v>50</v>
      </c>
      <c r="B5" s="5" t="s">
        <v>51</v>
      </c>
      <c r="C5" s="5" t="s">
        <v>32</v>
      </c>
      <c r="D5" s="5" t="s">
        <v>33</v>
      </c>
      <c r="E5" s="5" t="s">
        <v>34</v>
      </c>
      <c r="F5" s="6">
        <v>385000</v>
      </c>
      <c r="G5" s="7">
        <f t="shared" si="0"/>
        <v>13.37</v>
      </c>
      <c r="H5" s="5" t="s">
        <v>52</v>
      </c>
      <c r="I5" s="5" t="s">
        <v>24</v>
      </c>
      <c r="J5" s="5" t="s">
        <v>36</v>
      </c>
      <c r="K5" s="5"/>
      <c r="L5" s="5" t="s">
        <v>53</v>
      </c>
      <c r="M5" s="5" t="s">
        <v>54</v>
      </c>
      <c r="N5" s="5" t="s">
        <v>39</v>
      </c>
      <c r="O5" s="5" t="s">
        <v>55</v>
      </c>
      <c r="P5" s="5">
        <v>16</v>
      </c>
      <c r="Q5" s="6">
        <f t="shared" si="1"/>
        <v>39375</v>
      </c>
      <c r="R5" s="6">
        <v>700000</v>
      </c>
      <c r="S5" s="6">
        <f t="shared" si="2"/>
        <v>87500</v>
      </c>
    </row>
    <row r="6" spans="1:19" x14ac:dyDescent="0.25">
      <c r="A6" s="2" t="s">
        <v>56</v>
      </c>
      <c r="B6" s="2" t="s">
        <v>57</v>
      </c>
      <c r="C6" s="2" t="s">
        <v>43</v>
      </c>
      <c r="D6" s="2" t="s">
        <v>44</v>
      </c>
      <c r="E6" s="2" t="s">
        <v>34</v>
      </c>
      <c r="F6" s="3">
        <v>385000</v>
      </c>
      <c r="G6" s="4">
        <f t="shared" si="0"/>
        <v>13.37</v>
      </c>
      <c r="H6" s="2" t="s">
        <v>58</v>
      </c>
      <c r="I6" s="2" t="s">
        <v>24</v>
      </c>
      <c r="J6" s="2" t="s">
        <v>46</v>
      </c>
      <c r="K6" s="2"/>
      <c r="L6" s="2" t="s">
        <v>59</v>
      </c>
      <c r="M6" s="2" t="s">
        <v>60</v>
      </c>
      <c r="N6" s="2" t="s">
        <v>39</v>
      </c>
      <c r="O6" s="2" t="s">
        <v>61</v>
      </c>
      <c r="P6" s="2">
        <v>16</v>
      </c>
      <c r="Q6" s="3">
        <f t="shared" si="1"/>
        <v>39375</v>
      </c>
      <c r="R6" s="3">
        <v>700000</v>
      </c>
      <c r="S6" s="3">
        <f t="shared" si="2"/>
        <v>87500</v>
      </c>
    </row>
    <row r="7" spans="1:19" x14ac:dyDescent="0.25">
      <c r="A7" s="5" t="s">
        <v>62</v>
      </c>
      <c r="B7" s="5" t="s">
        <v>63</v>
      </c>
      <c r="C7" s="5" t="s">
        <v>43</v>
      </c>
      <c r="D7" s="5" t="s">
        <v>44</v>
      </c>
      <c r="E7" s="5" t="s">
        <v>34</v>
      </c>
      <c r="F7" s="6">
        <v>385000</v>
      </c>
      <c r="G7" s="7">
        <f t="shared" si="0"/>
        <v>13.37</v>
      </c>
      <c r="H7" s="5" t="s">
        <v>64</v>
      </c>
      <c r="I7" s="5" t="s">
        <v>24</v>
      </c>
      <c r="J7" s="5" t="s">
        <v>65</v>
      </c>
      <c r="K7" s="5"/>
      <c r="L7" s="5" t="s">
        <v>66</v>
      </c>
      <c r="M7" s="5" t="s">
        <v>67</v>
      </c>
      <c r="N7" s="5" t="s">
        <v>68</v>
      </c>
      <c r="O7" s="5" t="s">
        <v>69</v>
      </c>
      <c r="P7" s="5">
        <v>8</v>
      </c>
      <c r="Q7" s="6">
        <f t="shared" si="1"/>
        <v>26875</v>
      </c>
      <c r="R7" s="6">
        <v>600000</v>
      </c>
      <c r="S7" s="6">
        <f t="shared" si="2"/>
        <v>75000</v>
      </c>
    </row>
    <row r="8" spans="1:19" x14ac:dyDescent="0.25">
      <c r="A8" s="2" t="s">
        <v>70</v>
      </c>
      <c r="B8" s="2" t="s">
        <v>71</v>
      </c>
      <c r="C8" s="2" t="s">
        <v>43</v>
      </c>
      <c r="D8" s="2" t="s">
        <v>44</v>
      </c>
      <c r="E8" s="2" t="s">
        <v>34</v>
      </c>
      <c r="F8" s="3">
        <v>385000</v>
      </c>
      <c r="G8" s="4">
        <f t="shared" si="0"/>
        <v>13.37</v>
      </c>
      <c r="H8" s="2" t="s">
        <v>72</v>
      </c>
      <c r="I8" s="2" t="s">
        <v>24</v>
      </c>
      <c r="J8" s="2" t="s">
        <v>46</v>
      </c>
      <c r="K8" s="2"/>
      <c r="L8" s="2" t="s">
        <v>73</v>
      </c>
      <c r="M8" s="2" t="s">
        <v>74</v>
      </c>
      <c r="N8" s="2" t="s">
        <v>75</v>
      </c>
      <c r="O8" s="2" t="s">
        <v>76</v>
      </c>
      <c r="P8" s="2">
        <v>16</v>
      </c>
      <c r="Q8" s="3">
        <f t="shared" si="1"/>
        <v>51875</v>
      </c>
      <c r="R8" s="3">
        <v>800000</v>
      </c>
      <c r="S8" s="3">
        <f t="shared" si="2"/>
        <v>100000</v>
      </c>
    </row>
    <row r="9" spans="1:19" x14ac:dyDescent="0.25">
      <c r="A9" s="5" t="s">
        <v>77</v>
      </c>
      <c r="B9" s="5" t="s">
        <v>78</v>
      </c>
      <c r="C9" s="5" t="s">
        <v>32</v>
      </c>
      <c r="D9" s="5" t="s">
        <v>33</v>
      </c>
      <c r="E9" s="5" t="s">
        <v>34</v>
      </c>
      <c r="F9" s="6">
        <v>380000</v>
      </c>
      <c r="G9" s="7">
        <f t="shared" si="0"/>
        <v>13.19</v>
      </c>
      <c r="H9" s="5" t="s">
        <v>79</v>
      </c>
      <c r="I9" s="5" t="s">
        <v>24</v>
      </c>
      <c r="J9" s="5" t="s">
        <v>36</v>
      </c>
      <c r="K9" s="5"/>
      <c r="L9" s="5" t="s">
        <v>80</v>
      </c>
      <c r="M9" s="5" t="s">
        <v>81</v>
      </c>
      <c r="N9" s="5" t="s">
        <v>75</v>
      </c>
      <c r="O9" s="5" t="s">
        <v>82</v>
      </c>
      <c r="P9" s="5">
        <v>16</v>
      </c>
      <c r="Q9" s="6">
        <f t="shared" si="1"/>
        <v>26875</v>
      </c>
      <c r="R9" s="6">
        <v>600000</v>
      </c>
      <c r="S9" s="6">
        <f t="shared" si="2"/>
        <v>75000</v>
      </c>
    </row>
    <row r="10" spans="1:19" x14ac:dyDescent="0.25">
      <c r="A10" s="2" t="s">
        <v>83</v>
      </c>
      <c r="B10" s="2" t="s">
        <v>84</v>
      </c>
      <c r="C10" s="2" t="s">
        <v>85</v>
      </c>
      <c r="D10" s="2" t="s">
        <v>44</v>
      </c>
      <c r="E10" s="2" t="s">
        <v>22</v>
      </c>
      <c r="F10" s="3">
        <v>375000</v>
      </c>
      <c r="G10" s="4">
        <f t="shared" si="0"/>
        <v>13.02</v>
      </c>
      <c r="H10" s="2" t="s">
        <v>86</v>
      </c>
      <c r="I10" s="2" t="s">
        <v>24</v>
      </c>
      <c r="J10" s="5" t="s">
        <v>46</v>
      </c>
      <c r="K10" s="2"/>
      <c r="L10" s="2" t="s">
        <v>87</v>
      </c>
      <c r="M10" s="2" t="s">
        <v>88</v>
      </c>
      <c r="N10" s="2" t="s">
        <v>89</v>
      </c>
      <c r="O10" s="2" t="s">
        <v>90</v>
      </c>
      <c r="P10" s="2">
        <v>16</v>
      </c>
      <c r="Q10" s="3">
        <f t="shared" si="1"/>
        <v>26875</v>
      </c>
      <c r="R10" s="3">
        <v>600000</v>
      </c>
      <c r="S10" s="3">
        <f t="shared" si="2"/>
        <v>75000</v>
      </c>
    </row>
    <row r="11" spans="1:19" x14ac:dyDescent="0.25">
      <c r="A11" s="5" t="s">
        <v>91</v>
      </c>
      <c r="B11" s="5" t="s">
        <v>92</v>
      </c>
      <c r="C11" s="5" t="s">
        <v>43</v>
      </c>
      <c r="D11" s="5" t="s">
        <v>44</v>
      </c>
      <c r="E11" s="5" t="s">
        <v>34</v>
      </c>
      <c r="F11" s="6">
        <v>370000</v>
      </c>
      <c r="G11" s="7">
        <f t="shared" si="0"/>
        <v>12.85</v>
      </c>
      <c r="H11" s="5" t="s">
        <v>93</v>
      </c>
      <c r="I11" s="5" t="s">
        <v>24</v>
      </c>
      <c r="J11" s="5" t="s">
        <v>46</v>
      </c>
      <c r="K11" s="5"/>
      <c r="L11" s="5" t="s">
        <v>94</v>
      </c>
      <c r="M11" s="5" t="s">
        <v>95</v>
      </c>
      <c r="N11" s="5" t="s">
        <v>89</v>
      </c>
      <c r="O11" s="5" t="s">
        <v>96</v>
      </c>
      <c r="P11" s="5">
        <v>16</v>
      </c>
      <c r="Q11" s="6">
        <f t="shared" si="1"/>
        <v>26875</v>
      </c>
      <c r="R11" s="6">
        <v>600000</v>
      </c>
      <c r="S11" s="6">
        <f t="shared" si="2"/>
        <v>75000</v>
      </c>
    </row>
    <row r="12" spans="1:19" x14ac:dyDescent="0.25">
      <c r="A12" s="2" t="s">
        <v>97</v>
      </c>
      <c r="B12" s="2" t="s">
        <v>98</v>
      </c>
      <c r="C12" s="2" t="s">
        <v>43</v>
      </c>
      <c r="D12" s="2" t="s">
        <v>44</v>
      </c>
      <c r="E12" s="2" t="s">
        <v>34</v>
      </c>
      <c r="F12" s="3">
        <v>370000</v>
      </c>
      <c r="G12" s="4">
        <f t="shared" si="0"/>
        <v>12.85</v>
      </c>
      <c r="H12" s="2" t="s">
        <v>99</v>
      </c>
      <c r="I12" s="2" t="s">
        <v>24</v>
      </c>
      <c r="J12" s="2" t="s">
        <v>46</v>
      </c>
      <c r="K12" s="2"/>
      <c r="L12" s="2" t="s">
        <v>100</v>
      </c>
      <c r="M12" s="2" t="s">
        <v>101</v>
      </c>
      <c r="N12" s="2" t="s">
        <v>89</v>
      </c>
      <c r="O12" s="2" t="s">
        <v>102</v>
      </c>
      <c r="P12" s="2">
        <v>16</v>
      </c>
      <c r="Q12" s="3">
        <f t="shared" si="1"/>
        <v>26875</v>
      </c>
      <c r="R12" s="3">
        <v>600000</v>
      </c>
      <c r="S12" s="3">
        <f t="shared" si="2"/>
        <v>75000</v>
      </c>
    </row>
    <row r="13" spans="1:19" x14ac:dyDescent="0.25">
      <c r="A13" s="5" t="s">
        <v>103</v>
      </c>
      <c r="B13" s="5" t="s">
        <v>104</v>
      </c>
      <c r="C13" s="5" t="s">
        <v>43</v>
      </c>
      <c r="D13" s="5" t="s">
        <v>44</v>
      </c>
      <c r="E13" s="5" t="s">
        <v>34</v>
      </c>
      <c r="F13" s="6">
        <v>370000</v>
      </c>
      <c r="G13" s="7">
        <f t="shared" si="0"/>
        <v>12.85</v>
      </c>
      <c r="H13" s="5" t="s">
        <v>105</v>
      </c>
      <c r="I13" s="5" t="s">
        <v>24</v>
      </c>
      <c r="J13" s="5" t="s">
        <v>46</v>
      </c>
      <c r="K13" s="5"/>
      <c r="L13" s="5" t="s">
        <v>106</v>
      </c>
      <c r="M13" s="5" t="s">
        <v>107</v>
      </c>
      <c r="N13" s="5" t="s">
        <v>89</v>
      </c>
      <c r="O13" s="5" t="s">
        <v>108</v>
      </c>
      <c r="P13" s="5">
        <v>8</v>
      </c>
      <c r="Q13" s="6">
        <f t="shared" si="1"/>
        <v>51875</v>
      </c>
      <c r="R13" s="6">
        <v>800000</v>
      </c>
      <c r="S13" s="6">
        <f t="shared" si="2"/>
        <v>100000</v>
      </c>
    </row>
    <row r="14" spans="1:19" x14ac:dyDescent="0.25">
      <c r="A14" s="2" t="s">
        <v>109</v>
      </c>
      <c r="B14" s="2" t="s">
        <v>110</v>
      </c>
      <c r="C14" s="2" t="s">
        <v>43</v>
      </c>
      <c r="D14" s="2" t="s">
        <v>44</v>
      </c>
      <c r="E14" s="2" t="s">
        <v>34</v>
      </c>
      <c r="F14" s="3">
        <v>360000</v>
      </c>
      <c r="G14" s="4">
        <f t="shared" si="0"/>
        <v>12.5</v>
      </c>
      <c r="H14" s="2" t="s">
        <v>111</v>
      </c>
      <c r="I14" s="2" t="s">
        <v>24</v>
      </c>
      <c r="J14" s="2" t="s">
        <v>46</v>
      </c>
      <c r="K14" s="2"/>
      <c r="L14" s="2" t="s">
        <v>112</v>
      </c>
      <c r="M14" s="2" t="s">
        <v>113</v>
      </c>
      <c r="N14" s="2" t="s">
        <v>89</v>
      </c>
      <c r="O14" s="2" t="s">
        <v>114</v>
      </c>
      <c r="P14" s="2">
        <v>8</v>
      </c>
      <c r="Q14" s="3">
        <f t="shared" si="1"/>
        <v>51875</v>
      </c>
      <c r="R14" s="3">
        <v>800000</v>
      </c>
      <c r="S14" s="3">
        <f t="shared" si="2"/>
        <v>100000</v>
      </c>
    </row>
    <row r="15" spans="1:19" x14ac:dyDescent="0.25">
      <c r="A15" s="8"/>
      <c r="B15" s="8"/>
      <c r="C15" s="8"/>
      <c r="D15" s="8"/>
      <c r="E15" s="8"/>
      <c r="F15" s="9"/>
      <c r="G15" s="10"/>
      <c r="H15" s="8"/>
      <c r="I15" s="8"/>
      <c r="J15" s="8"/>
      <c r="K15" s="5"/>
      <c r="L15" s="5" t="s">
        <v>115</v>
      </c>
      <c r="M15" s="5" t="s">
        <v>116</v>
      </c>
      <c r="N15" s="5" t="s">
        <v>89</v>
      </c>
      <c r="O15" s="5" t="s">
        <v>117</v>
      </c>
      <c r="P15" s="5">
        <v>8</v>
      </c>
      <c r="Q15" s="6">
        <f t="shared" si="1"/>
        <v>26875</v>
      </c>
      <c r="R15" s="6">
        <v>600000</v>
      </c>
      <c r="S15" s="6">
        <f t="shared" si="2"/>
        <v>75000</v>
      </c>
    </row>
    <row r="16" spans="1:19" x14ac:dyDescent="0.25">
      <c r="A16" s="8"/>
      <c r="B16" s="8"/>
      <c r="C16" s="8"/>
      <c r="D16" s="8"/>
      <c r="E16" s="8"/>
      <c r="F16" s="9"/>
      <c r="G16" s="10"/>
      <c r="H16" s="8"/>
      <c r="I16" s="8"/>
      <c r="J16" s="8"/>
      <c r="K16" s="2"/>
      <c r="L16" s="2" t="s">
        <v>118</v>
      </c>
      <c r="M16" s="2" t="s">
        <v>119</v>
      </c>
      <c r="N16" s="2" t="s">
        <v>120</v>
      </c>
      <c r="O16" s="2" t="s">
        <v>121</v>
      </c>
      <c r="P16" s="2">
        <v>20</v>
      </c>
      <c r="Q16" s="3">
        <f t="shared" si="1"/>
        <v>14375</v>
      </c>
      <c r="R16" s="3">
        <v>500000</v>
      </c>
      <c r="S16" s="3">
        <f t="shared" si="2"/>
        <v>62500</v>
      </c>
    </row>
    <row r="17" spans="1:19" x14ac:dyDescent="0.25">
      <c r="A17" s="8"/>
      <c r="B17" s="8"/>
      <c r="C17" s="8"/>
      <c r="D17" s="8"/>
      <c r="E17" s="8"/>
      <c r="F17" s="9"/>
      <c r="G17" s="10"/>
      <c r="H17" s="8"/>
      <c r="I17" s="8"/>
      <c r="J17" s="8"/>
      <c r="K17" s="5"/>
      <c r="L17" s="5" t="s">
        <v>122</v>
      </c>
      <c r="M17" s="5" t="s">
        <v>123</v>
      </c>
      <c r="N17" s="5" t="s">
        <v>120</v>
      </c>
      <c r="O17" s="5" t="s">
        <v>124</v>
      </c>
      <c r="P17" s="5">
        <v>20</v>
      </c>
      <c r="Q17" s="6">
        <f t="shared" si="1"/>
        <v>14375</v>
      </c>
      <c r="R17" s="6">
        <v>500000</v>
      </c>
      <c r="S17" s="6">
        <f t="shared" si="2"/>
        <v>62500</v>
      </c>
    </row>
    <row r="18" spans="1:19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2"/>
      <c r="L18" s="2" t="s">
        <v>125</v>
      </c>
      <c r="M18" s="2" t="s">
        <v>126</v>
      </c>
      <c r="N18" s="2" t="s">
        <v>120</v>
      </c>
      <c r="O18" s="2" t="s">
        <v>127</v>
      </c>
      <c r="P18" s="2">
        <v>20</v>
      </c>
      <c r="Q18" s="3">
        <f t="shared" si="1"/>
        <v>14375</v>
      </c>
      <c r="R18" s="3">
        <v>500000</v>
      </c>
      <c r="S18" s="3">
        <f t="shared" si="2"/>
        <v>62500</v>
      </c>
    </row>
    <row r="19" spans="1:19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5"/>
      <c r="L19" s="5" t="s">
        <v>128</v>
      </c>
      <c r="M19" s="5" t="s">
        <v>129</v>
      </c>
      <c r="N19" s="5" t="s">
        <v>130</v>
      </c>
      <c r="O19" s="5" t="s">
        <v>131</v>
      </c>
      <c r="P19" s="5">
        <v>16</v>
      </c>
      <c r="Q19" s="6">
        <f t="shared" si="1"/>
        <v>14375</v>
      </c>
      <c r="R19" s="6">
        <v>500000</v>
      </c>
      <c r="S19" s="6">
        <f t="shared" si="2"/>
        <v>62500</v>
      </c>
    </row>
    <row r="20" spans="1:19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2"/>
      <c r="L20" s="2" t="s">
        <v>132</v>
      </c>
      <c r="M20" s="2" t="s">
        <v>133</v>
      </c>
      <c r="N20" s="2" t="s">
        <v>130</v>
      </c>
      <c r="O20" s="2" t="s">
        <v>134</v>
      </c>
      <c r="P20" s="2">
        <v>16</v>
      </c>
      <c r="Q20" s="3">
        <f t="shared" si="1"/>
        <v>14375</v>
      </c>
      <c r="R20" s="3">
        <v>500000</v>
      </c>
      <c r="S20" s="3">
        <f t="shared" si="2"/>
        <v>62500</v>
      </c>
    </row>
    <row r="21" spans="1:19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5"/>
      <c r="L21" s="5" t="s">
        <v>135</v>
      </c>
      <c r="M21" s="5" t="s">
        <v>136</v>
      </c>
      <c r="N21" s="5" t="s">
        <v>137</v>
      </c>
      <c r="O21" s="5" t="s">
        <v>138</v>
      </c>
      <c r="P21" s="5">
        <v>8</v>
      </c>
      <c r="Q21" s="6">
        <f t="shared" si="1"/>
        <v>26875</v>
      </c>
      <c r="R21" s="6">
        <v>600000</v>
      </c>
      <c r="S21" s="6">
        <f t="shared" si="2"/>
        <v>75000</v>
      </c>
    </row>
    <row r="22" spans="1:19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2"/>
      <c r="L22" s="2" t="s">
        <v>139</v>
      </c>
      <c r="M22" s="2" t="s">
        <v>140</v>
      </c>
      <c r="N22" s="2" t="s">
        <v>141</v>
      </c>
      <c r="O22" s="2" t="s">
        <v>142</v>
      </c>
      <c r="P22" s="2">
        <v>8</v>
      </c>
      <c r="Q22" s="3">
        <f t="shared" si="1"/>
        <v>14375</v>
      </c>
      <c r="R22" s="3">
        <v>500000</v>
      </c>
      <c r="S22" s="3">
        <f t="shared" si="2"/>
        <v>62500</v>
      </c>
    </row>
    <row r="23" spans="1:19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5"/>
      <c r="L23" s="5" t="s">
        <v>143</v>
      </c>
      <c r="M23" s="5" t="s">
        <v>144</v>
      </c>
      <c r="N23" s="5" t="s">
        <v>145</v>
      </c>
      <c r="O23" s="5" t="s">
        <v>146</v>
      </c>
      <c r="P23" s="5">
        <v>20</v>
      </c>
      <c r="Q23" s="6">
        <f t="shared" si="1"/>
        <v>14375</v>
      </c>
      <c r="R23" s="6">
        <v>500000</v>
      </c>
      <c r="S23" s="6">
        <f t="shared" si="2"/>
        <v>62500</v>
      </c>
    </row>
    <row r="24" spans="1:19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2"/>
      <c r="L24" s="2" t="s">
        <v>147</v>
      </c>
      <c r="M24" s="2" t="s">
        <v>148</v>
      </c>
      <c r="N24" s="2" t="s">
        <v>145</v>
      </c>
      <c r="O24" s="2" t="s">
        <v>149</v>
      </c>
      <c r="P24" s="2">
        <v>20</v>
      </c>
      <c r="Q24" s="3">
        <f t="shared" si="1"/>
        <v>14375</v>
      </c>
      <c r="R24" s="3">
        <v>500000</v>
      </c>
      <c r="S24" s="3">
        <f t="shared" si="2"/>
        <v>62500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Hoang Ha</cp:lastModifiedBy>
  <dcterms:created xsi:type="dcterms:W3CDTF">2015-06-05T18:17:20Z</dcterms:created>
  <dcterms:modified xsi:type="dcterms:W3CDTF">2026-10-27T15:17:56Z</dcterms:modified>
</cp:coreProperties>
</file>