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QuanLyGCCK\"/>
    </mc:Choice>
  </mc:AlternateContent>
  <xr:revisionPtr revIDLastSave="0" documentId="13_ncr:1_{B37D3B34-0C7A-4587-A8DF-ADAA40D892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28" i="1" l="1"/>
  <c r="Q628" i="1"/>
  <c r="T628" i="1" s="1"/>
  <c r="O628" i="1"/>
  <c r="G628" i="1"/>
  <c r="R627" i="1"/>
  <c r="Q627" i="1"/>
  <c r="T627" i="1" s="1"/>
  <c r="O627" i="1"/>
  <c r="G627" i="1"/>
  <c r="R626" i="1"/>
  <c r="Q626" i="1"/>
  <c r="O626" i="1"/>
  <c r="G626" i="1"/>
  <c r="R625" i="1"/>
  <c r="Q625" i="1"/>
  <c r="T625" i="1" s="1"/>
  <c r="O625" i="1"/>
  <c r="G625" i="1"/>
  <c r="R624" i="1"/>
  <c r="Q624" i="1"/>
  <c r="T624" i="1" s="1"/>
  <c r="O624" i="1"/>
  <c r="G624" i="1"/>
  <c r="R623" i="1"/>
  <c r="Q623" i="1"/>
  <c r="T623" i="1" s="1"/>
  <c r="O623" i="1"/>
  <c r="G623" i="1"/>
  <c r="R622" i="1"/>
  <c r="Q622" i="1"/>
  <c r="O622" i="1"/>
  <c r="G622" i="1"/>
  <c r="R621" i="1"/>
  <c r="Q621" i="1"/>
  <c r="T621" i="1" s="1"/>
  <c r="O621" i="1"/>
  <c r="G621" i="1"/>
  <c r="R620" i="1"/>
  <c r="Q620" i="1"/>
  <c r="T620" i="1" s="1"/>
  <c r="O620" i="1"/>
  <c r="G620" i="1"/>
  <c r="R619" i="1"/>
  <c r="Q619" i="1"/>
  <c r="T619" i="1" s="1"/>
  <c r="O619" i="1"/>
  <c r="G619" i="1"/>
  <c r="R618" i="1"/>
  <c r="Q618" i="1"/>
  <c r="O618" i="1"/>
  <c r="G618" i="1"/>
  <c r="R617" i="1"/>
  <c r="Q617" i="1"/>
  <c r="T617" i="1" s="1"/>
  <c r="O617" i="1"/>
  <c r="G617" i="1"/>
  <c r="R616" i="1"/>
  <c r="Q616" i="1"/>
  <c r="T616" i="1" s="1"/>
  <c r="O616" i="1"/>
  <c r="G616" i="1"/>
  <c r="R615" i="1"/>
  <c r="Q615" i="1"/>
  <c r="T615" i="1" s="1"/>
  <c r="O615" i="1"/>
  <c r="G615" i="1"/>
  <c r="R614" i="1"/>
  <c r="Q614" i="1"/>
  <c r="O614" i="1"/>
  <c r="G614" i="1"/>
  <c r="R613" i="1"/>
  <c r="Q613" i="1"/>
  <c r="T613" i="1" s="1"/>
  <c r="O613" i="1"/>
  <c r="G613" i="1"/>
  <c r="R612" i="1"/>
  <c r="Q612" i="1"/>
  <c r="T612" i="1" s="1"/>
  <c r="O612" i="1"/>
  <c r="G612" i="1"/>
  <c r="R611" i="1"/>
  <c r="Q611" i="1"/>
  <c r="T611" i="1" s="1"/>
  <c r="O611" i="1"/>
  <c r="G611" i="1"/>
  <c r="R610" i="1"/>
  <c r="Q610" i="1"/>
  <c r="O610" i="1"/>
  <c r="G610" i="1"/>
  <c r="R609" i="1"/>
  <c r="Q609" i="1"/>
  <c r="T609" i="1" s="1"/>
  <c r="O609" i="1"/>
  <c r="G609" i="1"/>
  <c r="R608" i="1"/>
  <c r="Q608" i="1"/>
  <c r="T608" i="1" s="1"/>
  <c r="O608" i="1"/>
  <c r="G608" i="1"/>
  <c r="R607" i="1"/>
  <c r="Q607" i="1"/>
  <c r="T607" i="1" s="1"/>
  <c r="O607" i="1"/>
  <c r="G607" i="1"/>
  <c r="R606" i="1"/>
  <c r="Q606" i="1"/>
  <c r="O606" i="1"/>
  <c r="G606" i="1"/>
  <c r="R605" i="1"/>
  <c r="Q605" i="1"/>
  <c r="T605" i="1" s="1"/>
  <c r="O605" i="1"/>
  <c r="G605" i="1"/>
  <c r="R604" i="1"/>
  <c r="Q604" i="1"/>
  <c r="T604" i="1" s="1"/>
  <c r="O604" i="1"/>
  <c r="G604" i="1"/>
  <c r="R603" i="1"/>
  <c r="Q603" i="1"/>
  <c r="T603" i="1" s="1"/>
  <c r="O603" i="1"/>
  <c r="G603" i="1"/>
  <c r="R602" i="1"/>
  <c r="Q602" i="1"/>
  <c r="O602" i="1"/>
  <c r="G602" i="1"/>
  <c r="R601" i="1"/>
  <c r="Q601" i="1"/>
  <c r="T601" i="1" s="1"/>
  <c r="O601" i="1"/>
  <c r="G601" i="1"/>
  <c r="R600" i="1"/>
  <c r="Q600" i="1"/>
  <c r="T600" i="1" s="1"/>
  <c r="O600" i="1"/>
  <c r="G600" i="1"/>
  <c r="R599" i="1"/>
  <c r="Q599" i="1"/>
  <c r="T599" i="1" s="1"/>
  <c r="O599" i="1"/>
  <c r="G599" i="1"/>
  <c r="R598" i="1"/>
  <c r="Q598" i="1"/>
  <c r="O598" i="1"/>
  <c r="G598" i="1"/>
  <c r="R597" i="1"/>
  <c r="Q597" i="1"/>
  <c r="T597" i="1" s="1"/>
  <c r="O597" i="1"/>
  <c r="G597" i="1"/>
  <c r="R596" i="1"/>
  <c r="Q596" i="1"/>
  <c r="T596" i="1" s="1"/>
  <c r="O596" i="1"/>
  <c r="G596" i="1"/>
  <c r="R595" i="1"/>
  <c r="Q595" i="1"/>
  <c r="T595" i="1" s="1"/>
  <c r="O595" i="1"/>
  <c r="G595" i="1"/>
  <c r="R594" i="1"/>
  <c r="Q594" i="1"/>
  <c r="O594" i="1"/>
  <c r="G594" i="1"/>
  <c r="R593" i="1"/>
  <c r="Q593" i="1"/>
  <c r="T593" i="1" s="1"/>
  <c r="O593" i="1"/>
  <c r="G593" i="1"/>
  <c r="R592" i="1"/>
  <c r="Q592" i="1"/>
  <c r="T592" i="1" s="1"/>
  <c r="O592" i="1"/>
  <c r="G592" i="1"/>
  <c r="R591" i="1"/>
  <c r="Q591" i="1"/>
  <c r="T591" i="1" s="1"/>
  <c r="O591" i="1"/>
  <c r="G591" i="1"/>
  <c r="R590" i="1"/>
  <c r="Q590" i="1"/>
  <c r="O590" i="1"/>
  <c r="G590" i="1"/>
  <c r="R589" i="1"/>
  <c r="Q589" i="1"/>
  <c r="T589" i="1" s="1"/>
  <c r="O589" i="1"/>
  <c r="G589" i="1"/>
  <c r="R588" i="1"/>
  <c r="Q588" i="1"/>
  <c r="T588" i="1" s="1"/>
  <c r="O588" i="1"/>
  <c r="G588" i="1"/>
  <c r="R587" i="1"/>
  <c r="Q587" i="1"/>
  <c r="T587" i="1" s="1"/>
  <c r="O587" i="1"/>
  <c r="G587" i="1"/>
  <c r="R586" i="1"/>
  <c r="Q586" i="1"/>
  <c r="O586" i="1"/>
  <c r="G586" i="1"/>
  <c r="R585" i="1"/>
  <c r="Q585" i="1"/>
  <c r="T585" i="1" s="1"/>
  <c r="O585" i="1"/>
  <c r="G585" i="1"/>
  <c r="R584" i="1"/>
  <c r="Q584" i="1"/>
  <c r="T584" i="1" s="1"/>
  <c r="O584" i="1"/>
  <c r="G584" i="1"/>
  <c r="R583" i="1"/>
  <c r="Q583" i="1"/>
  <c r="T583" i="1" s="1"/>
  <c r="O583" i="1"/>
  <c r="G583" i="1"/>
  <c r="R582" i="1"/>
  <c r="Q582" i="1"/>
  <c r="O582" i="1"/>
  <c r="G582" i="1"/>
  <c r="R581" i="1"/>
  <c r="Q581" i="1"/>
  <c r="T581" i="1" s="1"/>
  <c r="O581" i="1"/>
  <c r="G581" i="1"/>
  <c r="R580" i="1"/>
  <c r="Q580" i="1"/>
  <c r="T580" i="1" s="1"/>
  <c r="O580" i="1"/>
  <c r="G580" i="1"/>
  <c r="R579" i="1"/>
  <c r="Q579" i="1"/>
  <c r="T579" i="1" s="1"/>
  <c r="O579" i="1"/>
  <c r="G579" i="1"/>
  <c r="R578" i="1"/>
  <c r="Q578" i="1"/>
  <c r="O578" i="1"/>
  <c r="G578" i="1"/>
  <c r="R577" i="1"/>
  <c r="Q577" i="1"/>
  <c r="T577" i="1" s="1"/>
  <c r="O577" i="1"/>
  <c r="G577" i="1"/>
  <c r="R576" i="1"/>
  <c r="Q576" i="1"/>
  <c r="T576" i="1" s="1"/>
  <c r="O576" i="1"/>
  <c r="G576" i="1"/>
  <c r="R575" i="1"/>
  <c r="Q575" i="1"/>
  <c r="T575" i="1" s="1"/>
  <c r="O575" i="1"/>
  <c r="G575" i="1"/>
  <c r="R574" i="1"/>
  <c r="Q574" i="1"/>
  <c r="O574" i="1"/>
  <c r="G574" i="1"/>
  <c r="R573" i="1"/>
  <c r="Q573" i="1"/>
  <c r="T573" i="1" s="1"/>
  <c r="O573" i="1"/>
  <c r="G573" i="1"/>
  <c r="R572" i="1"/>
  <c r="Q572" i="1"/>
  <c r="T572" i="1" s="1"/>
  <c r="O572" i="1"/>
  <c r="G572" i="1"/>
  <c r="R571" i="1"/>
  <c r="Q571" i="1"/>
  <c r="T571" i="1" s="1"/>
  <c r="O571" i="1"/>
  <c r="G571" i="1"/>
  <c r="R570" i="1"/>
  <c r="Q570" i="1"/>
  <c r="O570" i="1"/>
  <c r="G570" i="1"/>
  <c r="R569" i="1"/>
  <c r="Q569" i="1"/>
  <c r="T569" i="1" s="1"/>
  <c r="O569" i="1"/>
  <c r="G569" i="1"/>
  <c r="R568" i="1"/>
  <c r="Q568" i="1"/>
  <c r="T568" i="1" s="1"/>
  <c r="O568" i="1"/>
  <c r="G568" i="1"/>
  <c r="R567" i="1"/>
  <c r="Q567" i="1"/>
  <c r="T567" i="1" s="1"/>
  <c r="O567" i="1"/>
  <c r="G567" i="1"/>
  <c r="R566" i="1"/>
  <c r="Q566" i="1"/>
  <c r="O566" i="1"/>
  <c r="G566" i="1"/>
  <c r="R565" i="1"/>
  <c r="Q565" i="1"/>
  <c r="T565" i="1" s="1"/>
  <c r="O565" i="1"/>
  <c r="G565" i="1"/>
  <c r="R564" i="1"/>
  <c r="Q564" i="1"/>
  <c r="T564" i="1" s="1"/>
  <c r="O564" i="1"/>
  <c r="G564" i="1"/>
  <c r="R563" i="1"/>
  <c r="Q563" i="1"/>
  <c r="T563" i="1" s="1"/>
  <c r="O563" i="1"/>
  <c r="G563" i="1"/>
  <c r="R562" i="1"/>
  <c r="Q562" i="1"/>
  <c r="O562" i="1"/>
  <c r="G562" i="1"/>
  <c r="R561" i="1"/>
  <c r="Q561" i="1"/>
  <c r="T561" i="1" s="1"/>
  <c r="O561" i="1"/>
  <c r="G561" i="1"/>
  <c r="R560" i="1"/>
  <c r="Q560" i="1"/>
  <c r="T560" i="1" s="1"/>
  <c r="O560" i="1"/>
  <c r="G560" i="1"/>
  <c r="R559" i="1"/>
  <c r="Q559" i="1"/>
  <c r="T559" i="1" s="1"/>
  <c r="O559" i="1"/>
  <c r="G559" i="1"/>
  <c r="R558" i="1"/>
  <c r="Q558" i="1"/>
  <c r="O558" i="1"/>
  <c r="G558" i="1"/>
  <c r="R557" i="1"/>
  <c r="Q557" i="1"/>
  <c r="T557" i="1" s="1"/>
  <c r="O557" i="1"/>
  <c r="G557" i="1"/>
  <c r="R556" i="1"/>
  <c r="Q556" i="1"/>
  <c r="T556" i="1" s="1"/>
  <c r="O556" i="1"/>
  <c r="G556" i="1"/>
  <c r="R555" i="1"/>
  <c r="Q555" i="1"/>
  <c r="T555" i="1" s="1"/>
  <c r="O555" i="1"/>
  <c r="G555" i="1"/>
  <c r="R554" i="1"/>
  <c r="Q554" i="1"/>
  <c r="O554" i="1"/>
  <c r="G554" i="1"/>
  <c r="R553" i="1"/>
  <c r="Q553" i="1"/>
  <c r="T553" i="1" s="1"/>
  <c r="O553" i="1"/>
  <c r="G553" i="1"/>
  <c r="R552" i="1"/>
  <c r="Q552" i="1"/>
  <c r="T552" i="1" s="1"/>
  <c r="O552" i="1"/>
  <c r="G552" i="1"/>
  <c r="R551" i="1"/>
  <c r="Q551" i="1"/>
  <c r="T551" i="1" s="1"/>
  <c r="O551" i="1"/>
  <c r="G551" i="1"/>
  <c r="R550" i="1"/>
  <c r="Q550" i="1"/>
  <c r="O550" i="1"/>
  <c r="G550" i="1"/>
  <c r="R549" i="1"/>
  <c r="Q549" i="1"/>
  <c r="T549" i="1" s="1"/>
  <c r="O549" i="1"/>
  <c r="G549" i="1"/>
  <c r="R548" i="1"/>
  <c r="Q548" i="1"/>
  <c r="T548" i="1" s="1"/>
  <c r="O548" i="1"/>
  <c r="G548" i="1"/>
  <c r="R547" i="1"/>
  <c r="Q547" i="1"/>
  <c r="T547" i="1" s="1"/>
  <c r="O547" i="1"/>
  <c r="G547" i="1"/>
  <c r="R546" i="1"/>
  <c r="Q546" i="1"/>
  <c r="O546" i="1"/>
  <c r="G546" i="1"/>
  <c r="R545" i="1"/>
  <c r="Q545" i="1"/>
  <c r="T545" i="1" s="1"/>
  <c r="O545" i="1"/>
  <c r="G545" i="1"/>
  <c r="R544" i="1"/>
  <c r="Q544" i="1"/>
  <c r="T544" i="1" s="1"/>
  <c r="O544" i="1"/>
  <c r="G544" i="1"/>
  <c r="R543" i="1"/>
  <c r="Q543" i="1"/>
  <c r="T543" i="1" s="1"/>
  <c r="O543" i="1"/>
  <c r="G543" i="1"/>
  <c r="R542" i="1"/>
  <c r="Q542" i="1"/>
  <c r="O542" i="1"/>
  <c r="G542" i="1"/>
  <c r="R541" i="1"/>
  <c r="Q541" i="1"/>
  <c r="T541" i="1" s="1"/>
  <c r="O541" i="1"/>
  <c r="G541" i="1"/>
  <c r="R540" i="1"/>
  <c r="Q540" i="1"/>
  <c r="T540" i="1" s="1"/>
  <c r="O540" i="1"/>
  <c r="G540" i="1"/>
  <c r="R539" i="1"/>
  <c r="Q539" i="1"/>
  <c r="T539" i="1" s="1"/>
  <c r="O539" i="1"/>
  <c r="G539" i="1"/>
  <c r="R538" i="1"/>
  <c r="Q538" i="1"/>
  <c r="O538" i="1"/>
  <c r="G538" i="1"/>
  <c r="R537" i="1"/>
  <c r="Q537" i="1"/>
  <c r="T537" i="1" s="1"/>
  <c r="O537" i="1"/>
  <c r="G537" i="1"/>
  <c r="R536" i="1"/>
  <c r="Q536" i="1"/>
  <c r="T536" i="1" s="1"/>
  <c r="O536" i="1"/>
  <c r="G536" i="1"/>
  <c r="R535" i="1"/>
  <c r="Q535" i="1"/>
  <c r="T535" i="1" s="1"/>
  <c r="O535" i="1"/>
  <c r="G535" i="1"/>
  <c r="R534" i="1"/>
  <c r="Q534" i="1"/>
  <c r="O534" i="1"/>
  <c r="G534" i="1"/>
  <c r="R533" i="1"/>
  <c r="Q533" i="1"/>
  <c r="T533" i="1" s="1"/>
  <c r="O533" i="1"/>
  <c r="G533" i="1"/>
  <c r="R532" i="1"/>
  <c r="Q532" i="1"/>
  <c r="T532" i="1" s="1"/>
  <c r="O532" i="1"/>
  <c r="G532" i="1"/>
  <c r="R531" i="1"/>
  <c r="Q531" i="1"/>
  <c r="T531" i="1" s="1"/>
  <c r="O531" i="1"/>
  <c r="G531" i="1"/>
  <c r="R530" i="1"/>
  <c r="Q530" i="1"/>
  <c r="O530" i="1"/>
  <c r="G530" i="1"/>
  <c r="R529" i="1"/>
  <c r="Q529" i="1"/>
  <c r="T529" i="1" s="1"/>
  <c r="O529" i="1"/>
  <c r="G529" i="1"/>
  <c r="R528" i="1"/>
  <c r="Q528" i="1"/>
  <c r="T528" i="1" s="1"/>
  <c r="O528" i="1"/>
  <c r="G528" i="1"/>
  <c r="R527" i="1"/>
  <c r="Q527" i="1"/>
  <c r="T527" i="1" s="1"/>
  <c r="O527" i="1"/>
  <c r="G527" i="1"/>
  <c r="R526" i="1"/>
  <c r="Q526" i="1"/>
  <c r="O526" i="1"/>
  <c r="G526" i="1"/>
  <c r="R525" i="1"/>
  <c r="Q525" i="1"/>
  <c r="T525" i="1" s="1"/>
  <c r="O525" i="1"/>
  <c r="G525" i="1"/>
  <c r="R524" i="1"/>
  <c r="Q524" i="1"/>
  <c r="T524" i="1" s="1"/>
  <c r="O524" i="1"/>
  <c r="G524" i="1"/>
  <c r="R523" i="1"/>
  <c r="Q523" i="1"/>
  <c r="T523" i="1" s="1"/>
  <c r="O523" i="1"/>
  <c r="G523" i="1"/>
  <c r="R522" i="1"/>
  <c r="Q522" i="1"/>
  <c r="O522" i="1"/>
  <c r="G522" i="1"/>
  <c r="R521" i="1"/>
  <c r="Q521" i="1"/>
  <c r="T521" i="1" s="1"/>
  <c r="O521" i="1"/>
  <c r="G521" i="1"/>
  <c r="R520" i="1"/>
  <c r="Q520" i="1"/>
  <c r="T520" i="1" s="1"/>
  <c r="O520" i="1"/>
  <c r="G520" i="1"/>
  <c r="R519" i="1"/>
  <c r="Q519" i="1"/>
  <c r="T519" i="1" s="1"/>
  <c r="O519" i="1"/>
  <c r="G519" i="1"/>
  <c r="R518" i="1"/>
  <c r="Q518" i="1"/>
  <c r="O518" i="1"/>
  <c r="G518" i="1"/>
  <c r="R517" i="1"/>
  <c r="Q517" i="1"/>
  <c r="T517" i="1" s="1"/>
  <c r="O517" i="1"/>
  <c r="G517" i="1"/>
  <c r="R516" i="1"/>
  <c r="Q516" i="1"/>
  <c r="T516" i="1" s="1"/>
  <c r="O516" i="1"/>
  <c r="G516" i="1"/>
  <c r="R515" i="1"/>
  <c r="Q515" i="1"/>
  <c r="T515" i="1" s="1"/>
  <c r="O515" i="1"/>
  <c r="G515" i="1"/>
  <c r="R514" i="1"/>
  <c r="Q514" i="1"/>
  <c r="O514" i="1"/>
  <c r="G514" i="1"/>
  <c r="R513" i="1"/>
  <c r="Q513" i="1"/>
  <c r="T513" i="1" s="1"/>
  <c r="O513" i="1"/>
  <c r="G513" i="1"/>
  <c r="R512" i="1"/>
  <c r="Q512" i="1"/>
  <c r="T512" i="1" s="1"/>
  <c r="O512" i="1"/>
  <c r="G512" i="1"/>
  <c r="R511" i="1"/>
  <c r="Q511" i="1"/>
  <c r="T511" i="1" s="1"/>
  <c r="O511" i="1"/>
  <c r="G511" i="1"/>
  <c r="R510" i="1"/>
  <c r="Q510" i="1"/>
  <c r="O510" i="1"/>
  <c r="G510" i="1"/>
  <c r="R509" i="1"/>
  <c r="Q509" i="1"/>
  <c r="T509" i="1" s="1"/>
  <c r="O509" i="1"/>
  <c r="G509" i="1"/>
  <c r="R508" i="1"/>
  <c r="Q508" i="1"/>
  <c r="T508" i="1" s="1"/>
  <c r="O508" i="1"/>
  <c r="G508" i="1"/>
  <c r="R507" i="1"/>
  <c r="Q507" i="1"/>
  <c r="T507" i="1" s="1"/>
  <c r="O507" i="1"/>
  <c r="G507" i="1"/>
  <c r="R506" i="1"/>
  <c r="Q506" i="1"/>
  <c r="O506" i="1"/>
  <c r="G506" i="1"/>
  <c r="R505" i="1"/>
  <c r="Q505" i="1"/>
  <c r="T505" i="1" s="1"/>
  <c r="O505" i="1"/>
  <c r="G505" i="1"/>
  <c r="R504" i="1"/>
  <c r="Q504" i="1"/>
  <c r="T504" i="1" s="1"/>
  <c r="O504" i="1"/>
  <c r="G504" i="1"/>
  <c r="R503" i="1"/>
  <c r="Q503" i="1"/>
  <c r="T503" i="1" s="1"/>
  <c r="O503" i="1"/>
  <c r="G503" i="1"/>
  <c r="R502" i="1"/>
  <c r="Q502" i="1"/>
  <c r="O502" i="1"/>
  <c r="G502" i="1"/>
  <c r="R501" i="1"/>
  <c r="Q501" i="1"/>
  <c r="T501" i="1" s="1"/>
  <c r="O501" i="1"/>
  <c r="G501" i="1"/>
  <c r="R500" i="1"/>
  <c r="Q500" i="1"/>
  <c r="T500" i="1" s="1"/>
  <c r="O500" i="1"/>
  <c r="G500" i="1"/>
  <c r="R499" i="1"/>
  <c r="Q499" i="1"/>
  <c r="T499" i="1" s="1"/>
  <c r="O499" i="1"/>
  <c r="G499" i="1"/>
  <c r="R498" i="1"/>
  <c r="Q498" i="1"/>
  <c r="O498" i="1"/>
  <c r="G498" i="1"/>
  <c r="R497" i="1"/>
  <c r="Q497" i="1"/>
  <c r="T497" i="1" s="1"/>
  <c r="O497" i="1"/>
  <c r="G497" i="1"/>
  <c r="R496" i="1"/>
  <c r="Q496" i="1"/>
  <c r="T496" i="1" s="1"/>
  <c r="O496" i="1"/>
  <c r="G496" i="1"/>
  <c r="R495" i="1"/>
  <c r="Q495" i="1"/>
  <c r="T495" i="1" s="1"/>
  <c r="O495" i="1"/>
  <c r="G495" i="1"/>
  <c r="R494" i="1"/>
  <c r="Q494" i="1"/>
  <c r="O494" i="1"/>
  <c r="G494" i="1"/>
  <c r="R493" i="1"/>
  <c r="Q493" i="1"/>
  <c r="T493" i="1" s="1"/>
  <c r="O493" i="1"/>
  <c r="G493" i="1"/>
  <c r="R492" i="1"/>
  <c r="Q492" i="1"/>
  <c r="T492" i="1" s="1"/>
  <c r="O492" i="1"/>
  <c r="G492" i="1"/>
  <c r="R491" i="1"/>
  <c r="Q491" i="1"/>
  <c r="T491" i="1" s="1"/>
  <c r="O491" i="1"/>
  <c r="G491" i="1"/>
  <c r="R490" i="1"/>
  <c r="Q490" i="1"/>
  <c r="O490" i="1"/>
  <c r="G490" i="1"/>
  <c r="R489" i="1"/>
  <c r="Q489" i="1"/>
  <c r="T489" i="1" s="1"/>
  <c r="O489" i="1"/>
  <c r="G489" i="1"/>
  <c r="R488" i="1"/>
  <c r="Q488" i="1"/>
  <c r="T488" i="1" s="1"/>
  <c r="O488" i="1"/>
  <c r="G488" i="1"/>
  <c r="R487" i="1"/>
  <c r="Q487" i="1"/>
  <c r="T487" i="1" s="1"/>
  <c r="O487" i="1"/>
  <c r="G487" i="1"/>
  <c r="R486" i="1"/>
  <c r="Q486" i="1"/>
  <c r="O486" i="1"/>
  <c r="G486" i="1"/>
  <c r="R485" i="1"/>
  <c r="Q485" i="1"/>
  <c r="T485" i="1" s="1"/>
  <c r="O485" i="1"/>
  <c r="G485" i="1"/>
  <c r="R484" i="1"/>
  <c r="Q484" i="1"/>
  <c r="T484" i="1" s="1"/>
  <c r="O484" i="1"/>
  <c r="G484" i="1"/>
  <c r="R483" i="1"/>
  <c r="Q483" i="1"/>
  <c r="T483" i="1" s="1"/>
  <c r="O483" i="1"/>
  <c r="G483" i="1"/>
  <c r="R482" i="1"/>
  <c r="Q482" i="1"/>
  <c r="O482" i="1"/>
  <c r="G482" i="1"/>
  <c r="R481" i="1"/>
  <c r="Q481" i="1"/>
  <c r="T481" i="1" s="1"/>
  <c r="O481" i="1"/>
  <c r="G481" i="1"/>
  <c r="R480" i="1"/>
  <c r="Q480" i="1"/>
  <c r="T480" i="1" s="1"/>
  <c r="O480" i="1"/>
  <c r="G480" i="1"/>
  <c r="R479" i="1"/>
  <c r="Q479" i="1"/>
  <c r="T479" i="1" s="1"/>
  <c r="O479" i="1"/>
  <c r="G479" i="1"/>
  <c r="R478" i="1"/>
  <c r="Q478" i="1"/>
  <c r="O478" i="1"/>
  <c r="G478" i="1"/>
  <c r="R477" i="1"/>
  <c r="Q477" i="1"/>
  <c r="T477" i="1" s="1"/>
  <c r="O477" i="1"/>
  <c r="G477" i="1"/>
  <c r="R476" i="1"/>
  <c r="Q476" i="1"/>
  <c r="T476" i="1" s="1"/>
  <c r="O476" i="1"/>
  <c r="G476" i="1"/>
  <c r="R475" i="1"/>
  <c r="Q475" i="1"/>
  <c r="T475" i="1" s="1"/>
  <c r="O475" i="1"/>
  <c r="G475" i="1"/>
  <c r="R474" i="1"/>
  <c r="Q474" i="1"/>
  <c r="O474" i="1"/>
  <c r="G474" i="1"/>
  <c r="R473" i="1"/>
  <c r="Q473" i="1"/>
  <c r="T473" i="1" s="1"/>
  <c r="O473" i="1"/>
  <c r="G473" i="1"/>
  <c r="R472" i="1"/>
  <c r="Q472" i="1"/>
  <c r="T472" i="1" s="1"/>
  <c r="O472" i="1"/>
  <c r="G472" i="1"/>
  <c r="R471" i="1"/>
  <c r="Q471" i="1"/>
  <c r="T471" i="1" s="1"/>
  <c r="O471" i="1"/>
  <c r="G471" i="1"/>
  <c r="R470" i="1"/>
  <c r="Q470" i="1"/>
  <c r="O470" i="1"/>
  <c r="G470" i="1"/>
  <c r="R469" i="1"/>
  <c r="Q469" i="1"/>
  <c r="T469" i="1" s="1"/>
  <c r="O469" i="1"/>
  <c r="G469" i="1"/>
  <c r="R468" i="1"/>
  <c r="Q468" i="1"/>
  <c r="T468" i="1" s="1"/>
  <c r="O468" i="1"/>
  <c r="G468" i="1"/>
  <c r="R467" i="1"/>
  <c r="Q467" i="1"/>
  <c r="T467" i="1" s="1"/>
  <c r="O467" i="1"/>
  <c r="G467" i="1"/>
  <c r="R466" i="1"/>
  <c r="Q466" i="1"/>
  <c r="O466" i="1"/>
  <c r="G466" i="1"/>
  <c r="R465" i="1"/>
  <c r="Q465" i="1"/>
  <c r="T465" i="1" s="1"/>
  <c r="O465" i="1"/>
  <c r="G465" i="1"/>
  <c r="R464" i="1"/>
  <c r="Q464" i="1"/>
  <c r="T464" i="1" s="1"/>
  <c r="O464" i="1"/>
  <c r="G464" i="1"/>
  <c r="R463" i="1"/>
  <c r="Q463" i="1"/>
  <c r="T463" i="1" s="1"/>
  <c r="O463" i="1"/>
  <c r="G463" i="1"/>
  <c r="R462" i="1"/>
  <c r="Q462" i="1"/>
  <c r="O462" i="1"/>
  <c r="G462" i="1"/>
  <c r="R461" i="1"/>
  <c r="Q461" i="1"/>
  <c r="T461" i="1" s="1"/>
  <c r="O461" i="1"/>
  <c r="G461" i="1"/>
  <c r="R460" i="1"/>
  <c r="Q460" i="1"/>
  <c r="T460" i="1" s="1"/>
  <c r="O460" i="1"/>
  <c r="G460" i="1"/>
  <c r="R459" i="1"/>
  <c r="Q459" i="1"/>
  <c r="T459" i="1" s="1"/>
  <c r="O459" i="1"/>
  <c r="G459" i="1"/>
  <c r="R458" i="1"/>
  <c r="Q458" i="1"/>
  <c r="T458" i="1" s="1"/>
  <c r="O458" i="1"/>
  <c r="G458" i="1"/>
  <c r="R457" i="1"/>
  <c r="Q457" i="1"/>
  <c r="O457" i="1"/>
  <c r="G457" i="1"/>
  <c r="R456" i="1"/>
  <c r="Q456" i="1"/>
  <c r="T456" i="1" s="1"/>
  <c r="O456" i="1"/>
  <c r="G456" i="1"/>
  <c r="R455" i="1"/>
  <c r="Q455" i="1"/>
  <c r="T455" i="1" s="1"/>
  <c r="O455" i="1"/>
  <c r="G455" i="1"/>
  <c r="R454" i="1"/>
  <c r="Q454" i="1"/>
  <c r="T454" i="1" s="1"/>
  <c r="O454" i="1"/>
  <c r="G454" i="1"/>
  <c r="R453" i="1"/>
  <c r="Q453" i="1"/>
  <c r="O453" i="1"/>
  <c r="G453" i="1"/>
  <c r="R452" i="1"/>
  <c r="Q452" i="1"/>
  <c r="T452" i="1" s="1"/>
  <c r="O452" i="1"/>
  <c r="G452" i="1"/>
  <c r="R451" i="1"/>
  <c r="Q451" i="1"/>
  <c r="T451" i="1" s="1"/>
  <c r="O451" i="1"/>
  <c r="G451" i="1"/>
  <c r="R450" i="1"/>
  <c r="Q450" i="1"/>
  <c r="T450" i="1" s="1"/>
  <c r="O450" i="1"/>
  <c r="G450" i="1"/>
  <c r="R449" i="1"/>
  <c r="Q449" i="1"/>
  <c r="O449" i="1"/>
  <c r="G449" i="1"/>
  <c r="R448" i="1"/>
  <c r="Q448" i="1"/>
  <c r="T448" i="1" s="1"/>
  <c r="O448" i="1"/>
  <c r="G448" i="1"/>
  <c r="R447" i="1"/>
  <c r="Q447" i="1"/>
  <c r="T447" i="1" s="1"/>
  <c r="O447" i="1"/>
  <c r="G447" i="1"/>
  <c r="R446" i="1"/>
  <c r="Q446" i="1"/>
  <c r="T446" i="1" s="1"/>
  <c r="O446" i="1"/>
  <c r="G446" i="1"/>
  <c r="R445" i="1"/>
  <c r="Q445" i="1"/>
  <c r="O445" i="1"/>
  <c r="G445" i="1"/>
  <c r="R444" i="1"/>
  <c r="Q444" i="1"/>
  <c r="T444" i="1" s="1"/>
  <c r="O444" i="1"/>
  <c r="G444" i="1"/>
  <c r="R443" i="1"/>
  <c r="Q443" i="1"/>
  <c r="T443" i="1" s="1"/>
  <c r="O443" i="1"/>
  <c r="G443" i="1"/>
  <c r="R442" i="1"/>
  <c r="Q442" i="1"/>
  <c r="T442" i="1" s="1"/>
  <c r="O442" i="1"/>
  <c r="G442" i="1"/>
  <c r="R441" i="1"/>
  <c r="Q441" i="1"/>
  <c r="O441" i="1"/>
  <c r="G441" i="1"/>
  <c r="R440" i="1"/>
  <c r="Q440" i="1"/>
  <c r="T440" i="1" s="1"/>
  <c r="O440" i="1"/>
  <c r="G440" i="1"/>
  <c r="R439" i="1"/>
  <c r="Q439" i="1"/>
  <c r="T439" i="1" s="1"/>
  <c r="O439" i="1"/>
  <c r="G439" i="1"/>
  <c r="R438" i="1"/>
  <c r="Q438" i="1"/>
  <c r="T438" i="1" s="1"/>
  <c r="O438" i="1"/>
  <c r="G438" i="1"/>
  <c r="R437" i="1"/>
  <c r="Q437" i="1"/>
  <c r="O437" i="1"/>
  <c r="G437" i="1"/>
  <c r="R436" i="1"/>
  <c r="Q436" i="1"/>
  <c r="T436" i="1" s="1"/>
  <c r="O436" i="1"/>
  <c r="G436" i="1"/>
  <c r="R435" i="1"/>
  <c r="Q435" i="1"/>
  <c r="T435" i="1" s="1"/>
  <c r="O435" i="1"/>
  <c r="G435" i="1"/>
  <c r="R434" i="1"/>
  <c r="Q434" i="1"/>
  <c r="T434" i="1" s="1"/>
  <c r="O434" i="1"/>
  <c r="G434" i="1"/>
  <c r="R433" i="1"/>
  <c r="Q433" i="1"/>
  <c r="O433" i="1"/>
  <c r="G433" i="1"/>
  <c r="R432" i="1"/>
  <c r="Q432" i="1"/>
  <c r="T432" i="1" s="1"/>
  <c r="O432" i="1"/>
  <c r="G432" i="1"/>
  <c r="R431" i="1"/>
  <c r="Q431" i="1"/>
  <c r="T431" i="1" s="1"/>
  <c r="O431" i="1"/>
  <c r="G431" i="1"/>
  <c r="R430" i="1"/>
  <c r="Q430" i="1"/>
  <c r="T430" i="1" s="1"/>
  <c r="O430" i="1"/>
  <c r="G430" i="1"/>
  <c r="R429" i="1"/>
  <c r="Q429" i="1"/>
  <c r="O429" i="1"/>
  <c r="G429" i="1"/>
  <c r="R428" i="1"/>
  <c r="Q428" i="1"/>
  <c r="T428" i="1" s="1"/>
  <c r="O428" i="1"/>
  <c r="G428" i="1"/>
  <c r="R427" i="1"/>
  <c r="Q427" i="1"/>
  <c r="T427" i="1" s="1"/>
  <c r="O427" i="1"/>
  <c r="G427" i="1"/>
  <c r="R426" i="1"/>
  <c r="Q426" i="1"/>
  <c r="T426" i="1" s="1"/>
  <c r="O426" i="1"/>
  <c r="G426" i="1"/>
  <c r="R425" i="1"/>
  <c r="Q425" i="1"/>
  <c r="O425" i="1"/>
  <c r="G425" i="1"/>
  <c r="R424" i="1"/>
  <c r="Q424" i="1"/>
  <c r="T424" i="1" s="1"/>
  <c r="O424" i="1"/>
  <c r="G424" i="1"/>
  <c r="R423" i="1"/>
  <c r="Q423" i="1"/>
  <c r="T423" i="1" s="1"/>
  <c r="O423" i="1"/>
  <c r="G423" i="1"/>
  <c r="R422" i="1"/>
  <c r="Q422" i="1"/>
  <c r="T422" i="1" s="1"/>
  <c r="O422" i="1"/>
  <c r="G422" i="1"/>
  <c r="R421" i="1"/>
  <c r="Q421" i="1"/>
  <c r="O421" i="1"/>
  <c r="G421" i="1"/>
  <c r="R420" i="1"/>
  <c r="Q420" i="1"/>
  <c r="T420" i="1" s="1"/>
  <c r="O420" i="1"/>
  <c r="G420" i="1"/>
  <c r="R419" i="1"/>
  <c r="Q419" i="1"/>
  <c r="T419" i="1" s="1"/>
  <c r="O419" i="1"/>
  <c r="G419" i="1"/>
  <c r="R418" i="1"/>
  <c r="Q418" i="1"/>
  <c r="T418" i="1" s="1"/>
  <c r="O418" i="1"/>
  <c r="G418" i="1"/>
  <c r="R417" i="1"/>
  <c r="Q417" i="1"/>
  <c r="O417" i="1"/>
  <c r="G417" i="1"/>
  <c r="R416" i="1"/>
  <c r="Q416" i="1"/>
  <c r="T416" i="1" s="1"/>
  <c r="O416" i="1"/>
  <c r="G416" i="1"/>
  <c r="R415" i="1"/>
  <c r="Q415" i="1"/>
  <c r="T415" i="1" s="1"/>
  <c r="O415" i="1"/>
  <c r="G415" i="1"/>
  <c r="R414" i="1"/>
  <c r="Q414" i="1"/>
  <c r="T414" i="1" s="1"/>
  <c r="O414" i="1"/>
  <c r="G414" i="1"/>
  <c r="R413" i="1"/>
  <c r="Q413" i="1"/>
  <c r="O413" i="1"/>
  <c r="G413" i="1"/>
  <c r="R412" i="1"/>
  <c r="Q412" i="1"/>
  <c r="T412" i="1" s="1"/>
  <c r="O412" i="1"/>
  <c r="G412" i="1"/>
  <c r="R411" i="1"/>
  <c r="Q411" i="1"/>
  <c r="T411" i="1" s="1"/>
  <c r="O411" i="1"/>
  <c r="G411" i="1"/>
  <c r="R410" i="1"/>
  <c r="Q410" i="1"/>
  <c r="T410" i="1" s="1"/>
  <c r="O410" i="1"/>
  <c r="G410" i="1"/>
  <c r="R409" i="1"/>
  <c r="Q409" i="1"/>
  <c r="O409" i="1"/>
  <c r="G409" i="1"/>
  <c r="R408" i="1"/>
  <c r="Q408" i="1"/>
  <c r="T408" i="1" s="1"/>
  <c r="O408" i="1"/>
  <c r="G408" i="1"/>
  <c r="R407" i="1"/>
  <c r="Q407" i="1"/>
  <c r="T407" i="1" s="1"/>
  <c r="O407" i="1"/>
  <c r="G407" i="1"/>
  <c r="R406" i="1"/>
  <c r="Q406" i="1"/>
  <c r="T406" i="1" s="1"/>
  <c r="O406" i="1"/>
  <c r="G406" i="1"/>
  <c r="R405" i="1"/>
  <c r="Q405" i="1"/>
  <c r="O405" i="1"/>
  <c r="G405" i="1"/>
  <c r="R404" i="1"/>
  <c r="Q404" i="1"/>
  <c r="T404" i="1" s="1"/>
  <c r="O404" i="1"/>
  <c r="G404" i="1"/>
  <c r="R403" i="1"/>
  <c r="Q403" i="1"/>
  <c r="T403" i="1" s="1"/>
  <c r="O403" i="1"/>
  <c r="G403" i="1"/>
  <c r="R402" i="1"/>
  <c r="Q402" i="1"/>
  <c r="T402" i="1" s="1"/>
  <c r="O402" i="1"/>
  <c r="G402" i="1"/>
  <c r="R401" i="1"/>
  <c r="Q401" i="1"/>
  <c r="O401" i="1"/>
  <c r="G401" i="1"/>
  <c r="R400" i="1"/>
  <c r="Q400" i="1"/>
  <c r="T400" i="1" s="1"/>
  <c r="O400" i="1"/>
  <c r="G400" i="1"/>
  <c r="R399" i="1"/>
  <c r="Q399" i="1"/>
  <c r="T399" i="1" s="1"/>
  <c r="O399" i="1"/>
  <c r="G399" i="1"/>
  <c r="R398" i="1"/>
  <c r="Q398" i="1"/>
  <c r="T398" i="1" s="1"/>
  <c r="O398" i="1"/>
  <c r="G398" i="1"/>
  <c r="R397" i="1"/>
  <c r="Q397" i="1"/>
  <c r="O397" i="1"/>
  <c r="G397" i="1"/>
  <c r="R396" i="1"/>
  <c r="Q396" i="1"/>
  <c r="T396" i="1" s="1"/>
  <c r="O396" i="1"/>
  <c r="G396" i="1"/>
  <c r="R395" i="1"/>
  <c r="Q395" i="1"/>
  <c r="T395" i="1" s="1"/>
  <c r="O395" i="1"/>
  <c r="G395" i="1"/>
  <c r="R394" i="1"/>
  <c r="Q394" i="1"/>
  <c r="T394" i="1" s="1"/>
  <c r="O394" i="1"/>
  <c r="G394" i="1"/>
  <c r="R393" i="1"/>
  <c r="Q393" i="1"/>
  <c r="O393" i="1"/>
  <c r="G393" i="1"/>
  <c r="R392" i="1"/>
  <c r="Q392" i="1"/>
  <c r="T392" i="1" s="1"/>
  <c r="O392" i="1"/>
  <c r="G392" i="1"/>
  <c r="R391" i="1"/>
  <c r="Q391" i="1"/>
  <c r="T391" i="1" s="1"/>
  <c r="O391" i="1"/>
  <c r="G391" i="1"/>
  <c r="R390" i="1"/>
  <c r="Q390" i="1"/>
  <c r="T390" i="1" s="1"/>
  <c r="O390" i="1"/>
  <c r="G390" i="1"/>
  <c r="R389" i="1"/>
  <c r="Q389" i="1"/>
  <c r="O389" i="1"/>
  <c r="G389" i="1"/>
  <c r="R388" i="1"/>
  <c r="Q388" i="1"/>
  <c r="T388" i="1" s="1"/>
  <c r="O388" i="1"/>
  <c r="G388" i="1"/>
  <c r="R387" i="1"/>
  <c r="Q387" i="1"/>
  <c r="T387" i="1" s="1"/>
  <c r="O387" i="1"/>
  <c r="G387" i="1"/>
  <c r="R386" i="1"/>
  <c r="Q386" i="1"/>
  <c r="T386" i="1" s="1"/>
  <c r="O386" i="1"/>
  <c r="G386" i="1"/>
  <c r="R385" i="1"/>
  <c r="Q385" i="1"/>
  <c r="O385" i="1"/>
  <c r="G385" i="1"/>
  <c r="R384" i="1"/>
  <c r="Q384" i="1"/>
  <c r="T384" i="1" s="1"/>
  <c r="O384" i="1"/>
  <c r="G384" i="1"/>
  <c r="R383" i="1"/>
  <c r="Q383" i="1"/>
  <c r="T383" i="1" s="1"/>
  <c r="O383" i="1"/>
  <c r="G383" i="1"/>
  <c r="R382" i="1"/>
  <c r="Q382" i="1"/>
  <c r="T382" i="1" s="1"/>
  <c r="O382" i="1"/>
  <c r="G382" i="1"/>
  <c r="R381" i="1"/>
  <c r="Q381" i="1"/>
  <c r="O381" i="1"/>
  <c r="G381" i="1"/>
  <c r="R380" i="1"/>
  <c r="Q380" i="1"/>
  <c r="T380" i="1" s="1"/>
  <c r="O380" i="1"/>
  <c r="G380" i="1"/>
  <c r="R379" i="1"/>
  <c r="Q379" i="1"/>
  <c r="T379" i="1" s="1"/>
  <c r="O379" i="1"/>
  <c r="G379" i="1"/>
  <c r="R378" i="1"/>
  <c r="Q378" i="1"/>
  <c r="T378" i="1" s="1"/>
  <c r="O378" i="1"/>
  <c r="G378" i="1"/>
  <c r="R377" i="1"/>
  <c r="Q377" i="1"/>
  <c r="O377" i="1"/>
  <c r="G377" i="1"/>
  <c r="R376" i="1"/>
  <c r="Q376" i="1"/>
  <c r="T376" i="1" s="1"/>
  <c r="O376" i="1"/>
  <c r="G376" i="1"/>
  <c r="R375" i="1"/>
  <c r="Q375" i="1"/>
  <c r="T375" i="1" s="1"/>
  <c r="O375" i="1"/>
  <c r="G375" i="1"/>
  <c r="R374" i="1"/>
  <c r="Q374" i="1"/>
  <c r="T374" i="1" s="1"/>
  <c r="O374" i="1"/>
  <c r="G374" i="1"/>
  <c r="R373" i="1"/>
  <c r="Q373" i="1"/>
  <c r="O373" i="1"/>
  <c r="G373" i="1"/>
  <c r="R372" i="1"/>
  <c r="Q372" i="1"/>
  <c r="T372" i="1" s="1"/>
  <c r="O372" i="1"/>
  <c r="G372" i="1"/>
  <c r="R371" i="1"/>
  <c r="Q371" i="1"/>
  <c r="T371" i="1" s="1"/>
  <c r="O371" i="1"/>
  <c r="G371" i="1"/>
  <c r="R370" i="1"/>
  <c r="Q370" i="1"/>
  <c r="T370" i="1" s="1"/>
  <c r="O370" i="1"/>
  <c r="G370" i="1"/>
  <c r="R369" i="1"/>
  <c r="Q369" i="1"/>
  <c r="O369" i="1"/>
  <c r="G369" i="1"/>
  <c r="R368" i="1"/>
  <c r="Q368" i="1"/>
  <c r="T368" i="1" s="1"/>
  <c r="O368" i="1"/>
  <c r="G368" i="1"/>
  <c r="R367" i="1"/>
  <c r="Q367" i="1"/>
  <c r="T367" i="1" s="1"/>
  <c r="O367" i="1"/>
  <c r="G367" i="1"/>
  <c r="R366" i="1"/>
  <c r="Q366" i="1"/>
  <c r="T366" i="1" s="1"/>
  <c r="O366" i="1"/>
  <c r="G366" i="1"/>
  <c r="R365" i="1"/>
  <c r="Q365" i="1"/>
  <c r="O365" i="1"/>
  <c r="G365" i="1"/>
  <c r="R364" i="1"/>
  <c r="Q364" i="1"/>
  <c r="T364" i="1" s="1"/>
  <c r="O364" i="1"/>
  <c r="G364" i="1"/>
  <c r="R363" i="1"/>
  <c r="Q363" i="1"/>
  <c r="T363" i="1" s="1"/>
  <c r="O363" i="1"/>
  <c r="G363" i="1"/>
  <c r="R362" i="1"/>
  <c r="Q362" i="1"/>
  <c r="T362" i="1" s="1"/>
  <c r="O362" i="1"/>
  <c r="G362" i="1"/>
  <c r="R361" i="1"/>
  <c r="Q361" i="1"/>
  <c r="O361" i="1"/>
  <c r="G361" i="1"/>
  <c r="R360" i="1"/>
  <c r="Q360" i="1"/>
  <c r="T360" i="1" s="1"/>
  <c r="O360" i="1"/>
  <c r="G360" i="1"/>
  <c r="R359" i="1"/>
  <c r="Q359" i="1"/>
  <c r="T359" i="1" s="1"/>
  <c r="O359" i="1"/>
  <c r="G359" i="1"/>
  <c r="R358" i="1"/>
  <c r="Q358" i="1"/>
  <c r="T358" i="1" s="1"/>
  <c r="O358" i="1"/>
  <c r="G358" i="1"/>
  <c r="R357" i="1"/>
  <c r="Q357" i="1"/>
  <c r="O357" i="1"/>
  <c r="G357" i="1"/>
  <c r="R356" i="1"/>
  <c r="Q356" i="1"/>
  <c r="T356" i="1" s="1"/>
  <c r="O356" i="1"/>
  <c r="G356" i="1"/>
  <c r="R355" i="1"/>
  <c r="Q355" i="1"/>
  <c r="T355" i="1" s="1"/>
  <c r="O355" i="1"/>
  <c r="G355" i="1"/>
  <c r="R354" i="1"/>
  <c r="Q354" i="1"/>
  <c r="T354" i="1" s="1"/>
  <c r="O354" i="1"/>
  <c r="G354" i="1"/>
  <c r="R353" i="1"/>
  <c r="Q353" i="1"/>
  <c r="O353" i="1"/>
  <c r="G353" i="1"/>
  <c r="R352" i="1"/>
  <c r="Q352" i="1"/>
  <c r="T352" i="1" s="1"/>
  <c r="O352" i="1"/>
  <c r="G352" i="1"/>
  <c r="R351" i="1"/>
  <c r="Q351" i="1"/>
  <c r="T351" i="1" s="1"/>
  <c r="O351" i="1"/>
  <c r="G351" i="1"/>
  <c r="R350" i="1"/>
  <c r="Q350" i="1"/>
  <c r="T350" i="1" s="1"/>
  <c r="O350" i="1"/>
  <c r="G350" i="1"/>
  <c r="R349" i="1"/>
  <c r="Q349" i="1"/>
  <c r="O349" i="1"/>
  <c r="G349" i="1"/>
  <c r="R348" i="1"/>
  <c r="Q348" i="1"/>
  <c r="T348" i="1" s="1"/>
  <c r="O348" i="1"/>
  <c r="G348" i="1"/>
  <c r="R347" i="1"/>
  <c r="Q347" i="1"/>
  <c r="T347" i="1" s="1"/>
  <c r="O347" i="1"/>
  <c r="G347" i="1"/>
  <c r="R346" i="1"/>
  <c r="Q346" i="1"/>
  <c r="T346" i="1" s="1"/>
  <c r="O346" i="1"/>
  <c r="G346" i="1"/>
  <c r="R345" i="1"/>
  <c r="Q345" i="1"/>
  <c r="O345" i="1"/>
  <c r="G345" i="1"/>
  <c r="R344" i="1"/>
  <c r="Q344" i="1"/>
  <c r="T344" i="1" s="1"/>
  <c r="O344" i="1"/>
  <c r="G344" i="1"/>
  <c r="R343" i="1"/>
  <c r="Q343" i="1"/>
  <c r="T343" i="1" s="1"/>
  <c r="O343" i="1"/>
  <c r="G343" i="1"/>
  <c r="R342" i="1"/>
  <c r="Q342" i="1"/>
  <c r="T342" i="1" s="1"/>
  <c r="O342" i="1"/>
  <c r="G342" i="1"/>
  <c r="R341" i="1"/>
  <c r="Q341" i="1"/>
  <c r="O341" i="1"/>
  <c r="G341" i="1"/>
  <c r="R340" i="1"/>
  <c r="Q340" i="1"/>
  <c r="T340" i="1" s="1"/>
  <c r="O340" i="1"/>
  <c r="G340" i="1"/>
  <c r="R339" i="1"/>
  <c r="Q339" i="1"/>
  <c r="T339" i="1" s="1"/>
  <c r="O339" i="1"/>
  <c r="G339" i="1"/>
  <c r="R338" i="1"/>
  <c r="Q338" i="1"/>
  <c r="T338" i="1" s="1"/>
  <c r="O338" i="1"/>
  <c r="G338" i="1"/>
  <c r="R337" i="1"/>
  <c r="Q337" i="1"/>
  <c r="O337" i="1"/>
  <c r="G337" i="1"/>
  <c r="R336" i="1"/>
  <c r="Q336" i="1"/>
  <c r="T336" i="1" s="1"/>
  <c r="O336" i="1"/>
  <c r="G336" i="1"/>
  <c r="R335" i="1"/>
  <c r="Q335" i="1"/>
  <c r="T335" i="1" s="1"/>
  <c r="O335" i="1"/>
  <c r="G335" i="1"/>
  <c r="R334" i="1"/>
  <c r="Q334" i="1"/>
  <c r="T334" i="1" s="1"/>
  <c r="O334" i="1"/>
  <c r="G334" i="1"/>
  <c r="R333" i="1"/>
  <c r="Q333" i="1"/>
  <c r="O333" i="1"/>
  <c r="G333" i="1"/>
  <c r="R332" i="1"/>
  <c r="Q332" i="1"/>
  <c r="T332" i="1" s="1"/>
  <c r="O332" i="1"/>
  <c r="G332" i="1"/>
  <c r="R331" i="1"/>
  <c r="Q331" i="1"/>
  <c r="T331" i="1" s="1"/>
  <c r="O331" i="1"/>
  <c r="G331" i="1"/>
  <c r="R330" i="1"/>
  <c r="Q330" i="1"/>
  <c r="T330" i="1" s="1"/>
  <c r="O330" i="1"/>
  <c r="G330" i="1"/>
  <c r="R329" i="1"/>
  <c r="Q329" i="1"/>
  <c r="O329" i="1"/>
  <c r="G329" i="1"/>
  <c r="R328" i="1"/>
  <c r="Q328" i="1"/>
  <c r="T328" i="1" s="1"/>
  <c r="O328" i="1"/>
  <c r="G328" i="1"/>
  <c r="R327" i="1"/>
  <c r="Q327" i="1"/>
  <c r="T327" i="1" s="1"/>
  <c r="O327" i="1"/>
  <c r="G327" i="1"/>
  <c r="R326" i="1"/>
  <c r="Q326" i="1"/>
  <c r="T326" i="1" s="1"/>
  <c r="O326" i="1"/>
  <c r="G326" i="1"/>
  <c r="R325" i="1"/>
  <c r="Q325" i="1"/>
  <c r="O325" i="1"/>
  <c r="G325" i="1"/>
  <c r="R324" i="1"/>
  <c r="Q324" i="1"/>
  <c r="T324" i="1" s="1"/>
  <c r="O324" i="1"/>
  <c r="G324" i="1"/>
  <c r="R323" i="1"/>
  <c r="Q323" i="1"/>
  <c r="T323" i="1" s="1"/>
  <c r="O323" i="1"/>
  <c r="G323" i="1"/>
  <c r="R322" i="1"/>
  <c r="Q322" i="1"/>
  <c r="T322" i="1" s="1"/>
  <c r="O322" i="1"/>
  <c r="G322" i="1"/>
  <c r="R321" i="1"/>
  <c r="Q321" i="1"/>
  <c r="O321" i="1"/>
  <c r="G321" i="1"/>
  <c r="R320" i="1"/>
  <c r="Q320" i="1"/>
  <c r="T320" i="1" s="1"/>
  <c r="O320" i="1"/>
  <c r="G320" i="1"/>
  <c r="R319" i="1"/>
  <c r="Q319" i="1"/>
  <c r="T319" i="1" s="1"/>
  <c r="O319" i="1"/>
  <c r="G319" i="1"/>
  <c r="R318" i="1"/>
  <c r="Q318" i="1"/>
  <c r="T318" i="1" s="1"/>
  <c r="O318" i="1"/>
  <c r="G318" i="1"/>
  <c r="R317" i="1"/>
  <c r="Q317" i="1"/>
  <c r="O317" i="1"/>
  <c r="G317" i="1"/>
  <c r="R316" i="1"/>
  <c r="Q316" i="1"/>
  <c r="T316" i="1" s="1"/>
  <c r="O316" i="1"/>
  <c r="G316" i="1"/>
  <c r="R315" i="1"/>
  <c r="Q315" i="1"/>
  <c r="T315" i="1" s="1"/>
  <c r="O315" i="1"/>
  <c r="G315" i="1"/>
  <c r="R314" i="1"/>
  <c r="Q314" i="1"/>
  <c r="T314" i="1" s="1"/>
  <c r="O314" i="1"/>
  <c r="G314" i="1"/>
  <c r="R313" i="1"/>
  <c r="Q313" i="1"/>
  <c r="O313" i="1"/>
  <c r="G313" i="1"/>
  <c r="R312" i="1"/>
  <c r="Q312" i="1"/>
  <c r="T312" i="1" s="1"/>
  <c r="O312" i="1"/>
  <c r="G312" i="1"/>
  <c r="R311" i="1"/>
  <c r="Q311" i="1"/>
  <c r="T311" i="1" s="1"/>
  <c r="O311" i="1"/>
  <c r="G311" i="1"/>
  <c r="R310" i="1"/>
  <c r="Q310" i="1"/>
  <c r="T310" i="1" s="1"/>
  <c r="O310" i="1"/>
  <c r="G310" i="1"/>
  <c r="R309" i="1"/>
  <c r="Q309" i="1"/>
  <c r="O309" i="1"/>
  <c r="G309" i="1"/>
  <c r="R308" i="1"/>
  <c r="Q308" i="1"/>
  <c r="T308" i="1" s="1"/>
  <c r="O308" i="1"/>
  <c r="G308" i="1"/>
  <c r="R307" i="1"/>
  <c r="Q307" i="1"/>
  <c r="T307" i="1" s="1"/>
  <c r="O307" i="1"/>
  <c r="G307" i="1"/>
  <c r="R306" i="1"/>
  <c r="Q306" i="1"/>
  <c r="T306" i="1" s="1"/>
  <c r="O306" i="1"/>
  <c r="G306" i="1"/>
  <c r="R305" i="1"/>
  <c r="Q305" i="1"/>
  <c r="O305" i="1"/>
  <c r="G305" i="1"/>
  <c r="R304" i="1"/>
  <c r="Q304" i="1"/>
  <c r="T304" i="1" s="1"/>
  <c r="O304" i="1"/>
  <c r="G304" i="1"/>
  <c r="R303" i="1"/>
  <c r="Q303" i="1"/>
  <c r="T303" i="1" s="1"/>
  <c r="O303" i="1"/>
  <c r="G303" i="1"/>
  <c r="R302" i="1"/>
  <c r="Q302" i="1"/>
  <c r="T302" i="1" s="1"/>
  <c r="O302" i="1"/>
  <c r="G302" i="1"/>
  <c r="R301" i="1"/>
  <c r="Q301" i="1"/>
  <c r="O301" i="1"/>
  <c r="G301" i="1"/>
  <c r="R300" i="1"/>
  <c r="Q300" i="1"/>
  <c r="T300" i="1" s="1"/>
  <c r="O300" i="1"/>
  <c r="G300" i="1"/>
  <c r="R299" i="1"/>
  <c r="Q299" i="1"/>
  <c r="T299" i="1" s="1"/>
  <c r="O299" i="1"/>
  <c r="G299" i="1"/>
  <c r="R298" i="1"/>
  <c r="Q298" i="1"/>
  <c r="T298" i="1" s="1"/>
  <c r="O298" i="1"/>
  <c r="G298" i="1"/>
  <c r="R297" i="1"/>
  <c r="Q297" i="1"/>
  <c r="O297" i="1"/>
  <c r="G297" i="1"/>
  <c r="R296" i="1"/>
  <c r="Q296" i="1"/>
  <c r="T296" i="1" s="1"/>
  <c r="O296" i="1"/>
  <c r="G296" i="1"/>
  <c r="R295" i="1"/>
  <c r="Q295" i="1"/>
  <c r="T295" i="1" s="1"/>
  <c r="O295" i="1"/>
  <c r="G295" i="1"/>
  <c r="R294" i="1"/>
  <c r="Q294" i="1"/>
  <c r="T294" i="1" s="1"/>
  <c r="O294" i="1"/>
  <c r="G294" i="1"/>
  <c r="R293" i="1"/>
  <c r="Q293" i="1"/>
  <c r="O293" i="1"/>
  <c r="G293" i="1"/>
  <c r="R292" i="1"/>
  <c r="Q292" i="1"/>
  <c r="T292" i="1" s="1"/>
  <c r="O292" i="1"/>
  <c r="G292" i="1"/>
  <c r="R291" i="1"/>
  <c r="Q291" i="1"/>
  <c r="T291" i="1" s="1"/>
  <c r="O291" i="1"/>
  <c r="G291" i="1"/>
  <c r="R290" i="1"/>
  <c r="Q290" i="1"/>
  <c r="T290" i="1" s="1"/>
  <c r="O290" i="1"/>
  <c r="G290" i="1"/>
  <c r="R289" i="1"/>
  <c r="Q289" i="1"/>
  <c r="O289" i="1"/>
  <c r="G289" i="1"/>
  <c r="R288" i="1"/>
  <c r="Q288" i="1"/>
  <c r="T288" i="1" s="1"/>
  <c r="O288" i="1"/>
  <c r="G288" i="1"/>
  <c r="R287" i="1"/>
  <c r="Q287" i="1"/>
  <c r="T287" i="1" s="1"/>
  <c r="O287" i="1"/>
  <c r="G287" i="1"/>
  <c r="R286" i="1"/>
  <c r="Q286" i="1"/>
  <c r="T286" i="1" s="1"/>
  <c r="O286" i="1"/>
  <c r="G286" i="1"/>
  <c r="R285" i="1"/>
  <c r="Q285" i="1"/>
  <c r="T285" i="1" s="1"/>
  <c r="O285" i="1"/>
  <c r="G285" i="1"/>
  <c r="R284" i="1"/>
  <c r="Q284" i="1"/>
  <c r="T284" i="1" s="1"/>
  <c r="O284" i="1"/>
  <c r="G284" i="1"/>
  <c r="R283" i="1"/>
  <c r="Q283" i="1"/>
  <c r="T283" i="1" s="1"/>
  <c r="O283" i="1"/>
  <c r="G283" i="1"/>
  <c r="R282" i="1"/>
  <c r="Q282" i="1"/>
  <c r="T282" i="1" s="1"/>
  <c r="O282" i="1"/>
  <c r="G282" i="1"/>
  <c r="R281" i="1"/>
  <c r="Q281" i="1"/>
  <c r="T281" i="1" s="1"/>
  <c r="O281" i="1"/>
  <c r="G281" i="1"/>
  <c r="R280" i="1"/>
  <c r="Q280" i="1"/>
  <c r="T280" i="1" s="1"/>
  <c r="O280" i="1"/>
  <c r="G280" i="1"/>
  <c r="R279" i="1"/>
  <c r="Q279" i="1"/>
  <c r="T279" i="1" s="1"/>
  <c r="O279" i="1"/>
  <c r="G279" i="1"/>
  <c r="R278" i="1"/>
  <c r="Q278" i="1"/>
  <c r="T278" i="1" s="1"/>
  <c r="O278" i="1"/>
  <c r="G278" i="1"/>
  <c r="R277" i="1"/>
  <c r="Q277" i="1"/>
  <c r="T277" i="1" s="1"/>
  <c r="O277" i="1"/>
  <c r="G277" i="1"/>
  <c r="R276" i="1"/>
  <c r="Q276" i="1"/>
  <c r="T276" i="1" s="1"/>
  <c r="O276" i="1"/>
  <c r="G276" i="1"/>
  <c r="R275" i="1"/>
  <c r="Q275" i="1"/>
  <c r="T275" i="1" s="1"/>
  <c r="O275" i="1"/>
  <c r="G275" i="1"/>
  <c r="R274" i="1"/>
  <c r="Q274" i="1"/>
  <c r="T274" i="1" s="1"/>
  <c r="O274" i="1"/>
  <c r="G274" i="1"/>
  <c r="R273" i="1"/>
  <c r="Q273" i="1"/>
  <c r="T273" i="1" s="1"/>
  <c r="O273" i="1"/>
  <c r="G273" i="1"/>
  <c r="R272" i="1"/>
  <c r="Q272" i="1"/>
  <c r="T272" i="1" s="1"/>
  <c r="O272" i="1"/>
  <c r="G272" i="1"/>
  <c r="R271" i="1"/>
  <c r="Q271" i="1"/>
  <c r="T271" i="1" s="1"/>
  <c r="O271" i="1"/>
  <c r="G271" i="1"/>
  <c r="R270" i="1"/>
  <c r="Q270" i="1"/>
  <c r="T270" i="1" s="1"/>
  <c r="O270" i="1"/>
  <c r="G270" i="1"/>
  <c r="R269" i="1"/>
  <c r="Q269" i="1"/>
  <c r="T269" i="1" s="1"/>
  <c r="O269" i="1"/>
  <c r="G269" i="1"/>
  <c r="R268" i="1"/>
  <c r="Q268" i="1"/>
  <c r="T268" i="1" s="1"/>
  <c r="O268" i="1"/>
  <c r="G268" i="1"/>
  <c r="R267" i="1"/>
  <c r="Q267" i="1"/>
  <c r="T267" i="1" s="1"/>
  <c r="O267" i="1"/>
  <c r="G267" i="1"/>
  <c r="R266" i="1"/>
  <c r="Q266" i="1"/>
  <c r="T266" i="1" s="1"/>
  <c r="O266" i="1"/>
  <c r="G266" i="1"/>
  <c r="R265" i="1"/>
  <c r="Q265" i="1"/>
  <c r="T265" i="1" s="1"/>
  <c r="O265" i="1"/>
  <c r="G265" i="1"/>
  <c r="R264" i="1"/>
  <c r="Q264" i="1"/>
  <c r="T264" i="1" s="1"/>
  <c r="O264" i="1"/>
  <c r="G264" i="1"/>
  <c r="R263" i="1"/>
  <c r="Q263" i="1"/>
  <c r="T263" i="1" s="1"/>
  <c r="O263" i="1"/>
  <c r="G263" i="1"/>
  <c r="R262" i="1"/>
  <c r="Q262" i="1"/>
  <c r="T262" i="1" s="1"/>
  <c r="O262" i="1"/>
  <c r="G262" i="1"/>
  <c r="R261" i="1"/>
  <c r="Q261" i="1"/>
  <c r="T261" i="1" s="1"/>
  <c r="O261" i="1"/>
  <c r="G261" i="1"/>
  <c r="R260" i="1"/>
  <c r="Q260" i="1"/>
  <c r="T260" i="1" s="1"/>
  <c r="O260" i="1"/>
  <c r="G260" i="1"/>
  <c r="R259" i="1"/>
  <c r="Q259" i="1"/>
  <c r="T259" i="1" s="1"/>
  <c r="O259" i="1"/>
  <c r="G259" i="1"/>
  <c r="R258" i="1"/>
  <c r="Q258" i="1"/>
  <c r="T258" i="1" s="1"/>
  <c r="O258" i="1"/>
  <c r="G258" i="1"/>
  <c r="R257" i="1"/>
  <c r="Q257" i="1"/>
  <c r="T257" i="1" s="1"/>
  <c r="O257" i="1"/>
  <c r="G257" i="1"/>
  <c r="R256" i="1"/>
  <c r="Q256" i="1"/>
  <c r="T256" i="1" s="1"/>
  <c r="O256" i="1"/>
  <c r="G256" i="1"/>
  <c r="R255" i="1"/>
  <c r="Q255" i="1"/>
  <c r="T255" i="1" s="1"/>
  <c r="O255" i="1"/>
  <c r="G255" i="1"/>
  <c r="R254" i="1"/>
  <c r="Q254" i="1"/>
  <c r="T254" i="1" s="1"/>
  <c r="O254" i="1"/>
  <c r="G254" i="1"/>
  <c r="R253" i="1"/>
  <c r="Q253" i="1"/>
  <c r="T253" i="1" s="1"/>
  <c r="O253" i="1"/>
  <c r="G253" i="1"/>
  <c r="R252" i="1"/>
  <c r="Q252" i="1"/>
  <c r="T252" i="1" s="1"/>
  <c r="O252" i="1"/>
  <c r="G252" i="1"/>
  <c r="R251" i="1"/>
  <c r="Q251" i="1"/>
  <c r="T251" i="1" s="1"/>
  <c r="O251" i="1"/>
  <c r="G251" i="1"/>
  <c r="R250" i="1"/>
  <c r="Q250" i="1"/>
  <c r="T250" i="1" s="1"/>
  <c r="O250" i="1"/>
  <c r="G250" i="1"/>
  <c r="R249" i="1"/>
  <c r="Q249" i="1"/>
  <c r="T249" i="1" s="1"/>
  <c r="O249" i="1"/>
  <c r="G249" i="1"/>
  <c r="R248" i="1"/>
  <c r="Q248" i="1"/>
  <c r="T248" i="1" s="1"/>
  <c r="O248" i="1"/>
  <c r="G248" i="1"/>
  <c r="R247" i="1"/>
  <c r="Q247" i="1"/>
  <c r="T247" i="1" s="1"/>
  <c r="O247" i="1"/>
  <c r="G247" i="1"/>
  <c r="R246" i="1"/>
  <c r="Q246" i="1"/>
  <c r="T246" i="1" s="1"/>
  <c r="O246" i="1"/>
  <c r="G246" i="1"/>
  <c r="R245" i="1"/>
  <c r="Q245" i="1"/>
  <c r="T245" i="1" s="1"/>
  <c r="O245" i="1"/>
  <c r="G245" i="1"/>
  <c r="R244" i="1"/>
  <c r="Q244" i="1"/>
  <c r="T244" i="1" s="1"/>
  <c r="O244" i="1"/>
  <c r="G244" i="1"/>
  <c r="R243" i="1"/>
  <c r="Q243" i="1"/>
  <c r="T243" i="1" s="1"/>
  <c r="O243" i="1"/>
  <c r="G243" i="1"/>
  <c r="R242" i="1"/>
  <c r="Q242" i="1"/>
  <c r="T242" i="1" s="1"/>
  <c r="O242" i="1"/>
  <c r="G242" i="1"/>
  <c r="R241" i="1"/>
  <c r="Q241" i="1"/>
  <c r="T241" i="1" s="1"/>
  <c r="O241" i="1"/>
  <c r="G241" i="1"/>
  <c r="R240" i="1"/>
  <c r="Q240" i="1"/>
  <c r="T240" i="1" s="1"/>
  <c r="O240" i="1"/>
  <c r="G240" i="1"/>
  <c r="R239" i="1"/>
  <c r="Q239" i="1"/>
  <c r="T239" i="1" s="1"/>
  <c r="O239" i="1"/>
  <c r="G239" i="1"/>
  <c r="R238" i="1"/>
  <c r="Q238" i="1"/>
  <c r="T238" i="1" s="1"/>
  <c r="O238" i="1"/>
  <c r="G238" i="1"/>
  <c r="R237" i="1"/>
  <c r="Q237" i="1"/>
  <c r="T237" i="1" s="1"/>
  <c r="O237" i="1"/>
  <c r="G237" i="1"/>
  <c r="R236" i="1"/>
  <c r="Q236" i="1"/>
  <c r="T236" i="1" s="1"/>
  <c r="O236" i="1"/>
  <c r="G236" i="1"/>
  <c r="R235" i="1"/>
  <c r="Q235" i="1"/>
  <c r="T235" i="1" s="1"/>
  <c r="O235" i="1"/>
  <c r="G235" i="1"/>
  <c r="R234" i="1"/>
  <c r="Q234" i="1"/>
  <c r="T234" i="1" s="1"/>
  <c r="O234" i="1"/>
  <c r="G234" i="1"/>
  <c r="R233" i="1"/>
  <c r="Q233" i="1"/>
  <c r="T233" i="1" s="1"/>
  <c r="O233" i="1"/>
  <c r="G233" i="1"/>
  <c r="R232" i="1"/>
  <c r="Q232" i="1"/>
  <c r="T232" i="1" s="1"/>
  <c r="O232" i="1"/>
  <c r="G232" i="1"/>
  <c r="R231" i="1"/>
  <c r="Q231" i="1"/>
  <c r="T231" i="1" s="1"/>
  <c r="O231" i="1"/>
  <c r="G231" i="1"/>
  <c r="R230" i="1"/>
  <c r="Q230" i="1"/>
  <c r="T230" i="1" s="1"/>
  <c r="O230" i="1"/>
  <c r="G230" i="1"/>
  <c r="R229" i="1"/>
  <c r="Q229" i="1"/>
  <c r="T229" i="1" s="1"/>
  <c r="O229" i="1"/>
  <c r="G229" i="1"/>
  <c r="R228" i="1"/>
  <c r="Q228" i="1"/>
  <c r="T228" i="1" s="1"/>
  <c r="O228" i="1"/>
  <c r="G228" i="1"/>
  <c r="R227" i="1"/>
  <c r="Q227" i="1"/>
  <c r="T227" i="1" s="1"/>
  <c r="O227" i="1"/>
  <c r="G227" i="1"/>
  <c r="R226" i="1"/>
  <c r="Q226" i="1"/>
  <c r="T226" i="1" s="1"/>
  <c r="O226" i="1"/>
  <c r="G226" i="1"/>
  <c r="R225" i="1"/>
  <c r="Q225" i="1"/>
  <c r="T225" i="1" s="1"/>
  <c r="O225" i="1"/>
  <c r="G225" i="1"/>
  <c r="R224" i="1"/>
  <c r="Q224" i="1"/>
  <c r="T224" i="1" s="1"/>
  <c r="O224" i="1"/>
  <c r="G224" i="1"/>
  <c r="R223" i="1"/>
  <c r="Q223" i="1"/>
  <c r="T223" i="1" s="1"/>
  <c r="O223" i="1"/>
  <c r="G223" i="1"/>
  <c r="R222" i="1"/>
  <c r="Q222" i="1"/>
  <c r="T222" i="1" s="1"/>
  <c r="O222" i="1"/>
  <c r="G222" i="1"/>
  <c r="R221" i="1"/>
  <c r="Q221" i="1"/>
  <c r="T221" i="1" s="1"/>
  <c r="O221" i="1"/>
  <c r="G221" i="1"/>
  <c r="R220" i="1"/>
  <c r="Q220" i="1"/>
  <c r="T220" i="1" s="1"/>
  <c r="O220" i="1"/>
  <c r="G220" i="1"/>
  <c r="R219" i="1"/>
  <c r="Q219" i="1"/>
  <c r="T219" i="1" s="1"/>
  <c r="O219" i="1"/>
  <c r="G219" i="1"/>
  <c r="R218" i="1"/>
  <c r="Q218" i="1"/>
  <c r="T218" i="1" s="1"/>
  <c r="O218" i="1"/>
  <c r="G218" i="1"/>
  <c r="R217" i="1"/>
  <c r="Q217" i="1"/>
  <c r="T217" i="1" s="1"/>
  <c r="O217" i="1"/>
  <c r="G217" i="1"/>
  <c r="R216" i="1"/>
  <c r="Q216" i="1"/>
  <c r="T216" i="1" s="1"/>
  <c r="O216" i="1"/>
  <c r="G216" i="1"/>
  <c r="R215" i="1"/>
  <c r="Q215" i="1"/>
  <c r="T215" i="1" s="1"/>
  <c r="O215" i="1"/>
  <c r="G215" i="1"/>
  <c r="R214" i="1"/>
  <c r="Q214" i="1"/>
  <c r="T214" i="1" s="1"/>
  <c r="O214" i="1"/>
  <c r="G214" i="1"/>
  <c r="R213" i="1"/>
  <c r="Q213" i="1"/>
  <c r="T213" i="1" s="1"/>
  <c r="O213" i="1"/>
  <c r="G213" i="1"/>
  <c r="R212" i="1"/>
  <c r="Q212" i="1"/>
  <c r="T212" i="1" s="1"/>
  <c r="O212" i="1"/>
  <c r="G212" i="1"/>
  <c r="R211" i="1"/>
  <c r="Q211" i="1"/>
  <c r="T211" i="1" s="1"/>
  <c r="O211" i="1"/>
  <c r="G211" i="1"/>
  <c r="R210" i="1"/>
  <c r="Q210" i="1"/>
  <c r="T210" i="1" s="1"/>
  <c r="O210" i="1"/>
  <c r="G210" i="1"/>
  <c r="R209" i="1"/>
  <c r="Q209" i="1"/>
  <c r="T209" i="1" s="1"/>
  <c r="O209" i="1"/>
  <c r="G209" i="1"/>
  <c r="R208" i="1"/>
  <c r="Q208" i="1"/>
  <c r="T208" i="1" s="1"/>
  <c r="O208" i="1"/>
  <c r="G208" i="1"/>
  <c r="R207" i="1"/>
  <c r="Q207" i="1"/>
  <c r="T207" i="1" s="1"/>
  <c r="O207" i="1"/>
  <c r="G207" i="1"/>
  <c r="R206" i="1"/>
  <c r="Q206" i="1"/>
  <c r="T206" i="1" s="1"/>
  <c r="O206" i="1"/>
  <c r="G206" i="1"/>
  <c r="R205" i="1"/>
  <c r="Q205" i="1"/>
  <c r="T205" i="1" s="1"/>
  <c r="O205" i="1"/>
  <c r="G205" i="1"/>
  <c r="R204" i="1"/>
  <c r="Q204" i="1"/>
  <c r="T204" i="1" s="1"/>
  <c r="O204" i="1"/>
  <c r="G204" i="1"/>
  <c r="R203" i="1"/>
  <c r="Q203" i="1"/>
  <c r="T203" i="1" s="1"/>
  <c r="O203" i="1"/>
  <c r="G203" i="1"/>
  <c r="R202" i="1"/>
  <c r="Q202" i="1"/>
  <c r="T202" i="1" s="1"/>
  <c r="O202" i="1"/>
  <c r="G202" i="1"/>
  <c r="R201" i="1"/>
  <c r="Q201" i="1"/>
  <c r="T201" i="1" s="1"/>
  <c r="O201" i="1"/>
  <c r="G201" i="1"/>
  <c r="R200" i="1"/>
  <c r="Q200" i="1"/>
  <c r="T200" i="1" s="1"/>
  <c r="O200" i="1"/>
  <c r="G200" i="1"/>
  <c r="R199" i="1"/>
  <c r="Q199" i="1"/>
  <c r="T199" i="1" s="1"/>
  <c r="O199" i="1"/>
  <c r="G199" i="1"/>
  <c r="R198" i="1"/>
  <c r="Q198" i="1"/>
  <c r="T198" i="1" s="1"/>
  <c r="O198" i="1"/>
  <c r="G198" i="1"/>
  <c r="R197" i="1"/>
  <c r="Q197" i="1"/>
  <c r="T197" i="1" s="1"/>
  <c r="O197" i="1"/>
  <c r="G197" i="1"/>
  <c r="R196" i="1"/>
  <c r="Q196" i="1"/>
  <c r="T196" i="1" s="1"/>
  <c r="O196" i="1"/>
  <c r="G196" i="1"/>
  <c r="R195" i="1"/>
  <c r="Q195" i="1"/>
  <c r="T195" i="1" s="1"/>
  <c r="O195" i="1"/>
  <c r="G195" i="1"/>
  <c r="R194" i="1"/>
  <c r="Q194" i="1"/>
  <c r="T194" i="1" s="1"/>
  <c r="O194" i="1"/>
  <c r="G194" i="1"/>
  <c r="R193" i="1"/>
  <c r="Q193" i="1"/>
  <c r="T193" i="1" s="1"/>
  <c r="O193" i="1"/>
  <c r="G193" i="1"/>
  <c r="R192" i="1"/>
  <c r="Q192" i="1"/>
  <c r="T192" i="1" s="1"/>
  <c r="O192" i="1"/>
  <c r="G192" i="1"/>
  <c r="R191" i="1"/>
  <c r="Q191" i="1"/>
  <c r="T191" i="1" s="1"/>
  <c r="O191" i="1"/>
  <c r="G191" i="1"/>
  <c r="R190" i="1"/>
  <c r="Q190" i="1"/>
  <c r="T190" i="1" s="1"/>
  <c r="O190" i="1"/>
  <c r="G190" i="1"/>
  <c r="R189" i="1"/>
  <c r="Q189" i="1"/>
  <c r="T189" i="1" s="1"/>
  <c r="O189" i="1"/>
  <c r="G189" i="1"/>
  <c r="R188" i="1"/>
  <c r="Q188" i="1"/>
  <c r="T188" i="1" s="1"/>
  <c r="O188" i="1"/>
  <c r="G188" i="1"/>
  <c r="R187" i="1"/>
  <c r="Q187" i="1"/>
  <c r="T187" i="1" s="1"/>
  <c r="O187" i="1"/>
  <c r="G187" i="1"/>
  <c r="R186" i="1"/>
  <c r="Q186" i="1"/>
  <c r="T186" i="1" s="1"/>
  <c r="O186" i="1"/>
  <c r="G186" i="1"/>
  <c r="R185" i="1"/>
  <c r="Q185" i="1"/>
  <c r="T185" i="1" s="1"/>
  <c r="O185" i="1"/>
  <c r="G185" i="1"/>
  <c r="R184" i="1"/>
  <c r="Q184" i="1"/>
  <c r="T184" i="1" s="1"/>
  <c r="O184" i="1"/>
  <c r="G184" i="1"/>
  <c r="R183" i="1"/>
  <c r="Q183" i="1"/>
  <c r="T183" i="1" s="1"/>
  <c r="O183" i="1"/>
  <c r="G183" i="1"/>
  <c r="R182" i="1"/>
  <c r="Q182" i="1"/>
  <c r="T182" i="1" s="1"/>
  <c r="O182" i="1"/>
  <c r="G182" i="1"/>
  <c r="R181" i="1"/>
  <c r="Q181" i="1"/>
  <c r="T181" i="1" s="1"/>
  <c r="O181" i="1"/>
  <c r="G181" i="1"/>
  <c r="R180" i="1"/>
  <c r="Q180" i="1"/>
  <c r="T180" i="1" s="1"/>
  <c r="O180" i="1"/>
  <c r="G180" i="1"/>
  <c r="R179" i="1"/>
  <c r="Q179" i="1"/>
  <c r="T179" i="1" s="1"/>
  <c r="O179" i="1"/>
  <c r="G179" i="1"/>
  <c r="R178" i="1"/>
  <c r="Q178" i="1"/>
  <c r="T178" i="1" s="1"/>
  <c r="O178" i="1"/>
  <c r="G178" i="1"/>
  <c r="R177" i="1"/>
  <c r="Q177" i="1"/>
  <c r="T177" i="1" s="1"/>
  <c r="O177" i="1"/>
  <c r="G177" i="1"/>
  <c r="R176" i="1"/>
  <c r="Q176" i="1"/>
  <c r="T176" i="1" s="1"/>
  <c r="O176" i="1"/>
  <c r="G176" i="1"/>
  <c r="R175" i="1"/>
  <c r="Q175" i="1"/>
  <c r="T175" i="1" s="1"/>
  <c r="O175" i="1"/>
  <c r="G175" i="1"/>
  <c r="R174" i="1"/>
  <c r="Q174" i="1"/>
  <c r="T174" i="1" s="1"/>
  <c r="O174" i="1"/>
  <c r="G174" i="1"/>
  <c r="R173" i="1"/>
  <c r="Q173" i="1"/>
  <c r="T173" i="1" s="1"/>
  <c r="O173" i="1"/>
  <c r="G173" i="1"/>
  <c r="R172" i="1"/>
  <c r="Q172" i="1"/>
  <c r="T172" i="1" s="1"/>
  <c r="O172" i="1"/>
  <c r="G172" i="1"/>
  <c r="R171" i="1"/>
  <c r="Q171" i="1"/>
  <c r="T171" i="1" s="1"/>
  <c r="O171" i="1"/>
  <c r="G171" i="1"/>
  <c r="R170" i="1"/>
  <c r="Q170" i="1"/>
  <c r="T170" i="1" s="1"/>
  <c r="O170" i="1"/>
  <c r="G170" i="1"/>
  <c r="R169" i="1"/>
  <c r="Q169" i="1"/>
  <c r="T169" i="1" s="1"/>
  <c r="O169" i="1"/>
  <c r="G169" i="1"/>
  <c r="R168" i="1"/>
  <c r="Q168" i="1"/>
  <c r="T168" i="1" s="1"/>
  <c r="O168" i="1"/>
  <c r="G168" i="1"/>
  <c r="R167" i="1"/>
  <c r="Q167" i="1"/>
  <c r="T167" i="1" s="1"/>
  <c r="O167" i="1"/>
  <c r="G167" i="1"/>
  <c r="R166" i="1"/>
  <c r="Q166" i="1"/>
  <c r="T166" i="1" s="1"/>
  <c r="O166" i="1"/>
  <c r="G166" i="1"/>
  <c r="R165" i="1"/>
  <c r="Q165" i="1"/>
  <c r="T165" i="1" s="1"/>
  <c r="O165" i="1"/>
  <c r="G165" i="1"/>
  <c r="R164" i="1"/>
  <c r="Q164" i="1"/>
  <c r="T164" i="1" s="1"/>
  <c r="O164" i="1"/>
  <c r="G164" i="1"/>
  <c r="R163" i="1"/>
  <c r="Q163" i="1"/>
  <c r="T163" i="1" s="1"/>
  <c r="O163" i="1"/>
  <c r="G163" i="1"/>
  <c r="R162" i="1"/>
  <c r="Q162" i="1"/>
  <c r="T162" i="1" s="1"/>
  <c r="O162" i="1"/>
  <c r="G162" i="1"/>
  <c r="R161" i="1"/>
  <c r="Q161" i="1"/>
  <c r="T161" i="1" s="1"/>
  <c r="O161" i="1"/>
  <c r="G161" i="1"/>
  <c r="R160" i="1"/>
  <c r="Q160" i="1"/>
  <c r="T160" i="1" s="1"/>
  <c r="O160" i="1"/>
  <c r="G160" i="1"/>
  <c r="R159" i="1"/>
  <c r="Q159" i="1"/>
  <c r="T159" i="1" s="1"/>
  <c r="O159" i="1"/>
  <c r="G159" i="1"/>
  <c r="R158" i="1"/>
  <c r="Q158" i="1"/>
  <c r="T158" i="1" s="1"/>
  <c r="O158" i="1"/>
  <c r="G158" i="1"/>
  <c r="R157" i="1"/>
  <c r="Q157" i="1"/>
  <c r="T157" i="1" s="1"/>
  <c r="O157" i="1"/>
  <c r="G157" i="1"/>
  <c r="R156" i="1"/>
  <c r="Q156" i="1"/>
  <c r="T156" i="1" s="1"/>
  <c r="O156" i="1"/>
  <c r="G156" i="1"/>
  <c r="R155" i="1"/>
  <c r="Q155" i="1"/>
  <c r="T155" i="1" s="1"/>
  <c r="O155" i="1"/>
  <c r="G155" i="1"/>
  <c r="R154" i="1"/>
  <c r="Q154" i="1"/>
  <c r="T154" i="1" s="1"/>
  <c r="O154" i="1"/>
  <c r="G154" i="1"/>
  <c r="R153" i="1"/>
  <c r="Q153" i="1"/>
  <c r="T153" i="1" s="1"/>
  <c r="O153" i="1"/>
  <c r="G153" i="1"/>
  <c r="R152" i="1"/>
  <c r="Q152" i="1"/>
  <c r="T152" i="1" s="1"/>
  <c r="O152" i="1"/>
  <c r="G152" i="1"/>
  <c r="R151" i="1"/>
  <c r="Q151" i="1"/>
  <c r="T151" i="1" s="1"/>
  <c r="O151" i="1"/>
  <c r="G151" i="1"/>
  <c r="R150" i="1"/>
  <c r="Q150" i="1"/>
  <c r="T150" i="1" s="1"/>
  <c r="O150" i="1"/>
  <c r="G150" i="1"/>
  <c r="R149" i="1"/>
  <c r="Q149" i="1"/>
  <c r="T149" i="1" s="1"/>
  <c r="O149" i="1"/>
  <c r="G149" i="1"/>
  <c r="R148" i="1"/>
  <c r="Q148" i="1"/>
  <c r="T148" i="1" s="1"/>
  <c r="O148" i="1"/>
  <c r="G148" i="1"/>
  <c r="R147" i="1"/>
  <c r="Q147" i="1"/>
  <c r="T147" i="1" s="1"/>
  <c r="O147" i="1"/>
  <c r="G147" i="1"/>
  <c r="R146" i="1"/>
  <c r="Q146" i="1"/>
  <c r="T146" i="1" s="1"/>
  <c r="O146" i="1"/>
  <c r="G146" i="1"/>
  <c r="R145" i="1"/>
  <c r="Q145" i="1"/>
  <c r="T145" i="1" s="1"/>
  <c r="O145" i="1"/>
  <c r="G145" i="1"/>
  <c r="R144" i="1"/>
  <c r="Q144" i="1"/>
  <c r="T144" i="1" s="1"/>
  <c r="O144" i="1"/>
  <c r="G144" i="1"/>
  <c r="R143" i="1"/>
  <c r="Q143" i="1"/>
  <c r="T143" i="1" s="1"/>
  <c r="O143" i="1"/>
  <c r="G143" i="1"/>
  <c r="R142" i="1"/>
  <c r="Q142" i="1"/>
  <c r="T142" i="1" s="1"/>
  <c r="O142" i="1"/>
  <c r="G142" i="1"/>
  <c r="R141" i="1"/>
  <c r="Q141" i="1"/>
  <c r="T141" i="1" s="1"/>
  <c r="O141" i="1"/>
  <c r="G141" i="1"/>
  <c r="R140" i="1"/>
  <c r="Q140" i="1"/>
  <c r="T140" i="1" s="1"/>
  <c r="O140" i="1"/>
  <c r="G140" i="1"/>
  <c r="R139" i="1"/>
  <c r="Q139" i="1"/>
  <c r="T139" i="1" s="1"/>
  <c r="O139" i="1"/>
  <c r="G139" i="1"/>
  <c r="R138" i="1"/>
  <c r="Q138" i="1"/>
  <c r="T138" i="1" s="1"/>
  <c r="O138" i="1"/>
  <c r="G138" i="1"/>
  <c r="R137" i="1"/>
  <c r="Q137" i="1"/>
  <c r="T137" i="1" s="1"/>
  <c r="O137" i="1"/>
  <c r="G137" i="1"/>
  <c r="R136" i="1"/>
  <c r="Q136" i="1"/>
  <c r="T136" i="1" s="1"/>
  <c r="O136" i="1"/>
  <c r="G136" i="1"/>
  <c r="R135" i="1"/>
  <c r="Q135" i="1"/>
  <c r="T135" i="1" s="1"/>
  <c r="O135" i="1"/>
  <c r="G135" i="1"/>
  <c r="R134" i="1"/>
  <c r="Q134" i="1"/>
  <c r="T134" i="1" s="1"/>
  <c r="O134" i="1"/>
  <c r="G134" i="1"/>
  <c r="R133" i="1"/>
  <c r="Q133" i="1"/>
  <c r="T133" i="1" s="1"/>
  <c r="O133" i="1"/>
  <c r="G133" i="1"/>
  <c r="R132" i="1"/>
  <c r="Q132" i="1"/>
  <c r="T132" i="1" s="1"/>
  <c r="O132" i="1"/>
  <c r="G132" i="1"/>
  <c r="R131" i="1"/>
  <c r="Q131" i="1"/>
  <c r="T131" i="1" s="1"/>
  <c r="O131" i="1"/>
  <c r="G131" i="1"/>
  <c r="R130" i="1"/>
  <c r="Q130" i="1"/>
  <c r="T130" i="1" s="1"/>
  <c r="O130" i="1"/>
  <c r="G130" i="1"/>
  <c r="R129" i="1"/>
  <c r="Q129" i="1"/>
  <c r="T129" i="1" s="1"/>
  <c r="O129" i="1"/>
  <c r="G129" i="1"/>
  <c r="R128" i="1"/>
  <c r="Q128" i="1"/>
  <c r="T128" i="1" s="1"/>
  <c r="O128" i="1"/>
  <c r="G128" i="1"/>
  <c r="R127" i="1"/>
  <c r="Q127" i="1"/>
  <c r="T127" i="1" s="1"/>
  <c r="O127" i="1"/>
  <c r="G127" i="1"/>
  <c r="R126" i="1"/>
  <c r="Q126" i="1"/>
  <c r="T126" i="1" s="1"/>
  <c r="O126" i="1"/>
  <c r="G126" i="1"/>
  <c r="R125" i="1"/>
  <c r="Q125" i="1"/>
  <c r="T125" i="1" s="1"/>
  <c r="O125" i="1"/>
  <c r="G125" i="1"/>
  <c r="R124" i="1"/>
  <c r="Q124" i="1"/>
  <c r="T124" i="1" s="1"/>
  <c r="O124" i="1"/>
  <c r="G124" i="1"/>
  <c r="R123" i="1"/>
  <c r="Q123" i="1"/>
  <c r="T123" i="1" s="1"/>
  <c r="O123" i="1"/>
  <c r="G123" i="1"/>
  <c r="R122" i="1"/>
  <c r="Q122" i="1"/>
  <c r="T122" i="1" s="1"/>
  <c r="O122" i="1"/>
  <c r="G122" i="1"/>
  <c r="R121" i="1"/>
  <c r="Q121" i="1"/>
  <c r="T121" i="1" s="1"/>
  <c r="O121" i="1"/>
  <c r="G121" i="1"/>
  <c r="R120" i="1"/>
  <c r="Q120" i="1"/>
  <c r="T120" i="1" s="1"/>
  <c r="O120" i="1"/>
  <c r="G120" i="1"/>
  <c r="R119" i="1"/>
  <c r="Q119" i="1"/>
  <c r="T119" i="1" s="1"/>
  <c r="O119" i="1"/>
  <c r="G119" i="1"/>
  <c r="R118" i="1"/>
  <c r="Q118" i="1"/>
  <c r="T118" i="1" s="1"/>
  <c r="O118" i="1"/>
  <c r="G118" i="1"/>
  <c r="R117" i="1"/>
  <c r="Q117" i="1"/>
  <c r="T117" i="1" s="1"/>
  <c r="O117" i="1"/>
  <c r="G117" i="1"/>
  <c r="R116" i="1"/>
  <c r="Q116" i="1"/>
  <c r="T116" i="1" s="1"/>
  <c r="O116" i="1"/>
  <c r="G116" i="1"/>
  <c r="R115" i="1"/>
  <c r="Q115" i="1"/>
  <c r="T115" i="1" s="1"/>
  <c r="O115" i="1"/>
  <c r="G115" i="1"/>
  <c r="R114" i="1"/>
  <c r="Q114" i="1"/>
  <c r="T114" i="1" s="1"/>
  <c r="O114" i="1"/>
  <c r="G114" i="1"/>
  <c r="R113" i="1"/>
  <c r="Q113" i="1"/>
  <c r="T113" i="1" s="1"/>
  <c r="O113" i="1"/>
  <c r="G113" i="1"/>
  <c r="R112" i="1"/>
  <c r="Q112" i="1"/>
  <c r="T112" i="1" s="1"/>
  <c r="O112" i="1"/>
  <c r="G112" i="1"/>
  <c r="R111" i="1"/>
  <c r="Q111" i="1"/>
  <c r="T111" i="1" s="1"/>
  <c r="O111" i="1"/>
  <c r="G111" i="1"/>
  <c r="R110" i="1"/>
  <c r="Q110" i="1"/>
  <c r="T110" i="1" s="1"/>
  <c r="O110" i="1"/>
  <c r="G110" i="1"/>
  <c r="R109" i="1"/>
  <c r="Q109" i="1"/>
  <c r="T109" i="1" s="1"/>
  <c r="O109" i="1"/>
  <c r="G109" i="1"/>
  <c r="R108" i="1"/>
  <c r="Q108" i="1"/>
  <c r="T108" i="1" s="1"/>
  <c r="O108" i="1"/>
  <c r="G108" i="1"/>
  <c r="R107" i="1"/>
  <c r="Q107" i="1"/>
  <c r="T107" i="1" s="1"/>
  <c r="O107" i="1"/>
  <c r="G107" i="1"/>
  <c r="R106" i="1"/>
  <c r="Q106" i="1"/>
  <c r="T106" i="1" s="1"/>
  <c r="O106" i="1"/>
  <c r="G106" i="1"/>
  <c r="R105" i="1"/>
  <c r="Q105" i="1"/>
  <c r="T105" i="1" s="1"/>
  <c r="O105" i="1"/>
  <c r="G105" i="1"/>
  <c r="R104" i="1"/>
  <c r="Q104" i="1"/>
  <c r="T104" i="1" s="1"/>
  <c r="O104" i="1"/>
  <c r="G104" i="1"/>
  <c r="R103" i="1"/>
  <c r="Q103" i="1"/>
  <c r="T103" i="1" s="1"/>
  <c r="O103" i="1"/>
  <c r="G103" i="1"/>
  <c r="R102" i="1"/>
  <c r="Q102" i="1"/>
  <c r="T102" i="1" s="1"/>
  <c r="O102" i="1"/>
  <c r="G102" i="1"/>
  <c r="R101" i="1"/>
  <c r="Q101" i="1"/>
  <c r="T101" i="1" s="1"/>
  <c r="O101" i="1"/>
  <c r="G101" i="1"/>
  <c r="R100" i="1"/>
  <c r="Q100" i="1"/>
  <c r="T100" i="1" s="1"/>
  <c r="O100" i="1"/>
  <c r="G100" i="1"/>
  <c r="R99" i="1"/>
  <c r="Q99" i="1"/>
  <c r="T99" i="1" s="1"/>
  <c r="O99" i="1"/>
  <c r="G99" i="1"/>
  <c r="R98" i="1"/>
  <c r="Q98" i="1"/>
  <c r="T98" i="1" s="1"/>
  <c r="O98" i="1"/>
  <c r="G98" i="1"/>
  <c r="R97" i="1"/>
  <c r="Q97" i="1"/>
  <c r="T97" i="1" s="1"/>
  <c r="O97" i="1"/>
  <c r="G97" i="1"/>
  <c r="R96" i="1"/>
  <c r="Q96" i="1"/>
  <c r="T96" i="1" s="1"/>
  <c r="O96" i="1"/>
  <c r="G96" i="1"/>
  <c r="R95" i="1"/>
  <c r="Q95" i="1"/>
  <c r="T95" i="1" s="1"/>
  <c r="O95" i="1"/>
  <c r="G95" i="1"/>
  <c r="R94" i="1"/>
  <c r="Q94" i="1"/>
  <c r="T94" i="1" s="1"/>
  <c r="O94" i="1"/>
  <c r="G94" i="1"/>
  <c r="R93" i="1"/>
  <c r="Q93" i="1"/>
  <c r="T93" i="1" s="1"/>
  <c r="O93" i="1"/>
  <c r="G93" i="1"/>
  <c r="R92" i="1"/>
  <c r="Q92" i="1"/>
  <c r="T92" i="1" s="1"/>
  <c r="O92" i="1"/>
  <c r="G92" i="1"/>
  <c r="R91" i="1"/>
  <c r="Q91" i="1"/>
  <c r="T91" i="1" s="1"/>
  <c r="O91" i="1"/>
  <c r="G91" i="1"/>
  <c r="R90" i="1"/>
  <c r="Q90" i="1"/>
  <c r="T90" i="1" s="1"/>
  <c r="O90" i="1"/>
  <c r="G90" i="1"/>
  <c r="R89" i="1"/>
  <c r="Q89" i="1"/>
  <c r="T89" i="1" s="1"/>
  <c r="O89" i="1"/>
  <c r="G89" i="1"/>
  <c r="R88" i="1"/>
  <c r="Q88" i="1"/>
  <c r="T88" i="1" s="1"/>
  <c r="O88" i="1"/>
  <c r="G88" i="1"/>
  <c r="R87" i="1"/>
  <c r="Q87" i="1"/>
  <c r="T87" i="1" s="1"/>
  <c r="O87" i="1"/>
  <c r="G87" i="1"/>
  <c r="R86" i="1"/>
  <c r="Q86" i="1"/>
  <c r="T86" i="1" s="1"/>
  <c r="O86" i="1"/>
  <c r="G86" i="1"/>
  <c r="R85" i="1"/>
  <c r="Q85" i="1"/>
  <c r="T85" i="1" s="1"/>
  <c r="O85" i="1"/>
  <c r="G85" i="1"/>
  <c r="R84" i="1"/>
  <c r="Q84" i="1"/>
  <c r="T84" i="1" s="1"/>
  <c r="O84" i="1"/>
  <c r="G84" i="1"/>
  <c r="R83" i="1"/>
  <c r="Q83" i="1"/>
  <c r="T83" i="1" s="1"/>
  <c r="O83" i="1"/>
  <c r="G83" i="1"/>
  <c r="R82" i="1"/>
  <c r="Q82" i="1"/>
  <c r="T82" i="1" s="1"/>
  <c r="O82" i="1"/>
  <c r="G82" i="1"/>
  <c r="R81" i="1"/>
  <c r="Q81" i="1"/>
  <c r="T81" i="1" s="1"/>
  <c r="O81" i="1"/>
  <c r="G81" i="1"/>
  <c r="R80" i="1"/>
  <c r="Q80" i="1"/>
  <c r="T80" i="1" s="1"/>
  <c r="O80" i="1"/>
  <c r="G80" i="1"/>
  <c r="R79" i="1"/>
  <c r="Q79" i="1"/>
  <c r="T79" i="1" s="1"/>
  <c r="O79" i="1"/>
  <c r="G79" i="1"/>
  <c r="R78" i="1"/>
  <c r="Q78" i="1"/>
  <c r="T78" i="1" s="1"/>
  <c r="O78" i="1"/>
  <c r="G78" i="1"/>
  <c r="R77" i="1"/>
  <c r="Q77" i="1"/>
  <c r="T77" i="1" s="1"/>
  <c r="O77" i="1"/>
  <c r="G77" i="1"/>
  <c r="R76" i="1"/>
  <c r="Q76" i="1"/>
  <c r="T76" i="1" s="1"/>
  <c r="O76" i="1"/>
  <c r="G76" i="1"/>
  <c r="R75" i="1"/>
  <c r="Q75" i="1"/>
  <c r="T75" i="1" s="1"/>
  <c r="O75" i="1"/>
  <c r="G75" i="1"/>
  <c r="R74" i="1"/>
  <c r="Q74" i="1"/>
  <c r="T74" i="1" s="1"/>
  <c r="O74" i="1"/>
  <c r="G74" i="1"/>
  <c r="R73" i="1"/>
  <c r="Q73" i="1"/>
  <c r="T73" i="1" s="1"/>
  <c r="O73" i="1"/>
  <c r="G73" i="1"/>
  <c r="R72" i="1"/>
  <c r="Q72" i="1"/>
  <c r="T72" i="1" s="1"/>
  <c r="O72" i="1"/>
  <c r="G72" i="1"/>
  <c r="R71" i="1"/>
  <c r="Q71" i="1"/>
  <c r="T71" i="1" s="1"/>
  <c r="O71" i="1"/>
  <c r="G71" i="1"/>
  <c r="R70" i="1"/>
  <c r="Q70" i="1"/>
  <c r="T70" i="1" s="1"/>
  <c r="O70" i="1"/>
  <c r="G70" i="1"/>
  <c r="R69" i="1"/>
  <c r="Q69" i="1"/>
  <c r="T69" i="1" s="1"/>
  <c r="O69" i="1"/>
  <c r="G69" i="1"/>
  <c r="R68" i="1"/>
  <c r="Q68" i="1"/>
  <c r="T68" i="1" s="1"/>
  <c r="O68" i="1"/>
  <c r="G68" i="1"/>
  <c r="R67" i="1"/>
  <c r="Q67" i="1"/>
  <c r="T67" i="1" s="1"/>
  <c r="O67" i="1"/>
  <c r="G67" i="1"/>
  <c r="R66" i="1"/>
  <c r="Q66" i="1"/>
  <c r="T66" i="1" s="1"/>
  <c r="O66" i="1"/>
  <c r="G66" i="1"/>
  <c r="R65" i="1"/>
  <c r="Q65" i="1"/>
  <c r="O65" i="1"/>
  <c r="G65" i="1"/>
  <c r="R64" i="1"/>
  <c r="Q64" i="1"/>
  <c r="T64" i="1" s="1"/>
  <c r="O64" i="1"/>
  <c r="G64" i="1"/>
  <c r="R63" i="1"/>
  <c r="Q63" i="1"/>
  <c r="T63" i="1" s="1"/>
  <c r="O63" i="1"/>
  <c r="G63" i="1"/>
  <c r="R62" i="1"/>
  <c r="Q62" i="1"/>
  <c r="T62" i="1" s="1"/>
  <c r="O62" i="1"/>
  <c r="G62" i="1"/>
  <c r="R61" i="1"/>
  <c r="Q61" i="1"/>
  <c r="O61" i="1"/>
  <c r="G61" i="1"/>
  <c r="R60" i="1"/>
  <c r="Q60" i="1"/>
  <c r="T60" i="1" s="1"/>
  <c r="O60" i="1"/>
  <c r="G60" i="1"/>
  <c r="R59" i="1"/>
  <c r="Q59" i="1"/>
  <c r="T59" i="1" s="1"/>
  <c r="O59" i="1"/>
  <c r="G59" i="1"/>
  <c r="R58" i="1"/>
  <c r="Q58" i="1"/>
  <c r="T58" i="1" s="1"/>
  <c r="O58" i="1"/>
  <c r="G58" i="1"/>
  <c r="R57" i="1"/>
  <c r="Q57" i="1"/>
  <c r="O57" i="1"/>
  <c r="G57" i="1"/>
  <c r="R56" i="1"/>
  <c r="Q56" i="1"/>
  <c r="T56" i="1" s="1"/>
  <c r="O56" i="1"/>
  <c r="G56" i="1"/>
  <c r="R55" i="1"/>
  <c r="Q55" i="1"/>
  <c r="T55" i="1" s="1"/>
  <c r="O55" i="1"/>
  <c r="G55" i="1"/>
  <c r="R54" i="1"/>
  <c r="Q54" i="1"/>
  <c r="T54" i="1" s="1"/>
  <c r="O54" i="1"/>
  <c r="G54" i="1"/>
  <c r="R53" i="1"/>
  <c r="Q53" i="1"/>
  <c r="O53" i="1"/>
  <c r="G53" i="1"/>
  <c r="R52" i="1"/>
  <c r="Q52" i="1"/>
  <c r="T52" i="1" s="1"/>
  <c r="O52" i="1"/>
  <c r="G52" i="1"/>
  <c r="R51" i="1"/>
  <c r="Q51" i="1"/>
  <c r="T51" i="1" s="1"/>
  <c r="O51" i="1"/>
  <c r="G51" i="1"/>
  <c r="R50" i="1"/>
  <c r="Q50" i="1"/>
  <c r="T50" i="1" s="1"/>
  <c r="O50" i="1"/>
  <c r="G50" i="1"/>
  <c r="R49" i="1"/>
  <c r="Q49" i="1"/>
  <c r="O49" i="1"/>
  <c r="G49" i="1"/>
  <c r="R48" i="1"/>
  <c r="Q48" i="1"/>
  <c r="T48" i="1" s="1"/>
  <c r="O48" i="1"/>
  <c r="G48" i="1"/>
  <c r="R47" i="1"/>
  <c r="Q47" i="1"/>
  <c r="T47" i="1" s="1"/>
  <c r="O47" i="1"/>
  <c r="G47" i="1"/>
  <c r="R46" i="1"/>
  <c r="Q46" i="1"/>
  <c r="T46" i="1" s="1"/>
  <c r="O46" i="1"/>
  <c r="G46" i="1"/>
  <c r="R45" i="1"/>
  <c r="Q45" i="1"/>
  <c r="O45" i="1"/>
  <c r="G45" i="1"/>
  <c r="R44" i="1"/>
  <c r="Q44" i="1"/>
  <c r="T44" i="1" s="1"/>
  <c r="O44" i="1"/>
  <c r="G44" i="1"/>
  <c r="R43" i="1"/>
  <c r="Q43" i="1"/>
  <c r="T43" i="1" s="1"/>
  <c r="O43" i="1"/>
  <c r="G43" i="1"/>
  <c r="R42" i="1"/>
  <c r="Q42" i="1"/>
  <c r="T42" i="1" s="1"/>
  <c r="O42" i="1"/>
  <c r="G42" i="1"/>
  <c r="R41" i="1"/>
  <c r="Q41" i="1"/>
  <c r="O41" i="1"/>
  <c r="G41" i="1"/>
  <c r="R40" i="1"/>
  <c r="Q40" i="1"/>
  <c r="T40" i="1" s="1"/>
  <c r="O40" i="1"/>
  <c r="G40" i="1"/>
  <c r="R39" i="1"/>
  <c r="Q39" i="1"/>
  <c r="T39" i="1" s="1"/>
  <c r="O39" i="1"/>
  <c r="G39" i="1"/>
  <c r="R38" i="1"/>
  <c r="Q38" i="1"/>
  <c r="T38" i="1" s="1"/>
  <c r="O38" i="1"/>
  <c r="G38" i="1"/>
  <c r="R37" i="1"/>
  <c r="Q37" i="1"/>
  <c r="O37" i="1"/>
  <c r="G37" i="1"/>
  <c r="R36" i="1"/>
  <c r="Q36" i="1"/>
  <c r="T36" i="1" s="1"/>
  <c r="O36" i="1"/>
  <c r="G36" i="1"/>
  <c r="R35" i="1"/>
  <c r="Q35" i="1"/>
  <c r="T35" i="1" s="1"/>
  <c r="O35" i="1"/>
  <c r="G35" i="1"/>
  <c r="R34" i="1"/>
  <c r="Q34" i="1"/>
  <c r="T34" i="1" s="1"/>
  <c r="O34" i="1"/>
  <c r="G34" i="1"/>
  <c r="R33" i="1"/>
  <c r="Q33" i="1"/>
  <c r="O33" i="1"/>
  <c r="G33" i="1"/>
  <c r="R32" i="1"/>
  <c r="Q32" i="1"/>
  <c r="T32" i="1" s="1"/>
  <c r="O32" i="1"/>
  <c r="G32" i="1"/>
  <c r="R31" i="1"/>
  <c r="Q31" i="1"/>
  <c r="T31" i="1" s="1"/>
  <c r="O31" i="1"/>
  <c r="G31" i="1"/>
  <c r="R30" i="1"/>
  <c r="Q30" i="1"/>
  <c r="T30" i="1" s="1"/>
  <c r="O30" i="1"/>
  <c r="G30" i="1"/>
  <c r="R29" i="1"/>
  <c r="Q29" i="1"/>
  <c r="O29" i="1"/>
  <c r="G29" i="1"/>
  <c r="R28" i="1"/>
  <c r="Q28" i="1"/>
  <c r="T28" i="1" s="1"/>
  <c r="O28" i="1"/>
  <c r="G28" i="1"/>
  <c r="R27" i="1"/>
  <c r="Q27" i="1"/>
  <c r="T27" i="1" s="1"/>
  <c r="O27" i="1"/>
  <c r="G27" i="1"/>
  <c r="R26" i="1"/>
  <c r="Q26" i="1"/>
  <c r="T26" i="1" s="1"/>
  <c r="O26" i="1"/>
  <c r="G26" i="1"/>
  <c r="R25" i="1"/>
  <c r="Q25" i="1"/>
  <c r="O25" i="1"/>
  <c r="G25" i="1"/>
  <c r="R24" i="1"/>
  <c r="Q24" i="1"/>
  <c r="T24" i="1" s="1"/>
  <c r="O24" i="1"/>
  <c r="G24" i="1"/>
  <c r="R23" i="1"/>
  <c r="Q23" i="1"/>
  <c r="T23" i="1" s="1"/>
  <c r="O23" i="1"/>
  <c r="G23" i="1"/>
  <c r="R22" i="1"/>
  <c r="Q22" i="1"/>
  <c r="T22" i="1" s="1"/>
  <c r="O22" i="1"/>
  <c r="G22" i="1"/>
  <c r="R21" i="1"/>
  <c r="Q21" i="1"/>
  <c r="O21" i="1"/>
  <c r="G21" i="1"/>
  <c r="R20" i="1"/>
  <c r="Q20" i="1"/>
  <c r="T20" i="1" s="1"/>
  <c r="O20" i="1"/>
  <c r="G20" i="1"/>
  <c r="R19" i="1"/>
  <c r="Q19" i="1"/>
  <c r="T19" i="1" s="1"/>
  <c r="O19" i="1"/>
  <c r="G19" i="1"/>
  <c r="R18" i="1"/>
  <c r="Q18" i="1"/>
  <c r="T18" i="1" s="1"/>
  <c r="O18" i="1"/>
  <c r="G18" i="1"/>
  <c r="R17" i="1"/>
  <c r="Q17" i="1"/>
  <c r="O17" i="1"/>
  <c r="G17" i="1"/>
  <c r="R16" i="1"/>
  <c r="Q16" i="1"/>
  <c r="T16" i="1" s="1"/>
  <c r="O16" i="1"/>
  <c r="G16" i="1"/>
  <c r="R15" i="1"/>
  <c r="Q15" i="1"/>
  <c r="T15" i="1" s="1"/>
  <c r="O15" i="1"/>
  <c r="G15" i="1"/>
  <c r="R14" i="1"/>
  <c r="Q14" i="1"/>
  <c r="T14" i="1" s="1"/>
  <c r="O14" i="1"/>
  <c r="G14" i="1"/>
  <c r="R13" i="1"/>
  <c r="Q13" i="1"/>
  <c r="O13" i="1"/>
  <c r="G13" i="1"/>
  <c r="R12" i="1"/>
  <c r="Q12" i="1"/>
  <c r="T12" i="1" s="1"/>
  <c r="O12" i="1"/>
  <c r="G12" i="1"/>
  <c r="R11" i="1"/>
  <c r="Q11" i="1"/>
  <c r="T11" i="1" s="1"/>
  <c r="O11" i="1"/>
  <c r="G11" i="1"/>
  <c r="R10" i="1"/>
  <c r="Q10" i="1"/>
  <c r="T10" i="1" s="1"/>
  <c r="O10" i="1"/>
  <c r="G10" i="1"/>
  <c r="R9" i="1"/>
  <c r="Q9" i="1"/>
  <c r="O9" i="1"/>
  <c r="G9" i="1"/>
  <c r="R8" i="1"/>
  <c r="Q8" i="1"/>
  <c r="T8" i="1" s="1"/>
  <c r="O8" i="1"/>
  <c r="G8" i="1"/>
  <c r="R7" i="1"/>
  <c r="Q7" i="1"/>
  <c r="T7" i="1" s="1"/>
  <c r="O7" i="1"/>
  <c r="G7" i="1"/>
  <c r="R6" i="1"/>
  <c r="Q6" i="1"/>
  <c r="T6" i="1" s="1"/>
  <c r="O6" i="1"/>
  <c r="G6" i="1"/>
  <c r="R5" i="1"/>
  <c r="Q5" i="1"/>
  <c r="O5" i="1"/>
  <c r="G5" i="1"/>
  <c r="R4" i="1"/>
  <c r="Q4" i="1"/>
  <c r="T4" i="1" s="1"/>
  <c r="O4" i="1"/>
  <c r="G4" i="1"/>
  <c r="R3" i="1"/>
  <c r="Q3" i="1"/>
  <c r="T3" i="1" s="1"/>
  <c r="O3" i="1"/>
  <c r="G3" i="1"/>
  <c r="R2" i="1"/>
  <c r="Q2" i="1"/>
  <c r="T2" i="1" s="1"/>
  <c r="O2" i="1"/>
  <c r="G2" i="1"/>
  <c r="T5" i="1" l="1"/>
  <c r="T9" i="1"/>
  <c r="T13" i="1"/>
  <c r="T17" i="1"/>
  <c r="T21" i="1"/>
  <c r="T25" i="1"/>
  <c r="T29" i="1"/>
  <c r="T33" i="1"/>
  <c r="T37" i="1"/>
  <c r="T41" i="1"/>
  <c r="T45" i="1"/>
  <c r="T49" i="1"/>
  <c r="T53" i="1"/>
  <c r="T57" i="1"/>
  <c r="T61" i="1"/>
  <c r="T65" i="1"/>
  <c r="T289" i="1"/>
  <c r="T293" i="1"/>
  <c r="T297" i="1"/>
  <c r="T301" i="1"/>
  <c r="T305" i="1"/>
  <c r="T309" i="1"/>
  <c r="T313" i="1"/>
  <c r="T317" i="1"/>
  <c r="T321" i="1"/>
  <c r="T325" i="1"/>
  <c r="T329" i="1"/>
  <c r="T333" i="1"/>
  <c r="T337" i="1"/>
  <c r="T341" i="1"/>
  <c r="T345" i="1"/>
  <c r="T349" i="1"/>
  <c r="T353" i="1"/>
  <c r="T357" i="1"/>
  <c r="T361" i="1"/>
  <c r="T365" i="1"/>
  <c r="T369" i="1"/>
  <c r="T373" i="1"/>
  <c r="T377" i="1"/>
  <c r="T381" i="1"/>
  <c r="T385" i="1"/>
  <c r="T389" i="1"/>
  <c r="T393" i="1"/>
  <c r="T397" i="1"/>
  <c r="T401" i="1"/>
  <c r="T405" i="1"/>
  <c r="T409" i="1"/>
  <c r="T413" i="1"/>
  <c r="T417" i="1"/>
  <c r="T421" i="1"/>
  <c r="T425" i="1"/>
  <c r="T429" i="1"/>
  <c r="T433" i="1"/>
  <c r="T437" i="1"/>
  <c r="T441" i="1"/>
  <c r="T445" i="1"/>
  <c r="T449" i="1"/>
  <c r="T453" i="1"/>
  <c r="T457" i="1"/>
  <c r="T462" i="1"/>
  <c r="T466" i="1"/>
  <c r="T470" i="1"/>
  <c r="T474" i="1"/>
  <c r="T478" i="1"/>
  <c r="T482" i="1"/>
  <c r="T486" i="1"/>
  <c r="T490" i="1"/>
  <c r="T494" i="1"/>
  <c r="T498" i="1"/>
  <c r="T502" i="1"/>
  <c r="T506" i="1"/>
  <c r="T510" i="1"/>
  <c r="T514" i="1"/>
  <c r="T518" i="1"/>
  <c r="T522" i="1"/>
  <c r="T526" i="1"/>
  <c r="T530" i="1"/>
  <c r="T534" i="1"/>
  <c r="T538" i="1"/>
  <c r="T542" i="1"/>
  <c r="T546" i="1"/>
  <c r="T550" i="1"/>
  <c r="T554" i="1"/>
  <c r="T558" i="1"/>
  <c r="T562" i="1"/>
  <c r="T566" i="1"/>
  <c r="T570" i="1"/>
  <c r="T574" i="1"/>
  <c r="T578" i="1"/>
  <c r="T582" i="1"/>
  <c r="T586" i="1"/>
  <c r="T590" i="1"/>
  <c r="T594" i="1"/>
  <c r="T598" i="1"/>
  <c r="T602" i="1"/>
  <c r="T606" i="1"/>
  <c r="T610" i="1"/>
  <c r="T614" i="1"/>
  <c r="T618" i="1"/>
  <c r="T622" i="1"/>
  <c r="T626" i="1"/>
</calcChain>
</file>

<file path=xl/sharedStrings.xml><?xml version="1.0" encoding="utf-8"?>
<sst xmlns="http://schemas.openxmlformats.org/spreadsheetml/2006/main" count="6679" uniqueCount="1436">
  <si>
    <t>Mã NC (Khóa chính)</t>
  </si>
  <si>
    <t>STT Gốc</t>
  </si>
  <si>
    <t>Khách hàng</t>
  </si>
  <si>
    <t>Tên Sản Phẩm</t>
  </si>
  <si>
    <t>Tên Công Đoạn / Nguyên Công</t>
  </si>
  <si>
    <t>Định mức Giây (s)</t>
  </si>
  <si>
    <t>Quy đổi Ca (Ca)</t>
  </si>
  <si>
    <t>Giai đoạn (Stage)</t>
  </si>
  <si>
    <t>Máy Chỉ Định</t>
  </si>
  <si>
    <t>Mã VL</t>
  </si>
  <si>
    <t>Vật Liệu Gia Công</t>
  </si>
  <si>
    <t>Chế Độ Cắt Khuyến Cáo (Vc, f)</t>
  </si>
  <si>
    <t>Mã Dao Cụ</t>
  </si>
  <si>
    <t>Dao Cụ / Chíp / Mũi Khoan-Taro Chỉ Định</t>
  </si>
  <si>
    <t>Đơn Giá 1 Lưỡi Cắt (đ)</t>
  </si>
  <si>
    <t>Định Mức Tiêu Hao Lưỡi Cắt / SP</t>
  </si>
  <si>
    <t>1. Chi Phí Nhân Công ĐM (VNĐ) [~385k/Ca]</t>
  </si>
  <si>
    <t>2. Chi Phí Máy+Điện+KH ĐM (VNĐ) [Phần Máy trong Ca]</t>
  </si>
  <si>
    <t>3. Dao Cụ Phụ Trợ (0đ - Đã gộp trong Đơn giá Ca)</t>
  </si>
  <si>
    <t>TỔNG GIÁ THÀNH NC THEO ĐƠN GIÁ CA 8H CÔNG TY (VNĐ)</t>
  </si>
  <si>
    <t>NC001</t>
  </si>
  <si>
    <t>TFG</t>
  </si>
  <si>
    <t>Pattern Drawing No 2CG00382</t>
  </si>
  <si>
    <t>G/c Tiện NC2 tiện lỗ</t>
  </si>
  <si>
    <t>Máy tiện FUJI</t>
  </si>
  <si>
    <t>VL04</t>
  </si>
  <si>
    <t>Thép làm khuôn SKD11 / SCMnH11 (Thép Mangan)</t>
  </si>
  <si>
    <t>Vc=90-120m/p | f=0.15mm/v</t>
  </si>
  <si>
    <t>T01</t>
  </si>
  <si>
    <t>Mảnh tiện thô CNMG 120408</t>
  </si>
  <si>
    <t>NC002</t>
  </si>
  <si>
    <t>Đại Phú</t>
  </si>
  <si>
    <t>Đĩa búa 2000x2000 D750- DP (Đĩa 2 bên moay ơ 260/185 dày 124)</t>
  </si>
  <si>
    <t>Gia công tiện hoàn thiện</t>
  </si>
  <si>
    <t>End</t>
  </si>
  <si>
    <t>Máy tiện đứng T1516</t>
  </si>
  <si>
    <t>VL03</t>
  </si>
  <si>
    <t>Thép hợp kim SCM440 / SCW480 / 65G</t>
  </si>
  <si>
    <t>Vc=140-180m/p | f=0.2mm/v</t>
  </si>
  <si>
    <t>NC003</t>
  </si>
  <si>
    <t>G/c Tiện NC3 tiện côn</t>
  </si>
  <si>
    <t>NC004</t>
  </si>
  <si>
    <t>Đĩa búa 2000x2200 (Đĩa 2 bên Φ750 moay ơ 265/195 dày 124)</t>
  </si>
  <si>
    <t>NC005</t>
  </si>
  <si>
    <t>Đĩa búa 2000x2200 (Đĩa 1 bên Φ750 moay ơ 265/195 dày 88)</t>
  </si>
  <si>
    <t>NC006</t>
  </si>
  <si>
    <t>Taniguchi</t>
  </si>
  <si>
    <t>Búa đập- HC-G-2017</t>
  </si>
  <si>
    <t>Gia công NC1  lỗ</t>
  </si>
  <si>
    <t>T03</t>
  </si>
  <si>
    <t>Chíp tiện TNMG 160408-PM XP2125</t>
  </si>
  <si>
    <t>NC007</t>
  </si>
  <si>
    <t>Molycop / Bi nghiền</t>
  </si>
  <si>
    <t>Bi 15</t>
  </si>
  <si>
    <t>Gia công cắt đây</t>
  </si>
  <si>
    <t>Máy Cắt Dây DK7745 - 1</t>
  </si>
  <si>
    <t>VL11</t>
  </si>
  <si>
    <t>Gang Cr (Cr26-28, Ni-hard 4, Vautid, DH)</t>
  </si>
  <si>
    <t>Vc=110-140m/p | f=0.2mm/v</t>
  </si>
  <si>
    <t>NC008</t>
  </si>
  <si>
    <t>Gia công mài từ</t>
  </si>
  <si>
    <t>Máy mài băng từ 1</t>
  </si>
  <si>
    <t>NC009</t>
  </si>
  <si>
    <t>Bi 17</t>
  </si>
  <si>
    <t>Gia công cắt dây</t>
  </si>
  <si>
    <t>NC010</t>
  </si>
  <si>
    <t>Gia công mài</t>
  </si>
  <si>
    <t>NC011</t>
  </si>
  <si>
    <t>Vico - Nội bộ / Khách lẻ</t>
  </si>
  <si>
    <t>Tấm kẹp AMC Disa 10137297 (994/988x196x90)</t>
  </si>
  <si>
    <t>G/c phay tinh mp1 chính</t>
  </si>
  <si>
    <t>Máy phay OKK1</t>
  </si>
  <si>
    <t>VL09</t>
  </si>
  <si>
    <t>Gang FC250 / FCD600 (Gang xám/cầu)</t>
  </si>
  <si>
    <t>Vc=120-150m/p | fz=0.08mm/r</t>
  </si>
  <si>
    <t>T05</t>
  </si>
  <si>
    <t>Mảnh phay mặt APMT 1604</t>
  </si>
  <si>
    <t>NC012</t>
  </si>
  <si>
    <t>G/c phay tinh mp2 đáy</t>
  </si>
  <si>
    <t>NC013</t>
  </si>
  <si>
    <t>G/c phay thô để lại lương dư</t>
  </si>
  <si>
    <t>NC014</t>
  </si>
  <si>
    <t>G/c phay tinh cạnh vat</t>
  </si>
  <si>
    <t>NC015</t>
  </si>
  <si>
    <t>G/c phay  phần 3mm</t>
  </si>
  <si>
    <t>NC016</t>
  </si>
  <si>
    <t>G/c phay cnc</t>
  </si>
  <si>
    <t>Máy Phay CNC1</t>
  </si>
  <si>
    <t>NC017</t>
  </si>
  <si>
    <t>G/c khoan lỗ</t>
  </si>
  <si>
    <t>Máy Khoan cần Yoshida</t>
  </si>
  <si>
    <t>Khoan Vc=25m/p | T=30p</t>
  </si>
  <si>
    <t>DR21</t>
  </si>
  <si>
    <t>Mũi khoan D16.0mm (Côn MT2)</t>
  </si>
  <si>
    <t>NC018</t>
  </si>
  <si>
    <t>TL đe M máy búa 131 (505x477x103)</t>
  </si>
  <si>
    <t>G/c phay Mp1</t>
  </si>
  <si>
    <t>VL01</t>
  </si>
  <si>
    <t>Thép C45 / S45C</t>
  </si>
  <si>
    <t>Vc=160-200m/p | fz=0.08mm/r</t>
  </si>
  <si>
    <t>NC019</t>
  </si>
  <si>
    <t>TL đe N máy búa 131 (505x477x103)</t>
  </si>
  <si>
    <t>G/c phay Mp2</t>
  </si>
  <si>
    <t>NC020</t>
  </si>
  <si>
    <t>TL đe F máy búa 131 (535x477x103)</t>
  </si>
  <si>
    <t>G/c phay Mp3</t>
  </si>
  <si>
    <t>NC021</t>
  </si>
  <si>
    <t>Bánh mài theo bản vẽ UPHT-SJ040195-01</t>
  </si>
  <si>
    <t>G/c bóc thô theo bản vẽ</t>
  </si>
  <si>
    <t>Vc=180-220m/p | f=0.25mm/v</t>
  </si>
  <si>
    <t>NC022</t>
  </si>
  <si>
    <t>Đĩa mài vành trong theo bv UPHT-SJ040193-01</t>
  </si>
  <si>
    <t>G/c phay Mp hoàn thiện</t>
  </si>
  <si>
    <t>NC023</t>
  </si>
  <si>
    <t>Bi 20</t>
  </si>
  <si>
    <t>G/c cắt dây</t>
  </si>
  <si>
    <t>NC024</t>
  </si>
  <si>
    <t>G/c mài từ</t>
  </si>
  <si>
    <t>NC025</t>
  </si>
  <si>
    <t>Bi 25</t>
  </si>
  <si>
    <t>NC026</t>
  </si>
  <si>
    <t>NC027</t>
  </si>
  <si>
    <t>Bi 30</t>
  </si>
  <si>
    <t>NC028</t>
  </si>
  <si>
    <t>NC029</t>
  </si>
  <si>
    <t>Bi 40</t>
  </si>
  <si>
    <t>NC030</t>
  </si>
  <si>
    <t>NC031</t>
  </si>
  <si>
    <t>Bi 50</t>
  </si>
  <si>
    <t>NC032</t>
  </si>
  <si>
    <t>NC033</t>
  </si>
  <si>
    <t>Bi 80</t>
  </si>
  <si>
    <t>NC034</t>
  </si>
  <si>
    <t>NC035</t>
  </si>
  <si>
    <t>Roller</t>
  </si>
  <si>
    <t>G/c tiện thô</t>
  </si>
  <si>
    <t>NC036</t>
  </si>
  <si>
    <t>Gia công tiện tinh</t>
  </si>
  <si>
    <t>T02</t>
  </si>
  <si>
    <t>Mảnh tiện tinh DNMG 150404</t>
  </si>
  <si>
    <t>NC037</t>
  </si>
  <si>
    <t>Xích cho 463.CV030</t>
  </si>
  <si>
    <t>G/c công khoan hoàn thiện</t>
  </si>
  <si>
    <t>Khoan Vc=30m/p | T=30p</t>
  </si>
  <si>
    <t>NC038</t>
  </si>
  <si>
    <t>Hải-Vinh Quảng Ninh</t>
  </si>
  <si>
    <t>Bích rulo mài tư pđatech</t>
  </si>
  <si>
    <t>G/c hoàn thiện</t>
  </si>
  <si>
    <t>NC039</t>
  </si>
  <si>
    <t>Win-Win</t>
  </si>
  <si>
    <t>ALKTOP 2681 H</t>
  </si>
  <si>
    <t>Máy Tiện CNC 1</t>
  </si>
  <si>
    <t>NC040</t>
  </si>
  <si>
    <t>NC041</t>
  </si>
  <si>
    <t>ISHIZUE 406Dw1000</t>
  </si>
  <si>
    <t>NC042</t>
  </si>
  <si>
    <t>ISHIZUE 355Dw900</t>
  </si>
  <si>
    <t>NC043</t>
  </si>
  <si>
    <t>ISHIZUE 355Dw750</t>
  </si>
  <si>
    <t>NC044</t>
  </si>
  <si>
    <t>ISHIZUE 267Dw700</t>
  </si>
  <si>
    <t>NC045</t>
  </si>
  <si>
    <t>ISHIZUE 267Dw800</t>
  </si>
  <si>
    <t>NC046</t>
  </si>
  <si>
    <t>ISHIZUE 318Dw800</t>
  </si>
  <si>
    <t>NC047</t>
  </si>
  <si>
    <t>ISHIZUE 318Dw650</t>
  </si>
  <si>
    <t>NC048</t>
  </si>
  <si>
    <t>ALKTOP 2670 H</t>
  </si>
  <si>
    <t>NC049</t>
  </si>
  <si>
    <t>NC050</t>
  </si>
  <si>
    <t>Mẫu Thử</t>
  </si>
  <si>
    <t>NC051</t>
  </si>
  <si>
    <t>NC052</t>
  </si>
  <si>
    <t>Cưa Cánh xoắn</t>
  </si>
  <si>
    <t>G/c cưa mạnh 1</t>
  </si>
  <si>
    <t>Máy cưa băng</t>
  </si>
  <si>
    <t>NC053</t>
  </si>
  <si>
    <t>G/c cưa mạnh 2</t>
  </si>
  <si>
    <t>NC054</t>
  </si>
  <si>
    <t>G/c cưa mạnh 3</t>
  </si>
  <si>
    <t>NC055</t>
  </si>
  <si>
    <t>G/c cưa mạnh 4</t>
  </si>
  <si>
    <t>NC056</t>
  </si>
  <si>
    <t>G/c cưa mạnh 5</t>
  </si>
  <si>
    <t>NC057</t>
  </si>
  <si>
    <t>Sưa Khuôn TRS60</t>
  </si>
  <si>
    <t>G/c sửa theo yêu câu</t>
  </si>
  <si>
    <t>NC058</t>
  </si>
  <si>
    <t>Phay chữ VNM</t>
  </si>
  <si>
    <t>G/c theo bản vẽ</t>
  </si>
  <si>
    <t>NC059</t>
  </si>
  <si>
    <t>Sửa khuôn ES6697-5HDPX</t>
  </si>
  <si>
    <t>G/c sửa theo yêu cầu</t>
  </si>
  <si>
    <t>NC060</t>
  </si>
  <si>
    <t>ISHIZUE 457Dw950</t>
  </si>
  <si>
    <t>NC061</t>
  </si>
  <si>
    <t>ISHIZUE 406Dw850</t>
  </si>
  <si>
    <t>NC062</t>
  </si>
  <si>
    <t>ISHIZUE 457Dw1150</t>
  </si>
  <si>
    <t>NC063</t>
  </si>
  <si>
    <t>ALKTOP 1342 H</t>
  </si>
  <si>
    <t>NC064</t>
  </si>
  <si>
    <t>ALKTOP 1130 H</t>
  </si>
  <si>
    <t>NC065</t>
  </si>
  <si>
    <t>Mẫu Thử CR &amp; hàng #</t>
  </si>
  <si>
    <t>NC066</t>
  </si>
  <si>
    <t>ALKTOP 35107H</t>
  </si>
  <si>
    <t>NC067</t>
  </si>
  <si>
    <t>Fixed jaw plate Drawing No 1191 SUI 9102</t>
  </si>
  <si>
    <t>G/c phay Mp 1</t>
  </si>
  <si>
    <t>Vc=80-110m/p | fz=0.04mm/r</t>
  </si>
  <si>
    <t>NC068</t>
  </si>
  <si>
    <t>G/c phay cạnh hông 1</t>
  </si>
  <si>
    <t>NC069</t>
  </si>
  <si>
    <t>G/c phay cạnh hông 2</t>
  </si>
  <si>
    <t>NC070</t>
  </si>
  <si>
    <t>UCC</t>
  </si>
  <si>
    <t>492537-1</t>
  </si>
  <si>
    <t>G/c tiện tinh Nc1</t>
  </si>
  <si>
    <t>NC071</t>
  </si>
  <si>
    <t>G/c tiện tinh móc lỗ NC1</t>
  </si>
  <si>
    <t>NC072</t>
  </si>
  <si>
    <t>G/c tiện tinh Nc2</t>
  </si>
  <si>
    <t>NC073</t>
  </si>
  <si>
    <t>G/c tiện tinh móc lỗ Nc2</t>
  </si>
  <si>
    <t>NC074</t>
  </si>
  <si>
    <t>G/c tiện thô Nc1</t>
  </si>
  <si>
    <t>NC075</t>
  </si>
  <si>
    <t>G/c tiện thô móc lỗ NC1</t>
  </si>
  <si>
    <t>NC076</t>
  </si>
  <si>
    <t>G/c tiện thô Nc2</t>
  </si>
  <si>
    <t>NC077</t>
  </si>
  <si>
    <t>G/c tiện thô móc lỗ Nc2</t>
  </si>
  <si>
    <t>NC078</t>
  </si>
  <si>
    <t>NC079</t>
  </si>
  <si>
    <t>Bulong tăng chỉnh CT1-DCNC</t>
  </si>
  <si>
    <t>G/c phay ht</t>
  </si>
  <si>
    <t>VL02</t>
  </si>
  <si>
    <t>Thép SS400 / CT3</t>
  </si>
  <si>
    <t>Vc=180-220m/p | fz=0.1mm/r</t>
  </si>
  <si>
    <t>NC080</t>
  </si>
  <si>
    <t>Bích động cơ</t>
  </si>
  <si>
    <t>G/c tiện ht</t>
  </si>
  <si>
    <t>NC081</t>
  </si>
  <si>
    <t>Sửa khuôn CRMINING</t>
  </si>
  <si>
    <t>G/c sửa theo Yc</t>
  </si>
  <si>
    <t>NC082</t>
  </si>
  <si>
    <t>Tấm mẫu PP, SP Nam Dường</t>
  </si>
  <si>
    <t>NC083</t>
  </si>
  <si>
    <t>Cốc Rót tấm PP, SP Nam Dường</t>
  </si>
  <si>
    <t>G/c theo Yc</t>
  </si>
  <si>
    <t>NC084</t>
  </si>
  <si>
    <t>Thép HP Dung Quất</t>
  </si>
  <si>
    <t>Miệng súng bắn bùn TMT</t>
  </si>
  <si>
    <t>G/c làm NC1 mặt côn</t>
  </si>
  <si>
    <t>NC085</t>
  </si>
  <si>
    <t>G/c làm NC3 mặt bậc</t>
  </si>
  <si>
    <t>NC086</t>
  </si>
  <si>
    <t>G/c làm NC2 khoan lỗ</t>
  </si>
  <si>
    <t>NC087</t>
  </si>
  <si>
    <t>Ống bạc chặn D174x428</t>
  </si>
  <si>
    <t>G/c phay MP NC1</t>
  </si>
  <si>
    <t>Vc=120-160m/p | fz=0.06mm/r</t>
  </si>
  <si>
    <t>NC088</t>
  </si>
  <si>
    <t>G/c phay MP NC2</t>
  </si>
  <si>
    <t>NC089</t>
  </si>
  <si>
    <t>G/c Khoan ghép NC3</t>
  </si>
  <si>
    <t>Khoan Vc=25m/p | T=25p</t>
  </si>
  <si>
    <t>DR32</t>
  </si>
  <si>
    <t>Mũi khoan D45.0mm (Côn MT4)</t>
  </si>
  <si>
    <t>NC090</t>
  </si>
  <si>
    <t>G/c mở lỗ NC4</t>
  </si>
  <si>
    <t>NC091</t>
  </si>
  <si>
    <t>G/c tiện 1 đầu NC5</t>
  </si>
  <si>
    <t>NC092</t>
  </si>
  <si>
    <t>G/c tiện 1 đảo đầu NC6</t>
  </si>
  <si>
    <t>NC093</t>
  </si>
  <si>
    <t>Sưa Khuôn Nose 500</t>
  </si>
  <si>
    <t>G/c sửa hoàn thiện</t>
  </si>
  <si>
    <t>NC094</t>
  </si>
  <si>
    <t>Sưa Khuôn Nose 750</t>
  </si>
  <si>
    <t>NC095</t>
  </si>
  <si>
    <t>Chốt xích cho 463.CV030</t>
  </si>
  <si>
    <t>G/c doa hoàn thiện</t>
  </si>
  <si>
    <t>Vc=200-250m/p | f=0.3mm/v</t>
  </si>
  <si>
    <t>NC096</t>
  </si>
  <si>
    <t>ALKTOP 1135 M</t>
  </si>
  <si>
    <t>NC097</t>
  </si>
  <si>
    <t>ALKTOP 1335 M</t>
  </si>
  <si>
    <t>NC098</t>
  </si>
  <si>
    <t>ALKTOP 1342 M</t>
  </si>
  <si>
    <t>NC099</t>
  </si>
  <si>
    <t>NC100</t>
  </si>
  <si>
    <t>ALKTOP 1640 H</t>
  </si>
  <si>
    <t>NC101</t>
  </si>
  <si>
    <t>ALKTOP 1645 H</t>
  </si>
  <si>
    <t>NC102</t>
  </si>
  <si>
    <t>ALKTOP 1950 H</t>
  </si>
  <si>
    <t>NC103</t>
  </si>
  <si>
    <t>ALKTOP 2155 H</t>
  </si>
  <si>
    <t>NC104</t>
  </si>
  <si>
    <t>NC105</t>
  </si>
  <si>
    <t>ALKTOP 2165H</t>
  </si>
  <si>
    <t>NC106</t>
  </si>
  <si>
    <t>ALKTOP 2660 H</t>
  </si>
  <si>
    <t>NC107</t>
  </si>
  <si>
    <t>NC108</t>
  </si>
  <si>
    <t>ALKTOP 2665 H</t>
  </si>
  <si>
    <t>NC109</t>
  </si>
  <si>
    <t>ALKTOP 3585H</t>
  </si>
  <si>
    <t>NC110</t>
  </si>
  <si>
    <t>ALKTOP 3595H</t>
  </si>
  <si>
    <t>NC111</t>
  </si>
  <si>
    <t>ISHIZUE 101Dw250</t>
  </si>
  <si>
    <t>NC112</t>
  </si>
  <si>
    <t>ISHIZUE 114Dw300</t>
  </si>
  <si>
    <t>NC113</t>
  </si>
  <si>
    <t>ISHIZUE 139Dw350</t>
  </si>
  <si>
    <t>NC114</t>
  </si>
  <si>
    <t>ISHIZUE 165Dw500</t>
  </si>
  <si>
    <t>NC115</t>
  </si>
  <si>
    <t>ISHIZUE 190Dw550</t>
  </si>
  <si>
    <t>NC116</t>
  </si>
  <si>
    <t>ISHIZUE 216Dw650</t>
  </si>
  <si>
    <t>NC117</t>
  </si>
  <si>
    <t>ISHIZUE 216Dw550</t>
  </si>
  <si>
    <t>NC118</t>
  </si>
  <si>
    <t>ALKTOP 1031 M</t>
  </si>
  <si>
    <t>NC119</t>
  </si>
  <si>
    <t>Vautid</t>
  </si>
  <si>
    <t>Paddel, Auslauf. Code: 122594</t>
  </si>
  <si>
    <t>G/c tiện tinh sau tôi</t>
  </si>
  <si>
    <t>NC120</t>
  </si>
  <si>
    <t>Paddel OE30. Code: 122596</t>
  </si>
  <si>
    <t>G/c tinh sau tôi</t>
  </si>
  <si>
    <t>NC121</t>
  </si>
  <si>
    <t>Paddel, Auslauf. Code: 122597</t>
  </si>
  <si>
    <t>NC122</t>
  </si>
  <si>
    <t>NC123</t>
  </si>
  <si>
    <t>NC124</t>
  </si>
  <si>
    <t>NC125</t>
  </si>
  <si>
    <t>16335 Body-8'', JP</t>
  </si>
  <si>
    <t>G/c tiện NC1</t>
  </si>
  <si>
    <t>NC126</t>
  </si>
  <si>
    <t>G/c tiện Nc2</t>
  </si>
  <si>
    <t>NC127</t>
  </si>
  <si>
    <t>G/c tiện NC3</t>
  </si>
  <si>
    <t>NC128</t>
  </si>
  <si>
    <t>G/c phay khoan NC4</t>
  </si>
  <si>
    <t>NC129</t>
  </si>
  <si>
    <t>493749-1 (Cap- end 30mm Chain)</t>
  </si>
  <si>
    <t>G/c thô trước nhiệt luyện</t>
  </si>
  <si>
    <t>NC130</t>
  </si>
  <si>
    <t>G/c sau nhiệu luyện</t>
  </si>
  <si>
    <t>NC131</t>
  </si>
  <si>
    <t>NC132</t>
  </si>
  <si>
    <t>G/c khoan trước nhiệt luyện</t>
  </si>
  <si>
    <t>Khoan Vc=20m/p | T=25p</t>
  </si>
  <si>
    <t>NC133</t>
  </si>
  <si>
    <t>G/c tinh sau nhiệt luyện</t>
  </si>
  <si>
    <t>NC134</t>
  </si>
  <si>
    <t>NC135</t>
  </si>
  <si>
    <t>G/c khoan trước NL</t>
  </si>
  <si>
    <t>NC136</t>
  </si>
  <si>
    <t>G/c sau nhiệt luyện</t>
  </si>
  <si>
    <t>NC137</t>
  </si>
  <si>
    <t>Khuôn chữ SCH 22 , L.04</t>
  </si>
  <si>
    <t>NC138</t>
  </si>
  <si>
    <t>JDS001- T252553 lô gô JD (Nhông xích Φ698.2 dày 64)</t>
  </si>
  <si>
    <t>G/c theo yêu cầu</t>
  </si>
  <si>
    <t>NC139</t>
  </si>
  <si>
    <t>Fukku (N1000KN) 013-20590A (Bù bảo hành)</t>
  </si>
  <si>
    <t>G/c khoan lỗ NC1</t>
  </si>
  <si>
    <t>NC140</t>
  </si>
  <si>
    <t>Fukku (N600KN) 013-20801A</t>
  </si>
  <si>
    <t>G/ck hoan lỗ NC1</t>
  </si>
  <si>
    <t>NC141</t>
  </si>
  <si>
    <t>NC142</t>
  </si>
  <si>
    <t>Sửa Khuôn thao Nose 750</t>
  </si>
  <si>
    <t>G/c vá khuôn hoàn thiện</t>
  </si>
  <si>
    <t>NC143</t>
  </si>
  <si>
    <t>HI016- UX103H1E</t>
  </si>
  <si>
    <t>G/c Mp làm NC1</t>
  </si>
  <si>
    <t>NC144</t>
  </si>
  <si>
    <t>G/c kích thước NC2  575mm</t>
  </si>
  <si>
    <t>NC145</t>
  </si>
  <si>
    <t>G/c kích thước NC3 620mm</t>
  </si>
  <si>
    <t>NC146</t>
  </si>
  <si>
    <t>G/c kt lỗ Nc4 89/203mm</t>
  </si>
  <si>
    <t>NC147</t>
  </si>
  <si>
    <t>G/c kt lỗ Nc5 135/45mm</t>
  </si>
  <si>
    <t>NC148</t>
  </si>
  <si>
    <t>G/c phần côn Nc6 620/575mm</t>
  </si>
  <si>
    <t>NC149</t>
  </si>
  <si>
    <t>G/c tiện đảo đầu Nc7 mp</t>
  </si>
  <si>
    <t>NC150</t>
  </si>
  <si>
    <t>G/c phần côn Nc8 620/575mm</t>
  </si>
  <si>
    <t>NC151</t>
  </si>
  <si>
    <t>Chốt xích B300 (φ18x110)</t>
  </si>
  <si>
    <t>G/c khoan lỗ phi 6mm</t>
  </si>
  <si>
    <t>Khoan Vc=35m/p | T=30p</t>
  </si>
  <si>
    <t>DR10</t>
  </si>
  <si>
    <t>Mũi khoan D6.0mm (Chuôi thẳng)</t>
  </si>
  <si>
    <t>NC152</t>
  </si>
  <si>
    <t>G/c làm NC7 phay cavet</t>
  </si>
  <si>
    <t>NC153</t>
  </si>
  <si>
    <t>Mẫu kéo nén</t>
  </si>
  <si>
    <t>G/c ht theo bản vẽ</t>
  </si>
  <si>
    <t>NC154</t>
  </si>
  <si>
    <t>Chốt khuôn CR</t>
  </si>
  <si>
    <t>G/c làm NC1</t>
  </si>
  <si>
    <t>NC155</t>
  </si>
  <si>
    <t>NC156</t>
  </si>
  <si>
    <t>Búa đập loại máy nghiền đứng VHC-15 theo bv: VHC-102387</t>
  </si>
  <si>
    <t>G/c làm định vị</t>
  </si>
  <si>
    <t>NC157</t>
  </si>
  <si>
    <t>NC158</t>
  </si>
  <si>
    <t>Búa đập loại máy nghiền đứng VHC-111 theo bv: VHC-20102</t>
  </si>
  <si>
    <t>NC159</t>
  </si>
  <si>
    <t>NC160</t>
  </si>
  <si>
    <t>Căn Xe goong hồi bi NLLT</t>
  </si>
  <si>
    <t>NC161</t>
  </si>
  <si>
    <t>Khuôn chữ TFG</t>
  </si>
  <si>
    <t>NC162</t>
  </si>
  <si>
    <t>Dưỡng góc côn cánh xoắn 89/114-A330</t>
  </si>
  <si>
    <t>G/c cắt theo bản vẽ ht</t>
  </si>
  <si>
    <t>NC163</t>
  </si>
  <si>
    <t>Dưỡng góc côn cánh xoắn 70,5/114,3-A330</t>
  </si>
  <si>
    <t>G/c cắt theo bàn vẽ ht</t>
  </si>
  <si>
    <t>NC164</t>
  </si>
  <si>
    <t>Dưỡng góc côn cánh xoắn 74,3/114,3-A330</t>
  </si>
  <si>
    <t>NC165</t>
  </si>
  <si>
    <t>Dưỡng khống chế max</t>
  </si>
  <si>
    <t>G/c cắt theo bản vẽ Ht</t>
  </si>
  <si>
    <t>NC166</t>
  </si>
  <si>
    <t>Dưỡng khống chế min</t>
  </si>
  <si>
    <t>G/c cắt theo bản vẽ HT</t>
  </si>
  <si>
    <t>NC167</t>
  </si>
  <si>
    <t>Ốp dao nhào trên (Bộ bên trái)</t>
  </si>
  <si>
    <t>G/c tiện Nc1 +lỗ hoàn thiện thô</t>
  </si>
  <si>
    <t>NC168</t>
  </si>
  <si>
    <t>G/c tiện Nc2 mp hoàn thiện thô</t>
  </si>
  <si>
    <t>NC169</t>
  </si>
  <si>
    <t>G/c tiện Nc1 +lỗ hoàn thiện tinh</t>
  </si>
  <si>
    <t>NC170</t>
  </si>
  <si>
    <t>Tiêu φ 25x48mm</t>
  </si>
  <si>
    <t>G/c tiện cắt hoàn thiện</t>
  </si>
  <si>
    <t>NC171</t>
  </si>
  <si>
    <t>Bi 60</t>
  </si>
  <si>
    <t>G/c cắt dây mài từ</t>
  </si>
  <si>
    <t>NC172</t>
  </si>
  <si>
    <t>Bi 70</t>
  </si>
  <si>
    <t>NC173</t>
  </si>
  <si>
    <t>NC174</t>
  </si>
  <si>
    <t>Bi 90</t>
  </si>
  <si>
    <t>NC175</t>
  </si>
  <si>
    <t>Bi 100</t>
  </si>
  <si>
    <t>NC176</t>
  </si>
  <si>
    <t>Bi 110</t>
  </si>
  <si>
    <t>NC177</t>
  </si>
  <si>
    <t>Bi 120</t>
  </si>
  <si>
    <t>NC178</t>
  </si>
  <si>
    <t>G/c phay hoàn thiện</t>
  </si>
  <si>
    <t>NC179</t>
  </si>
  <si>
    <t>Tấm gông giữ tấm trượt đấy AMC</t>
  </si>
  <si>
    <t>G/c khoan khoàn thiện</t>
  </si>
  <si>
    <t>NC180</t>
  </si>
  <si>
    <t>Tiêu phi 25x22mm</t>
  </si>
  <si>
    <t>G/c cắt hoàn thiện</t>
  </si>
  <si>
    <t>NC181</t>
  </si>
  <si>
    <t>Tiêu phi 24x25mm</t>
  </si>
  <si>
    <t>NC182</t>
  </si>
  <si>
    <t>Tiêu phi 24x55mm</t>
  </si>
  <si>
    <t>NC183</t>
  </si>
  <si>
    <t>Đĩa búa 1800x1800( Đĩa 2 bên moay ơ 250/175 dày 150)</t>
  </si>
  <si>
    <t>G/c tiện hoàn thiện</t>
  </si>
  <si>
    <t>NC184</t>
  </si>
  <si>
    <t>Đĩa búa 1800x1800( Đĩa 1 bên moay ơ 250/175 dày 110)</t>
  </si>
  <si>
    <t>NC185</t>
  </si>
  <si>
    <t>Đĩa búa D750 2000x2000-CT (Đĩa 2 bên moay ơ 260/185 dày 126)</t>
  </si>
  <si>
    <t>NC186</t>
  </si>
  <si>
    <t>Đĩa búa D750 2000x2000-CT (Đĩa 1 bên moay ơ 260/185 dày 98)</t>
  </si>
  <si>
    <t>NC187</t>
  </si>
  <si>
    <t>Con lăn lò NLLT</t>
  </si>
  <si>
    <t>G/c làm NC1 + Bậc</t>
  </si>
  <si>
    <t>NC188</t>
  </si>
  <si>
    <t>G/c làm NC2 + Bậc</t>
  </si>
  <si>
    <t>NC189</t>
  </si>
  <si>
    <t>Slip lever boss (N600KN) 013-20808-1</t>
  </si>
  <si>
    <t>NC190</t>
  </si>
  <si>
    <t>Block L (N600KN) 013-20819L</t>
  </si>
  <si>
    <t>NC191</t>
  </si>
  <si>
    <t>Block L (N600KN) 013-20819R</t>
  </si>
  <si>
    <t>NC192</t>
  </si>
  <si>
    <t>Block L (N600KN) 013-20768R</t>
  </si>
  <si>
    <t>NC193</t>
  </si>
  <si>
    <t>G/c hoan thiện</t>
  </si>
  <si>
    <t>NC194</t>
  </si>
  <si>
    <t>Dưỡng bulong</t>
  </si>
  <si>
    <t>G/c phay tiện hoàn thiện</t>
  </si>
  <si>
    <t>NC195</t>
  </si>
  <si>
    <t>Tiêu thép phi 20x18mm</t>
  </si>
  <si>
    <t>NC196</t>
  </si>
  <si>
    <t>Răng Gầu</t>
  </si>
  <si>
    <t>NC197</t>
  </si>
  <si>
    <t>Gối đỡ trục lệch tâm</t>
  </si>
  <si>
    <t>G/c hoàn thiện NC1 tiện</t>
  </si>
  <si>
    <t>Vc=130-160m/p | f=0.25mm/v</t>
  </si>
  <si>
    <t>NC198</t>
  </si>
  <si>
    <t>G/c phay Nc2 chân</t>
  </si>
  <si>
    <t>NC199</t>
  </si>
  <si>
    <t>G/c khoan taro M22</t>
  </si>
  <si>
    <t>TP18</t>
  </si>
  <si>
    <t>Taro M22 x 2.5 (Mồi D19.5)</t>
  </si>
  <si>
    <t>NC200</t>
  </si>
  <si>
    <t>Gối truyền động 1,2</t>
  </si>
  <si>
    <t>G/c phay Mp ghép</t>
  </si>
  <si>
    <t>NC201</t>
  </si>
  <si>
    <t>G/c phay mp + lợi ghép</t>
  </si>
  <si>
    <t>NC202</t>
  </si>
  <si>
    <t>Phôi tiêu</t>
  </si>
  <si>
    <t>G/c tiện hoàn thiện NC1</t>
  </si>
  <si>
    <t>NC203</t>
  </si>
  <si>
    <t>G/c hoàn thiện NC2</t>
  </si>
  <si>
    <t>NC204</t>
  </si>
  <si>
    <t>ALKTOP 1645 H Po139(Po 319)</t>
  </si>
  <si>
    <t>G/c Tiện hoàn thiện</t>
  </si>
  <si>
    <t>NC205</t>
  </si>
  <si>
    <t>ALKTOP 1135 M (Po 319)</t>
  </si>
  <si>
    <t>NC206</t>
  </si>
  <si>
    <t>ALKTOP 2670 H Po139 (Po 319)</t>
  </si>
  <si>
    <t>NC207</t>
  </si>
  <si>
    <t>ALKTOP 2681 H Po139 (Po 319)</t>
  </si>
  <si>
    <t>NC208</t>
  </si>
  <si>
    <t>ISUZUE 267 DW 700 (Po 317)</t>
  </si>
  <si>
    <t>NC209</t>
  </si>
  <si>
    <t>ISUZUE 190 DW 550 (Po 318)</t>
  </si>
  <si>
    <t>NC210</t>
  </si>
  <si>
    <t>ISUZUE 216 DW 650 (Po 318)</t>
  </si>
  <si>
    <t>NC211</t>
  </si>
  <si>
    <t>ISUZUE 318 DW 650 (Po 318)</t>
  </si>
  <si>
    <t>NC212</t>
  </si>
  <si>
    <t>NC213</t>
  </si>
  <si>
    <t>ISUZUE 355 DW 900 (Po 318)</t>
  </si>
  <si>
    <t>NC214</t>
  </si>
  <si>
    <t>ISUZUE 406 DW 1000 (Po 318)</t>
  </si>
  <si>
    <t>NC215</t>
  </si>
  <si>
    <t>ISUZUE 267 DW 700</t>
  </si>
  <si>
    <t>NC216</t>
  </si>
  <si>
    <t>ISHIZUE 457 Dw 950</t>
  </si>
  <si>
    <t>NC217</t>
  </si>
  <si>
    <t>NC218</t>
  </si>
  <si>
    <t>G/c Tiện Hoàn thiện</t>
  </si>
  <si>
    <t>NC219</t>
  </si>
  <si>
    <t>ISHIZUE 457 Dw 1150</t>
  </si>
  <si>
    <t>NC220</t>
  </si>
  <si>
    <t>ISUZUE 355 DW 900</t>
  </si>
  <si>
    <t>NC221</t>
  </si>
  <si>
    <t>ISUZUE 406 DW 1000</t>
  </si>
  <si>
    <t>NC222</t>
  </si>
  <si>
    <t>G/c Phay mp hoàn thiện</t>
  </si>
  <si>
    <t>NC223</t>
  </si>
  <si>
    <t>Tấm đỡ dẫn hướng mặt đầu ghi</t>
  </si>
  <si>
    <t>G/c khoan taro M12 hoàn thiện</t>
  </si>
  <si>
    <t>TP13</t>
  </si>
  <si>
    <t>Taro M12 x 1.75 (Mồi D10.2)</t>
  </si>
  <si>
    <t>NC224</t>
  </si>
  <si>
    <t>Bánh đà D300</t>
  </si>
  <si>
    <t>NC225</t>
  </si>
  <si>
    <t>G/c tiện NC2 + lỗ</t>
  </si>
  <si>
    <t>NC226</t>
  </si>
  <si>
    <t>G/c Cắt dây cavec</t>
  </si>
  <si>
    <t>NC227</t>
  </si>
  <si>
    <t>Puly chủ động đai B- D165</t>
  </si>
  <si>
    <t>G/c tiện Nc1</t>
  </si>
  <si>
    <t>NC228</t>
  </si>
  <si>
    <t>G/c tiện Nc2 + lỗ</t>
  </si>
  <si>
    <t>NC229</t>
  </si>
  <si>
    <t>G/c cắt dây cavec</t>
  </si>
  <si>
    <t>NC230</t>
  </si>
  <si>
    <t>Puly bị động đai B-D300</t>
  </si>
  <si>
    <t>G/c tiện mặt đầu + rãnh NC1</t>
  </si>
  <si>
    <t>T04</t>
  </si>
  <si>
    <t>Chíp phay RDKX 1204MO-QBG XP1215</t>
  </si>
  <si>
    <t>NC231</t>
  </si>
  <si>
    <t>G/c khoan taro M16 NC2</t>
  </si>
  <si>
    <t>TP15</t>
  </si>
  <si>
    <t>Taro M16 x 2.0 (Mồi D14.0)</t>
  </si>
  <si>
    <t>NC232</t>
  </si>
  <si>
    <t>G/c tiện mặt đầu + lỗ NC3</t>
  </si>
  <si>
    <t>NC233</t>
  </si>
  <si>
    <t>G/c khoan lỗ mồi</t>
  </si>
  <si>
    <t>NC234</t>
  </si>
  <si>
    <t>Tấm mặt trước máy nở sốp</t>
  </si>
  <si>
    <t>G/c phay rãnh doăng D10</t>
  </si>
  <si>
    <t>NC235</t>
  </si>
  <si>
    <t>Tấm mặt sau máy nở sốp</t>
  </si>
  <si>
    <t>G/c phay Nc1 doăng D10</t>
  </si>
  <si>
    <t>NC236</t>
  </si>
  <si>
    <t>G/c khoan taro M12</t>
  </si>
  <si>
    <t>NC237</t>
  </si>
  <si>
    <t>G/c phay rãnh</t>
  </si>
  <si>
    <t>NC238</t>
  </si>
  <si>
    <t>NC239</t>
  </si>
  <si>
    <t>G/c khoan taro + mở lỗ</t>
  </si>
  <si>
    <t>NC240</t>
  </si>
  <si>
    <t>Dưỡng các loại</t>
  </si>
  <si>
    <t>NC241</t>
  </si>
  <si>
    <t>Dưỡng biên dạng 301-3-2</t>
  </si>
  <si>
    <t>G/c phay cắt dây</t>
  </si>
  <si>
    <t>NC242</t>
  </si>
  <si>
    <t>Bạc bánh zăng</t>
  </si>
  <si>
    <t>NC243</t>
  </si>
  <si>
    <t>Đĩa phanh máy xóc dc 45Kw( loại 2)</t>
  </si>
  <si>
    <t>G/c cắt dây hoàn thiện</t>
  </si>
  <si>
    <t>NC244</t>
  </si>
  <si>
    <t>Đĩa phanh máy xóc dc 45Kw( loại 1)</t>
  </si>
  <si>
    <t>G/c Cắt dây hoàn thiện</t>
  </si>
  <si>
    <t>NC245</t>
  </si>
  <si>
    <t>G/c đánh bóng</t>
  </si>
  <si>
    <t>NC246</t>
  </si>
  <si>
    <t>493620-1</t>
  </si>
  <si>
    <t>NC247</t>
  </si>
  <si>
    <t>G/c tiện tinh</t>
  </si>
  <si>
    <t>NC248</t>
  </si>
  <si>
    <t>Đai móng robot</t>
  </si>
  <si>
    <t>G/c khoan taro hòan thiện</t>
  </si>
  <si>
    <t>NC249</t>
  </si>
  <si>
    <t>Lá phanh máy tiện T630</t>
  </si>
  <si>
    <t>NC250</t>
  </si>
  <si>
    <t>NC251</t>
  </si>
  <si>
    <t>Trục thanh lắc băng tải dung</t>
  </si>
  <si>
    <t>G/c khoan</t>
  </si>
  <si>
    <t>NC252</t>
  </si>
  <si>
    <t>4-21670</t>
  </si>
  <si>
    <t>Vc=100-130m/p | fz=0.07mm/r</t>
  </si>
  <si>
    <t>NC253</t>
  </si>
  <si>
    <t>G/c cạnh Mp2</t>
  </si>
  <si>
    <t>NC254</t>
  </si>
  <si>
    <t>G/c rãnh định vị</t>
  </si>
  <si>
    <t>NC255</t>
  </si>
  <si>
    <t>4-21671-1</t>
  </si>
  <si>
    <t>NC256</t>
  </si>
  <si>
    <t>NC257</t>
  </si>
  <si>
    <t>NC258</t>
  </si>
  <si>
    <t>Thanh gá sàng rung băng tải rung 3</t>
  </si>
  <si>
    <t>G/c khoan taro M16</t>
  </si>
  <si>
    <t>NC259</t>
  </si>
  <si>
    <t>Pully quạt hút</t>
  </si>
  <si>
    <t>NC260</t>
  </si>
  <si>
    <t>Khóa côn quạt hút</t>
  </si>
  <si>
    <t>NC261</t>
  </si>
  <si>
    <t>G/c Khoan TaroM16</t>
  </si>
  <si>
    <t>NC262</t>
  </si>
  <si>
    <t>Thyssenkrupp</t>
  </si>
  <si>
    <t>Inside sealing ring (Vòng đệm kín bên trong)</t>
  </si>
  <si>
    <t>G/c khoan taro M14</t>
  </si>
  <si>
    <t>VL05</t>
  </si>
  <si>
    <t>Inox SUS304 / SCH18 / SCH21</t>
  </si>
  <si>
    <t>Khoan Vc=20m/p | T=20p</t>
  </si>
  <si>
    <t>TP14</t>
  </si>
  <si>
    <t>Taro M14 x 2.0 (Mồi D12.0)</t>
  </si>
  <si>
    <t>NC263</t>
  </si>
  <si>
    <t>G/c cạnh hông Mp1</t>
  </si>
  <si>
    <t>NC264</t>
  </si>
  <si>
    <t>G/c cạnh hông Mp2</t>
  </si>
  <si>
    <t>NC265</t>
  </si>
  <si>
    <t>G/c cạnh hông cạnh Mp1</t>
  </si>
  <si>
    <t>NC266</t>
  </si>
  <si>
    <t>G/c cạnh hông cạnh Mp2</t>
  </si>
  <si>
    <t>NC267</t>
  </si>
  <si>
    <t>Tiêu thép phi 30x30mm</t>
  </si>
  <si>
    <t>NC268</t>
  </si>
  <si>
    <t>Gối xoay SP đầu máy DISA</t>
  </si>
  <si>
    <t>NC269</t>
  </si>
  <si>
    <t>Bulong M12x 200 máy bắn bi</t>
  </si>
  <si>
    <t>G/c bàn zen M12</t>
  </si>
  <si>
    <t>NC270</t>
  </si>
  <si>
    <t>G/c cưa hoàn thiện</t>
  </si>
  <si>
    <t>NC271</t>
  </si>
  <si>
    <t>G/c Cưa hoàn thiện</t>
  </si>
  <si>
    <t>NC272</t>
  </si>
  <si>
    <t>NC273</t>
  </si>
  <si>
    <t>NC274</t>
  </si>
  <si>
    <t>NC275</t>
  </si>
  <si>
    <t>NC276</t>
  </si>
  <si>
    <t>NC277</t>
  </si>
  <si>
    <t>NC278</t>
  </si>
  <si>
    <t>NC279</t>
  </si>
  <si>
    <t>NC280</t>
  </si>
  <si>
    <t>NC281</t>
  </si>
  <si>
    <t>NC282</t>
  </si>
  <si>
    <t>G/c Cưa Hoàn thiện</t>
  </si>
  <si>
    <t>NC283</t>
  </si>
  <si>
    <t>NC284</t>
  </si>
  <si>
    <t>NC285</t>
  </si>
  <si>
    <t>NC286</t>
  </si>
  <si>
    <t>NC287</t>
  </si>
  <si>
    <t>NC288</t>
  </si>
  <si>
    <t>NC289</t>
  </si>
  <si>
    <t>NC290</t>
  </si>
  <si>
    <t>NC291</t>
  </si>
  <si>
    <t>NC292</t>
  </si>
  <si>
    <t>NC293</t>
  </si>
  <si>
    <t>NC294</t>
  </si>
  <si>
    <t>NC295</t>
  </si>
  <si>
    <t>NC296</t>
  </si>
  <si>
    <t>NC297</t>
  </si>
  <si>
    <t>NC298</t>
  </si>
  <si>
    <t>NC299</t>
  </si>
  <si>
    <t>NC300</t>
  </si>
  <si>
    <t>NC301</t>
  </si>
  <si>
    <t>NC302</t>
  </si>
  <si>
    <t>NC303</t>
  </si>
  <si>
    <t>NC304</t>
  </si>
  <si>
    <t>NC305</t>
  </si>
  <si>
    <t>Tấm búa đập thứ cấp (Hammer 211-HC-2)</t>
  </si>
  <si>
    <t>G/c Phay MP Nc1</t>
  </si>
  <si>
    <t>NC306</t>
  </si>
  <si>
    <t>G/c Phay MP Nc2</t>
  </si>
  <si>
    <t>NC307</t>
  </si>
  <si>
    <t>G/c Phay MP Nc3</t>
  </si>
  <si>
    <t>NC308</t>
  </si>
  <si>
    <t>Dao PVP1030</t>
  </si>
  <si>
    <t>G/c tiện rãnh</t>
  </si>
  <si>
    <t>NC309</t>
  </si>
  <si>
    <t>G/c khoan lỗ phi 11</t>
  </si>
  <si>
    <t>DR16</t>
  </si>
  <si>
    <t>Mũi khoan D10.2mm HSS-Co5</t>
  </si>
  <si>
    <t>NC310</t>
  </si>
  <si>
    <t>NC311</t>
  </si>
  <si>
    <t>Đĩa vớt dầu (Φ1202/932 dày 60mm)</t>
  </si>
  <si>
    <t>G/c tiện NC1 + lỗ</t>
  </si>
  <si>
    <t>NC312</t>
  </si>
  <si>
    <t>G/c tiện NC2 + Rãnh</t>
  </si>
  <si>
    <t>NC313</t>
  </si>
  <si>
    <t>G/c Khoan 6 lỗ M14</t>
  </si>
  <si>
    <t>NC314</t>
  </si>
  <si>
    <t>Khớp nối máy bơm</t>
  </si>
  <si>
    <t>G/c tiện Nc1 + lỗ</t>
  </si>
  <si>
    <t>NC315</t>
  </si>
  <si>
    <t>G/c tiện Nc2 Mp  + Đk</t>
  </si>
  <si>
    <t>NC316</t>
  </si>
  <si>
    <t>G/c Khoan lỗ Nc3</t>
  </si>
  <si>
    <t>NC317</t>
  </si>
  <si>
    <t>G/c Cắt dây</t>
  </si>
  <si>
    <t>NC318</t>
  </si>
  <si>
    <t>Đĩa búa 2 bên Φ735 moay ơ 220/140 dày118</t>
  </si>
  <si>
    <t>NC319</t>
  </si>
  <si>
    <t>Đĩa búa 1 bên Φ735 moay ơ 220/140 dày 84</t>
  </si>
  <si>
    <t>NC320</t>
  </si>
  <si>
    <t>Đĩa búa 1 bên Φ735 moay ơ 220/140 dày 84 lỗ suốt bịt đầu</t>
  </si>
  <si>
    <t>NC321</t>
  </si>
  <si>
    <t>Puly chủ động D300-TQ17n</t>
  </si>
  <si>
    <t>G/c tiện mặt đầu Nc1 + rãnh + lỗ</t>
  </si>
  <si>
    <t>NC322</t>
  </si>
  <si>
    <t>G/c tiện mặt đầu Nc2</t>
  </si>
  <si>
    <t>NC323</t>
  </si>
  <si>
    <t>NC324</t>
  </si>
  <si>
    <t>Bạc côn đầu máy Puly  MJ</t>
  </si>
  <si>
    <t>G/c tiện lấy chuẩn + khoan taro M16</t>
  </si>
  <si>
    <t>NC325</t>
  </si>
  <si>
    <t>G/c tiện hoàn thiện theo bản vẽ</t>
  </si>
  <si>
    <t>NC326</t>
  </si>
  <si>
    <t>G/c cắt dây phần thừa</t>
  </si>
  <si>
    <t>NC327</t>
  </si>
  <si>
    <t>Puly động máy MJ</t>
  </si>
  <si>
    <t>G/c tiện rãnh, mp  + lỗ lấy chuẩn Nc1</t>
  </si>
  <si>
    <t>NC328</t>
  </si>
  <si>
    <t>G/c khoan taro M16 Nc2</t>
  </si>
  <si>
    <t>NC329</t>
  </si>
  <si>
    <t>G/c tiện hoàn thiện + móc lỗ  Nc3</t>
  </si>
  <si>
    <t>NC330</t>
  </si>
  <si>
    <t>Quả búa cấy HK (gắn 40 que các bít 16x50/ 1 quả)</t>
  </si>
  <si>
    <t>NC331</t>
  </si>
  <si>
    <t>G/c cắt cavec + rãnh</t>
  </si>
  <si>
    <t>NC332</t>
  </si>
  <si>
    <t>Zich Pattern Drawing No 2CG00382</t>
  </si>
  <si>
    <t>G/c Tiện hoàn thiện NC1</t>
  </si>
  <si>
    <t>NC333</t>
  </si>
  <si>
    <t>G/c Khoan hoàn thiện NC2</t>
  </si>
  <si>
    <t>Khoan Vc=18m/p | T=20p</t>
  </si>
  <si>
    <t>NC334</t>
  </si>
  <si>
    <t>Zich Taytona Drawing No 2CG00382</t>
  </si>
  <si>
    <t>G/c tiện hoàn thiện Nc1</t>
  </si>
  <si>
    <t>NC335</t>
  </si>
  <si>
    <t>G/c Khoan hoàn thiện Nc2</t>
  </si>
  <si>
    <t>NC336</t>
  </si>
  <si>
    <t>Khuôn đúc cánh xoắn 12 inch 1021059-03</t>
  </si>
  <si>
    <t>G/c hoàn thiện sản phẩm</t>
  </si>
  <si>
    <t>NC337</t>
  </si>
  <si>
    <t>Khuôn đúc cánh xoắn 12 inch 1021060-03</t>
  </si>
  <si>
    <t>NC338</t>
  </si>
  <si>
    <t>Khuôn đúc cánh xoắn 406A1000</t>
  </si>
  <si>
    <t>G/c cánh hoàn thiện</t>
  </si>
  <si>
    <t>NC339</t>
  </si>
  <si>
    <t>G/c thân canh xoắn hoàn thiện</t>
  </si>
  <si>
    <t>NC340</t>
  </si>
  <si>
    <t>G/c tai hoàn thiện</t>
  </si>
  <si>
    <t>NC341</t>
  </si>
  <si>
    <t>Bích đỡ bát rot Z61</t>
  </si>
  <si>
    <t>G/c Khoan lỗ phi 40 Nc1</t>
  </si>
  <si>
    <t>DR31</t>
  </si>
  <si>
    <t>Mũi khoan D40.0mm (Côn MT4)</t>
  </si>
  <si>
    <t>NC342</t>
  </si>
  <si>
    <t>G/c tiện mặt đầu + móc lỗ Nc2</t>
  </si>
  <si>
    <t>NC343</t>
  </si>
  <si>
    <t>G/c tiện đảo đầu Nc3</t>
  </si>
  <si>
    <t>NC344</t>
  </si>
  <si>
    <t>G/c khoan lỗ 3x34mm hoàn thiện Nc4</t>
  </si>
  <si>
    <t>NC345</t>
  </si>
  <si>
    <t>Bích hở - cụm gối con lăn đỡ tang quay 17m</t>
  </si>
  <si>
    <t>G/c tiện mp + hệ lỗ</t>
  </si>
  <si>
    <t>NC346</t>
  </si>
  <si>
    <t>G/c tiện mp + côn + rãnh</t>
  </si>
  <si>
    <t>NC347</t>
  </si>
  <si>
    <t>G/c tiện khoét rãnh</t>
  </si>
  <si>
    <t>NC348</t>
  </si>
  <si>
    <t>NC349</t>
  </si>
  <si>
    <t>Sản phẩm TRS 7030-750</t>
  </si>
  <si>
    <t>G/c phay mp hoàn thiện</t>
  </si>
  <si>
    <t>NC350</t>
  </si>
  <si>
    <t>Trục silanh máy đóng thao</t>
  </si>
  <si>
    <t>G/c cắt day hoàn thiện</t>
  </si>
  <si>
    <t>NC351</t>
  </si>
  <si>
    <t>Đĩa búa 1600x1800 (Đĩa 2 bên Φ620 moay ơ 240/175 dày 154)</t>
  </si>
  <si>
    <t>NC352</t>
  </si>
  <si>
    <t>Đĩa búa 1600x1800 (Đĩa 1 bên Φ620 moay ơ 240/175 dày 105)</t>
  </si>
  <si>
    <t>NC353</t>
  </si>
  <si>
    <t>G/c Khoan taro M20</t>
  </si>
  <si>
    <t>TP17</t>
  </si>
  <si>
    <t>Taro M20 x 2.5 (Mồi D17.5)</t>
  </si>
  <si>
    <t>NC354</t>
  </si>
  <si>
    <t>Pully cuốn cáp của NLLT</t>
  </si>
  <si>
    <t>G/c căt dây hoàn thiện</t>
  </si>
  <si>
    <t>NC355</t>
  </si>
  <si>
    <t>G/c khoan taro M10</t>
  </si>
  <si>
    <t>TP12</t>
  </si>
  <si>
    <t>Taro M10 x 1.5 (Mồi D8.5)</t>
  </si>
  <si>
    <t>NC356</t>
  </si>
  <si>
    <t>Đầu đùn</t>
  </si>
  <si>
    <t>G/c Tiện hoàn thiện Nc1</t>
  </si>
  <si>
    <t>NC357</t>
  </si>
  <si>
    <t>G/c Tiện hoàn thiện đảo Nc2</t>
  </si>
  <si>
    <t>NC358</t>
  </si>
  <si>
    <t>G/c Khoan hoàn thiện</t>
  </si>
  <si>
    <t>NC359</t>
  </si>
  <si>
    <t>Puly kéo cửa</t>
  </si>
  <si>
    <t>NC360</t>
  </si>
  <si>
    <t>G/c tiện hoàn thiện Nc2</t>
  </si>
  <si>
    <t>NC361</t>
  </si>
  <si>
    <t>NC362</t>
  </si>
  <si>
    <t>G/c cắt cavet</t>
  </si>
  <si>
    <t>NC363</t>
  </si>
  <si>
    <t>Puly pitong - xích 12</t>
  </si>
  <si>
    <t>NC364</t>
  </si>
  <si>
    <t>G/c tiện hoàn thiện NC2</t>
  </si>
  <si>
    <t>NC365</t>
  </si>
  <si>
    <t>G/c khoan hoàn thiện NC3</t>
  </si>
  <si>
    <t>NC366</t>
  </si>
  <si>
    <t>G/c Cắt cavet NC4</t>
  </si>
  <si>
    <t>NC367</t>
  </si>
  <si>
    <t>Puly bị đông D228</t>
  </si>
  <si>
    <t>G/c tiện Ht rãnh + lỗ Nc1</t>
  </si>
  <si>
    <t>NC368</t>
  </si>
  <si>
    <t>G/c tiện Ht Nc2</t>
  </si>
  <si>
    <t>NC369</t>
  </si>
  <si>
    <t>G/c cắt cavet Nc3</t>
  </si>
  <si>
    <t>NC370</t>
  </si>
  <si>
    <t>Puly chuyển hướng xích</t>
  </si>
  <si>
    <t>G/c cắt cavet Nc1</t>
  </si>
  <si>
    <t>NC371</t>
  </si>
  <si>
    <t>G/c Khoan taro M10 Nc2</t>
  </si>
  <si>
    <t>NC372</t>
  </si>
  <si>
    <t>Bản lề khuôn</t>
  </si>
  <si>
    <t>NC373</t>
  </si>
  <si>
    <t>Tiêu thép 30x50mm</t>
  </si>
  <si>
    <t>NC374</t>
  </si>
  <si>
    <t>Khuôn ghi Nan Dường</t>
  </si>
  <si>
    <t>G/c theo bản vẽ hoàn thiện</t>
  </si>
  <si>
    <t>NC375</t>
  </si>
  <si>
    <t>Khuôn gxích POWER</t>
  </si>
  <si>
    <t>G/c hoàn thiện theo bản vẽ</t>
  </si>
  <si>
    <t>NC376</t>
  </si>
  <si>
    <t>Bánh Zăng máy sóc bi</t>
  </si>
  <si>
    <t>G/c cắt theo yêu cầu</t>
  </si>
  <si>
    <t>NC377</t>
  </si>
  <si>
    <t>Chốt đẩy khuôn</t>
  </si>
  <si>
    <t>NC378</t>
  </si>
  <si>
    <t>Bulong M12</t>
  </si>
  <si>
    <t>NC379</t>
  </si>
  <si>
    <t>Bulong khớp nối máy sóc bi DISA</t>
  </si>
  <si>
    <t>NC380</t>
  </si>
  <si>
    <t>Trục con lăn ngoài</t>
  </si>
  <si>
    <t>NC381</t>
  </si>
  <si>
    <t>Bộ con lăn xoay cửa</t>
  </si>
  <si>
    <t>NC382</t>
  </si>
  <si>
    <t>Trục con lăn xoay cửa</t>
  </si>
  <si>
    <t>NC383</t>
  </si>
  <si>
    <t>Con lăn xoay cửa</t>
  </si>
  <si>
    <t>NC384</t>
  </si>
  <si>
    <t>Trục đỡ Píttongđẩy giỏ</t>
  </si>
  <si>
    <t>NC385</t>
  </si>
  <si>
    <t>Thân Van</t>
  </si>
  <si>
    <t>G/c phay mp Nc1</t>
  </si>
  <si>
    <t>NC386</t>
  </si>
  <si>
    <t>G/c phay mp Nc2</t>
  </si>
  <si>
    <t>NC387</t>
  </si>
  <si>
    <t>G/c tiện lỗ + mp1  Nc3</t>
  </si>
  <si>
    <t>NC388</t>
  </si>
  <si>
    <t>G/c phay mp2 Nc4</t>
  </si>
  <si>
    <t>NC389</t>
  </si>
  <si>
    <t>G/c Khoan lỗ mặt cắt A Nc5</t>
  </si>
  <si>
    <t>NC390</t>
  </si>
  <si>
    <t>G/c Khoan lỗ mặt cắt B Nc6</t>
  </si>
  <si>
    <t>NC391</t>
  </si>
  <si>
    <t>G/c Khoan lỗ mặt C Nc7</t>
  </si>
  <si>
    <t>NC392</t>
  </si>
  <si>
    <t>Nắp van 1</t>
  </si>
  <si>
    <t>G/c tiện lỗ + mp lắp Nc1</t>
  </si>
  <si>
    <t>NC393</t>
  </si>
  <si>
    <t>G/c tiện Mp lắp NC2</t>
  </si>
  <si>
    <t>NC394</t>
  </si>
  <si>
    <t>G/c khoan lỗ lắp</t>
  </si>
  <si>
    <t>NC395</t>
  </si>
  <si>
    <t>Nắp van 2</t>
  </si>
  <si>
    <t>G/c tiện lỗ+ mp lắp Nc1</t>
  </si>
  <si>
    <t>NC396</t>
  </si>
  <si>
    <t>G/c tiện mp lắp Nc2</t>
  </si>
  <si>
    <t>NC397</t>
  </si>
  <si>
    <t>G/c khoan lỗ Nc3</t>
  </si>
  <si>
    <t>NC398</t>
  </si>
  <si>
    <t>Cánh Van</t>
  </si>
  <si>
    <t>NC399</t>
  </si>
  <si>
    <t>G/c tiện hoàn thiện đảo đầu  NC2</t>
  </si>
  <si>
    <t>NC400</t>
  </si>
  <si>
    <t>G/c khoan lỗ ghép Nc4</t>
  </si>
  <si>
    <t>NC401</t>
  </si>
  <si>
    <t>Tôn 2000x80x12</t>
  </si>
  <si>
    <t>G/c khoan hoàn thiện M12</t>
  </si>
  <si>
    <t>NC402</t>
  </si>
  <si>
    <t>Gối đỡ trên cụm con lăn tang quay 17m (520x111)</t>
  </si>
  <si>
    <t>G/c phay chân hoàn thiện Nc1</t>
  </si>
  <si>
    <t>NC403</t>
  </si>
  <si>
    <t>G/c phay ghép hoàn thiện Nc2</t>
  </si>
  <si>
    <t>NC404</t>
  </si>
  <si>
    <t>G/c Khoan ghép hoàn thiện Nc3</t>
  </si>
  <si>
    <t>NC405</t>
  </si>
  <si>
    <t>G/c Khoan hoàn thiện Nc4</t>
  </si>
  <si>
    <t>NC406</t>
  </si>
  <si>
    <t>G/c Khoan chân+ san tích hoàn thiện Nc5</t>
  </si>
  <si>
    <t>NC407</t>
  </si>
  <si>
    <t>Gối bi dưới Φ160x133</t>
  </si>
  <si>
    <t>G/c hoàn thiện Nc1</t>
  </si>
  <si>
    <t>NC408</t>
  </si>
  <si>
    <t>G/c hoàn thiện Nc2</t>
  </si>
  <si>
    <t>NC409</t>
  </si>
  <si>
    <t>Con lăn lò NLLT, Phít đỡ thanh ren tai lò nấu đúc 1</t>
  </si>
  <si>
    <t>G/c Khoan + tiện hoàn thiện Nc1</t>
  </si>
  <si>
    <t>NC410</t>
  </si>
  <si>
    <t>NC411</t>
  </si>
  <si>
    <t>G/c khoan hoàn thiện Nc2</t>
  </si>
  <si>
    <t>NC412</t>
  </si>
  <si>
    <t>Taball Liner</t>
  </si>
  <si>
    <t>G/c phay Mp ht NC1</t>
  </si>
  <si>
    <t>NC413</t>
  </si>
  <si>
    <t>G/c phay Mp kt 95mm ht NC2</t>
  </si>
  <si>
    <t>NC414</t>
  </si>
  <si>
    <t>G/c phay cạnh hông ht NC3</t>
  </si>
  <si>
    <t>NC415</t>
  </si>
  <si>
    <t>G/c phay cạnh hông ht NC4</t>
  </si>
  <si>
    <t>NC416</t>
  </si>
  <si>
    <t>G/c khoan lỗ phi 16 ht NC5</t>
  </si>
  <si>
    <t>NC417</t>
  </si>
  <si>
    <t>Nắp động cơ máy sóc bi 45kw</t>
  </si>
  <si>
    <t>G/c hoàn thiện tiện NC1</t>
  </si>
  <si>
    <t>NC418</t>
  </si>
  <si>
    <t>G/c hoàn thiện tiện NC2</t>
  </si>
  <si>
    <t>NC419</t>
  </si>
  <si>
    <t>G/c Khoan lỗ NC3</t>
  </si>
  <si>
    <t>NC420</t>
  </si>
  <si>
    <t>Gối bi máy bắn bi MJ1516</t>
  </si>
  <si>
    <t>G/c hoàn thiện tiện Nc1</t>
  </si>
  <si>
    <t>NC421</t>
  </si>
  <si>
    <t>G/c hoàn thiện tiện Nc2</t>
  </si>
  <si>
    <t>NC422</t>
  </si>
  <si>
    <t>G/c hoàn thiện khoan Nc3</t>
  </si>
  <si>
    <t>NC423</t>
  </si>
  <si>
    <t>Nhông cây tải 1 dây chuyền nguội cát- lỗ D60</t>
  </si>
  <si>
    <t>G/c tiện ht Nc1</t>
  </si>
  <si>
    <t>NC424</t>
  </si>
  <si>
    <t>G/c tiện ht Nc2</t>
  </si>
  <si>
    <t>NC425</t>
  </si>
  <si>
    <t>G/c cắt cavec NC3</t>
  </si>
  <si>
    <t>NC426</t>
  </si>
  <si>
    <t>G/c phay răng</t>
  </si>
  <si>
    <t>NC427</t>
  </si>
  <si>
    <t>Nhông cây tải 1 dây chuyền nguội cát- lỗ D68</t>
  </si>
  <si>
    <t>NC428</t>
  </si>
  <si>
    <t>NC429</t>
  </si>
  <si>
    <t>G/c cắt cavec Nc3</t>
  </si>
  <si>
    <t>NC430</t>
  </si>
  <si>
    <t>G/c chạy răng Nc4</t>
  </si>
  <si>
    <t>NC431</t>
  </si>
  <si>
    <t>Gối bi máy ép liệu</t>
  </si>
  <si>
    <t>G/c hoàn thiện phay chân Nc1</t>
  </si>
  <si>
    <t>NC432</t>
  </si>
  <si>
    <t>NC433</t>
  </si>
  <si>
    <t>G/c hoàn thiện khoan NC3</t>
  </si>
  <si>
    <t>NC434</t>
  </si>
  <si>
    <t>TL mâm nghiền Duyên Hải</t>
  </si>
  <si>
    <t>NC435</t>
  </si>
  <si>
    <t>Tấm đỡ gạch cửa ra số 1 (Gia công rãnh)</t>
  </si>
  <si>
    <t>G/c khoa phay rãnh hoàn thiện</t>
  </si>
  <si>
    <t>NC436</t>
  </si>
  <si>
    <t>Tấm đỡ gạch cửa ra số 2</t>
  </si>
  <si>
    <t>NC437</t>
  </si>
  <si>
    <t>Tấm đỡ gạch cửa ra số 2 (Gia công ốc M42)</t>
  </si>
  <si>
    <t>G/c Khoan taro hoàn thiện</t>
  </si>
  <si>
    <t>TP23</t>
  </si>
  <si>
    <t>Taro M36 x 4.0 (Mồi D32.0)</t>
  </si>
  <si>
    <t>NC438</t>
  </si>
  <si>
    <t>Tấm đỡ gạch cửa ra số 3</t>
  </si>
  <si>
    <t>NC439</t>
  </si>
  <si>
    <t>BOZ Industrial</t>
  </si>
  <si>
    <t>CI-AU-Pan Dead Plate</t>
  </si>
  <si>
    <t>G/c khoan taro M16 hoàn thiện</t>
  </si>
  <si>
    <t>NC440</t>
  </si>
  <si>
    <t>CI-AU-Tuyere liner</t>
  </si>
  <si>
    <t>NC441</t>
  </si>
  <si>
    <t>Pin for conveying elements (1 Bộ= 1 chốt +1 vòng đệm)</t>
  </si>
  <si>
    <t>G/c tiện Ht NC1</t>
  </si>
  <si>
    <t>NC442</t>
  </si>
  <si>
    <t>NC443</t>
  </si>
  <si>
    <t>G/c cạnh vát C</t>
  </si>
  <si>
    <t>NC444</t>
  </si>
  <si>
    <t>G/c vát C</t>
  </si>
  <si>
    <t>NC445</t>
  </si>
  <si>
    <t>Wear floor segment code: 122058 Ref A</t>
  </si>
  <si>
    <t>G/c khoan taro hoàn thiện</t>
  </si>
  <si>
    <t>NC446</t>
  </si>
  <si>
    <t>Wear floor segment outlet code: 122059 Ref A</t>
  </si>
  <si>
    <t>NC447</t>
  </si>
  <si>
    <t>Conveying element GM (1220x300)</t>
  </si>
  <si>
    <t>G/c rãnh kt 70mm htNC1</t>
  </si>
  <si>
    <t>NC448</t>
  </si>
  <si>
    <t>G/c vấu kt 30mm ht Nc2</t>
  </si>
  <si>
    <t>NC449</t>
  </si>
  <si>
    <t>G/c vấu kt 90mm trong ht Nc3</t>
  </si>
  <si>
    <t>NC450</t>
  </si>
  <si>
    <t>G/c vấu kt 89mm ngoài ht Nc4</t>
  </si>
  <si>
    <t>NC451</t>
  </si>
  <si>
    <t>G/c bậc + doa lỗ 35/46 ht Nc5</t>
  </si>
  <si>
    <t>NC452</t>
  </si>
  <si>
    <t>G/c bậc  lỗ 46 ht Nc6</t>
  </si>
  <si>
    <t>NC453</t>
  </si>
  <si>
    <t>Bộ gối trục 55</t>
  </si>
  <si>
    <t>G/c phay Mp chân  ht NC1</t>
  </si>
  <si>
    <t>NC454</t>
  </si>
  <si>
    <t>G/c tiện lỗ ht NC2</t>
  </si>
  <si>
    <t>NC455</t>
  </si>
  <si>
    <t>G/c khoan lỗ ht Nc3</t>
  </si>
  <si>
    <t>NC456</t>
  </si>
  <si>
    <t>Bộ gối trục 60</t>
  </si>
  <si>
    <t>G/c phay Mp chân Ht Nc1</t>
  </si>
  <si>
    <t>NC457</t>
  </si>
  <si>
    <t>G/c tiện lỗ Ht Nc2</t>
  </si>
  <si>
    <t>NC458</t>
  </si>
  <si>
    <t>G/c khoan lỗ Ht Nc3</t>
  </si>
  <si>
    <t>NC459</t>
  </si>
  <si>
    <t>Má KH 600x1300 chống mài mòn (Má động nửa dưới 638x673x135)</t>
  </si>
  <si>
    <t>NC460</t>
  </si>
  <si>
    <t>Má KH 600x1300 chống mài mòn (Má tĩnh nửa dưới 603x685x145/109) 1 Trái + 1 Phải</t>
  </si>
  <si>
    <t>NC461</t>
  </si>
  <si>
    <t>Bánh Zăng Z18 M14</t>
  </si>
  <si>
    <t>G/c tiện Nc1+lỗ phi 110 hoàn thiện</t>
  </si>
  <si>
    <t>NC462</t>
  </si>
  <si>
    <t>G/c tiện c2 đảo đầu</t>
  </si>
  <si>
    <t>NC463</t>
  </si>
  <si>
    <t>NC464</t>
  </si>
  <si>
    <t>G/c tiện Nc2 mp hoàn thiện tinh</t>
  </si>
  <si>
    <t>NC465</t>
  </si>
  <si>
    <t>G/c khan taro M14</t>
  </si>
  <si>
    <t>Taro Vc=12m/p | T=30p</t>
  </si>
  <si>
    <t>NC466</t>
  </si>
  <si>
    <t>NC467</t>
  </si>
  <si>
    <t>TL mâm nghiền</t>
  </si>
  <si>
    <t>NC468</t>
  </si>
  <si>
    <t>Hà Song Hải / Hồng Hà</t>
  </si>
  <si>
    <t>Thanh đập đá vôi HM111CR01</t>
  </si>
  <si>
    <t>G/c phay Mp cạnh 1  Nc1</t>
  </si>
  <si>
    <t>NC469</t>
  </si>
  <si>
    <t>G/c phay Mp cạnh 2 Nc2</t>
  </si>
  <si>
    <t>NC470</t>
  </si>
  <si>
    <t>G/c phay Mp gân 1 Nc3</t>
  </si>
  <si>
    <t>NC471</t>
  </si>
  <si>
    <t>G/c phay lấy dấu Nc4</t>
  </si>
  <si>
    <t>NC472</t>
  </si>
  <si>
    <t>G/c phay Mp cạnh 1  đảo đầu Nc5</t>
  </si>
  <si>
    <t>NC473</t>
  </si>
  <si>
    <t>G/c phay Mp cạnh 2 đảu đầu Nc6</t>
  </si>
  <si>
    <t>NC474</t>
  </si>
  <si>
    <t>G/c phay Mp gân 1 đảu đầu Nc7</t>
  </si>
  <si>
    <t>NC475</t>
  </si>
  <si>
    <t>G/c phay lấy dấu Nc8</t>
  </si>
  <si>
    <t>NC476</t>
  </si>
  <si>
    <t>G/c phay hạ cân</t>
  </si>
  <si>
    <t>NC477</t>
  </si>
  <si>
    <t>Thân vỏ van xoay (Cover of rotary valve)</t>
  </si>
  <si>
    <t>G/c phay hoàn thiệnMp1 Nc1</t>
  </si>
  <si>
    <t>NC478</t>
  </si>
  <si>
    <t>G/c phay hoàn thiệnMp2 Nc2</t>
  </si>
  <si>
    <t>NC479</t>
  </si>
  <si>
    <t>G/c tiện Mp1+lỗ ht Nc3</t>
  </si>
  <si>
    <t>NC480</t>
  </si>
  <si>
    <t>G/c tiện Mp2 ht Nc4</t>
  </si>
  <si>
    <t>NC481</t>
  </si>
  <si>
    <t>G/c khoan lỗ 2mp 350x350mm Nc5</t>
  </si>
  <si>
    <t>NC482</t>
  </si>
  <si>
    <t>G/c phay mp lắp moto Nc6</t>
  </si>
  <si>
    <t>NC483</t>
  </si>
  <si>
    <t>G/c khoan taro M12 Nc7</t>
  </si>
  <si>
    <t>NC484</t>
  </si>
  <si>
    <t>G/c khoan taro M12x8 Nc8</t>
  </si>
  <si>
    <t>NC485</t>
  </si>
  <si>
    <t>Tấm hướng gió</t>
  </si>
  <si>
    <t>NC486</t>
  </si>
  <si>
    <t>Quả đào 250-220-225</t>
  </si>
  <si>
    <t>G/c phay Mp ghép Nc1</t>
  </si>
  <si>
    <t>NC487</t>
  </si>
  <si>
    <t>G/c khoan taro ghép bộ M14 Nc2</t>
  </si>
  <si>
    <t>NC488</t>
  </si>
  <si>
    <t>G/c tiên mắt đầu + lỗ Nc3</t>
  </si>
  <si>
    <t>NC489</t>
  </si>
  <si>
    <t>G/c đảo đầu Nc4</t>
  </si>
  <si>
    <t>NC490</t>
  </si>
  <si>
    <t>G/c khoan 6 lỗ M14 Nc5</t>
  </si>
  <si>
    <t>NC491</t>
  </si>
  <si>
    <t>Con lăn nghiền (Bản vẽ: UPHT-SJ050277-01)</t>
  </si>
  <si>
    <t>G/c tiện thô trước nhiệt luyện</t>
  </si>
  <si>
    <t>NC492</t>
  </si>
  <si>
    <t>G/c tiện tinh sau nhiệt luyện</t>
  </si>
  <si>
    <t>NC493</t>
  </si>
  <si>
    <t>Mix scoop inner left, Code: 120948, Ref C</t>
  </si>
  <si>
    <t>G/c khoan hoàn thiện lỗ phi 14</t>
  </si>
  <si>
    <t>DR19</t>
  </si>
  <si>
    <t>Mũi khoan D14.0mm (Côn MT2)</t>
  </si>
  <si>
    <t>NC494</t>
  </si>
  <si>
    <t>Mold of Ishizue omega 267,4-700</t>
  </si>
  <si>
    <t>G/c tiện hoàn thiện góc 45 độ</t>
  </si>
  <si>
    <t>NC495</t>
  </si>
  <si>
    <t>Mold of Ishizue omega 267,4-950</t>
  </si>
  <si>
    <t>NC496</t>
  </si>
  <si>
    <t>Mold of Ishizue omega 216,3-550</t>
  </si>
  <si>
    <t>NC497</t>
  </si>
  <si>
    <t>Mold of Ishizue omega 216,3-740</t>
  </si>
  <si>
    <t>NC498</t>
  </si>
  <si>
    <t>Mold of Ishizue omega 318,5-650</t>
  </si>
  <si>
    <t>NC499</t>
  </si>
  <si>
    <t>Mold of Ishizue omega 318,5-1010</t>
  </si>
  <si>
    <t>NC500</t>
  </si>
  <si>
    <t>Mold of Ishizue omega 165,2-500</t>
  </si>
  <si>
    <t>G/c tiện hoàn thiện 45 độ</t>
  </si>
  <si>
    <t>NC501</t>
  </si>
  <si>
    <t>Mold of Ishizue omega 190,7-550</t>
  </si>
  <si>
    <t>NC502</t>
  </si>
  <si>
    <t>Mold of Ishizue omega 190,7-651</t>
  </si>
  <si>
    <t>NC503</t>
  </si>
  <si>
    <t>Mold of Ishizue omega 355,6-750</t>
  </si>
  <si>
    <t>NC504</t>
  </si>
  <si>
    <t>Mold of Ishizue omega 355,6-1060</t>
  </si>
  <si>
    <t>NC505</t>
  </si>
  <si>
    <t>Thanh đập đá vôi (2240x510x145)</t>
  </si>
  <si>
    <t>G/c phay hoàn thiện Mp Kt 445/145 mm Nc1</t>
  </si>
  <si>
    <t>NC506</t>
  </si>
  <si>
    <t>G/c phay hoàn thiện Rãnh 62/52mm Nc2</t>
  </si>
  <si>
    <t>NC507</t>
  </si>
  <si>
    <t>G/c phay hoàn thiện Mp mái kt 198/113.8 mm  Nc3</t>
  </si>
  <si>
    <t>NC508</t>
  </si>
  <si>
    <t>G/c phay hoàn thiện Mp mái kt 198/113.8 mm  Nc4</t>
  </si>
  <si>
    <t>NC509</t>
  </si>
  <si>
    <t>Tấm ghi ngăn bi 1/24 XP-325 (Alphaset)</t>
  </si>
  <si>
    <t>G/c phay hoàn thiện  theo bản vẽ</t>
  </si>
  <si>
    <t>NC510</t>
  </si>
  <si>
    <t>Tấm ghi ngăn bi 1/24 XP-326 (Alphaset)</t>
  </si>
  <si>
    <t>NC511</t>
  </si>
  <si>
    <t>Vấu phân ly 4200</t>
  </si>
  <si>
    <t>G/c khoan taro M24</t>
  </si>
  <si>
    <t>TP19</t>
  </si>
  <si>
    <t>Taro M24 x 3.0 (Mồi D21.0)</t>
  </si>
  <si>
    <t>NC512</t>
  </si>
  <si>
    <t>Vấu phân ly 6200</t>
  </si>
  <si>
    <t>NC513</t>
  </si>
  <si>
    <t>G/c Khoan taro M12</t>
  </si>
  <si>
    <t>NC514</t>
  </si>
  <si>
    <t>Gối đỡ trục</t>
  </si>
  <si>
    <t>G/c doa lỗ hoàn thiện</t>
  </si>
  <si>
    <t>NC515</t>
  </si>
  <si>
    <t>Nut cover số hiệu F4P08525-7 theo bản vẽ 2CG00786</t>
  </si>
  <si>
    <t>NC516</t>
  </si>
  <si>
    <t>Nut cover số hiệu F4P08525-1 theo bản vẽ 2CG00786</t>
  </si>
  <si>
    <t>NC517</t>
  </si>
  <si>
    <t>3-210290</t>
  </si>
  <si>
    <t>NC518</t>
  </si>
  <si>
    <t>Hùng HD - XM Hoàng Thạch</t>
  </si>
  <si>
    <t>Tấm ghi 1-36 XP-330 (Alphaset)</t>
  </si>
  <si>
    <t>NC519</t>
  </si>
  <si>
    <t>Tấm ghi 1/32 XP-329 (Alphaset)</t>
  </si>
  <si>
    <t>NC520</t>
  </si>
  <si>
    <t>Concave M số hiệu E3P05115-2 theo bản vẽ HAKA12666</t>
  </si>
  <si>
    <t>G/c tiện hoàn thiện mp Nc1</t>
  </si>
  <si>
    <t>NC521</t>
  </si>
  <si>
    <t>G/c tiện hoàn thiện côn Nc2</t>
  </si>
  <si>
    <t>NC522</t>
  </si>
  <si>
    <t>Taytona số hiệu F3P00072 theo bản vẽ 2CG01304-01</t>
  </si>
  <si>
    <t>NC523</t>
  </si>
  <si>
    <t>NC524</t>
  </si>
  <si>
    <t>Taytona số hiệu F3P00073 theo bản vẽ 2CG00576-01</t>
  </si>
  <si>
    <t>NC525</t>
  </si>
  <si>
    <t>NC526</t>
  </si>
  <si>
    <t>Taytona số hiệu F3P00078 theo bản vẽ HAKA13630-01</t>
  </si>
  <si>
    <t>NC527</t>
  </si>
  <si>
    <t>NC528</t>
  </si>
  <si>
    <t>Taytona số hiệu F3P00063 theo bản vẽ 2CG00911</t>
  </si>
  <si>
    <t>NC529</t>
  </si>
  <si>
    <t>NC530</t>
  </si>
  <si>
    <t>Nut cover số hiệu F3P00064-2 theo bản vẽ 2CG01074</t>
  </si>
  <si>
    <t>G/c hoàn thiện NC1</t>
  </si>
  <si>
    <t>NC531</t>
  </si>
  <si>
    <t>NC532</t>
  </si>
  <si>
    <t>Nut cover số hiệu E4P08471-1 theo bản vẽ 2CG00786</t>
  </si>
  <si>
    <t>NC533</t>
  </si>
  <si>
    <t>Nut cover số hiệu E4P08495-1 theo bản vẽ 2CG00910</t>
  </si>
  <si>
    <t>NC534</t>
  </si>
  <si>
    <t>Nut cover số hiệu E4P08507 theo bản vẽ 2CG00577</t>
  </si>
  <si>
    <t>F/c tiện hoàn thiện</t>
  </si>
  <si>
    <t>NC535</t>
  </si>
  <si>
    <t>Nut cover số hiệu E4P08508 theo bản vẽ 2CG00744</t>
  </si>
  <si>
    <t>NC536</t>
  </si>
  <si>
    <t>Van lật C4_730x475 (Cánh van 475x730x140)</t>
  </si>
  <si>
    <t>G/c khoan hoàn thiện</t>
  </si>
  <si>
    <t>NC537</t>
  </si>
  <si>
    <t>XM Vicem Hải Phòng</t>
  </si>
  <si>
    <t>Thanh ghi tĩnh cho ghi làm nguội HM 441.200( Stationary cross bar) No:3.2908893 KJ0034</t>
  </si>
  <si>
    <t>G/c phay hoàn thiện Nc1</t>
  </si>
  <si>
    <t>Vc=90-120m/p | fz=0.05mm/r</t>
  </si>
  <si>
    <t>NC538</t>
  </si>
  <si>
    <t>G/c phay hoàn thiện Nc2</t>
  </si>
  <si>
    <t>NC539</t>
  </si>
  <si>
    <t>Thanh ghi động cho ghi làm nguội HM 441.200( Movable cross bar) No:3.211179 KJ0031</t>
  </si>
  <si>
    <t>Vc=100-140m/p | f=0.18mm/v</t>
  </si>
  <si>
    <t>NC540</t>
  </si>
  <si>
    <t>NC541</t>
  </si>
  <si>
    <t>Giá kẹp thanh động ( Retainer bracket - plough KJ0027)</t>
  </si>
  <si>
    <t>NC542</t>
  </si>
  <si>
    <t>Tấm ốp bảo vệ (U-profile cover (BV 3.233336)</t>
  </si>
  <si>
    <t>NC543</t>
  </si>
  <si>
    <t>210600-1</t>
  </si>
  <si>
    <t>G/c phay Mp hoàn thiện NC1</t>
  </si>
  <si>
    <t>NC544</t>
  </si>
  <si>
    <t>G/c phay cạnh hoàn thiện Nc2</t>
  </si>
  <si>
    <t>NC545</t>
  </si>
  <si>
    <t>G/c phay cạnh vát hoàn thiện Nc3</t>
  </si>
  <si>
    <t>NC546</t>
  </si>
  <si>
    <t>Đầu đùn bậc thềm</t>
  </si>
  <si>
    <t>G/c phay mp + khoan mồi NC1</t>
  </si>
  <si>
    <t>NC547</t>
  </si>
  <si>
    <t>G/c phay mp + khoan mồi NC2</t>
  </si>
  <si>
    <t>NC548</t>
  </si>
  <si>
    <t>NC549</t>
  </si>
  <si>
    <t>Bạc trục 2 nửa máy nhào D170x60 (2 nửa ghép nhau)</t>
  </si>
  <si>
    <t>G/c phay ghép hoàn thiện NC1</t>
  </si>
  <si>
    <t>NC550</t>
  </si>
  <si>
    <t>G/c khoan + khoan mở hoàn thiện NC1</t>
  </si>
  <si>
    <t>NC551</t>
  </si>
  <si>
    <t>NC552</t>
  </si>
  <si>
    <t>ISHIZUE OMEGA114.3-310</t>
  </si>
  <si>
    <t>NC553</t>
  </si>
  <si>
    <t>ISHIZUE OMEGA139.8-450</t>
  </si>
  <si>
    <t>NC554</t>
  </si>
  <si>
    <t>ISHIZUE OMEGA165.2-500</t>
  </si>
  <si>
    <t>NC555</t>
  </si>
  <si>
    <t>ISHIZUE OMEGA190.7-550</t>
  </si>
  <si>
    <t>NC556</t>
  </si>
  <si>
    <t>ISHIZUE OMEGA190.7-650</t>
  </si>
  <si>
    <t>NC557</t>
  </si>
  <si>
    <t>ISHIZUE OMEGA216.3-740</t>
  </si>
  <si>
    <t>NC558</t>
  </si>
  <si>
    <t>ISHIZUE OMEGA267.4-700</t>
  </si>
  <si>
    <t>NC559</t>
  </si>
  <si>
    <t>ISHIZUE OMEGA267.4-950</t>
  </si>
  <si>
    <t>NC560</t>
  </si>
  <si>
    <t>ISHIZUE OMEGA318.5-1010</t>
  </si>
  <si>
    <t>NC561</t>
  </si>
  <si>
    <t>ISHIZUE OMEGA355.6-1060</t>
  </si>
  <si>
    <t>NC562</t>
  </si>
  <si>
    <t>ISHIZUE OMEGA406.4-1130</t>
  </si>
  <si>
    <t>NC563</t>
  </si>
  <si>
    <t>ISHIZUE OMEGA457.2-1150</t>
  </si>
  <si>
    <t>NC564</t>
  </si>
  <si>
    <t>ISHIZUE OMEGA355.6-1060 (miệng phẳng)</t>
  </si>
  <si>
    <t>NC565</t>
  </si>
  <si>
    <t>ISHIZUE OMEGA267.4-950 (miệng phẳng)</t>
  </si>
  <si>
    <t>NC566</t>
  </si>
  <si>
    <t>Máng gang Mold FA31B16 ZT-9107-001Δ4</t>
  </si>
  <si>
    <t>G/c phay + khoan hoàn thiện</t>
  </si>
  <si>
    <t>NC567</t>
  </si>
  <si>
    <t>Tay búa lỗ tâm Φ43, vật liệu thép SCMnH3</t>
  </si>
  <si>
    <t>NC568</t>
  </si>
  <si>
    <t>Tay búa lỗ tâm Φ51, vật liệu thép SCMnH3</t>
  </si>
  <si>
    <t>NC569</t>
  </si>
  <si>
    <t>Thanh liên kết</t>
  </si>
  <si>
    <t>NC570</t>
  </si>
  <si>
    <t>Khuôn Búa KHG-1515</t>
  </si>
  <si>
    <t>NC571</t>
  </si>
  <si>
    <t>Đầu súng bắn bùn TMT1021054</t>
  </si>
  <si>
    <t>NC572</t>
  </si>
  <si>
    <t>NC573</t>
  </si>
  <si>
    <t>G/c phay hoàn thiện NC2</t>
  </si>
  <si>
    <t>NC574</t>
  </si>
  <si>
    <t>High-temperature nozzle NC 500-0o</t>
  </si>
  <si>
    <t>NC575</t>
  </si>
  <si>
    <t>NC576</t>
  </si>
  <si>
    <t>High-temperature nozzle NC Φ138/568</t>
  </si>
  <si>
    <t>NC577</t>
  </si>
  <si>
    <t>NC578</t>
  </si>
  <si>
    <t>Sealing trip, below</t>
  </si>
  <si>
    <t>G/c phay Mp NC1 Kt 47mm</t>
  </si>
  <si>
    <t>NC579</t>
  </si>
  <si>
    <t>G/c phay Mp NC2 Kt 95mm</t>
  </si>
  <si>
    <t>NC580</t>
  </si>
  <si>
    <t>G/c phay cạnh NC3 kt 12mm</t>
  </si>
  <si>
    <t>NC581</t>
  </si>
  <si>
    <t>G/c phay Mp NC4 Kt 412mm</t>
  </si>
  <si>
    <t>NC582</t>
  </si>
  <si>
    <t>G/c phay Mp NC4 Kt 412mm còn lại</t>
  </si>
  <si>
    <t>NC583</t>
  </si>
  <si>
    <t>G/c khoan lỗ phi 14/2 lỗ</t>
  </si>
  <si>
    <t>NC584</t>
  </si>
  <si>
    <t>G/c Roa lỗ phi 32/2 lỗ</t>
  </si>
  <si>
    <t>DR29</t>
  </si>
  <si>
    <t>Mũi khoan D32.0mm (Côn MT4)</t>
  </si>
  <si>
    <t>NC585</t>
  </si>
  <si>
    <t>Sealing strip, above</t>
  </si>
  <si>
    <t>G/c phay Mp NC1 Kt 95mm</t>
  </si>
  <si>
    <t>NC586</t>
  </si>
  <si>
    <t>G/c phay Mp NC2 Kt 412mm</t>
  </si>
  <si>
    <t>NC587</t>
  </si>
  <si>
    <t>G/c phay Mp NC3 Kt 412mm còn lại</t>
  </si>
  <si>
    <t>NC588</t>
  </si>
  <si>
    <t>G/c khoan lỗ phi 14</t>
  </si>
  <si>
    <t>NC589</t>
  </si>
  <si>
    <t>G/c doa lỗ phi 32</t>
  </si>
  <si>
    <t>NC590</t>
  </si>
  <si>
    <t>Bộ rulo máy nghiền sơ cấp: Bích rulo (φ500x110) 1T+1P</t>
  </si>
  <si>
    <t>G/c Nc1 tiện ht (Ø500/250mm)</t>
  </si>
  <si>
    <t>NC591</t>
  </si>
  <si>
    <t>G/c Nc2 tiện ht (Ø500/380/250, Móc lỗ Ø160+0.01/Ø220, côn 90)</t>
  </si>
  <si>
    <t>NC592</t>
  </si>
  <si>
    <t>G/c Nc3 Khoan ht 12-Ø17/Ø25</t>
  </si>
  <si>
    <t>DR22</t>
  </si>
  <si>
    <t>Mũi khoan D17.5mm (Côn MT2)</t>
  </si>
  <si>
    <t>NC593</t>
  </si>
  <si>
    <t>G/c Nc4 Cắt dây cavet DK7745 (rãnh 32mm)</t>
  </si>
  <si>
    <t>NC594</t>
  </si>
  <si>
    <t>Bộ rulo máy nghiền sơ cấp: Thân rô to (φ820x890)</t>
  </si>
  <si>
    <t>G/c Nc1 tiện Ht L = 690 mm (Mặt đầu 1 &amp; 2)</t>
  </si>
  <si>
    <t>NC595</t>
  </si>
  <si>
    <t>G/c Nc2 tiện Ht Ø820 / Ø690 mm</t>
  </si>
  <si>
    <t>NC596</t>
  </si>
  <si>
    <t>G/c Nc3 tiện Ht Ø570/220 mm, R20</t>
  </si>
  <si>
    <t>NC597</t>
  </si>
  <si>
    <t>G/c Nc4 tiện Ht Ø220 (+0.1/-0) mm</t>
  </si>
  <si>
    <t>NC598</t>
  </si>
  <si>
    <t>G/c Nc5 tiện Ht Ø570/220 mm, R20 đảo đầu</t>
  </si>
  <si>
    <t>NC599</t>
  </si>
  <si>
    <t>G/c Nc6 tiện Ht Ø220 (+0.1/-0) mm đảo đầu</t>
  </si>
  <si>
    <t>NC600</t>
  </si>
  <si>
    <t>G/c Nc7 phay mp Ht 8 mặt x (690 x 80 mm)</t>
  </si>
  <si>
    <t>NC601</t>
  </si>
  <si>
    <t>G/c Nc8 khoan 40 Lỗ x Ø22 mm</t>
  </si>
  <si>
    <t>DR24</t>
  </si>
  <si>
    <t>Mũi khoan D21.0mm (Côn MT3)</t>
  </si>
  <si>
    <t>NC602</t>
  </si>
  <si>
    <t>G/c Nc9 khoan 12 Lỗ M16 x 2.0 mm</t>
  </si>
  <si>
    <t>NC603</t>
  </si>
  <si>
    <t>Sealing strip, below</t>
  </si>
  <si>
    <t>G/c Nc6 phay rãnh 1</t>
  </si>
  <si>
    <t>NC604</t>
  </si>
  <si>
    <t>G/c Nc7 phay rãnh 2</t>
  </si>
  <si>
    <t>NC605</t>
  </si>
  <si>
    <t>NC606</t>
  </si>
  <si>
    <t>NC607</t>
  </si>
  <si>
    <t>TL VA411</t>
  </si>
  <si>
    <t>G/c phay Mp ht</t>
  </si>
  <si>
    <t>NC608</t>
  </si>
  <si>
    <t>TL VA593</t>
  </si>
  <si>
    <t>NC609</t>
  </si>
  <si>
    <t>TL XP (XX) 248A</t>
  </si>
  <si>
    <t>NC610</t>
  </si>
  <si>
    <t>TL XP (XX) 250A</t>
  </si>
  <si>
    <t>NC611</t>
  </si>
  <si>
    <t>TL XX 278A</t>
  </si>
  <si>
    <t>NC612</t>
  </si>
  <si>
    <t>TL XL (XX) 368A</t>
  </si>
  <si>
    <t>NC613</t>
  </si>
  <si>
    <t>TL XP 265A</t>
  </si>
  <si>
    <t>NC614</t>
  </si>
  <si>
    <t>TL XX 284A</t>
  </si>
  <si>
    <t>NC615</t>
  </si>
  <si>
    <t>TL XX 283A</t>
  </si>
  <si>
    <t>NC616</t>
  </si>
  <si>
    <t>TL XP 218</t>
  </si>
  <si>
    <t>NC617</t>
  </si>
  <si>
    <t>TL XP 219</t>
  </si>
  <si>
    <t>NC618</t>
  </si>
  <si>
    <t>TL XX 292</t>
  </si>
  <si>
    <t>NC619</t>
  </si>
  <si>
    <t>TL XL 105A</t>
  </si>
  <si>
    <t>NC620</t>
  </si>
  <si>
    <t>TL XP 160A</t>
  </si>
  <si>
    <t>NC621</t>
  </si>
  <si>
    <t>TL XL 92A</t>
  </si>
  <si>
    <t>NC622</t>
  </si>
  <si>
    <t>TL XL 93A</t>
  </si>
  <si>
    <t>NC623</t>
  </si>
  <si>
    <t>TL XX 8A</t>
  </si>
  <si>
    <t>NC624</t>
  </si>
  <si>
    <t>TL ZB 18A</t>
  </si>
  <si>
    <t>NC625</t>
  </si>
  <si>
    <t>TL XX 28A</t>
  </si>
  <si>
    <t>NC626</t>
  </si>
  <si>
    <t>TL XX 27A</t>
  </si>
  <si>
    <t>NC627</t>
  </si>
  <si>
    <t>TL XX 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</si>
</sst>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3" fontId="2" fillId="3" borderId="1" xfId="0" applyNumberFormat="1" applyFont="1" applyFill="1" applyBorder="1"/>
    <xf numFmtId="4" fontId="2" fillId="3" borderId="1" xfId="0" applyNumberFormat="1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.gemini\antigravity\scratch\VICO_MES_GCCK_2027\VICO_MES_GCCK_2027_FULL_12_TAB_CHAM_CONG_NAM_CAP_NHAT_ANH_DRIVE.xlsx" TargetMode="External"/><Relationship Id="rId1" Type="http://schemas.openxmlformats.org/officeDocument/2006/relationships/externalLinkPath" Target="file:///C:\Users\Admin\.gemini\antigravity\scratch\VICO_MES_GCCK_2027\VICO_MES_GCCK_2027_FULL_12_TAB_CHAM_CONG_NAM_CAP_NHAT_ANH_DR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_TRUY_XUAT_LUAN_CHUYEN"/>
      <sheetName val="02_DM_NHAN_SU_MAY"/>
      <sheetName val="03_DM_CONG_NGHE_627"/>
      <sheetName val="04_THEO_DOI_DON_HANG_PO"/>
      <sheetName val="05_BAO_GIA_LO_LAI_SP"/>
      <sheetName val="06_NHAT_KY_SX_QC"/>
      <sheetName val="07_NHAT_KY_GIAO_HANG"/>
      <sheetName val="08_CSDL_DAO_CU_VAT_LIEU"/>
      <sheetName val="09_CAN_BANG_TAI_OEE"/>
      <sheetName val="10_BANG_LUONG_THANG"/>
      <sheetName val="11_TONG_HOP_CONG_NAM_12T"/>
      <sheetName val="12_BANG_CHAM_CONG_THANG"/>
      <sheetName val="13_QUY_TAC_QUAN_DOC"/>
    </sheetNames>
    <sheetDataSet>
      <sheetData sheetId="0"/>
      <sheetData sheetId="1">
        <row r="2">
          <cell r="M2" t="str">
            <v>Máy tiện đứng T1516</v>
          </cell>
          <cell r="N2" t="str">
            <v>Tiện Đứng (M02-Ref)</v>
          </cell>
          <cell r="O2" t="str">
            <v>TN-2-X6.2-GC-B</v>
          </cell>
          <cell r="P2">
            <v>16</v>
          </cell>
          <cell r="Q2">
            <v>39375</v>
          </cell>
        </row>
        <row r="3">
          <cell r="M3" t="str">
            <v>Máy Tiện CNC 1</v>
          </cell>
          <cell r="N3" t="str">
            <v>Tiện CNC 2 trục (M01)</v>
          </cell>
          <cell r="O3" t="str">
            <v>TN-1A-X6.2-GC-B</v>
          </cell>
          <cell r="P3">
            <v>16</v>
          </cell>
          <cell r="Q3">
            <v>39375</v>
          </cell>
        </row>
        <row r="4">
          <cell r="M4" t="str">
            <v>Máy Tiện CNC 2</v>
          </cell>
          <cell r="N4" t="str">
            <v>Tiện CNC 2 trục (M01)</v>
          </cell>
          <cell r="O4" t="str">
            <v>TN-1B-X6.2-GC-B</v>
          </cell>
          <cell r="P4">
            <v>16</v>
          </cell>
          <cell r="Q4">
            <v>39375</v>
          </cell>
        </row>
        <row r="5">
          <cell r="M5" t="str">
            <v>Máy tiện OKUMA</v>
          </cell>
          <cell r="N5" t="str">
            <v>Tiện CNC 2 trục (M01)</v>
          </cell>
          <cell r="O5" t="str">
            <v>TN-5-X6.2-GC-B</v>
          </cell>
          <cell r="P5">
            <v>16</v>
          </cell>
          <cell r="Q5">
            <v>39375</v>
          </cell>
        </row>
        <row r="6">
          <cell r="M6" t="str">
            <v>Máy tiện FUJI</v>
          </cell>
          <cell r="N6" t="str">
            <v>Tiện CNC 2 trục (M01)</v>
          </cell>
          <cell r="O6" t="str">
            <v>TN-6-X6.2-GC-B</v>
          </cell>
          <cell r="P6">
            <v>16</v>
          </cell>
          <cell r="Q6">
            <v>39375</v>
          </cell>
        </row>
        <row r="7">
          <cell r="M7" t="str">
            <v>Máy tiện T630</v>
          </cell>
          <cell r="N7" t="str">
            <v>Tiện vạn năng Cơ (M06)</v>
          </cell>
          <cell r="O7" t="str">
            <v>TN-3-X6.2-GC-B</v>
          </cell>
          <cell r="P7">
            <v>8</v>
          </cell>
          <cell r="Q7">
            <v>26875</v>
          </cell>
        </row>
        <row r="8">
          <cell r="M8" t="str">
            <v>Máy Phay CNC1</v>
          </cell>
          <cell r="N8" t="str">
            <v>Phay CNC 3 trục (M03)</v>
          </cell>
          <cell r="O8" t="str">
            <v>PY-7A-X6.2-GC-B</v>
          </cell>
          <cell r="P8">
            <v>16</v>
          </cell>
          <cell r="Q8">
            <v>51875</v>
          </cell>
        </row>
        <row r="9">
          <cell r="M9" t="str">
            <v>Máy Phay CNC2</v>
          </cell>
          <cell r="N9" t="str">
            <v>Phay CNC 3 trục (M03)</v>
          </cell>
          <cell r="O9" t="str">
            <v>PY-7B-X6.2-GC-B</v>
          </cell>
          <cell r="P9">
            <v>16</v>
          </cell>
          <cell r="Q9">
            <v>26875</v>
          </cell>
        </row>
        <row r="10">
          <cell r="M10" t="str">
            <v>Máy phay OKK1</v>
          </cell>
          <cell r="N10" t="str">
            <v>Phay cơ vạn năng (M07)</v>
          </cell>
          <cell r="O10" t="str">
            <v>PY-4-X6.2-GC-B</v>
          </cell>
          <cell r="P10">
            <v>16</v>
          </cell>
          <cell r="Q10">
            <v>26875</v>
          </cell>
        </row>
        <row r="11">
          <cell r="M11" t="str">
            <v>Máy phay OKK2</v>
          </cell>
          <cell r="N11" t="str">
            <v>Phay cơ vạn năng (M07)</v>
          </cell>
          <cell r="O11" t="str">
            <v>PY-5-X6.2-GC-B</v>
          </cell>
          <cell r="P11">
            <v>16</v>
          </cell>
          <cell r="Q11">
            <v>26875</v>
          </cell>
        </row>
        <row r="12">
          <cell r="M12" t="str">
            <v>Máy phay OKK3</v>
          </cell>
          <cell r="N12" t="str">
            <v>Phay cơ vạn năng (M07)</v>
          </cell>
          <cell r="O12" t="str">
            <v>PY-6-X6.2-GC-B</v>
          </cell>
          <cell r="P12">
            <v>16</v>
          </cell>
          <cell r="Q12">
            <v>26875</v>
          </cell>
        </row>
        <row r="13">
          <cell r="M13" t="str">
            <v>Máy Phay OIGO 1</v>
          </cell>
          <cell r="N13" t="str">
            <v>Phay cơ vạn năng (M07)</v>
          </cell>
          <cell r="O13" t="str">
            <v>PY-3A-X6.2-GC-B</v>
          </cell>
          <cell r="P13">
            <v>8</v>
          </cell>
          <cell r="Q13">
            <v>51875</v>
          </cell>
        </row>
        <row r="14">
          <cell r="M14" t="str">
            <v>Máy Phay OIGO 2</v>
          </cell>
          <cell r="N14" t="str">
            <v>Phay cơ vạn năng (M07)</v>
          </cell>
          <cell r="O14" t="str">
            <v>PY-3B-X6.2-GC-B</v>
          </cell>
          <cell r="P14">
            <v>8</v>
          </cell>
          <cell r="Q14">
            <v>51875</v>
          </cell>
        </row>
        <row r="15">
          <cell r="M15" t="str">
            <v>Máy phay YM</v>
          </cell>
          <cell r="N15" t="str">
            <v>Phay cơ vạn năng (M07)</v>
          </cell>
          <cell r="O15" t="str">
            <v>PY-1-X6.2-GC-B</v>
          </cell>
          <cell r="P15">
            <v>8</v>
          </cell>
          <cell r="Q15">
            <v>26875</v>
          </cell>
        </row>
        <row r="16">
          <cell r="M16" t="str">
            <v>Máy Cắt Dây DK7745 - 1</v>
          </cell>
          <cell r="N16" t="str">
            <v>Cắt Dây EDM</v>
          </cell>
          <cell r="O16" t="str">
            <v>MCD-2A-X6-3-GC-B</v>
          </cell>
          <cell r="P16">
            <v>20</v>
          </cell>
          <cell r="Q16">
            <v>14375</v>
          </cell>
        </row>
        <row r="17">
          <cell r="M17" t="str">
            <v>Máy Cắt Dây DK7745 - 2</v>
          </cell>
          <cell r="N17" t="str">
            <v>Cắt Dây EDM</v>
          </cell>
          <cell r="O17" t="str">
            <v>MCD-2B-X6-3-GC-B</v>
          </cell>
          <cell r="P17">
            <v>20</v>
          </cell>
          <cell r="Q17">
            <v>14375</v>
          </cell>
        </row>
        <row r="18">
          <cell r="M18" t="str">
            <v>Máy Cắt Dây DK7745 - 3</v>
          </cell>
          <cell r="N18" t="str">
            <v>Cắt Dây EDM</v>
          </cell>
          <cell r="O18" t="str">
            <v>MCD-2C-X6-3-GC-B</v>
          </cell>
          <cell r="P18">
            <v>20</v>
          </cell>
          <cell r="Q18">
            <v>14375</v>
          </cell>
        </row>
        <row r="19">
          <cell r="M19" t="str">
            <v>Máy mài băng từ 1</v>
          </cell>
          <cell r="N19" t="str">
            <v>Mài Từ</v>
          </cell>
          <cell r="O19" t="str">
            <v>MA-2A-X6-2-GC-B</v>
          </cell>
          <cell r="P19">
            <v>16</v>
          </cell>
          <cell r="Q19">
            <v>14375</v>
          </cell>
        </row>
        <row r="20">
          <cell r="M20" t="str">
            <v>Máy mài băng từ 2</v>
          </cell>
          <cell r="N20" t="str">
            <v>Mài Từ</v>
          </cell>
          <cell r="O20" t="str">
            <v>MA-2B-X6-2-GC-B</v>
          </cell>
          <cell r="P20">
            <v>16</v>
          </cell>
          <cell r="Q20">
            <v>14375</v>
          </cell>
        </row>
        <row r="21">
          <cell r="M21" t="str">
            <v>Máy Khoan cần Yoshida</v>
          </cell>
          <cell r="N21" t="str">
            <v>Khoan / Taro (M05)</v>
          </cell>
          <cell r="O21" t="str">
            <v>KH-1-X6.2-GC-C</v>
          </cell>
          <cell r="P21">
            <v>8</v>
          </cell>
          <cell r="Q21">
            <v>26875</v>
          </cell>
        </row>
        <row r="22">
          <cell r="M22" t="str">
            <v>Máy cưa băng</v>
          </cell>
          <cell r="N22" t="str">
            <v>Cưa phôi</v>
          </cell>
          <cell r="O22" t="str">
            <v>CU-1-X6.2-GC-B</v>
          </cell>
          <cell r="P22">
            <v>8</v>
          </cell>
          <cell r="Q22">
            <v>14375</v>
          </cell>
        </row>
        <row r="23">
          <cell r="M23" t="str">
            <v>Máy in 3D số 1</v>
          </cell>
          <cell r="N23" t="str">
            <v>In 3D Tạo Mẫu</v>
          </cell>
          <cell r="O23" t="str">
            <v>MI-1-X6.2-GCCK-C</v>
          </cell>
          <cell r="P23">
            <v>20</v>
          </cell>
          <cell r="Q23">
            <v>14375</v>
          </cell>
        </row>
        <row r="24">
          <cell r="M24" t="str">
            <v>Máy in 3D số 2</v>
          </cell>
          <cell r="N24" t="str">
            <v>In 3D Tạo Mẫu</v>
          </cell>
          <cell r="O24" t="str">
            <v>MI-2-X6.2-GCCK-C</v>
          </cell>
          <cell r="P24">
            <v>20</v>
          </cell>
          <cell r="Q24">
            <v>14375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A2" t="str">
            <v>T01</v>
          </cell>
          <cell r="B2" t="str">
            <v>Chíp Tiện</v>
          </cell>
          <cell r="C2" t="str">
            <v>Mảnh tiện thô CNMG 120408</v>
          </cell>
          <cell r="D2">
            <v>110000</v>
          </cell>
          <cell r="E2">
            <v>4</v>
          </cell>
          <cell r="F2">
            <v>27500</v>
          </cell>
        </row>
        <row r="3">
          <cell r="A3" t="str">
            <v>T02</v>
          </cell>
          <cell r="B3" t="str">
            <v>Chíp Tiện</v>
          </cell>
          <cell r="C3" t="str">
            <v>Mảnh tiện tinh DNMG 150404</v>
          </cell>
          <cell r="D3">
            <v>130000</v>
          </cell>
          <cell r="E3">
            <v>4</v>
          </cell>
          <cell r="F3">
            <v>32500</v>
          </cell>
        </row>
        <row r="4">
          <cell r="A4" t="str">
            <v>T03</v>
          </cell>
          <cell r="B4" t="str">
            <v>Chíp Tiện</v>
          </cell>
          <cell r="C4" t="str">
            <v>Chíp tiện TNMG 160408-PM XP2125</v>
          </cell>
          <cell r="D4">
            <v>125000</v>
          </cell>
          <cell r="E4">
            <v>6</v>
          </cell>
          <cell r="F4">
            <v>20833.330000000002</v>
          </cell>
        </row>
        <row r="5">
          <cell r="A5" t="str">
            <v>T04</v>
          </cell>
          <cell r="B5" t="str">
            <v>Chíp Phay</v>
          </cell>
          <cell r="C5" t="str">
            <v>Chíp phay RDKX 1204MO-QBG XP1215</v>
          </cell>
          <cell r="D5">
            <v>145000</v>
          </cell>
          <cell r="E5">
            <v>4</v>
          </cell>
          <cell r="F5">
            <v>36250</v>
          </cell>
        </row>
        <row r="6">
          <cell r="A6" t="str">
            <v>T05</v>
          </cell>
          <cell r="B6" t="str">
            <v>Chíp Phay</v>
          </cell>
          <cell r="C6" t="str">
            <v>Mảnh phay mặt APMT 1604</v>
          </cell>
          <cell r="D6">
            <v>85000</v>
          </cell>
          <cell r="E6">
            <v>2</v>
          </cell>
          <cell r="F6">
            <v>42500</v>
          </cell>
        </row>
        <row r="7">
          <cell r="A7" t="str">
            <v>T06</v>
          </cell>
          <cell r="B7" t="str">
            <v>Dao Phay Ngón</v>
          </cell>
          <cell r="C7" t="str">
            <v>Dao phay ngón Hợp kim Endmill D10</v>
          </cell>
          <cell r="D7">
            <v>350000</v>
          </cell>
          <cell r="E7">
            <v>1</v>
          </cell>
          <cell r="F7">
            <v>350000</v>
          </cell>
        </row>
        <row r="8">
          <cell r="A8" t="str">
            <v>T07</v>
          </cell>
          <cell r="B8" t="str">
            <v>Mũi Khoan Hợp Kim</v>
          </cell>
          <cell r="C8" t="str">
            <v>Mũi khoan Hợp kim D8.5</v>
          </cell>
          <cell r="D8">
            <v>280000</v>
          </cell>
          <cell r="E8">
            <v>5</v>
          </cell>
          <cell r="F8">
            <v>56000</v>
          </cell>
        </row>
        <row r="9">
          <cell r="A9" t="str">
            <v>T08</v>
          </cell>
          <cell r="B9" t="str">
            <v>Mũi Taro Hợp Kim</v>
          </cell>
          <cell r="C9" t="str">
            <v>Mũi Taro xoắn M10x1.5 (Carbide/Cao cấp)</v>
          </cell>
          <cell r="D9">
            <v>220000</v>
          </cell>
          <cell r="E9">
            <v>1</v>
          </cell>
          <cell r="F9">
            <v>220000</v>
          </cell>
        </row>
        <row r="10">
          <cell r="A10" t="str">
            <v>TP01</v>
          </cell>
          <cell r="B10" t="str">
            <v>Mũi Taro HSS</v>
          </cell>
          <cell r="C10" t="str">
            <v>Taro M1 x 0.25 (Mồi D0.75)</v>
          </cell>
          <cell r="D10">
            <v>65000</v>
          </cell>
          <cell r="E10">
            <v>1</v>
          </cell>
          <cell r="F10">
            <v>65000</v>
          </cell>
        </row>
        <row r="11">
          <cell r="A11" t="str">
            <v>TP02</v>
          </cell>
          <cell r="B11" t="str">
            <v>Mũi Taro HSS</v>
          </cell>
          <cell r="C11" t="str">
            <v>Taro M1.2 x 0.25 (Mồi D0.95)</v>
          </cell>
          <cell r="D11">
            <v>65000</v>
          </cell>
          <cell r="E11">
            <v>1</v>
          </cell>
          <cell r="F11">
            <v>65000</v>
          </cell>
        </row>
        <row r="12">
          <cell r="A12" t="str">
            <v>TP03</v>
          </cell>
          <cell r="B12" t="str">
            <v>Mũi Taro HSS</v>
          </cell>
          <cell r="C12" t="str">
            <v>Taro M1.4 x 0.3 (Mồi D1.1)</v>
          </cell>
          <cell r="D12">
            <v>65000</v>
          </cell>
          <cell r="E12">
            <v>1</v>
          </cell>
          <cell r="F12">
            <v>65000</v>
          </cell>
        </row>
        <row r="13">
          <cell r="A13" t="str">
            <v>TP04</v>
          </cell>
          <cell r="B13" t="str">
            <v>Mũi Taro HSS</v>
          </cell>
          <cell r="C13" t="str">
            <v>Taro M1.6 x 0.35 (Mồi D1.25)</v>
          </cell>
          <cell r="D13">
            <v>60000</v>
          </cell>
          <cell r="E13">
            <v>1</v>
          </cell>
          <cell r="F13">
            <v>60000</v>
          </cell>
        </row>
        <row r="14">
          <cell r="A14" t="str">
            <v>TP05</v>
          </cell>
          <cell r="B14" t="str">
            <v>Mũi Taro HSS</v>
          </cell>
          <cell r="C14" t="str">
            <v>Taro M2 x 0.4 (Mồi D1.6)</v>
          </cell>
          <cell r="D14">
            <v>55000</v>
          </cell>
          <cell r="E14">
            <v>1</v>
          </cell>
          <cell r="F14">
            <v>55000</v>
          </cell>
        </row>
        <row r="15">
          <cell r="A15" t="str">
            <v>TP06</v>
          </cell>
          <cell r="B15" t="str">
            <v>Mũi Taro HSS</v>
          </cell>
          <cell r="C15" t="str">
            <v>Taro M2.5 x 0.45 (Mồi D2.05)</v>
          </cell>
          <cell r="D15">
            <v>55000</v>
          </cell>
          <cell r="E15">
            <v>1</v>
          </cell>
          <cell r="F15">
            <v>55000</v>
          </cell>
        </row>
        <row r="16">
          <cell r="A16" t="str">
            <v>TP07</v>
          </cell>
          <cell r="B16" t="str">
            <v>Mũi Taro HSS</v>
          </cell>
          <cell r="C16" t="str">
            <v>Taro M3 x 0.5 (Mồi D2.5)</v>
          </cell>
          <cell r="D16">
            <v>45000</v>
          </cell>
          <cell r="E16">
            <v>1</v>
          </cell>
          <cell r="F16">
            <v>45000</v>
          </cell>
        </row>
        <row r="17">
          <cell r="A17" t="str">
            <v>TP08</v>
          </cell>
          <cell r="B17" t="str">
            <v>Mũi Taro HSS</v>
          </cell>
          <cell r="C17" t="str">
            <v>Taro M4 x 0.7 (Mồi D3.3)</v>
          </cell>
          <cell r="D17">
            <v>48000</v>
          </cell>
          <cell r="E17">
            <v>1</v>
          </cell>
          <cell r="F17">
            <v>48000</v>
          </cell>
        </row>
        <row r="18">
          <cell r="A18" t="str">
            <v>TP09</v>
          </cell>
          <cell r="B18" t="str">
            <v>Mũi Taro HSS</v>
          </cell>
          <cell r="C18" t="str">
            <v>Taro M5 x 0.8 (Mồi D4.2)</v>
          </cell>
          <cell r="D18">
            <v>52000</v>
          </cell>
          <cell r="E18">
            <v>1</v>
          </cell>
          <cell r="F18">
            <v>52000</v>
          </cell>
        </row>
        <row r="19">
          <cell r="A19" t="str">
            <v>TP10</v>
          </cell>
          <cell r="B19" t="str">
            <v>Mũi Taro HSS</v>
          </cell>
          <cell r="C19" t="str">
            <v>Taro M6 x 1.0 (Mồi D5.0)</v>
          </cell>
          <cell r="D19">
            <v>58000</v>
          </cell>
          <cell r="E19">
            <v>1</v>
          </cell>
          <cell r="F19">
            <v>58000</v>
          </cell>
        </row>
        <row r="20">
          <cell r="A20" t="str">
            <v>TP11</v>
          </cell>
          <cell r="B20" t="str">
            <v>Mũi Taro HSS</v>
          </cell>
          <cell r="C20" t="str">
            <v>Taro M8 x 1.25 (Mồi D6.8)</v>
          </cell>
          <cell r="D20">
            <v>75000</v>
          </cell>
          <cell r="E20">
            <v>1</v>
          </cell>
          <cell r="F20">
            <v>75000</v>
          </cell>
        </row>
        <row r="21">
          <cell r="A21" t="str">
            <v>TP12</v>
          </cell>
          <cell r="B21" t="str">
            <v>Mũi Taro HSS</v>
          </cell>
          <cell r="C21" t="str">
            <v>Taro M10 x 1.5 (Mồi D8.5)</v>
          </cell>
          <cell r="D21">
            <v>95000</v>
          </cell>
          <cell r="E21">
            <v>1</v>
          </cell>
          <cell r="F21">
            <v>95000</v>
          </cell>
        </row>
        <row r="22">
          <cell r="A22" t="str">
            <v>TP13</v>
          </cell>
          <cell r="B22" t="str">
            <v>Mũi Taro HSS</v>
          </cell>
          <cell r="C22" t="str">
            <v>Taro M12 x 1.75 (Mồi D10.2)</v>
          </cell>
          <cell r="D22">
            <v>135000</v>
          </cell>
          <cell r="E22">
            <v>1</v>
          </cell>
          <cell r="F22">
            <v>135000</v>
          </cell>
        </row>
        <row r="23">
          <cell r="A23" t="str">
            <v>TP14</v>
          </cell>
          <cell r="B23" t="str">
            <v>Mũi Taro HSS</v>
          </cell>
          <cell r="C23" t="str">
            <v>Taro M14 x 2.0 (Mồi D12.0)</v>
          </cell>
          <cell r="D23">
            <v>180000</v>
          </cell>
          <cell r="E23">
            <v>1</v>
          </cell>
          <cell r="F23">
            <v>180000</v>
          </cell>
        </row>
        <row r="24">
          <cell r="A24" t="str">
            <v>TP15</v>
          </cell>
          <cell r="B24" t="str">
            <v>Mũi Taro HSS</v>
          </cell>
          <cell r="C24" t="str">
            <v>Taro M16 x 2.0 (Mồi D14.0)</v>
          </cell>
          <cell r="D24">
            <v>240000</v>
          </cell>
          <cell r="E24">
            <v>1</v>
          </cell>
          <cell r="F24">
            <v>240000</v>
          </cell>
        </row>
        <row r="25">
          <cell r="A25" t="str">
            <v>TP16</v>
          </cell>
          <cell r="B25" t="str">
            <v>Mũi Taro HSS</v>
          </cell>
          <cell r="C25" t="str">
            <v>Taro M18 x 2.5 (Mồi D15.5)</v>
          </cell>
          <cell r="D25">
            <v>310000</v>
          </cell>
          <cell r="E25">
            <v>1</v>
          </cell>
          <cell r="F25">
            <v>310000</v>
          </cell>
        </row>
        <row r="26">
          <cell r="A26" t="str">
            <v>TP17</v>
          </cell>
          <cell r="B26" t="str">
            <v>Mũi Taro HSS</v>
          </cell>
          <cell r="C26" t="str">
            <v>Taro M20 x 2.5 (Mồi D17.5)</v>
          </cell>
          <cell r="D26">
            <v>390000</v>
          </cell>
          <cell r="E26">
            <v>1</v>
          </cell>
          <cell r="F26">
            <v>390000</v>
          </cell>
        </row>
        <row r="27">
          <cell r="A27" t="str">
            <v>TP18</v>
          </cell>
          <cell r="B27" t="str">
            <v>Mũi Taro HSS</v>
          </cell>
          <cell r="C27" t="str">
            <v>Taro M22 x 2.5 (Mồi D19.5)</v>
          </cell>
          <cell r="D27">
            <v>480000</v>
          </cell>
          <cell r="E27">
            <v>1</v>
          </cell>
          <cell r="F27">
            <v>480000</v>
          </cell>
        </row>
        <row r="28">
          <cell r="A28" t="str">
            <v>TP19</v>
          </cell>
          <cell r="B28" t="str">
            <v>Mũi Taro HSS</v>
          </cell>
          <cell r="C28" t="str">
            <v>Taro M24 x 3.0 (Mồi D21.0)</v>
          </cell>
          <cell r="D28">
            <v>590000</v>
          </cell>
          <cell r="E28">
            <v>1</v>
          </cell>
          <cell r="F28">
            <v>590000</v>
          </cell>
        </row>
        <row r="29">
          <cell r="A29" t="str">
            <v>TP20</v>
          </cell>
          <cell r="B29" t="str">
            <v>Mũi Taro HSS</v>
          </cell>
          <cell r="C29" t="str">
            <v>Taro M27 x 3.0 (Mồi D24.0)</v>
          </cell>
          <cell r="D29">
            <v>780000</v>
          </cell>
          <cell r="E29">
            <v>1</v>
          </cell>
          <cell r="F29">
            <v>780000</v>
          </cell>
        </row>
        <row r="30">
          <cell r="A30" t="str">
            <v>TP21</v>
          </cell>
          <cell r="B30" t="str">
            <v>Mũi Taro HSS</v>
          </cell>
          <cell r="C30" t="str">
            <v>Taro M30 x 3.5 (Mồi D26.5)</v>
          </cell>
          <cell r="D30">
            <v>1050000</v>
          </cell>
          <cell r="E30">
            <v>1</v>
          </cell>
          <cell r="F30">
            <v>1050000</v>
          </cell>
        </row>
        <row r="31">
          <cell r="A31" t="str">
            <v>TP22</v>
          </cell>
          <cell r="B31" t="str">
            <v>Mũi Taro HSS</v>
          </cell>
          <cell r="C31" t="str">
            <v>Taro M33 x 3.5 (Mồi D29.5)</v>
          </cell>
          <cell r="D31">
            <v>1350000</v>
          </cell>
          <cell r="E31">
            <v>1</v>
          </cell>
          <cell r="F31">
            <v>1350000</v>
          </cell>
        </row>
        <row r="32">
          <cell r="A32" t="str">
            <v>TP23</v>
          </cell>
          <cell r="B32" t="str">
            <v>Mũi Taro HSS</v>
          </cell>
          <cell r="C32" t="str">
            <v>Taro M36 x 4.0 (Mồi D32.0)</v>
          </cell>
          <cell r="D32">
            <v>1750000</v>
          </cell>
          <cell r="E32">
            <v>1</v>
          </cell>
          <cell r="F32">
            <v>1750000</v>
          </cell>
        </row>
        <row r="33">
          <cell r="A33" t="str">
            <v>DR01</v>
          </cell>
          <cell r="B33" t="str">
            <v>Mũi Khoan HSS</v>
          </cell>
          <cell r="C33" t="str">
            <v>Mũi khoan D1.0mm (Chuôi thẳng)</v>
          </cell>
          <cell r="D33">
            <v>10000</v>
          </cell>
          <cell r="E33">
            <v>5</v>
          </cell>
          <cell r="F33">
            <v>2000</v>
          </cell>
        </row>
        <row r="34">
          <cell r="A34" t="str">
            <v>DR02</v>
          </cell>
          <cell r="B34" t="str">
            <v>Mũi Khoan HSS</v>
          </cell>
          <cell r="C34" t="str">
            <v>Mũi khoan D1.5mm (Chuôi thẳng)</v>
          </cell>
          <cell r="D34">
            <v>12000</v>
          </cell>
          <cell r="E34">
            <v>5</v>
          </cell>
          <cell r="F34">
            <v>2400</v>
          </cell>
        </row>
        <row r="35">
          <cell r="A35" t="str">
            <v>DR03</v>
          </cell>
          <cell r="B35" t="str">
            <v>Mũi Khoan HSS</v>
          </cell>
          <cell r="C35" t="str">
            <v>Mũi khoan D2.0mm (Chuôi thẳng)</v>
          </cell>
          <cell r="D35">
            <v>15000</v>
          </cell>
          <cell r="E35">
            <v>5</v>
          </cell>
          <cell r="F35">
            <v>3000</v>
          </cell>
        </row>
        <row r="36">
          <cell r="A36" t="str">
            <v>DR04</v>
          </cell>
          <cell r="B36" t="str">
            <v>Mũi Khoan HSS</v>
          </cell>
          <cell r="C36" t="str">
            <v>Mũi khoan D2.5mm (Chuôi thẳng)</v>
          </cell>
          <cell r="D36">
            <v>18000</v>
          </cell>
          <cell r="E36">
            <v>5</v>
          </cell>
          <cell r="F36">
            <v>3600</v>
          </cell>
        </row>
        <row r="37">
          <cell r="A37" t="str">
            <v>DR05</v>
          </cell>
          <cell r="B37" t="str">
            <v>Mũi Khoan HSS</v>
          </cell>
          <cell r="C37" t="str">
            <v>Mũi khoan D3.0mm (Chuôi thẳng)</v>
          </cell>
          <cell r="D37">
            <v>22000</v>
          </cell>
          <cell r="E37">
            <v>5</v>
          </cell>
          <cell r="F37">
            <v>4400</v>
          </cell>
        </row>
        <row r="38">
          <cell r="A38" t="str">
            <v>DR06</v>
          </cell>
          <cell r="B38" t="str">
            <v>Mũi Khoan HSS</v>
          </cell>
          <cell r="C38" t="str">
            <v>Mũi khoan D3.3mm (Chuôi thẳng)</v>
          </cell>
          <cell r="D38">
            <v>25000</v>
          </cell>
          <cell r="E38">
            <v>5</v>
          </cell>
          <cell r="F38">
            <v>5000</v>
          </cell>
        </row>
        <row r="39">
          <cell r="A39" t="str">
            <v>DR07</v>
          </cell>
          <cell r="B39" t="str">
            <v>Mũi Khoan HSS</v>
          </cell>
          <cell r="C39" t="str">
            <v>Mũi khoan D4.0mm (Chuôi thẳng)</v>
          </cell>
          <cell r="D39">
            <v>28000</v>
          </cell>
          <cell r="E39">
            <v>5</v>
          </cell>
          <cell r="F39">
            <v>5600</v>
          </cell>
        </row>
        <row r="40">
          <cell r="A40" t="str">
            <v>DR08</v>
          </cell>
          <cell r="B40" t="str">
            <v>Mũi Khoan HSS</v>
          </cell>
          <cell r="C40" t="str">
            <v>Mũi khoan D4.2mm (Chuôi thẳng)</v>
          </cell>
          <cell r="D40">
            <v>32000</v>
          </cell>
          <cell r="E40">
            <v>5</v>
          </cell>
          <cell r="F40">
            <v>6400</v>
          </cell>
        </row>
        <row r="41">
          <cell r="A41" t="str">
            <v>DR09</v>
          </cell>
          <cell r="B41" t="str">
            <v>Mũi Khoan HSS</v>
          </cell>
          <cell r="C41" t="str">
            <v>Mũi khoan D5.0mm (Chuôi thẳng)</v>
          </cell>
          <cell r="D41">
            <v>42000</v>
          </cell>
          <cell r="E41">
            <v>5</v>
          </cell>
          <cell r="F41">
            <v>8400</v>
          </cell>
        </row>
        <row r="42">
          <cell r="A42" t="str">
            <v>DR10</v>
          </cell>
          <cell r="B42" t="str">
            <v>Mũi Khoan HSS</v>
          </cell>
          <cell r="C42" t="str">
            <v>Mũi khoan D6.0mm (Chuôi thẳng)</v>
          </cell>
          <cell r="D42">
            <v>52000</v>
          </cell>
          <cell r="E42">
            <v>5</v>
          </cell>
          <cell r="F42">
            <v>10400</v>
          </cell>
        </row>
        <row r="43">
          <cell r="A43" t="str">
            <v>DR11</v>
          </cell>
          <cell r="B43" t="str">
            <v>Mũi Khoan Cobalt</v>
          </cell>
          <cell r="C43" t="str">
            <v>Mũi khoan D6.8mm HSS-Co5</v>
          </cell>
          <cell r="D43">
            <v>75000</v>
          </cell>
          <cell r="E43">
            <v>5</v>
          </cell>
          <cell r="F43">
            <v>15000</v>
          </cell>
        </row>
        <row r="44">
          <cell r="A44" t="str">
            <v>DR12</v>
          </cell>
          <cell r="B44" t="str">
            <v>Mũi Khoan Cobalt</v>
          </cell>
          <cell r="C44" t="str">
            <v>Mũi khoan D8.0mm HSS-Co5</v>
          </cell>
          <cell r="D44">
            <v>95000</v>
          </cell>
          <cell r="E44">
            <v>5</v>
          </cell>
          <cell r="F44">
            <v>19000</v>
          </cell>
        </row>
        <row r="45">
          <cell r="A45" t="str">
            <v>DR13</v>
          </cell>
          <cell r="B45" t="str">
            <v>Mũi Khoan Cobalt</v>
          </cell>
          <cell r="C45" t="str">
            <v>Mũi khoan D8.5mm HSS-Co5</v>
          </cell>
          <cell r="D45">
            <v>110000</v>
          </cell>
          <cell r="E45">
            <v>5</v>
          </cell>
          <cell r="F45">
            <v>22000</v>
          </cell>
        </row>
        <row r="46">
          <cell r="A46" t="str">
            <v>DR14</v>
          </cell>
          <cell r="B46" t="str">
            <v>Mũi Khoan Cobalt</v>
          </cell>
          <cell r="C46" t="str">
            <v>Mũi khoan D9.0mm HSS-Co5</v>
          </cell>
          <cell r="D46">
            <v>125000</v>
          </cell>
          <cell r="E46">
            <v>5</v>
          </cell>
          <cell r="F46">
            <v>25000</v>
          </cell>
        </row>
        <row r="47">
          <cell r="A47" t="str">
            <v>DR15</v>
          </cell>
          <cell r="B47" t="str">
            <v>Mũi Khoan Cobalt</v>
          </cell>
          <cell r="C47" t="str">
            <v>Mũi khoan D10.0mm HSS-Co5</v>
          </cell>
          <cell r="D47">
            <v>145000</v>
          </cell>
          <cell r="E47">
            <v>5</v>
          </cell>
          <cell r="F47">
            <v>29000</v>
          </cell>
        </row>
        <row r="48">
          <cell r="A48" t="str">
            <v>DR16</v>
          </cell>
          <cell r="B48" t="str">
            <v>Mũi Khoan Cobalt</v>
          </cell>
          <cell r="C48" t="str">
            <v>Mũi khoan D10.2mm HSS-Co5</v>
          </cell>
          <cell r="D48">
            <v>155000</v>
          </cell>
          <cell r="E48">
            <v>5</v>
          </cell>
          <cell r="F48">
            <v>31000</v>
          </cell>
        </row>
        <row r="49">
          <cell r="A49" t="str">
            <v>DR17</v>
          </cell>
          <cell r="B49" t="str">
            <v>Mũi Khoan HSS</v>
          </cell>
          <cell r="C49" t="str">
            <v>Mũi khoan D12.0mm (Thẳng/Côn)</v>
          </cell>
          <cell r="D49">
            <v>195000</v>
          </cell>
          <cell r="E49">
            <v>5</v>
          </cell>
          <cell r="F49">
            <v>39000</v>
          </cell>
        </row>
        <row r="50">
          <cell r="A50" t="str">
            <v>DR18</v>
          </cell>
          <cell r="B50" t="str">
            <v>Mũi Khoan Côn</v>
          </cell>
          <cell r="C50" t="str">
            <v>Mũi khoan D13.0mm (Côn MT1)</v>
          </cell>
          <cell r="D50">
            <v>230000</v>
          </cell>
          <cell r="E50">
            <v>5</v>
          </cell>
          <cell r="F50">
            <v>46000</v>
          </cell>
        </row>
        <row r="51">
          <cell r="A51" t="str">
            <v>DR19</v>
          </cell>
          <cell r="B51" t="str">
            <v>Mũi Khoan Côn</v>
          </cell>
          <cell r="C51" t="str">
            <v>Mũi khoan D14.0mm (Côn MT2)</v>
          </cell>
          <cell r="D51">
            <v>270000</v>
          </cell>
          <cell r="E51">
            <v>5</v>
          </cell>
          <cell r="F51">
            <v>54000</v>
          </cell>
        </row>
        <row r="52">
          <cell r="A52" t="str">
            <v>DR20</v>
          </cell>
          <cell r="B52" t="str">
            <v>Mũi Khoan Côn</v>
          </cell>
          <cell r="C52" t="str">
            <v>Mũi khoan D15.0mm (Côn MT2)</v>
          </cell>
          <cell r="D52">
            <v>320000</v>
          </cell>
          <cell r="E52">
            <v>5</v>
          </cell>
          <cell r="F52">
            <v>64000</v>
          </cell>
        </row>
        <row r="53">
          <cell r="A53" t="str">
            <v>DR21</v>
          </cell>
          <cell r="B53" t="str">
            <v>Mũi Khoan Côn</v>
          </cell>
          <cell r="C53" t="str">
            <v>Mũi khoan D16.0mm (Côn MT2)</v>
          </cell>
          <cell r="D53">
            <v>370000</v>
          </cell>
          <cell r="E53">
            <v>5</v>
          </cell>
          <cell r="F53">
            <v>74000</v>
          </cell>
        </row>
        <row r="54">
          <cell r="A54" t="str">
            <v>DR22</v>
          </cell>
          <cell r="B54" t="str">
            <v>Mũi Khoan Côn</v>
          </cell>
          <cell r="C54" t="str">
            <v>Mũi khoan D17.5mm (Côn MT2)</v>
          </cell>
          <cell r="D54">
            <v>430000</v>
          </cell>
          <cell r="E54">
            <v>5</v>
          </cell>
          <cell r="F54">
            <v>86000</v>
          </cell>
        </row>
        <row r="55">
          <cell r="A55" t="str">
            <v>DR23</v>
          </cell>
          <cell r="B55" t="str">
            <v>Mũi Khoan Côn</v>
          </cell>
          <cell r="C55" t="str">
            <v>Mũi khoan D19.5mm (Côn MT2)</v>
          </cell>
          <cell r="D55">
            <v>520000</v>
          </cell>
          <cell r="E55">
            <v>5</v>
          </cell>
          <cell r="F55">
            <v>104000</v>
          </cell>
        </row>
        <row r="56">
          <cell r="A56" t="str">
            <v>DR24</v>
          </cell>
          <cell r="B56" t="str">
            <v>Mũi Khoan Côn</v>
          </cell>
          <cell r="C56" t="str">
            <v>Mũi khoan D21.0mm (Côn MT3)</v>
          </cell>
          <cell r="D56">
            <v>620000</v>
          </cell>
          <cell r="E56">
            <v>5</v>
          </cell>
          <cell r="F56">
            <v>124000</v>
          </cell>
        </row>
        <row r="57">
          <cell r="A57" t="str">
            <v>DR25</v>
          </cell>
          <cell r="B57" t="str">
            <v>Mũi Khoan Côn</v>
          </cell>
          <cell r="C57" t="str">
            <v>Mũi khoan D23.0mm (Côn MT3)</v>
          </cell>
          <cell r="D57">
            <v>750000</v>
          </cell>
          <cell r="E57">
            <v>5</v>
          </cell>
          <cell r="F57">
            <v>150000</v>
          </cell>
        </row>
        <row r="58">
          <cell r="A58" t="str">
            <v>DR26</v>
          </cell>
          <cell r="B58" t="str">
            <v>Mũi Khoan Côn</v>
          </cell>
          <cell r="C58" t="str">
            <v>Mũi khoan D25.0mm (Côn MT3)</v>
          </cell>
          <cell r="D58">
            <v>880000</v>
          </cell>
          <cell r="E58">
            <v>5</v>
          </cell>
          <cell r="F58">
            <v>176000</v>
          </cell>
        </row>
        <row r="59">
          <cell r="A59" t="str">
            <v>DR27</v>
          </cell>
          <cell r="B59" t="str">
            <v>Mũi Khoan Côn</v>
          </cell>
          <cell r="C59" t="str">
            <v>Mũi khoan D27.0mm (Côn MT3)</v>
          </cell>
          <cell r="D59">
            <v>1050000</v>
          </cell>
          <cell r="E59">
            <v>5</v>
          </cell>
          <cell r="F59">
            <v>210000</v>
          </cell>
        </row>
        <row r="60">
          <cell r="A60" t="str">
            <v>DR28</v>
          </cell>
          <cell r="B60" t="str">
            <v>Mũi Khoan Côn</v>
          </cell>
          <cell r="C60" t="str">
            <v>Mũi khoan D30.0mm (Côn MT3)</v>
          </cell>
          <cell r="D60">
            <v>1350000</v>
          </cell>
          <cell r="E60">
            <v>5</v>
          </cell>
          <cell r="F60">
            <v>270000</v>
          </cell>
        </row>
        <row r="61">
          <cell r="A61" t="str">
            <v>DR29</v>
          </cell>
          <cell r="B61" t="str">
            <v>Mũi Khoan Côn</v>
          </cell>
          <cell r="C61" t="str">
            <v>Mũi khoan D32.0mm (Côn MT4)</v>
          </cell>
          <cell r="D61">
            <v>1650000</v>
          </cell>
          <cell r="E61">
            <v>5</v>
          </cell>
          <cell r="F61">
            <v>330000</v>
          </cell>
        </row>
        <row r="62">
          <cell r="A62" t="str">
            <v>DR30</v>
          </cell>
          <cell r="B62" t="str">
            <v>Mũi Khoan Côn</v>
          </cell>
          <cell r="C62" t="str">
            <v>Mũi khoan D35.0mm (Côn MT4)</v>
          </cell>
          <cell r="D62">
            <v>1950000</v>
          </cell>
          <cell r="E62">
            <v>5</v>
          </cell>
          <cell r="F62">
            <v>390000</v>
          </cell>
        </row>
        <row r="63">
          <cell r="A63" t="str">
            <v>DR31</v>
          </cell>
          <cell r="B63" t="str">
            <v>Mũi Khoan Côn</v>
          </cell>
          <cell r="C63" t="str">
            <v>Mũi khoan D40.0mm (Côn MT4)</v>
          </cell>
          <cell r="D63">
            <v>2700000</v>
          </cell>
          <cell r="E63">
            <v>5</v>
          </cell>
          <cell r="F63">
            <v>540000</v>
          </cell>
        </row>
        <row r="64">
          <cell r="A64" t="str">
            <v>DR32</v>
          </cell>
          <cell r="B64" t="str">
            <v>Mũi Khoan Côn</v>
          </cell>
          <cell r="C64" t="str">
            <v>Mũi khoan D45.0mm (Côn MT4)</v>
          </cell>
          <cell r="D64">
            <v>3600000</v>
          </cell>
          <cell r="E64">
            <v>5</v>
          </cell>
          <cell r="F64">
            <v>720000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8"/>
  <sheetViews>
    <sheetView tabSelected="1" topLeftCell="A10" workbookViewId="0">
      <selection sqref="A1:XFD1048576"/>
    </sheetView>
  </sheetViews>
  <sheetFormatPr defaultRowHeight="15" x14ac:dyDescent="0.25"/>
  <cols>
    <col min="1" max="1" width="22" customWidth="1"/>
    <col min="2" max="2" width="12" customWidth="1"/>
    <col min="3" max="3" width="28" customWidth="1"/>
    <col min="4" max="4" width="48" customWidth="1"/>
    <col min="5" max="5" width="32" customWidth="1"/>
    <col min="6" max="6" width="21" customWidth="1"/>
    <col min="7" max="7" width="19" customWidth="1"/>
    <col min="8" max="8" width="21" customWidth="1"/>
    <col min="9" max="9" width="26" customWidth="1"/>
    <col min="10" max="10" width="12" customWidth="1"/>
    <col min="11" max="11" width="48" customWidth="1"/>
    <col min="12" max="12" width="33" customWidth="1"/>
    <col min="13" max="13" width="13" customWidth="1"/>
    <col min="14" max="14" width="43" customWidth="1"/>
    <col min="15" max="15" width="26" customWidth="1"/>
    <col min="16" max="16" width="35" customWidth="1"/>
    <col min="17" max="17" width="30" customWidth="1"/>
    <col min="18" max="18" width="28" customWidth="1"/>
    <col min="19" max="19" width="27" customWidth="1"/>
    <col min="20" max="20" width="36" customWidth="1"/>
  </cols>
  <sheetData>
    <row r="1" spans="1:2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>
        <v>1</v>
      </c>
      <c r="C2" s="2" t="s">
        <v>21</v>
      </c>
      <c r="D2" s="2" t="s">
        <v>22</v>
      </c>
      <c r="E2" s="2" t="s">
        <v>23</v>
      </c>
      <c r="F2" s="3">
        <v>2700</v>
      </c>
      <c r="G2" s="4">
        <f t="shared" ref="G2:G65" si="0">ROUND(F2/28800, 4)</f>
        <v>9.3799999999999994E-2</v>
      </c>
      <c r="H2" s="2">
        <v>2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3">
        <f>IFERROR(VLOOKUP(M2, '[1]08_CSDL_DAO_CU_VAT_LIEU'!$A$2:$F$64, 6, FALSE), 27500)</f>
        <v>27500</v>
      </c>
      <c r="P2" s="4">
        <v>1.57</v>
      </c>
      <c r="Q2" s="3">
        <f t="shared" ref="Q2:Q65" si="1">ROUND(F2*(385000/28800), 0)</f>
        <v>36094</v>
      </c>
      <c r="R2" s="3">
        <f>ROUND((F2/3600)*IFERROR(VLOOKUP(I2, '[1]02_DM_NHAN_SU_MAY'!$M$2:$Q$25, 5, FALSE), 39375), 0)</f>
        <v>29531</v>
      </c>
      <c r="S2" s="3">
        <v>0</v>
      </c>
      <c r="T2" s="3">
        <f t="shared" ref="T2:T65" si="2">Q2+R2</f>
        <v>65625</v>
      </c>
    </row>
    <row r="3" spans="1:20" x14ac:dyDescent="0.25">
      <c r="A3" s="5" t="s">
        <v>30</v>
      </c>
      <c r="B3" s="5">
        <v>2</v>
      </c>
      <c r="C3" s="5" t="s">
        <v>31</v>
      </c>
      <c r="D3" s="5" t="s">
        <v>32</v>
      </c>
      <c r="E3" s="5" t="s">
        <v>33</v>
      </c>
      <c r="F3" s="6">
        <v>3600</v>
      </c>
      <c r="G3" s="7">
        <f t="shared" si="0"/>
        <v>0.125</v>
      </c>
      <c r="H3" s="5" t="s">
        <v>34</v>
      </c>
      <c r="I3" s="5" t="s">
        <v>35</v>
      </c>
      <c r="J3" s="5" t="s">
        <v>36</v>
      </c>
      <c r="K3" s="5" t="s">
        <v>37</v>
      </c>
      <c r="L3" s="5" t="s">
        <v>38</v>
      </c>
      <c r="M3" s="5" t="s">
        <v>28</v>
      </c>
      <c r="N3" s="5" t="s">
        <v>29</v>
      </c>
      <c r="O3" s="6">
        <f>IFERROR(VLOOKUP(M3, '[1]08_CSDL_DAO_CU_VAT_LIEU'!$A$2:$F$64, 6, FALSE), 27500)</f>
        <v>27500</v>
      </c>
      <c r="P3" s="7">
        <v>1.68</v>
      </c>
      <c r="Q3" s="6">
        <f t="shared" si="1"/>
        <v>48125</v>
      </c>
      <c r="R3" s="6">
        <f>ROUND((F3/3600)*IFERROR(VLOOKUP(I3, '[1]02_DM_NHAN_SU_MAY'!$M$2:$Q$25, 5, FALSE), 39375), 0)</f>
        <v>39375</v>
      </c>
      <c r="S3" s="6">
        <v>0</v>
      </c>
      <c r="T3" s="6">
        <f t="shared" si="2"/>
        <v>87500</v>
      </c>
    </row>
    <row r="4" spans="1:20" x14ac:dyDescent="0.25">
      <c r="A4" s="2" t="s">
        <v>39</v>
      </c>
      <c r="B4" s="2">
        <v>3</v>
      </c>
      <c r="C4" s="2" t="s">
        <v>21</v>
      </c>
      <c r="D4" s="2" t="s">
        <v>22</v>
      </c>
      <c r="E4" s="2" t="s">
        <v>40</v>
      </c>
      <c r="F4" s="3">
        <v>3600</v>
      </c>
      <c r="G4" s="4">
        <f t="shared" si="0"/>
        <v>0.125</v>
      </c>
      <c r="H4" s="2">
        <v>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3">
        <f>IFERROR(VLOOKUP(M4, '[1]08_CSDL_DAO_CU_VAT_LIEU'!$A$2:$F$64, 6, FALSE), 27500)</f>
        <v>27500</v>
      </c>
      <c r="P4" s="4">
        <v>2.1</v>
      </c>
      <c r="Q4" s="3">
        <f t="shared" si="1"/>
        <v>48125</v>
      </c>
      <c r="R4" s="3">
        <f>ROUND((F4/3600)*IFERROR(VLOOKUP(I4, '[1]02_DM_NHAN_SU_MAY'!$M$2:$Q$25, 5, FALSE), 39375), 0)</f>
        <v>39375</v>
      </c>
      <c r="S4" s="3">
        <v>0</v>
      </c>
      <c r="T4" s="3">
        <f t="shared" si="2"/>
        <v>87500</v>
      </c>
    </row>
    <row r="5" spans="1:20" x14ac:dyDescent="0.25">
      <c r="A5" s="5" t="s">
        <v>41</v>
      </c>
      <c r="B5" s="5">
        <v>4</v>
      </c>
      <c r="C5" s="5" t="s">
        <v>31</v>
      </c>
      <c r="D5" s="5" t="s">
        <v>42</v>
      </c>
      <c r="E5" s="5" t="s">
        <v>33</v>
      </c>
      <c r="F5" s="6">
        <v>3600</v>
      </c>
      <c r="G5" s="7">
        <f t="shared" si="0"/>
        <v>0.125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28</v>
      </c>
      <c r="N5" s="5" t="s">
        <v>29</v>
      </c>
      <c r="O5" s="6">
        <f>IFERROR(VLOOKUP(M5, '[1]08_CSDL_DAO_CU_VAT_LIEU'!$A$2:$F$64, 6, FALSE), 27500)</f>
        <v>27500</v>
      </c>
      <c r="P5" s="7">
        <v>1.68</v>
      </c>
      <c r="Q5" s="6">
        <f t="shared" si="1"/>
        <v>48125</v>
      </c>
      <c r="R5" s="6">
        <f>ROUND((F5/3600)*IFERROR(VLOOKUP(I5, '[1]02_DM_NHAN_SU_MAY'!$M$2:$Q$25, 5, FALSE), 39375), 0)</f>
        <v>39375</v>
      </c>
      <c r="S5" s="6">
        <v>0</v>
      </c>
      <c r="T5" s="6">
        <f t="shared" si="2"/>
        <v>87500</v>
      </c>
    </row>
    <row r="6" spans="1:20" x14ac:dyDescent="0.25">
      <c r="A6" s="2" t="s">
        <v>43</v>
      </c>
      <c r="B6" s="2">
        <v>5</v>
      </c>
      <c r="C6" s="2" t="s">
        <v>31</v>
      </c>
      <c r="D6" s="2" t="s">
        <v>44</v>
      </c>
      <c r="E6" s="2" t="s">
        <v>33</v>
      </c>
      <c r="F6" s="3">
        <v>3600</v>
      </c>
      <c r="G6" s="4">
        <f t="shared" si="0"/>
        <v>0.125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28</v>
      </c>
      <c r="N6" s="2" t="s">
        <v>29</v>
      </c>
      <c r="O6" s="3">
        <f>IFERROR(VLOOKUP(M6, '[1]08_CSDL_DAO_CU_VAT_LIEU'!$A$2:$F$64, 6, FALSE), 27500)</f>
        <v>27500</v>
      </c>
      <c r="P6" s="4">
        <v>1.68</v>
      </c>
      <c r="Q6" s="3">
        <f t="shared" si="1"/>
        <v>48125</v>
      </c>
      <c r="R6" s="3">
        <f>ROUND((F6/3600)*IFERROR(VLOOKUP(I6, '[1]02_DM_NHAN_SU_MAY'!$M$2:$Q$25, 5, FALSE), 39375), 0)</f>
        <v>39375</v>
      </c>
      <c r="S6" s="3">
        <v>0</v>
      </c>
      <c r="T6" s="3">
        <f t="shared" si="2"/>
        <v>87500</v>
      </c>
    </row>
    <row r="7" spans="1:20" x14ac:dyDescent="0.25">
      <c r="A7" s="5" t="s">
        <v>45</v>
      </c>
      <c r="B7" s="5">
        <v>6</v>
      </c>
      <c r="C7" s="5" t="s">
        <v>46</v>
      </c>
      <c r="D7" s="5" t="s">
        <v>47</v>
      </c>
      <c r="E7" s="5" t="s">
        <v>48</v>
      </c>
      <c r="F7" s="6">
        <v>3600</v>
      </c>
      <c r="G7" s="7">
        <f t="shared" si="0"/>
        <v>0.125</v>
      </c>
      <c r="H7" s="5" t="s">
        <v>34</v>
      </c>
      <c r="I7" s="5" t="s">
        <v>24</v>
      </c>
      <c r="J7" s="5" t="s">
        <v>25</v>
      </c>
      <c r="K7" s="5" t="s">
        <v>26</v>
      </c>
      <c r="L7" s="5" t="s">
        <v>27</v>
      </c>
      <c r="M7" s="5" t="s">
        <v>49</v>
      </c>
      <c r="N7" s="5" t="s">
        <v>50</v>
      </c>
      <c r="O7" s="6">
        <f>IFERROR(VLOOKUP(M7, '[1]08_CSDL_DAO_CU_VAT_LIEU'!$A$2:$F$64, 6, FALSE), 27500)</f>
        <v>20833.330000000002</v>
      </c>
      <c r="P7" s="7">
        <v>2.1</v>
      </c>
      <c r="Q7" s="6">
        <f t="shared" si="1"/>
        <v>48125</v>
      </c>
      <c r="R7" s="6">
        <f>ROUND((F7/3600)*IFERROR(VLOOKUP(I7, '[1]02_DM_NHAN_SU_MAY'!$M$2:$Q$25, 5, FALSE), 39375), 0)</f>
        <v>39375</v>
      </c>
      <c r="S7" s="6">
        <v>0</v>
      </c>
      <c r="T7" s="6">
        <f t="shared" si="2"/>
        <v>87500</v>
      </c>
    </row>
    <row r="8" spans="1:20" x14ac:dyDescent="0.25">
      <c r="A8" s="2" t="s">
        <v>51</v>
      </c>
      <c r="B8" s="2">
        <v>7</v>
      </c>
      <c r="C8" s="2" t="s">
        <v>52</v>
      </c>
      <c r="D8" s="2" t="s">
        <v>53</v>
      </c>
      <c r="E8" s="2" t="s">
        <v>54</v>
      </c>
      <c r="F8" s="2">
        <v>420</v>
      </c>
      <c r="G8" s="4">
        <f t="shared" si="0"/>
        <v>1.46E-2</v>
      </c>
      <c r="H8" s="2">
        <v>1</v>
      </c>
      <c r="I8" s="2" t="s">
        <v>55</v>
      </c>
      <c r="J8" s="2" t="s">
        <v>56</v>
      </c>
      <c r="K8" s="2" t="s">
        <v>57</v>
      </c>
      <c r="L8" s="2" t="s">
        <v>58</v>
      </c>
      <c r="M8" s="2" t="s">
        <v>49</v>
      </c>
      <c r="N8" s="2" t="s">
        <v>50</v>
      </c>
      <c r="O8" s="3">
        <f>IFERROR(VLOOKUP(M8, '[1]08_CSDL_DAO_CU_VAT_LIEU'!$A$2:$F$64, 6, FALSE), 27500)</f>
        <v>20833.330000000002</v>
      </c>
      <c r="P8" s="4">
        <v>0.2</v>
      </c>
      <c r="Q8" s="3">
        <f t="shared" si="1"/>
        <v>5615</v>
      </c>
      <c r="R8" s="3">
        <f>ROUND((F8/3600)*IFERROR(VLOOKUP(I8, '[1]02_DM_NHAN_SU_MAY'!$M$2:$Q$25, 5, FALSE), 39375), 0)</f>
        <v>1677</v>
      </c>
      <c r="S8" s="3">
        <v>0</v>
      </c>
      <c r="T8" s="3">
        <f t="shared" si="2"/>
        <v>7292</v>
      </c>
    </row>
    <row r="9" spans="1:20" x14ac:dyDescent="0.25">
      <c r="A9" s="5" t="s">
        <v>59</v>
      </c>
      <c r="B9" s="5">
        <v>8</v>
      </c>
      <c r="C9" s="5" t="s">
        <v>52</v>
      </c>
      <c r="D9" s="5" t="s">
        <v>53</v>
      </c>
      <c r="E9" s="5" t="s">
        <v>60</v>
      </c>
      <c r="F9" s="5">
        <v>180</v>
      </c>
      <c r="G9" s="7">
        <f t="shared" si="0"/>
        <v>6.3E-3</v>
      </c>
      <c r="H9" s="5" t="s">
        <v>34</v>
      </c>
      <c r="I9" s="5" t="s">
        <v>61</v>
      </c>
      <c r="J9" s="5" t="s">
        <v>56</v>
      </c>
      <c r="K9" s="5" t="s">
        <v>57</v>
      </c>
      <c r="L9" s="5" t="s">
        <v>58</v>
      </c>
      <c r="M9" s="5" t="s">
        <v>49</v>
      </c>
      <c r="N9" s="5" t="s">
        <v>50</v>
      </c>
      <c r="O9" s="6">
        <f>IFERROR(VLOOKUP(M9, '[1]08_CSDL_DAO_CU_VAT_LIEU'!$A$2:$F$64, 6, FALSE), 27500)</f>
        <v>20833.330000000002</v>
      </c>
      <c r="P9" s="7">
        <v>0.08</v>
      </c>
      <c r="Q9" s="6">
        <f t="shared" si="1"/>
        <v>2406</v>
      </c>
      <c r="R9" s="6">
        <f>ROUND((F9/3600)*IFERROR(VLOOKUP(I9, '[1]02_DM_NHAN_SU_MAY'!$M$2:$Q$25, 5, FALSE), 39375), 0)</f>
        <v>719</v>
      </c>
      <c r="S9" s="6">
        <v>0</v>
      </c>
      <c r="T9" s="6">
        <f t="shared" si="2"/>
        <v>3125</v>
      </c>
    </row>
    <row r="10" spans="1:20" x14ac:dyDescent="0.25">
      <c r="A10" s="2" t="s">
        <v>62</v>
      </c>
      <c r="B10" s="2">
        <v>9</v>
      </c>
      <c r="C10" s="2" t="s">
        <v>52</v>
      </c>
      <c r="D10" s="2" t="s">
        <v>63</v>
      </c>
      <c r="E10" s="2" t="s">
        <v>64</v>
      </c>
      <c r="F10" s="2">
        <v>420</v>
      </c>
      <c r="G10" s="4">
        <f t="shared" si="0"/>
        <v>1.46E-2</v>
      </c>
      <c r="H10" s="2">
        <v>1</v>
      </c>
      <c r="I10" s="2" t="s">
        <v>55</v>
      </c>
      <c r="J10" s="2" t="s">
        <v>56</v>
      </c>
      <c r="K10" s="2" t="s">
        <v>57</v>
      </c>
      <c r="L10" s="2" t="s">
        <v>58</v>
      </c>
      <c r="M10" s="2" t="s">
        <v>49</v>
      </c>
      <c r="N10" s="2" t="s">
        <v>50</v>
      </c>
      <c r="O10" s="3">
        <f>IFERROR(VLOOKUP(M10, '[1]08_CSDL_DAO_CU_VAT_LIEU'!$A$2:$F$64, 6, FALSE), 27500)</f>
        <v>20833.330000000002</v>
      </c>
      <c r="P10" s="4">
        <v>0.2</v>
      </c>
      <c r="Q10" s="3">
        <f t="shared" si="1"/>
        <v>5615</v>
      </c>
      <c r="R10" s="3">
        <f>ROUND((F10/3600)*IFERROR(VLOOKUP(I10, '[1]02_DM_NHAN_SU_MAY'!$M$2:$Q$25, 5, FALSE), 39375), 0)</f>
        <v>1677</v>
      </c>
      <c r="S10" s="3">
        <v>0</v>
      </c>
      <c r="T10" s="3">
        <f t="shared" si="2"/>
        <v>7292</v>
      </c>
    </row>
    <row r="11" spans="1:20" x14ac:dyDescent="0.25">
      <c r="A11" s="5" t="s">
        <v>65</v>
      </c>
      <c r="B11" s="5">
        <v>10</v>
      </c>
      <c r="C11" s="5" t="s">
        <v>52</v>
      </c>
      <c r="D11" s="5" t="s">
        <v>63</v>
      </c>
      <c r="E11" s="5" t="s">
        <v>66</v>
      </c>
      <c r="F11" s="5">
        <v>180</v>
      </c>
      <c r="G11" s="7">
        <f t="shared" si="0"/>
        <v>6.3E-3</v>
      </c>
      <c r="H11" s="5" t="s">
        <v>34</v>
      </c>
      <c r="I11" s="5" t="s">
        <v>61</v>
      </c>
      <c r="J11" s="5" t="s">
        <v>56</v>
      </c>
      <c r="K11" s="5" t="s">
        <v>57</v>
      </c>
      <c r="L11" s="5" t="s">
        <v>58</v>
      </c>
      <c r="M11" s="5" t="s">
        <v>49</v>
      </c>
      <c r="N11" s="5" t="s">
        <v>50</v>
      </c>
      <c r="O11" s="6">
        <f>IFERROR(VLOOKUP(M11, '[1]08_CSDL_DAO_CU_VAT_LIEU'!$A$2:$F$64, 6, FALSE), 27500)</f>
        <v>20833.330000000002</v>
      </c>
      <c r="P11" s="7">
        <v>0.08</v>
      </c>
      <c r="Q11" s="6">
        <f t="shared" si="1"/>
        <v>2406</v>
      </c>
      <c r="R11" s="6">
        <f>ROUND((F11/3600)*IFERROR(VLOOKUP(I11, '[1]02_DM_NHAN_SU_MAY'!$M$2:$Q$25, 5, FALSE), 39375), 0)</f>
        <v>719</v>
      </c>
      <c r="S11" s="6">
        <v>0</v>
      </c>
      <c r="T11" s="6">
        <f t="shared" si="2"/>
        <v>3125</v>
      </c>
    </row>
    <row r="12" spans="1:20" x14ac:dyDescent="0.25">
      <c r="A12" s="2" t="s">
        <v>67</v>
      </c>
      <c r="B12" s="2">
        <v>11</v>
      </c>
      <c r="C12" s="2" t="s">
        <v>68</v>
      </c>
      <c r="D12" s="2" t="s">
        <v>69</v>
      </c>
      <c r="E12" s="2" t="s">
        <v>70</v>
      </c>
      <c r="F12" s="3">
        <v>8400</v>
      </c>
      <c r="G12" s="4">
        <f t="shared" si="0"/>
        <v>0.29170000000000001</v>
      </c>
      <c r="H12" s="2">
        <v>1</v>
      </c>
      <c r="I12" s="2" t="s">
        <v>71</v>
      </c>
      <c r="J12" s="2" t="s">
        <v>72</v>
      </c>
      <c r="K12" s="2" t="s">
        <v>73</v>
      </c>
      <c r="L12" s="2" t="s">
        <v>74</v>
      </c>
      <c r="M12" s="2" t="s">
        <v>75</v>
      </c>
      <c r="N12" s="2" t="s">
        <v>76</v>
      </c>
      <c r="O12" s="3">
        <f>IFERROR(VLOOKUP(M12, '[1]08_CSDL_DAO_CU_VAT_LIEU'!$A$2:$F$64, 6, FALSE), 27500)</f>
        <v>42500</v>
      </c>
      <c r="P12" s="4">
        <v>3.27</v>
      </c>
      <c r="Q12" s="3">
        <f t="shared" si="1"/>
        <v>112292</v>
      </c>
      <c r="R12" s="3">
        <f>ROUND((F12/3600)*IFERROR(VLOOKUP(I12, '[1]02_DM_NHAN_SU_MAY'!$M$2:$Q$25, 5, FALSE), 39375), 0)</f>
        <v>62708</v>
      </c>
      <c r="S12" s="3">
        <v>0</v>
      </c>
      <c r="T12" s="3">
        <f t="shared" si="2"/>
        <v>175000</v>
      </c>
    </row>
    <row r="13" spans="1:20" x14ac:dyDescent="0.25">
      <c r="A13" s="5" t="s">
        <v>77</v>
      </c>
      <c r="B13" s="5">
        <v>12</v>
      </c>
      <c r="C13" s="5" t="s">
        <v>68</v>
      </c>
      <c r="D13" s="5" t="s">
        <v>69</v>
      </c>
      <c r="E13" s="5" t="s">
        <v>78</v>
      </c>
      <c r="F13" s="6">
        <v>5040</v>
      </c>
      <c r="G13" s="7">
        <f t="shared" si="0"/>
        <v>0.17499999999999999</v>
      </c>
      <c r="H13" s="5">
        <v>2</v>
      </c>
      <c r="I13" s="5" t="s">
        <v>71</v>
      </c>
      <c r="J13" s="5" t="s">
        <v>72</v>
      </c>
      <c r="K13" s="5" t="s">
        <v>73</v>
      </c>
      <c r="L13" s="5" t="s">
        <v>74</v>
      </c>
      <c r="M13" s="5" t="s">
        <v>75</v>
      </c>
      <c r="N13" s="5" t="s">
        <v>76</v>
      </c>
      <c r="O13" s="6">
        <f>IFERROR(VLOOKUP(M13, '[1]08_CSDL_DAO_CU_VAT_LIEU'!$A$2:$F$64, 6, FALSE), 27500)</f>
        <v>42500</v>
      </c>
      <c r="P13" s="7">
        <v>1.96</v>
      </c>
      <c r="Q13" s="6">
        <f t="shared" si="1"/>
        <v>67375</v>
      </c>
      <c r="R13" s="6">
        <f>ROUND((F13/3600)*IFERROR(VLOOKUP(I13, '[1]02_DM_NHAN_SU_MAY'!$M$2:$Q$25, 5, FALSE), 39375), 0)</f>
        <v>37625</v>
      </c>
      <c r="S13" s="6">
        <v>0</v>
      </c>
      <c r="T13" s="6">
        <f t="shared" si="2"/>
        <v>105000</v>
      </c>
    </row>
    <row r="14" spans="1:20" x14ac:dyDescent="0.25">
      <c r="A14" s="2" t="s">
        <v>79</v>
      </c>
      <c r="B14" s="2">
        <v>13</v>
      </c>
      <c r="C14" s="2" t="s">
        <v>68</v>
      </c>
      <c r="D14" s="2" t="s">
        <v>69</v>
      </c>
      <c r="E14" s="2" t="s">
        <v>80</v>
      </c>
      <c r="F14" s="3">
        <v>5040</v>
      </c>
      <c r="G14" s="4">
        <f t="shared" si="0"/>
        <v>0.17499999999999999</v>
      </c>
      <c r="H14" s="2">
        <v>3</v>
      </c>
      <c r="I14" s="2" t="s">
        <v>71</v>
      </c>
      <c r="J14" s="2" t="s">
        <v>72</v>
      </c>
      <c r="K14" s="2" t="s">
        <v>73</v>
      </c>
      <c r="L14" s="2" t="s">
        <v>74</v>
      </c>
      <c r="M14" s="2" t="s">
        <v>75</v>
      </c>
      <c r="N14" s="2" t="s">
        <v>76</v>
      </c>
      <c r="O14" s="3">
        <f>IFERROR(VLOOKUP(M14, '[1]08_CSDL_DAO_CU_VAT_LIEU'!$A$2:$F$64, 6, FALSE), 27500)</f>
        <v>42500</v>
      </c>
      <c r="P14" s="4">
        <v>1.96</v>
      </c>
      <c r="Q14" s="3">
        <f t="shared" si="1"/>
        <v>67375</v>
      </c>
      <c r="R14" s="3">
        <f>ROUND((F14/3600)*IFERROR(VLOOKUP(I14, '[1]02_DM_NHAN_SU_MAY'!$M$2:$Q$25, 5, FALSE), 39375), 0)</f>
        <v>37625</v>
      </c>
      <c r="S14" s="3">
        <v>0</v>
      </c>
      <c r="T14" s="3">
        <f t="shared" si="2"/>
        <v>105000</v>
      </c>
    </row>
    <row r="15" spans="1:20" x14ac:dyDescent="0.25">
      <c r="A15" s="5" t="s">
        <v>81</v>
      </c>
      <c r="B15" s="5">
        <v>14</v>
      </c>
      <c r="C15" s="5" t="s">
        <v>68</v>
      </c>
      <c r="D15" s="5" t="s">
        <v>69</v>
      </c>
      <c r="E15" s="5" t="s">
        <v>82</v>
      </c>
      <c r="F15" s="6">
        <v>4800</v>
      </c>
      <c r="G15" s="7">
        <f t="shared" si="0"/>
        <v>0.16669999999999999</v>
      </c>
      <c r="H15" s="5">
        <v>4</v>
      </c>
      <c r="I15" s="5" t="s">
        <v>71</v>
      </c>
      <c r="J15" s="5" t="s">
        <v>72</v>
      </c>
      <c r="K15" s="5" t="s">
        <v>73</v>
      </c>
      <c r="L15" s="5" t="s">
        <v>74</v>
      </c>
      <c r="M15" s="5" t="s">
        <v>75</v>
      </c>
      <c r="N15" s="5" t="s">
        <v>76</v>
      </c>
      <c r="O15" s="6">
        <f>IFERROR(VLOOKUP(M15, '[1]08_CSDL_DAO_CU_VAT_LIEU'!$A$2:$F$64, 6, FALSE), 27500)</f>
        <v>42500</v>
      </c>
      <c r="P15" s="7">
        <v>1.87</v>
      </c>
      <c r="Q15" s="6">
        <f t="shared" si="1"/>
        <v>64167</v>
      </c>
      <c r="R15" s="6">
        <f>ROUND((F15/3600)*IFERROR(VLOOKUP(I15, '[1]02_DM_NHAN_SU_MAY'!$M$2:$Q$25, 5, FALSE), 39375), 0)</f>
        <v>35833</v>
      </c>
      <c r="S15" s="6">
        <v>0</v>
      </c>
      <c r="T15" s="6">
        <f t="shared" si="2"/>
        <v>100000</v>
      </c>
    </row>
    <row r="16" spans="1:20" x14ac:dyDescent="0.25">
      <c r="A16" s="2" t="s">
        <v>83</v>
      </c>
      <c r="B16" s="2">
        <v>15</v>
      </c>
      <c r="C16" s="2" t="s">
        <v>68</v>
      </c>
      <c r="D16" s="2" t="s">
        <v>69</v>
      </c>
      <c r="E16" s="2" t="s">
        <v>84</v>
      </c>
      <c r="F16" s="3">
        <v>5040</v>
      </c>
      <c r="G16" s="4">
        <f t="shared" si="0"/>
        <v>0.17499999999999999</v>
      </c>
      <c r="H16" s="2">
        <v>5</v>
      </c>
      <c r="I16" s="2" t="s">
        <v>71</v>
      </c>
      <c r="J16" s="2" t="s">
        <v>72</v>
      </c>
      <c r="K16" s="2" t="s">
        <v>73</v>
      </c>
      <c r="L16" s="2" t="s">
        <v>74</v>
      </c>
      <c r="M16" s="2" t="s">
        <v>75</v>
      </c>
      <c r="N16" s="2" t="s">
        <v>76</v>
      </c>
      <c r="O16" s="3">
        <f>IFERROR(VLOOKUP(M16, '[1]08_CSDL_DAO_CU_VAT_LIEU'!$A$2:$F$64, 6, FALSE), 27500)</f>
        <v>42500</v>
      </c>
      <c r="P16" s="4">
        <v>1.96</v>
      </c>
      <c r="Q16" s="3">
        <f t="shared" si="1"/>
        <v>67375</v>
      </c>
      <c r="R16" s="3">
        <f>ROUND((F16/3600)*IFERROR(VLOOKUP(I16, '[1]02_DM_NHAN_SU_MAY'!$M$2:$Q$25, 5, FALSE), 39375), 0)</f>
        <v>37625</v>
      </c>
      <c r="S16" s="3">
        <v>0</v>
      </c>
      <c r="T16" s="3">
        <f t="shared" si="2"/>
        <v>105000</v>
      </c>
    </row>
    <row r="17" spans="1:20" x14ac:dyDescent="0.25">
      <c r="A17" s="5" t="s">
        <v>85</v>
      </c>
      <c r="B17" s="5">
        <v>16</v>
      </c>
      <c r="C17" s="5" t="s">
        <v>68</v>
      </c>
      <c r="D17" s="5" t="s">
        <v>69</v>
      </c>
      <c r="E17" s="5" t="s">
        <v>86</v>
      </c>
      <c r="F17" s="6">
        <v>12600</v>
      </c>
      <c r="G17" s="7">
        <f t="shared" si="0"/>
        <v>0.4375</v>
      </c>
      <c r="H17" s="5">
        <v>6</v>
      </c>
      <c r="I17" s="5" t="s">
        <v>87</v>
      </c>
      <c r="J17" s="5" t="s">
        <v>72</v>
      </c>
      <c r="K17" s="5" t="s">
        <v>73</v>
      </c>
      <c r="L17" s="5" t="s">
        <v>74</v>
      </c>
      <c r="M17" s="5" t="s">
        <v>75</v>
      </c>
      <c r="N17" s="5" t="s">
        <v>76</v>
      </c>
      <c r="O17" s="6">
        <f>IFERROR(VLOOKUP(M17, '[1]08_CSDL_DAO_CU_VAT_LIEU'!$A$2:$F$64, 6, FALSE), 27500)</f>
        <v>42500</v>
      </c>
      <c r="P17" s="7">
        <v>4.9000000000000004</v>
      </c>
      <c r="Q17" s="6">
        <f t="shared" si="1"/>
        <v>168438</v>
      </c>
      <c r="R17" s="6">
        <f>ROUND((F17/3600)*IFERROR(VLOOKUP(I17, '[1]02_DM_NHAN_SU_MAY'!$M$2:$Q$25, 5, FALSE), 39375), 0)</f>
        <v>181563</v>
      </c>
      <c r="S17" s="6">
        <v>0</v>
      </c>
      <c r="T17" s="6">
        <f t="shared" si="2"/>
        <v>350001</v>
      </c>
    </row>
    <row r="18" spans="1:20" x14ac:dyDescent="0.25">
      <c r="A18" s="2" t="s">
        <v>88</v>
      </c>
      <c r="B18" s="2">
        <v>17</v>
      </c>
      <c r="C18" s="2" t="s">
        <v>68</v>
      </c>
      <c r="D18" s="2" t="s">
        <v>69</v>
      </c>
      <c r="E18" s="2" t="s">
        <v>89</v>
      </c>
      <c r="F18" s="3">
        <v>6300</v>
      </c>
      <c r="G18" s="4">
        <f t="shared" si="0"/>
        <v>0.21879999999999999</v>
      </c>
      <c r="H18" s="2" t="s">
        <v>34</v>
      </c>
      <c r="I18" s="2" t="s">
        <v>90</v>
      </c>
      <c r="J18" s="2" t="s">
        <v>72</v>
      </c>
      <c r="K18" s="2" t="s">
        <v>73</v>
      </c>
      <c r="L18" s="2" t="s">
        <v>91</v>
      </c>
      <c r="M18" s="2" t="s">
        <v>92</v>
      </c>
      <c r="N18" s="2" t="s">
        <v>93</v>
      </c>
      <c r="O18" s="3">
        <f>IFERROR(VLOOKUP(M18, '[1]08_CSDL_DAO_CU_VAT_LIEU'!$A$2:$F$64, 6, FALSE), 27500)</f>
        <v>74000</v>
      </c>
      <c r="P18" s="4">
        <v>2.4500000000000002</v>
      </c>
      <c r="Q18" s="3">
        <f t="shared" si="1"/>
        <v>84219</v>
      </c>
      <c r="R18" s="3">
        <f>ROUND((F18/3600)*IFERROR(VLOOKUP(I18, '[1]02_DM_NHAN_SU_MAY'!$M$2:$Q$25, 5, FALSE), 39375), 0)</f>
        <v>47031</v>
      </c>
      <c r="S18" s="3">
        <v>0</v>
      </c>
      <c r="T18" s="3">
        <f t="shared" si="2"/>
        <v>131250</v>
      </c>
    </row>
    <row r="19" spans="1:20" x14ac:dyDescent="0.25">
      <c r="A19" s="5" t="s">
        <v>94</v>
      </c>
      <c r="B19" s="5">
        <v>18</v>
      </c>
      <c r="C19" s="5" t="s">
        <v>68</v>
      </c>
      <c r="D19" s="5" t="s">
        <v>95</v>
      </c>
      <c r="E19" s="5" t="s">
        <v>96</v>
      </c>
      <c r="F19" s="6">
        <v>8400</v>
      </c>
      <c r="G19" s="7">
        <f t="shared" si="0"/>
        <v>0.29170000000000001</v>
      </c>
      <c r="H19" s="5">
        <v>1</v>
      </c>
      <c r="I19" s="5" t="s">
        <v>71</v>
      </c>
      <c r="J19" s="5" t="s">
        <v>97</v>
      </c>
      <c r="K19" s="5" t="s">
        <v>98</v>
      </c>
      <c r="L19" s="5" t="s">
        <v>99</v>
      </c>
      <c r="M19" s="5" t="s">
        <v>75</v>
      </c>
      <c r="N19" s="5" t="s">
        <v>76</v>
      </c>
      <c r="O19" s="6">
        <f>IFERROR(VLOOKUP(M19, '[1]08_CSDL_DAO_CU_VAT_LIEU'!$A$2:$F$64, 6, FALSE), 27500)</f>
        <v>42500</v>
      </c>
      <c r="P19" s="7">
        <v>3.27</v>
      </c>
      <c r="Q19" s="6">
        <f t="shared" si="1"/>
        <v>112292</v>
      </c>
      <c r="R19" s="6">
        <f>ROUND((F19/3600)*IFERROR(VLOOKUP(I19, '[1]02_DM_NHAN_SU_MAY'!$M$2:$Q$25, 5, FALSE), 39375), 0)</f>
        <v>62708</v>
      </c>
      <c r="S19" s="6">
        <v>0</v>
      </c>
      <c r="T19" s="6">
        <f t="shared" si="2"/>
        <v>175000</v>
      </c>
    </row>
    <row r="20" spans="1:20" x14ac:dyDescent="0.25">
      <c r="A20" s="2" t="s">
        <v>100</v>
      </c>
      <c r="B20" s="2">
        <v>19</v>
      </c>
      <c r="C20" s="2" t="s">
        <v>68</v>
      </c>
      <c r="D20" s="2" t="s">
        <v>101</v>
      </c>
      <c r="E20" s="2" t="s">
        <v>102</v>
      </c>
      <c r="F20" s="3">
        <v>8400</v>
      </c>
      <c r="G20" s="4">
        <f t="shared" si="0"/>
        <v>0.29170000000000001</v>
      </c>
      <c r="H20" s="2">
        <v>2</v>
      </c>
      <c r="I20" s="2" t="s">
        <v>71</v>
      </c>
      <c r="J20" s="2" t="s">
        <v>97</v>
      </c>
      <c r="K20" s="2" t="s">
        <v>98</v>
      </c>
      <c r="L20" s="2" t="s">
        <v>99</v>
      </c>
      <c r="M20" s="2" t="s">
        <v>75</v>
      </c>
      <c r="N20" s="2" t="s">
        <v>76</v>
      </c>
      <c r="O20" s="3">
        <f>IFERROR(VLOOKUP(M20, '[1]08_CSDL_DAO_CU_VAT_LIEU'!$A$2:$F$64, 6, FALSE), 27500)</f>
        <v>42500</v>
      </c>
      <c r="P20" s="4">
        <v>3.27</v>
      </c>
      <c r="Q20" s="3">
        <f t="shared" si="1"/>
        <v>112292</v>
      </c>
      <c r="R20" s="3">
        <f>ROUND((F20/3600)*IFERROR(VLOOKUP(I20, '[1]02_DM_NHAN_SU_MAY'!$M$2:$Q$25, 5, FALSE), 39375), 0)</f>
        <v>62708</v>
      </c>
      <c r="S20" s="3">
        <v>0</v>
      </c>
      <c r="T20" s="3">
        <f t="shared" si="2"/>
        <v>175000</v>
      </c>
    </row>
    <row r="21" spans="1:20" x14ac:dyDescent="0.25">
      <c r="A21" s="5" t="s">
        <v>103</v>
      </c>
      <c r="B21" s="5">
        <v>20</v>
      </c>
      <c r="C21" s="5" t="s">
        <v>68</v>
      </c>
      <c r="D21" s="5" t="s">
        <v>104</v>
      </c>
      <c r="E21" s="5" t="s">
        <v>105</v>
      </c>
      <c r="F21" s="6">
        <v>8400</v>
      </c>
      <c r="G21" s="7">
        <f t="shared" si="0"/>
        <v>0.29170000000000001</v>
      </c>
      <c r="H21" s="5" t="s">
        <v>34</v>
      </c>
      <c r="I21" s="5" t="s">
        <v>71</v>
      </c>
      <c r="J21" s="5" t="s">
        <v>97</v>
      </c>
      <c r="K21" s="5" t="s">
        <v>98</v>
      </c>
      <c r="L21" s="5" t="s">
        <v>99</v>
      </c>
      <c r="M21" s="5" t="s">
        <v>75</v>
      </c>
      <c r="N21" s="5" t="s">
        <v>76</v>
      </c>
      <c r="O21" s="6">
        <f>IFERROR(VLOOKUP(M21, '[1]08_CSDL_DAO_CU_VAT_LIEU'!$A$2:$F$64, 6, FALSE), 27500)</f>
        <v>42500</v>
      </c>
      <c r="P21" s="7">
        <v>3.27</v>
      </c>
      <c r="Q21" s="6">
        <f t="shared" si="1"/>
        <v>112292</v>
      </c>
      <c r="R21" s="6">
        <f>ROUND((F21/3600)*IFERROR(VLOOKUP(I21, '[1]02_DM_NHAN_SU_MAY'!$M$2:$Q$25, 5, FALSE), 39375), 0)</f>
        <v>62708</v>
      </c>
      <c r="S21" s="6">
        <v>0</v>
      </c>
      <c r="T21" s="6">
        <f t="shared" si="2"/>
        <v>175000</v>
      </c>
    </row>
    <row r="22" spans="1:20" x14ac:dyDescent="0.25">
      <c r="A22" s="2" t="s">
        <v>106</v>
      </c>
      <c r="B22" s="2">
        <v>21</v>
      </c>
      <c r="C22" s="2" t="s">
        <v>68</v>
      </c>
      <c r="D22" s="2" t="s">
        <v>107</v>
      </c>
      <c r="E22" s="2" t="s">
        <v>108</v>
      </c>
      <c r="F22" s="3">
        <v>126000</v>
      </c>
      <c r="G22" s="4">
        <f t="shared" si="0"/>
        <v>4.375</v>
      </c>
      <c r="H22" s="2" t="s">
        <v>34</v>
      </c>
      <c r="I22" s="2" t="s">
        <v>24</v>
      </c>
      <c r="J22" s="2" t="s">
        <v>97</v>
      </c>
      <c r="K22" s="2" t="s">
        <v>98</v>
      </c>
      <c r="L22" s="2" t="s">
        <v>109</v>
      </c>
      <c r="M22" s="2" t="s">
        <v>28</v>
      </c>
      <c r="N22" s="2" t="s">
        <v>29</v>
      </c>
      <c r="O22" s="3">
        <f>IFERROR(VLOOKUP(M22, '[1]08_CSDL_DAO_CU_VAT_LIEU'!$A$2:$F$64, 6, FALSE), 27500)</f>
        <v>27500</v>
      </c>
      <c r="P22" s="4">
        <v>49</v>
      </c>
      <c r="Q22" s="3">
        <f t="shared" si="1"/>
        <v>1684375</v>
      </c>
      <c r="R22" s="3">
        <f>ROUND((F22/3600)*IFERROR(VLOOKUP(I22, '[1]02_DM_NHAN_SU_MAY'!$M$2:$Q$25, 5, FALSE), 39375), 0)</f>
        <v>1378125</v>
      </c>
      <c r="S22" s="3">
        <v>0</v>
      </c>
      <c r="T22" s="3">
        <f t="shared" si="2"/>
        <v>3062500</v>
      </c>
    </row>
    <row r="23" spans="1:20" x14ac:dyDescent="0.25">
      <c r="A23" s="5" t="s">
        <v>110</v>
      </c>
      <c r="B23" s="5">
        <v>22</v>
      </c>
      <c r="C23" s="5" t="s">
        <v>68</v>
      </c>
      <c r="D23" s="5" t="s">
        <v>111</v>
      </c>
      <c r="E23" s="5" t="s">
        <v>112</v>
      </c>
      <c r="F23" s="6">
        <v>6300</v>
      </c>
      <c r="G23" s="7">
        <f t="shared" si="0"/>
        <v>0.21879999999999999</v>
      </c>
      <c r="H23" s="5" t="s">
        <v>34</v>
      </c>
      <c r="I23" s="5" t="s">
        <v>71</v>
      </c>
      <c r="J23" s="5" t="s">
        <v>97</v>
      </c>
      <c r="K23" s="5" t="s">
        <v>98</v>
      </c>
      <c r="L23" s="5" t="s">
        <v>99</v>
      </c>
      <c r="M23" s="5" t="s">
        <v>75</v>
      </c>
      <c r="N23" s="5" t="s">
        <v>76</v>
      </c>
      <c r="O23" s="6">
        <f>IFERROR(VLOOKUP(M23, '[1]08_CSDL_DAO_CU_VAT_LIEU'!$A$2:$F$64, 6, FALSE), 27500)</f>
        <v>42500</v>
      </c>
      <c r="P23" s="7">
        <v>2.4500000000000002</v>
      </c>
      <c r="Q23" s="6">
        <f t="shared" si="1"/>
        <v>84219</v>
      </c>
      <c r="R23" s="6">
        <f>ROUND((F23/3600)*IFERROR(VLOOKUP(I23, '[1]02_DM_NHAN_SU_MAY'!$M$2:$Q$25, 5, FALSE), 39375), 0)</f>
        <v>47031</v>
      </c>
      <c r="S23" s="6">
        <v>0</v>
      </c>
      <c r="T23" s="6">
        <f t="shared" si="2"/>
        <v>131250</v>
      </c>
    </row>
    <row r="24" spans="1:20" x14ac:dyDescent="0.25">
      <c r="A24" s="2" t="s">
        <v>113</v>
      </c>
      <c r="B24" s="2">
        <v>23</v>
      </c>
      <c r="C24" s="2" t="s">
        <v>52</v>
      </c>
      <c r="D24" s="2" t="s">
        <v>114</v>
      </c>
      <c r="E24" s="2" t="s">
        <v>115</v>
      </c>
      <c r="F24" s="2">
        <v>420</v>
      </c>
      <c r="G24" s="4">
        <f t="shared" si="0"/>
        <v>1.46E-2</v>
      </c>
      <c r="H24" s="2" t="s">
        <v>34</v>
      </c>
      <c r="I24" s="2" t="s">
        <v>55</v>
      </c>
      <c r="J24" s="2" t="s">
        <v>56</v>
      </c>
      <c r="K24" s="2" t="s">
        <v>57</v>
      </c>
      <c r="L24" s="2" t="s">
        <v>58</v>
      </c>
      <c r="M24" s="2" t="s">
        <v>49</v>
      </c>
      <c r="N24" s="2" t="s">
        <v>50</v>
      </c>
      <c r="O24" s="3">
        <f>IFERROR(VLOOKUP(M24, '[1]08_CSDL_DAO_CU_VAT_LIEU'!$A$2:$F$64, 6, FALSE), 27500)</f>
        <v>20833.330000000002</v>
      </c>
      <c r="P24" s="4">
        <v>0.2</v>
      </c>
      <c r="Q24" s="3">
        <f t="shared" si="1"/>
        <v>5615</v>
      </c>
      <c r="R24" s="3">
        <f>ROUND((F24/3600)*IFERROR(VLOOKUP(I24, '[1]02_DM_NHAN_SU_MAY'!$M$2:$Q$25, 5, FALSE), 39375), 0)</f>
        <v>1677</v>
      </c>
      <c r="S24" s="3">
        <v>0</v>
      </c>
      <c r="T24" s="3">
        <f t="shared" si="2"/>
        <v>7292</v>
      </c>
    </row>
    <row r="25" spans="1:20" x14ac:dyDescent="0.25">
      <c r="A25" s="5" t="s">
        <v>116</v>
      </c>
      <c r="B25" s="5">
        <v>24</v>
      </c>
      <c r="C25" s="5" t="s">
        <v>52</v>
      </c>
      <c r="D25" s="5" t="s">
        <v>114</v>
      </c>
      <c r="E25" s="5" t="s">
        <v>117</v>
      </c>
      <c r="F25" s="5">
        <v>180</v>
      </c>
      <c r="G25" s="7">
        <f t="shared" si="0"/>
        <v>6.3E-3</v>
      </c>
      <c r="H25" s="5" t="s">
        <v>34</v>
      </c>
      <c r="I25" s="5" t="s">
        <v>61</v>
      </c>
      <c r="J25" s="5" t="s">
        <v>56</v>
      </c>
      <c r="K25" s="5" t="s">
        <v>57</v>
      </c>
      <c r="L25" s="5" t="s">
        <v>58</v>
      </c>
      <c r="M25" s="5" t="s">
        <v>49</v>
      </c>
      <c r="N25" s="5" t="s">
        <v>50</v>
      </c>
      <c r="O25" s="6">
        <f>IFERROR(VLOOKUP(M25, '[1]08_CSDL_DAO_CU_VAT_LIEU'!$A$2:$F$64, 6, FALSE), 27500)</f>
        <v>20833.330000000002</v>
      </c>
      <c r="P25" s="7">
        <v>0.08</v>
      </c>
      <c r="Q25" s="6">
        <f t="shared" si="1"/>
        <v>2406</v>
      </c>
      <c r="R25" s="6">
        <f>ROUND((F25/3600)*IFERROR(VLOOKUP(I25, '[1]02_DM_NHAN_SU_MAY'!$M$2:$Q$25, 5, FALSE), 39375), 0)</f>
        <v>719</v>
      </c>
      <c r="S25" s="6">
        <v>0</v>
      </c>
      <c r="T25" s="6">
        <f t="shared" si="2"/>
        <v>3125</v>
      </c>
    </row>
    <row r="26" spans="1:20" x14ac:dyDescent="0.25">
      <c r="A26" s="2" t="s">
        <v>118</v>
      </c>
      <c r="B26" s="2">
        <v>25</v>
      </c>
      <c r="C26" s="2" t="s">
        <v>52</v>
      </c>
      <c r="D26" s="2" t="s">
        <v>119</v>
      </c>
      <c r="E26" s="2" t="s">
        <v>115</v>
      </c>
      <c r="F26" s="2">
        <v>420</v>
      </c>
      <c r="G26" s="4">
        <f t="shared" si="0"/>
        <v>1.46E-2</v>
      </c>
      <c r="H26" s="2" t="s">
        <v>34</v>
      </c>
      <c r="I26" s="2" t="s">
        <v>55</v>
      </c>
      <c r="J26" s="2" t="s">
        <v>56</v>
      </c>
      <c r="K26" s="2" t="s">
        <v>57</v>
      </c>
      <c r="L26" s="2" t="s">
        <v>58</v>
      </c>
      <c r="M26" s="2" t="s">
        <v>49</v>
      </c>
      <c r="N26" s="2" t="s">
        <v>50</v>
      </c>
      <c r="O26" s="3">
        <f>IFERROR(VLOOKUP(M26, '[1]08_CSDL_DAO_CU_VAT_LIEU'!$A$2:$F$64, 6, FALSE), 27500)</f>
        <v>20833.330000000002</v>
      </c>
      <c r="P26" s="4">
        <v>0.2</v>
      </c>
      <c r="Q26" s="3">
        <f t="shared" si="1"/>
        <v>5615</v>
      </c>
      <c r="R26" s="3">
        <f>ROUND((F26/3600)*IFERROR(VLOOKUP(I26, '[1]02_DM_NHAN_SU_MAY'!$M$2:$Q$25, 5, FALSE), 39375), 0)</f>
        <v>1677</v>
      </c>
      <c r="S26" s="3">
        <v>0</v>
      </c>
      <c r="T26" s="3">
        <f t="shared" si="2"/>
        <v>7292</v>
      </c>
    </row>
    <row r="27" spans="1:20" x14ac:dyDescent="0.25">
      <c r="A27" s="5" t="s">
        <v>120</v>
      </c>
      <c r="B27" s="5">
        <v>26</v>
      </c>
      <c r="C27" s="5" t="s">
        <v>52</v>
      </c>
      <c r="D27" s="5" t="s">
        <v>119</v>
      </c>
      <c r="E27" s="5" t="s">
        <v>117</v>
      </c>
      <c r="F27" s="5">
        <v>180</v>
      </c>
      <c r="G27" s="7">
        <f t="shared" si="0"/>
        <v>6.3E-3</v>
      </c>
      <c r="H27" s="5" t="s">
        <v>34</v>
      </c>
      <c r="I27" s="5" t="s">
        <v>61</v>
      </c>
      <c r="J27" s="5" t="s">
        <v>56</v>
      </c>
      <c r="K27" s="5" t="s">
        <v>57</v>
      </c>
      <c r="L27" s="5" t="s">
        <v>58</v>
      </c>
      <c r="M27" s="5" t="s">
        <v>49</v>
      </c>
      <c r="N27" s="5" t="s">
        <v>50</v>
      </c>
      <c r="O27" s="6">
        <f>IFERROR(VLOOKUP(M27, '[1]08_CSDL_DAO_CU_VAT_LIEU'!$A$2:$F$64, 6, FALSE), 27500)</f>
        <v>20833.330000000002</v>
      </c>
      <c r="P27" s="7">
        <v>0.08</v>
      </c>
      <c r="Q27" s="6">
        <f t="shared" si="1"/>
        <v>2406</v>
      </c>
      <c r="R27" s="6">
        <f>ROUND((F27/3600)*IFERROR(VLOOKUP(I27, '[1]02_DM_NHAN_SU_MAY'!$M$2:$Q$25, 5, FALSE), 39375), 0)</f>
        <v>719</v>
      </c>
      <c r="S27" s="6">
        <v>0</v>
      </c>
      <c r="T27" s="6">
        <f t="shared" si="2"/>
        <v>3125</v>
      </c>
    </row>
    <row r="28" spans="1:20" x14ac:dyDescent="0.25">
      <c r="A28" s="2" t="s">
        <v>121</v>
      </c>
      <c r="B28" s="2">
        <v>27</v>
      </c>
      <c r="C28" s="2" t="s">
        <v>52</v>
      </c>
      <c r="D28" s="2" t="s">
        <v>122</v>
      </c>
      <c r="E28" s="2" t="s">
        <v>115</v>
      </c>
      <c r="F28" s="2">
        <v>420</v>
      </c>
      <c r="G28" s="4">
        <f t="shared" si="0"/>
        <v>1.46E-2</v>
      </c>
      <c r="H28" s="2" t="s">
        <v>34</v>
      </c>
      <c r="I28" s="2" t="s">
        <v>55</v>
      </c>
      <c r="J28" s="2" t="s">
        <v>56</v>
      </c>
      <c r="K28" s="2" t="s">
        <v>57</v>
      </c>
      <c r="L28" s="2" t="s">
        <v>58</v>
      </c>
      <c r="M28" s="2" t="s">
        <v>49</v>
      </c>
      <c r="N28" s="2" t="s">
        <v>50</v>
      </c>
      <c r="O28" s="3">
        <f>IFERROR(VLOOKUP(M28, '[1]08_CSDL_DAO_CU_VAT_LIEU'!$A$2:$F$64, 6, FALSE), 27500)</f>
        <v>20833.330000000002</v>
      </c>
      <c r="P28" s="4">
        <v>0.2</v>
      </c>
      <c r="Q28" s="3">
        <f t="shared" si="1"/>
        <v>5615</v>
      </c>
      <c r="R28" s="3">
        <f>ROUND((F28/3600)*IFERROR(VLOOKUP(I28, '[1]02_DM_NHAN_SU_MAY'!$M$2:$Q$25, 5, FALSE), 39375), 0)</f>
        <v>1677</v>
      </c>
      <c r="S28" s="3">
        <v>0</v>
      </c>
      <c r="T28" s="3">
        <f t="shared" si="2"/>
        <v>7292</v>
      </c>
    </row>
    <row r="29" spans="1:20" x14ac:dyDescent="0.25">
      <c r="A29" s="5" t="s">
        <v>123</v>
      </c>
      <c r="B29" s="5">
        <v>28</v>
      </c>
      <c r="C29" s="5" t="s">
        <v>52</v>
      </c>
      <c r="D29" s="5" t="s">
        <v>122</v>
      </c>
      <c r="E29" s="5" t="s">
        <v>117</v>
      </c>
      <c r="F29" s="5">
        <v>180</v>
      </c>
      <c r="G29" s="7">
        <f t="shared" si="0"/>
        <v>6.3E-3</v>
      </c>
      <c r="H29" s="5" t="s">
        <v>34</v>
      </c>
      <c r="I29" s="5" t="s">
        <v>61</v>
      </c>
      <c r="J29" s="5" t="s">
        <v>56</v>
      </c>
      <c r="K29" s="5" t="s">
        <v>57</v>
      </c>
      <c r="L29" s="5" t="s">
        <v>58</v>
      </c>
      <c r="M29" s="5" t="s">
        <v>49</v>
      </c>
      <c r="N29" s="5" t="s">
        <v>50</v>
      </c>
      <c r="O29" s="6">
        <f>IFERROR(VLOOKUP(M29, '[1]08_CSDL_DAO_CU_VAT_LIEU'!$A$2:$F$64, 6, FALSE), 27500)</f>
        <v>20833.330000000002</v>
      </c>
      <c r="P29" s="7">
        <v>0.08</v>
      </c>
      <c r="Q29" s="6">
        <f t="shared" si="1"/>
        <v>2406</v>
      </c>
      <c r="R29" s="6">
        <f>ROUND((F29/3600)*IFERROR(VLOOKUP(I29, '[1]02_DM_NHAN_SU_MAY'!$M$2:$Q$25, 5, FALSE), 39375), 0)</f>
        <v>719</v>
      </c>
      <c r="S29" s="6">
        <v>0</v>
      </c>
      <c r="T29" s="6">
        <f t="shared" si="2"/>
        <v>3125</v>
      </c>
    </row>
    <row r="30" spans="1:20" x14ac:dyDescent="0.25">
      <c r="A30" s="2" t="s">
        <v>124</v>
      </c>
      <c r="B30" s="2">
        <v>29</v>
      </c>
      <c r="C30" s="2" t="s">
        <v>52</v>
      </c>
      <c r="D30" s="2" t="s">
        <v>125</v>
      </c>
      <c r="E30" s="2" t="s">
        <v>115</v>
      </c>
      <c r="F30" s="2">
        <v>420</v>
      </c>
      <c r="G30" s="4">
        <f t="shared" si="0"/>
        <v>1.46E-2</v>
      </c>
      <c r="H30" s="2" t="s">
        <v>34</v>
      </c>
      <c r="I30" s="2" t="s">
        <v>55</v>
      </c>
      <c r="J30" s="2" t="s">
        <v>56</v>
      </c>
      <c r="K30" s="2" t="s">
        <v>57</v>
      </c>
      <c r="L30" s="2" t="s">
        <v>58</v>
      </c>
      <c r="M30" s="2" t="s">
        <v>49</v>
      </c>
      <c r="N30" s="2" t="s">
        <v>50</v>
      </c>
      <c r="O30" s="3">
        <f>IFERROR(VLOOKUP(M30, '[1]08_CSDL_DAO_CU_VAT_LIEU'!$A$2:$F$64, 6, FALSE), 27500)</f>
        <v>20833.330000000002</v>
      </c>
      <c r="P30" s="4">
        <v>0.2</v>
      </c>
      <c r="Q30" s="3">
        <f t="shared" si="1"/>
        <v>5615</v>
      </c>
      <c r="R30" s="3">
        <f>ROUND((F30/3600)*IFERROR(VLOOKUP(I30, '[1]02_DM_NHAN_SU_MAY'!$M$2:$Q$25, 5, FALSE), 39375), 0)</f>
        <v>1677</v>
      </c>
      <c r="S30" s="3">
        <v>0</v>
      </c>
      <c r="T30" s="3">
        <f t="shared" si="2"/>
        <v>7292</v>
      </c>
    </row>
    <row r="31" spans="1:20" x14ac:dyDescent="0.25">
      <c r="A31" s="5" t="s">
        <v>126</v>
      </c>
      <c r="B31" s="5">
        <v>30</v>
      </c>
      <c r="C31" s="5" t="s">
        <v>52</v>
      </c>
      <c r="D31" s="5" t="s">
        <v>125</v>
      </c>
      <c r="E31" s="5" t="s">
        <v>117</v>
      </c>
      <c r="F31" s="5">
        <v>180</v>
      </c>
      <c r="G31" s="7">
        <f t="shared" si="0"/>
        <v>6.3E-3</v>
      </c>
      <c r="H31" s="5" t="s">
        <v>34</v>
      </c>
      <c r="I31" s="5" t="s">
        <v>61</v>
      </c>
      <c r="J31" s="5" t="s">
        <v>56</v>
      </c>
      <c r="K31" s="5" t="s">
        <v>57</v>
      </c>
      <c r="L31" s="5" t="s">
        <v>58</v>
      </c>
      <c r="M31" s="5" t="s">
        <v>49</v>
      </c>
      <c r="N31" s="5" t="s">
        <v>50</v>
      </c>
      <c r="O31" s="6">
        <f>IFERROR(VLOOKUP(M31, '[1]08_CSDL_DAO_CU_VAT_LIEU'!$A$2:$F$64, 6, FALSE), 27500)</f>
        <v>20833.330000000002</v>
      </c>
      <c r="P31" s="7">
        <v>0.08</v>
      </c>
      <c r="Q31" s="6">
        <f t="shared" si="1"/>
        <v>2406</v>
      </c>
      <c r="R31" s="6">
        <f>ROUND((F31/3600)*IFERROR(VLOOKUP(I31, '[1]02_DM_NHAN_SU_MAY'!$M$2:$Q$25, 5, FALSE), 39375), 0)</f>
        <v>719</v>
      </c>
      <c r="S31" s="6">
        <v>0</v>
      </c>
      <c r="T31" s="6">
        <f t="shared" si="2"/>
        <v>3125</v>
      </c>
    </row>
    <row r="32" spans="1:20" x14ac:dyDescent="0.25">
      <c r="A32" s="2" t="s">
        <v>127</v>
      </c>
      <c r="B32" s="2">
        <v>31</v>
      </c>
      <c r="C32" s="2" t="s">
        <v>52</v>
      </c>
      <c r="D32" s="2" t="s">
        <v>128</v>
      </c>
      <c r="E32" s="2" t="s">
        <v>115</v>
      </c>
      <c r="F32" s="2">
        <v>420</v>
      </c>
      <c r="G32" s="4">
        <f t="shared" si="0"/>
        <v>1.46E-2</v>
      </c>
      <c r="H32" s="2" t="s">
        <v>34</v>
      </c>
      <c r="I32" s="2" t="s">
        <v>55</v>
      </c>
      <c r="J32" s="2" t="s">
        <v>56</v>
      </c>
      <c r="K32" s="2" t="s">
        <v>57</v>
      </c>
      <c r="L32" s="2" t="s">
        <v>58</v>
      </c>
      <c r="M32" s="2" t="s">
        <v>49</v>
      </c>
      <c r="N32" s="2" t="s">
        <v>50</v>
      </c>
      <c r="O32" s="3">
        <f>IFERROR(VLOOKUP(M32, '[1]08_CSDL_DAO_CU_VAT_LIEU'!$A$2:$F$64, 6, FALSE), 27500)</f>
        <v>20833.330000000002</v>
      </c>
      <c r="P32" s="4">
        <v>0.2</v>
      </c>
      <c r="Q32" s="3">
        <f t="shared" si="1"/>
        <v>5615</v>
      </c>
      <c r="R32" s="3">
        <f>ROUND((F32/3600)*IFERROR(VLOOKUP(I32, '[1]02_DM_NHAN_SU_MAY'!$M$2:$Q$25, 5, FALSE), 39375), 0)</f>
        <v>1677</v>
      </c>
      <c r="S32" s="3">
        <v>0</v>
      </c>
      <c r="T32" s="3">
        <f t="shared" si="2"/>
        <v>7292</v>
      </c>
    </row>
    <row r="33" spans="1:20" x14ac:dyDescent="0.25">
      <c r="A33" s="5" t="s">
        <v>129</v>
      </c>
      <c r="B33" s="5">
        <v>32</v>
      </c>
      <c r="C33" s="5" t="s">
        <v>52</v>
      </c>
      <c r="D33" s="5" t="s">
        <v>128</v>
      </c>
      <c r="E33" s="5" t="s">
        <v>117</v>
      </c>
      <c r="F33" s="5">
        <v>180</v>
      </c>
      <c r="G33" s="7">
        <f t="shared" si="0"/>
        <v>6.3E-3</v>
      </c>
      <c r="H33" s="5" t="s">
        <v>34</v>
      </c>
      <c r="I33" s="5" t="s">
        <v>61</v>
      </c>
      <c r="J33" s="5" t="s">
        <v>56</v>
      </c>
      <c r="K33" s="5" t="s">
        <v>57</v>
      </c>
      <c r="L33" s="5" t="s">
        <v>58</v>
      </c>
      <c r="M33" s="5" t="s">
        <v>49</v>
      </c>
      <c r="N33" s="5" t="s">
        <v>50</v>
      </c>
      <c r="O33" s="6">
        <f>IFERROR(VLOOKUP(M33, '[1]08_CSDL_DAO_CU_VAT_LIEU'!$A$2:$F$64, 6, FALSE), 27500)</f>
        <v>20833.330000000002</v>
      </c>
      <c r="P33" s="7">
        <v>0.08</v>
      </c>
      <c r="Q33" s="6">
        <f t="shared" si="1"/>
        <v>2406</v>
      </c>
      <c r="R33" s="6">
        <f>ROUND((F33/3600)*IFERROR(VLOOKUP(I33, '[1]02_DM_NHAN_SU_MAY'!$M$2:$Q$25, 5, FALSE), 39375), 0)</f>
        <v>719</v>
      </c>
      <c r="S33" s="6">
        <v>0</v>
      </c>
      <c r="T33" s="6">
        <f t="shared" si="2"/>
        <v>3125</v>
      </c>
    </row>
    <row r="34" spans="1:20" x14ac:dyDescent="0.25">
      <c r="A34" s="2" t="s">
        <v>130</v>
      </c>
      <c r="B34" s="2">
        <v>33</v>
      </c>
      <c r="C34" s="2" t="s">
        <v>52</v>
      </c>
      <c r="D34" s="2" t="s">
        <v>131</v>
      </c>
      <c r="E34" s="2" t="s">
        <v>115</v>
      </c>
      <c r="F34" s="2">
        <v>420</v>
      </c>
      <c r="G34" s="4">
        <f t="shared" si="0"/>
        <v>1.46E-2</v>
      </c>
      <c r="H34" s="2" t="s">
        <v>34</v>
      </c>
      <c r="I34" s="2" t="s">
        <v>55</v>
      </c>
      <c r="J34" s="2" t="s">
        <v>56</v>
      </c>
      <c r="K34" s="2" t="s">
        <v>57</v>
      </c>
      <c r="L34" s="2" t="s">
        <v>58</v>
      </c>
      <c r="M34" s="2" t="s">
        <v>49</v>
      </c>
      <c r="N34" s="2" t="s">
        <v>50</v>
      </c>
      <c r="O34" s="3">
        <f>IFERROR(VLOOKUP(M34, '[1]08_CSDL_DAO_CU_VAT_LIEU'!$A$2:$F$64, 6, FALSE), 27500)</f>
        <v>20833.330000000002</v>
      </c>
      <c r="P34" s="4">
        <v>0.2</v>
      </c>
      <c r="Q34" s="3">
        <f t="shared" si="1"/>
        <v>5615</v>
      </c>
      <c r="R34" s="3">
        <f>ROUND((F34/3600)*IFERROR(VLOOKUP(I34, '[1]02_DM_NHAN_SU_MAY'!$M$2:$Q$25, 5, FALSE), 39375), 0)</f>
        <v>1677</v>
      </c>
      <c r="S34" s="3">
        <v>0</v>
      </c>
      <c r="T34" s="3">
        <f t="shared" si="2"/>
        <v>7292</v>
      </c>
    </row>
    <row r="35" spans="1:20" x14ac:dyDescent="0.25">
      <c r="A35" s="5" t="s">
        <v>132</v>
      </c>
      <c r="B35" s="5">
        <v>34</v>
      </c>
      <c r="C35" s="5" t="s">
        <v>52</v>
      </c>
      <c r="D35" s="5" t="s">
        <v>131</v>
      </c>
      <c r="E35" s="5" t="s">
        <v>117</v>
      </c>
      <c r="F35" s="5">
        <v>180</v>
      </c>
      <c r="G35" s="7">
        <f t="shared" si="0"/>
        <v>6.3E-3</v>
      </c>
      <c r="H35" s="5" t="s">
        <v>34</v>
      </c>
      <c r="I35" s="5" t="s">
        <v>61</v>
      </c>
      <c r="J35" s="5" t="s">
        <v>56</v>
      </c>
      <c r="K35" s="5" t="s">
        <v>57</v>
      </c>
      <c r="L35" s="5" t="s">
        <v>58</v>
      </c>
      <c r="M35" s="5" t="s">
        <v>49</v>
      </c>
      <c r="N35" s="5" t="s">
        <v>50</v>
      </c>
      <c r="O35" s="6">
        <f>IFERROR(VLOOKUP(M35, '[1]08_CSDL_DAO_CU_VAT_LIEU'!$A$2:$F$64, 6, FALSE), 27500)</f>
        <v>20833.330000000002</v>
      </c>
      <c r="P35" s="7">
        <v>0.08</v>
      </c>
      <c r="Q35" s="6">
        <f t="shared" si="1"/>
        <v>2406</v>
      </c>
      <c r="R35" s="6">
        <f>ROUND((F35/3600)*IFERROR(VLOOKUP(I35, '[1]02_DM_NHAN_SU_MAY'!$M$2:$Q$25, 5, FALSE), 39375), 0)</f>
        <v>719</v>
      </c>
      <c r="S35" s="6">
        <v>0</v>
      </c>
      <c r="T35" s="6">
        <f t="shared" si="2"/>
        <v>3125</v>
      </c>
    </row>
    <row r="36" spans="1:20" x14ac:dyDescent="0.25">
      <c r="A36" s="2" t="s">
        <v>133</v>
      </c>
      <c r="B36" s="2">
        <v>35</v>
      </c>
      <c r="C36" s="2" t="s">
        <v>68</v>
      </c>
      <c r="D36" s="2" t="s">
        <v>134</v>
      </c>
      <c r="E36" s="2" t="s">
        <v>135</v>
      </c>
      <c r="F36" s="3">
        <v>14400</v>
      </c>
      <c r="G36" s="4">
        <f t="shared" si="0"/>
        <v>0.5</v>
      </c>
      <c r="H36" s="2">
        <v>1</v>
      </c>
      <c r="I36" s="2" t="s">
        <v>24</v>
      </c>
      <c r="J36" s="2" t="s">
        <v>97</v>
      </c>
      <c r="K36" s="2" t="s">
        <v>98</v>
      </c>
      <c r="L36" s="2" t="s">
        <v>109</v>
      </c>
      <c r="M36" s="2" t="s">
        <v>28</v>
      </c>
      <c r="N36" s="2" t="s">
        <v>29</v>
      </c>
      <c r="O36" s="3">
        <f>IFERROR(VLOOKUP(M36, '[1]08_CSDL_DAO_CU_VAT_LIEU'!$A$2:$F$64, 6, FALSE), 27500)</f>
        <v>27500</v>
      </c>
      <c r="P36" s="4">
        <v>5.6</v>
      </c>
      <c r="Q36" s="3">
        <f t="shared" si="1"/>
        <v>192500</v>
      </c>
      <c r="R36" s="3">
        <f>ROUND((F36/3600)*IFERROR(VLOOKUP(I36, '[1]02_DM_NHAN_SU_MAY'!$M$2:$Q$25, 5, FALSE), 39375), 0)</f>
        <v>157500</v>
      </c>
      <c r="S36" s="3">
        <v>0</v>
      </c>
      <c r="T36" s="3">
        <f t="shared" si="2"/>
        <v>350000</v>
      </c>
    </row>
    <row r="37" spans="1:20" x14ac:dyDescent="0.25">
      <c r="A37" s="5" t="s">
        <v>136</v>
      </c>
      <c r="B37" s="5">
        <v>36</v>
      </c>
      <c r="C37" s="5" t="s">
        <v>68</v>
      </c>
      <c r="D37" s="5" t="s">
        <v>134</v>
      </c>
      <c r="E37" s="5" t="s">
        <v>137</v>
      </c>
      <c r="F37" s="6">
        <v>2700</v>
      </c>
      <c r="G37" s="7">
        <f t="shared" si="0"/>
        <v>9.3799999999999994E-2</v>
      </c>
      <c r="H37" s="5" t="s">
        <v>34</v>
      </c>
      <c r="I37" s="5" t="s">
        <v>24</v>
      </c>
      <c r="J37" s="5" t="s">
        <v>97</v>
      </c>
      <c r="K37" s="5" t="s">
        <v>98</v>
      </c>
      <c r="L37" s="5" t="s">
        <v>109</v>
      </c>
      <c r="M37" s="5" t="s">
        <v>138</v>
      </c>
      <c r="N37" s="5" t="s">
        <v>139</v>
      </c>
      <c r="O37" s="6">
        <f>IFERROR(VLOOKUP(M37, '[1]08_CSDL_DAO_CU_VAT_LIEU'!$A$2:$F$64, 6, FALSE), 27500)</f>
        <v>32500</v>
      </c>
      <c r="P37" s="7">
        <v>1.05</v>
      </c>
      <c r="Q37" s="6">
        <f t="shared" si="1"/>
        <v>36094</v>
      </c>
      <c r="R37" s="6">
        <f>ROUND((F37/3600)*IFERROR(VLOOKUP(I37, '[1]02_DM_NHAN_SU_MAY'!$M$2:$Q$25, 5, FALSE), 39375), 0)</f>
        <v>29531</v>
      </c>
      <c r="S37" s="6">
        <v>0</v>
      </c>
      <c r="T37" s="6">
        <f t="shared" si="2"/>
        <v>65625</v>
      </c>
    </row>
    <row r="38" spans="1:20" x14ac:dyDescent="0.25">
      <c r="A38" s="2" t="s">
        <v>140</v>
      </c>
      <c r="B38" s="2">
        <v>37</v>
      </c>
      <c r="C38" s="2" t="s">
        <v>68</v>
      </c>
      <c r="D38" s="2" t="s">
        <v>141</v>
      </c>
      <c r="E38" s="2" t="s">
        <v>142</v>
      </c>
      <c r="F38" s="2">
        <v>480</v>
      </c>
      <c r="G38" s="4">
        <f t="shared" si="0"/>
        <v>1.67E-2</v>
      </c>
      <c r="H38" s="2" t="s">
        <v>34</v>
      </c>
      <c r="I38" s="2" t="s">
        <v>90</v>
      </c>
      <c r="J38" s="2" t="s">
        <v>97</v>
      </c>
      <c r="K38" s="2" t="s">
        <v>98</v>
      </c>
      <c r="L38" s="2" t="s">
        <v>143</v>
      </c>
      <c r="M38" s="2" t="s">
        <v>92</v>
      </c>
      <c r="N38" s="2" t="s">
        <v>93</v>
      </c>
      <c r="O38" s="3">
        <f>IFERROR(VLOOKUP(M38, '[1]08_CSDL_DAO_CU_VAT_LIEU'!$A$2:$F$64, 6, FALSE), 27500)</f>
        <v>74000</v>
      </c>
      <c r="P38" s="4">
        <v>0.19</v>
      </c>
      <c r="Q38" s="3">
        <f t="shared" si="1"/>
        <v>6417</v>
      </c>
      <c r="R38" s="3">
        <f>ROUND((F38/3600)*IFERROR(VLOOKUP(I38, '[1]02_DM_NHAN_SU_MAY'!$M$2:$Q$25, 5, FALSE), 39375), 0)</f>
        <v>3583</v>
      </c>
      <c r="S38" s="3">
        <v>0</v>
      </c>
      <c r="T38" s="3">
        <f t="shared" si="2"/>
        <v>10000</v>
      </c>
    </row>
    <row r="39" spans="1:20" x14ac:dyDescent="0.25">
      <c r="A39" s="5" t="s">
        <v>144</v>
      </c>
      <c r="B39" s="5">
        <v>38</v>
      </c>
      <c r="C39" s="5" t="s">
        <v>145</v>
      </c>
      <c r="D39" s="5" t="s">
        <v>146</v>
      </c>
      <c r="E39" s="5" t="s">
        <v>147</v>
      </c>
      <c r="F39" s="6">
        <v>18000</v>
      </c>
      <c r="G39" s="7">
        <f t="shared" si="0"/>
        <v>0.625</v>
      </c>
      <c r="H39" s="5" t="s">
        <v>34</v>
      </c>
      <c r="I39" s="5" t="s">
        <v>24</v>
      </c>
      <c r="J39" s="5" t="s">
        <v>36</v>
      </c>
      <c r="K39" s="5" t="s">
        <v>37</v>
      </c>
      <c r="L39" s="5" t="s">
        <v>38</v>
      </c>
      <c r="M39" s="5" t="s">
        <v>28</v>
      </c>
      <c r="N39" s="5" t="s">
        <v>29</v>
      </c>
      <c r="O39" s="6">
        <f>IFERROR(VLOOKUP(M39, '[1]08_CSDL_DAO_CU_VAT_LIEU'!$A$2:$F$64, 6, FALSE), 27500)</f>
        <v>27500</v>
      </c>
      <c r="P39" s="7">
        <v>8.4</v>
      </c>
      <c r="Q39" s="6">
        <f t="shared" si="1"/>
        <v>240625</v>
      </c>
      <c r="R39" s="6">
        <f>ROUND((F39/3600)*IFERROR(VLOOKUP(I39, '[1]02_DM_NHAN_SU_MAY'!$M$2:$Q$25, 5, FALSE), 39375), 0)</f>
        <v>196875</v>
      </c>
      <c r="S39" s="6">
        <v>0</v>
      </c>
      <c r="T39" s="6">
        <f t="shared" si="2"/>
        <v>437500</v>
      </c>
    </row>
    <row r="40" spans="1:20" x14ac:dyDescent="0.25">
      <c r="A40" s="2" t="s">
        <v>148</v>
      </c>
      <c r="B40" s="2">
        <v>39</v>
      </c>
      <c r="C40" s="2" t="s">
        <v>149</v>
      </c>
      <c r="D40" s="2" t="s">
        <v>150</v>
      </c>
      <c r="E40" s="2" t="s">
        <v>147</v>
      </c>
      <c r="F40" s="3">
        <v>3600</v>
      </c>
      <c r="G40" s="4">
        <f t="shared" si="0"/>
        <v>0.125</v>
      </c>
      <c r="H40" s="2" t="s">
        <v>34</v>
      </c>
      <c r="I40" s="2" t="s">
        <v>151</v>
      </c>
      <c r="J40" s="2" t="s">
        <v>36</v>
      </c>
      <c r="K40" s="2" t="s">
        <v>37</v>
      </c>
      <c r="L40" s="2" t="s">
        <v>38</v>
      </c>
      <c r="M40" s="2" t="s">
        <v>49</v>
      </c>
      <c r="N40" s="2" t="s">
        <v>50</v>
      </c>
      <c r="O40" s="3">
        <f>IFERROR(VLOOKUP(M40, '[1]08_CSDL_DAO_CU_VAT_LIEU'!$A$2:$F$64, 6, FALSE), 27500)</f>
        <v>20833.330000000002</v>
      </c>
      <c r="P40" s="4">
        <v>1.68</v>
      </c>
      <c r="Q40" s="3">
        <f t="shared" si="1"/>
        <v>48125</v>
      </c>
      <c r="R40" s="3">
        <f>ROUND((F40/3600)*IFERROR(VLOOKUP(I40, '[1]02_DM_NHAN_SU_MAY'!$M$2:$Q$25, 5, FALSE), 39375), 0)</f>
        <v>39375</v>
      </c>
      <c r="S40" s="3">
        <v>0</v>
      </c>
      <c r="T40" s="3">
        <f t="shared" si="2"/>
        <v>87500</v>
      </c>
    </row>
    <row r="41" spans="1:20" x14ac:dyDescent="0.25">
      <c r="A41" s="5" t="s">
        <v>152</v>
      </c>
      <c r="B41" s="5">
        <v>40</v>
      </c>
      <c r="C41" s="5" t="s">
        <v>149</v>
      </c>
      <c r="D41" s="5" t="s">
        <v>150</v>
      </c>
      <c r="E41" s="5" t="s">
        <v>147</v>
      </c>
      <c r="F41" s="6">
        <v>3600</v>
      </c>
      <c r="G41" s="7">
        <f t="shared" si="0"/>
        <v>0.125</v>
      </c>
      <c r="H41" s="5" t="s">
        <v>34</v>
      </c>
      <c r="I41" s="5" t="s">
        <v>151</v>
      </c>
      <c r="J41" s="5" t="s">
        <v>36</v>
      </c>
      <c r="K41" s="5" t="s">
        <v>37</v>
      </c>
      <c r="L41" s="5" t="s">
        <v>38</v>
      </c>
      <c r="M41" s="5" t="s">
        <v>49</v>
      </c>
      <c r="N41" s="5" t="s">
        <v>50</v>
      </c>
      <c r="O41" s="6">
        <f>IFERROR(VLOOKUP(M41, '[1]08_CSDL_DAO_CU_VAT_LIEU'!$A$2:$F$64, 6, FALSE), 27500)</f>
        <v>20833.330000000002</v>
      </c>
      <c r="P41" s="7">
        <v>1.68</v>
      </c>
      <c r="Q41" s="6">
        <f t="shared" si="1"/>
        <v>48125</v>
      </c>
      <c r="R41" s="6">
        <f>ROUND((F41/3600)*IFERROR(VLOOKUP(I41, '[1]02_DM_NHAN_SU_MAY'!$M$2:$Q$25, 5, FALSE), 39375), 0)</f>
        <v>39375</v>
      </c>
      <c r="S41" s="6">
        <v>0</v>
      </c>
      <c r="T41" s="6">
        <f t="shared" si="2"/>
        <v>87500</v>
      </c>
    </row>
    <row r="42" spans="1:20" x14ac:dyDescent="0.25">
      <c r="A42" s="2" t="s">
        <v>153</v>
      </c>
      <c r="B42" s="2">
        <v>41</v>
      </c>
      <c r="C42" s="2" t="s">
        <v>149</v>
      </c>
      <c r="D42" s="2" t="s">
        <v>154</v>
      </c>
      <c r="E42" s="2" t="s">
        <v>147</v>
      </c>
      <c r="F42" s="3">
        <v>4800</v>
      </c>
      <c r="G42" s="4">
        <f t="shared" si="0"/>
        <v>0.16669999999999999</v>
      </c>
      <c r="H42" s="2" t="s">
        <v>34</v>
      </c>
      <c r="I42" s="2" t="s">
        <v>151</v>
      </c>
      <c r="J42" s="2" t="s">
        <v>36</v>
      </c>
      <c r="K42" s="2" t="s">
        <v>37</v>
      </c>
      <c r="L42" s="2" t="s">
        <v>38</v>
      </c>
      <c r="M42" s="2" t="s">
        <v>49</v>
      </c>
      <c r="N42" s="2" t="s">
        <v>50</v>
      </c>
      <c r="O42" s="3">
        <f>IFERROR(VLOOKUP(M42, '[1]08_CSDL_DAO_CU_VAT_LIEU'!$A$2:$F$64, 6, FALSE), 27500)</f>
        <v>20833.330000000002</v>
      </c>
      <c r="P42" s="4">
        <v>2.2400000000000002</v>
      </c>
      <c r="Q42" s="3">
        <f t="shared" si="1"/>
        <v>64167</v>
      </c>
      <c r="R42" s="3">
        <f>ROUND((F42/3600)*IFERROR(VLOOKUP(I42, '[1]02_DM_NHAN_SU_MAY'!$M$2:$Q$25, 5, FALSE), 39375), 0)</f>
        <v>52500</v>
      </c>
      <c r="S42" s="3">
        <v>0</v>
      </c>
      <c r="T42" s="3">
        <f t="shared" si="2"/>
        <v>116667</v>
      </c>
    </row>
    <row r="43" spans="1:20" x14ac:dyDescent="0.25">
      <c r="A43" s="5" t="s">
        <v>155</v>
      </c>
      <c r="B43" s="5">
        <v>42</v>
      </c>
      <c r="C43" s="5" t="s">
        <v>149</v>
      </c>
      <c r="D43" s="5" t="s">
        <v>156</v>
      </c>
      <c r="E43" s="5" t="s">
        <v>147</v>
      </c>
      <c r="F43" s="6">
        <v>3600</v>
      </c>
      <c r="G43" s="7">
        <f t="shared" si="0"/>
        <v>0.125</v>
      </c>
      <c r="H43" s="5" t="s">
        <v>34</v>
      </c>
      <c r="I43" s="5" t="s">
        <v>151</v>
      </c>
      <c r="J43" s="5" t="s">
        <v>36</v>
      </c>
      <c r="K43" s="5" t="s">
        <v>37</v>
      </c>
      <c r="L43" s="5" t="s">
        <v>38</v>
      </c>
      <c r="M43" s="5" t="s">
        <v>49</v>
      </c>
      <c r="N43" s="5" t="s">
        <v>50</v>
      </c>
      <c r="O43" s="6">
        <f>IFERROR(VLOOKUP(M43, '[1]08_CSDL_DAO_CU_VAT_LIEU'!$A$2:$F$64, 6, FALSE), 27500)</f>
        <v>20833.330000000002</v>
      </c>
      <c r="P43" s="7">
        <v>1.68</v>
      </c>
      <c r="Q43" s="6">
        <f t="shared" si="1"/>
        <v>48125</v>
      </c>
      <c r="R43" s="6">
        <f>ROUND((F43/3600)*IFERROR(VLOOKUP(I43, '[1]02_DM_NHAN_SU_MAY'!$M$2:$Q$25, 5, FALSE), 39375), 0)</f>
        <v>39375</v>
      </c>
      <c r="S43" s="6">
        <v>0</v>
      </c>
      <c r="T43" s="6">
        <f t="shared" si="2"/>
        <v>87500</v>
      </c>
    </row>
    <row r="44" spans="1:20" x14ac:dyDescent="0.25">
      <c r="A44" s="2" t="s">
        <v>157</v>
      </c>
      <c r="B44" s="2">
        <v>43</v>
      </c>
      <c r="C44" s="2" t="s">
        <v>149</v>
      </c>
      <c r="D44" s="2" t="s">
        <v>158</v>
      </c>
      <c r="E44" s="2" t="s">
        <v>147</v>
      </c>
      <c r="F44" s="3">
        <v>3600</v>
      </c>
      <c r="G44" s="4">
        <f t="shared" si="0"/>
        <v>0.125</v>
      </c>
      <c r="H44" s="2" t="s">
        <v>34</v>
      </c>
      <c r="I44" s="2" t="s">
        <v>151</v>
      </c>
      <c r="J44" s="2" t="s">
        <v>36</v>
      </c>
      <c r="K44" s="2" t="s">
        <v>37</v>
      </c>
      <c r="L44" s="2" t="s">
        <v>38</v>
      </c>
      <c r="M44" s="2" t="s">
        <v>49</v>
      </c>
      <c r="N44" s="2" t="s">
        <v>50</v>
      </c>
      <c r="O44" s="3">
        <f>IFERROR(VLOOKUP(M44, '[1]08_CSDL_DAO_CU_VAT_LIEU'!$A$2:$F$64, 6, FALSE), 27500)</f>
        <v>20833.330000000002</v>
      </c>
      <c r="P44" s="4">
        <v>1.68</v>
      </c>
      <c r="Q44" s="3">
        <f t="shared" si="1"/>
        <v>48125</v>
      </c>
      <c r="R44" s="3">
        <f>ROUND((F44/3600)*IFERROR(VLOOKUP(I44, '[1]02_DM_NHAN_SU_MAY'!$M$2:$Q$25, 5, FALSE), 39375), 0)</f>
        <v>39375</v>
      </c>
      <c r="S44" s="3">
        <v>0</v>
      </c>
      <c r="T44" s="3">
        <f t="shared" si="2"/>
        <v>87500</v>
      </c>
    </row>
    <row r="45" spans="1:20" x14ac:dyDescent="0.25">
      <c r="A45" s="5" t="s">
        <v>159</v>
      </c>
      <c r="B45" s="5">
        <v>44</v>
      </c>
      <c r="C45" s="5" t="s">
        <v>149</v>
      </c>
      <c r="D45" s="5" t="s">
        <v>160</v>
      </c>
      <c r="E45" s="5" t="s">
        <v>147</v>
      </c>
      <c r="F45" s="6">
        <v>3600</v>
      </c>
      <c r="G45" s="7">
        <f t="shared" si="0"/>
        <v>0.125</v>
      </c>
      <c r="H45" s="5" t="s">
        <v>34</v>
      </c>
      <c r="I45" s="5" t="s">
        <v>151</v>
      </c>
      <c r="J45" s="5" t="s">
        <v>36</v>
      </c>
      <c r="K45" s="5" t="s">
        <v>37</v>
      </c>
      <c r="L45" s="5" t="s">
        <v>38</v>
      </c>
      <c r="M45" s="5" t="s">
        <v>49</v>
      </c>
      <c r="N45" s="5" t="s">
        <v>50</v>
      </c>
      <c r="O45" s="6">
        <f>IFERROR(VLOOKUP(M45, '[1]08_CSDL_DAO_CU_VAT_LIEU'!$A$2:$F$64, 6, FALSE), 27500)</f>
        <v>20833.330000000002</v>
      </c>
      <c r="P45" s="7">
        <v>1.68</v>
      </c>
      <c r="Q45" s="6">
        <f t="shared" si="1"/>
        <v>48125</v>
      </c>
      <c r="R45" s="6">
        <f>ROUND((F45/3600)*IFERROR(VLOOKUP(I45, '[1]02_DM_NHAN_SU_MAY'!$M$2:$Q$25, 5, FALSE), 39375), 0)</f>
        <v>39375</v>
      </c>
      <c r="S45" s="6">
        <v>0</v>
      </c>
      <c r="T45" s="6">
        <f t="shared" si="2"/>
        <v>87500</v>
      </c>
    </row>
    <row r="46" spans="1:20" x14ac:dyDescent="0.25">
      <c r="A46" s="2" t="s">
        <v>161</v>
      </c>
      <c r="B46" s="2">
        <v>45</v>
      </c>
      <c r="C46" s="2" t="s">
        <v>149</v>
      </c>
      <c r="D46" s="2" t="s">
        <v>162</v>
      </c>
      <c r="E46" s="2" t="s">
        <v>147</v>
      </c>
      <c r="F46" s="3">
        <v>3600</v>
      </c>
      <c r="G46" s="4">
        <f t="shared" si="0"/>
        <v>0.125</v>
      </c>
      <c r="H46" s="2" t="s">
        <v>34</v>
      </c>
      <c r="I46" s="2" t="s">
        <v>151</v>
      </c>
      <c r="J46" s="2" t="s">
        <v>36</v>
      </c>
      <c r="K46" s="2" t="s">
        <v>37</v>
      </c>
      <c r="L46" s="2" t="s">
        <v>38</v>
      </c>
      <c r="M46" s="2" t="s">
        <v>49</v>
      </c>
      <c r="N46" s="2" t="s">
        <v>50</v>
      </c>
      <c r="O46" s="3">
        <f>IFERROR(VLOOKUP(M46, '[1]08_CSDL_DAO_CU_VAT_LIEU'!$A$2:$F$64, 6, FALSE), 27500)</f>
        <v>20833.330000000002</v>
      </c>
      <c r="P46" s="4">
        <v>1.68</v>
      </c>
      <c r="Q46" s="3">
        <f t="shared" si="1"/>
        <v>48125</v>
      </c>
      <c r="R46" s="3">
        <f>ROUND((F46/3600)*IFERROR(VLOOKUP(I46, '[1]02_DM_NHAN_SU_MAY'!$M$2:$Q$25, 5, FALSE), 39375), 0)</f>
        <v>39375</v>
      </c>
      <c r="S46" s="3">
        <v>0</v>
      </c>
      <c r="T46" s="3">
        <f t="shared" si="2"/>
        <v>87500</v>
      </c>
    </row>
    <row r="47" spans="1:20" x14ac:dyDescent="0.25">
      <c r="A47" s="5" t="s">
        <v>163</v>
      </c>
      <c r="B47" s="5">
        <v>46</v>
      </c>
      <c r="C47" s="5" t="s">
        <v>149</v>
      </c>
      <c r="D47" s="5" t="s">
        <v>164</v>
      </c>
      <c r="E47" s="5" t="s">
        <v>147</v>
      </c>
      <c r="F47" s="6">
        <v>3600</v>
      </c>
      <c r="G47" s="7">
        <f t="shared" si="0"/>
        <v>0.125</v>
      </c>
      <c r="H47" s="5" t="s">
        <v>34</v>
      </c>
      <c r="I47" s="5" t="s">
        <v>151</v>
      </c>
      <c r="J47" s="5" t="s">
        <v>36</v>
      </c>
      <c r="K47" s="5" t="s">
        <v>37</v>
      </c>
      <c r="L47" s="5" t="s">
        <v>38</v>
      </c>
      <c r="M47" s="5" t="s">
        <v>49</v>
      </c>
      <c r="N47" s="5" t="s">
        <v>50</v>
      </c>
      <c r="O47" s="6">
        <f>IFERROR(VLOOKUP(M47, '[1]08_CSDL_DAO_CU_VAT_LIEU'!$A$2:$F$64, 6, FALSE), 27500)</f>
        <v>20833.330000000002</v>
      </c>
      <c r="P47" s="7">
        <v>1.68</v>
      </c>
      <c r="Q47" s="6">
        <f t="shared" si="1"/>
        <v>48125</v>
      </c>
      <c r="R47" s="6">
        <f>ROUND((F47/3600)*IFERROR(VLOOKUP(I47, '[1]02_DM_NHAN_SU_MAY'!$M$2:$Q$25, 5, FALSE), 39375), 0)</f>
        <v>39375</v>
      </c>
      <c r="S47" s="6">
        <v>0</v>
      </c>
      <c r="T47" s="6">
        <f t="shared" si="2"/>
        <v>87500</v>
      </c>
    </row>
    <row r="48" spans="1:20" x14ac:dyDescent="0.25">
      <c r="A48" s="2" t="s">
        <v>165</v>
      </c>
      <c r="B48" s="2">
        <v>47</v>
      </c>
      <c r="C48" s="2" t="s">
        <v>149</v>
      </c>
      <c r="D48" s="2" t="s">
        <v>166</v>
      </c>
      <c r="E48" s="2" t="s">
        <v>147</v>
      </c>
      <c r="F48" s="3">
        <v>3600</v>
      </c>
      <c r="G48" s="4">
        <f t="shared" si="0"/>
        <v>0.125</v>
      </c>
      <c r="H48" s="2" t="s">
        <v>34</v>
      </c>
      <c r="I48" s="2" t="s">
        <v>151</v>
      </c>
      <c r="J48" s="2" t="s">
        <v>36</v>
      </c>
      <c r="K48" s="2" t="s">
        <v>37</v>
      </c>
      <c r="L48" s="2" t="s">
        <v>38</v>
      </c>
      <c r="M48" s="2" t="s">
        <v>49</v>
      </c>
      <c r="N48" s="2" t="s">
        <v>50</v>
      </c>
      <c r="O48" s="3">
        <f>IFERROR(VLOOKUP(M48, '[1]08_CSDL_DAO_CU_VAT_LIEU'!$A$2:$F$64, 6, FALSE), 27500)</f>
        <v>20833.330000000002</v>
      </c>
      <c r="P48" s="4">
        <v>1.68</v>
      </c>
      <c r="Q48" s="3">
        <f t="shared" si="1"/>
        <v>48125</v>
      </c>
      <c r="R48" s="3">
        <f>ROUND((F48/3600)*IFERROR(VLOOKUP(I48, '[1]02_DM_NHAN_SU_MAY'!$M$2:$Q$25, 5, FALSE), 39375), 0)</f>
        <v>39375</v>
      </c>
      <c r="S48" s="3">
        <v>0</v>
      </c>
      <c r="T48" s="3">
        <f t="shared" si="2"/>
        <v>87500</v>
      </c>
    </row>
    <row r="49" spans="1:20" x14ac:dyDescent="0.25">
      <c r="A49" s="5" t="s">
        <v>167</v>
      </c>
      <c r="B49" s="5">
        <v>48</v>
      </c>
      <c r="C49" s="5" t="s">
        <v>149</v>
      </c>
      <c r="D49" s="5" t="s">
        <v>168</v>
      </c>
      <c r="E49" s="5" t="s">
        <v>147</v>
      </c>
      <c r="F49" s="6">
        <v>3600</v>
      </c>
      <c r="G49" s="7">
        <f t="shared" si="0"/>
        <v>0.125</v>
      </c>
      <c r="H49" s="5" t="s">
        <v>34</v>
      </c>
      <c r="I49" s="5" t="s">
        <v>151</v>
      </c>
      <c r="J49" s="5" t="s">
        <v>36</v>
      </c>
      <c r="K49" s="5" t="s">
        <v>37</v>
      </c>
      <c r="L49" s="5" t="s">
        <v>38</v>
      </c>
      <c r="M49" s="5" t="s">
        <v>49</v>
      </c>
      <c r="N49" s="5" t="s">
        <v>50</v>
      </c>
      <c r="O49" s="6">
        <f>IFERROR(VLOOKUP(M49, '[1]08_CSDL_DAO_CU_VAT_LIEU'!$A$2:$F$64, 6, FALSE), 27500)</f>
        <v>20833.330000000002</v>
      </c>
      <c r="P49" s="7">
        <v>1.68</v>
      </c>
      <c r="Q49" s="6">
        <f t="shared" si="1"/>
        <v>48125</v>
      </c>
      <c r="R49" s="6">
        <f>ROUND((F49/3600)*IFERROR(VLOOKUP(I49, '[1]02_DM_NHAN_SU_MAY'!$M$2:$Q$25, 5, FALSE), 39375), 0)</f>
        <v>39375</v>
      </c>
      <c r="S49" s="6">
        <v>0</v>
      </c>
      <c r="T49" s="6">
        <f t="shared" si="2"/>
        <v>87500</v>
      </c>
    </row>
    <row r="50" spans="1:20" x14ac:dyDescent="0.25">
      <c r="A50" s="2" t="s">
        <v>169</v>
      </c>
      <c r="B50" s="2">
        <v>49</v>
      </c>
      <c r="C50" s="2" t="s">
        <v>149</v>
      </c>
      <c r="D50" s="2" t="s">
        <v>150</v>
      </c>
      <c r="E50" s="2" t="s">
        <v>147</v>
      </c>
      <c r="F50" s="3">
        <v>3600</v>
      </c>
      <c r="G50" s="4">
        <f t="shared" si="0"/>
        <v>0.125</v>
      </c>
      <c r="H50" s="2" t="s">
        <v>34</v>
      </c>
      <c r="I50" s="2" t="s">
        <v>151</v>
      </c>
      <c r="J50" s="2" t="s">
        <v>36</v>
      </c>
      <c r="K50" s="2" t="s">
        <v>37</v>
      </c>
      <c r="L50" s="2" t="s">
        <v>38</v>
      </c>
      <c r="M50" s="2" t="s">
        <v>49</v>
      </c>
      <c r="N50" s="2" t="s">
        <v>50</v>
      </c>
      <c r="O50" s="3">
        <f>IFERROR(VLOOKUP(M50, '[1]08_CSDL_DAO_CU_VAT_LIEU'!$A$2:$F$64, 6, FALSE), 27500)</f>
        <v>20833.330000000002</v>
      </c>
      <c r="P50" s="4">
        <v>1.68</v>
      </c>
      <c r="Q50" s="3">
        <f t="shared" si="1"/>
        <v>48125</v>
      </c>
      <c r="R50" s="3">
        <f>ROUND((F50/3600)*IFERROR(VLOOKUP(I50, '[1]02_DM_NHAN_SU_MAY'!$M$2:$Q$25, 5, FALSE), 39375), 0)</f>
        <v>39375</v>
      </c>
      <c r="S50" s="3">
        <v>0</v>
      </c>
      <c r="T50" s="3">
        <f t="shared" si="2"/>
        <v>87500</v>
      </c>
    </row>
    <row r="51" spans="1:20" x14ac:dyDescent="0.25">
      <c r="A51" s="5" t="s">
        <v>170</v>
      </c>
      <c r="B51" s="5">
        <v>50</v>
      </c>
      <c r="C51" s="5" t="s">
        <v>68</v>
      </c>
      <c r="D51" s="5" t="s">
        <v>171</v>
      </c>
      <c r="E51" s="5" t="s">
        <v>115</v>
      </c>
      <c r="F51" s="6">
        <v>1800</v>
      </c>
      <c r="G51" s="7">
        <f t="shared" si="0"/>
        <v>6.25E-2</v>
      </c>
      <c r="H51" s="5">
        <v>1</v>
      </c>
      <c r="I51" s="5" t="s">
        <v>55</v>
      </c>
      <c r="J51" s="5" t="s">
        <v>97</v>
      </c>
      <c r="K51" s="5" t="s">
        <v>98</v>
      </c>
      <c r="L51" s="5" t="s">
        <v>109</v>
      </c>
      <c r="M51" s="5" t="s">
        <v>49</v>
      </c>
      <c r="N51" s="5" t="s">
        <v>50</v>
      </c>
      <c r="O51" s="6">
        <f>IFERROR(VLOOKUP(M51, '[1]08_CSDL_DAO_CU_VAT_LIEU'!$A$2:$F$64, 6, FALSE), 27500)</f>
        <v>20833.330000000002</v>
      </c>
      <c r="P51" s="7">
        <v>0.7</v>
      </c>
      <c r="Q51" s="6">
        <f t="shared" si="1"/>
        <v>24063</v>
      </c>
      <c r="R51" s="6">
        <f>ROUND((F51/3600)*IFERROR(VLOOKUP(I51, '[1]02_DM_NHAN_SU_MAY'!$M$2:$Q$25, 5, FALSE), 39375), 0)</f>
        <v>7188</v>
      </c>
      <c r="S51" s="6">
        <v>0</v>
      </c>
      <c r="T51" s="6">
        <f t="shared" si="2"/>
        <v>31251</v>
      </c>
    </row>
    <row r="52" spans="1:20" x14ac:dyDescent="0.25">
      <c r="A52" s="2" t="s">
        <v>172</v>
      </c>
      <c r="B52" s="2">
        <v>51</v>
      </c>
      <c r="C52" s="2" t="s">
        <v>68</v>
      </c>
      <c r="D52" s="2" t="s">
        <v>171</v>
      </c>
      <c r="E52" s="2" t="s">
        <v>117</v>
      </c>
      <c r="F52" s="2">
        <v>900</v>
      </c>
      <c r="G52" s="4">
        <f t="shared" si="0"/>
        <v>3.1300000000000001E-2</v>
      </c>
      <c r="H52" s="2" t="s">
        <v>34</v>
      </c>
      <c r="I52" s="2" t="s">
        <v>61</v>
      </c>
      <c r="J52" s="2" t="s">
        <v>97</v>
      </c>
      <c r="K52" s="2" t="s">
        <v>98</v>
      </c>
      <c r="L52" s="2" t="s">
        <v>109</v>
      </c>
      <c r="M52" s="2" t="s">
        <v>49</v>
      </c>
      <c r="N52" s="2" t="s">
        <v>50</v>
      </c>
      <c r="O52" s="3">
        <f>IFERROR(VLOOKUP(M52, '[1]08_CSDL_DAO_CU_VAT_LIEU'!$A$2:$F$64, 6, FALSE), 27500)</f>
        <v>20833.330000000002</v>
      </c>
      <c r="P52" s="4">
        <v>0.35</v>
      </c>
      <c r="Q52" s="3">
        <f t="shared" si="1"/>
        <v>12031</v>
      </c>
      <c r="R52" s="3">
        <f>ROUND((F52/3600)*IFERROR(VLOOKUP(I52, '[1]02_DM_NHAN_SU_MAY'!$M$2:$Q$25, 5, FALSE), 39375), 0)</f>
        <v>3594</v>
      </c>
      <c r="S52" s="3">
        <v>0</v>
      </c>
      <c r="T52" s="3">
        <f t="shared" si="2"/>
        <v>15625</v>
      </c>
    </row>
    <row r="53" spans="1:20" x14ac:dyDescent="0.25">
      <c r="A53" s="5" t="s">
        <v>173</v>
      </c>
      <c r="B53" s="5">
        <v>52</v>
      </c>
      <c r="C53" s="5" t="s">
        <v>68</v>
      </c>
      <c r="D53" s="5" t="s">
        <v>174</v>
      </c>
      <c r="E53" s="5" t="s">
        <v>175</v>
      </c>
      <c r="F53" s="6">
        <v>3600</v>
      </c>
      <c r="G53" s="7">
        <f t="shared" si="0"/>
        <v>0.125</v>
      </c>
      <c r="H53" s="5">
        <v>1</v>
      </c>
      <c r="I53" s="5" t="s">
        <v>176</v>
      </c>
      <c r="J53" s="5" t="s">
        <v>97</v>
      </c>
      <c r="K53" s="5" t="s">
        <v>98</v>
      </c>
      <c r="L53" s="5" t="s">
        <v>109</v>
      </c>
      <c r="M53" s="5" t="s">
        <v>49</v>
      </c>
      <c r="N53" s="5" t="s">
        <v>50</v>
      </c>
      <c r="O53" s="6">
        <f>IFERROR(VLOOKUP(M53, '[1]08_CSDL_DAO_CU_VAT_LIEU'!$A$2:$F$64, 6, FALSE), 27500)</f>
        <v>20833.330000000002</v>
      </c>
      <c r="P53" s="7">
        <v>1.4</v>
      </c>
      <c r="Q53" s="6">
        <f t="shared" si="1"/>
        <v>48125</v>
      </c>
      <c r="R53" s="6">
        <f>ROUND((F53/3600)*IFERROR(VLOOKUP(I53, '[1]02_DM_NHAN_SU_MAY'!$M$2:$Q$25, 5, FALSE), 39375), 0)</f>
        <v>14375</v>
      </c>
      <c r="S53" s="6">
        <v>0</v>
      </c>
      <c r="T53" s="6">
        <f t="shared" si="2"/>
        <v>62500</v>
      </c>
    </row>
    <row r="54" spans="1:20" x14ac:dyDescent="0.25">
      <c r="A54" s="2" t="s">
        <v>177</v>
      </c>
      <c r="B54" s="2">
        <v>53</v>
      </c>
      <c r="C54" s="2" t="s">
        <v>68</v>
      </c>
      <c r="D54" s="2" t="s">
        <v>174</v>
      </c>
      <c r="E54" s="2" t="s">
        <v>178</v>
      </c>
      <c r="F54" s="3">
        <v>3600</v>
      </c>
      <c r="G54" s="4">
        <f t="shared" si="0"/>
        <v>0.125</v>
      </c>
      <c r="H54" s="2">
        <v>2</v>
      </c>
      <c r="I54" s="2" t="s">
        <v>176</v>
      </c>
      <c r="J54" s="2" t="s">
        <v>97</v>
      </c>
      <c r="K54" s="2" t="s">
        <v>98</v>
      </c>
      <c r="L54" s="2" t="s">
        <v>109</v>
      </c>
      <c r="M54" s="2" t="s">
        <v>49</v>
      </c>
      <c r="N54" s="2" t="s">
        <v>50</v>
      </c>
      <c r="O54" s="3">
        <f>IFERROR(VLOOKUP(M54, '[1]08_CSDL_DAO_CU_VAT_LIEU'!$A$2:$F$64, 6, FALSE), 27500)</f>
        <v>20833.330000000002</v>
      </c>
      <c r="P54" s="4">
        <v>1.4</v>
      </c>
      <c r="Q54" s="3">
        <f t="shared" si="1"/>
        <v>48125</v>
      </c>
      <c r="R54" s="3">
        <f>ROUND((F54/3600)*IFERROR(VLOOKUP(I54, '[1]02_DM_NHAN_SU_MAY'!$M$2:$Q$25, 5, FALSE), 39375), 0)</f>
        <v>14375</v>
      </c>
      <c r="S54" s="3">
        <v>0</v>
      </c>
      <c r="T54" s="3">
        <f t="shared" si="2"/>
        <v>62500</v>
      </c>
    </row>
    <row r="55" spans="1:20" x14ac:dyDescent="0.25">
      <c r="A55" s="5" t="s">
        <v>179</v>
      </c>
      <c r="B55" s="5">
        <v>54</v>
      </c>
      <c r="C55" s="5" t="s">
        <v>68</v>
      </c>
      <c r="D55" s="5" t="s">
        <v>174</v>
      </c>
      <c r="E55" s="5" t="s">
        <v>180</v>
      </c>
      <c r="F55" s="6">
        <v>3600</v>
      </c>
      <c r="G55" s="7">
        <f t="shared" si="0"/>
        <v>0.125</v>
      </c>
      <c r="H55" s="5">
        <v>3</v>
      </c>
      <c r="I55" s="5" t="s">
        <v>176</v>
      </c>
      <c r="J55" s="5" t="s">
        <v>97</v>
      </c>
      <c r="K55" s="5" t="s">
        <v>98</v>
      </c>
      <c r="L55" s="5" t="s">
        <v>109</v>
      </c>
      <c r="M55" s="5" t="s">
        <v>49</v>
      </c>
      <c r="N55" s="5" t="s">
        <v>50</v>
      </c>
      <c r="O55" s="6">
        <f>IFERROR(VLOOKUP(M55, '[1]08_CSDL_DAO_CU_VAT_LIEU'!$A$2:$F$64, 6, FALSE), 27500)</f>
        <v>20833.330000000002</v>
      </c>
      <c r="P55" s="7">
        <v>1.4</v>
      </c>
      <c r="Q55" s="6">
        <f t="shared" si="1"/>
        <v>48125</v>
      </c>
      <c r="R55" s="6">
        <f>ROUND((F55/3600)*IFERROR(VLOOKUP(I55, '[1]02_DM_NHAN_SU_MAY'!$M$2:$Q$25, 5, FALSE), 39375), 0)</f>
        <v>14375</v>
      </c>
      <c r="S55" s="6">
        <v>0</v>
      </c>
      <c r="T55" s="6">
        <f t="shared" si="2"/>
        <v>62500</v>
      </c>
    </row>
    <row r="56" spans="1:20" x14ac:dyDescent="0.25">
      <c r="A56" s="2" t="s">
        <v>181</v>
      </c>
      <c r="B56" s="2">
        <v>55</v>
      </c>
      <c r="C56" s="2" t="s">
        <v>68</v>
      </c>
      <c r="D56" s="2" t="s">
        <v>174</v>
      </c>
      <c r="E56" s="2" t="s">
        <v>182</v>
      </c>
      <c r="F56" s="3">
        <v>3600</v>
      </c>
      <c r="G56" s="4">
        <f t="shared" si="0"/>
        <v>0.125</v>
      </c>
      <c r="H56" s="2">
        <v>4</v>
      </c>
      <c r="I56" s="2" t="s">
        <v>176</v>
      </c>
      <c r="J56" s="2" t="s">
        <v>97</v>
      </c>
      <c r="K56" s="2" t="s">
        <v>98</v>
      </c>
      <c r="L56" s="2" t="s">
        <v>109</v>
      </c>
      <c r="M56" s="2" t="s">
        <v>49</v>
      </c>
      <c r="N56" s="2" t="s">
        <v>50</v>
      </c>
      <c r="O56" s="3">
        <f>IFERROR(VLOOKUP(M56, '[1]08_CSDL_DAO_CU_VAT_LIEU'!$A$2:$F$64, 6, FALSE), 27500)</f>
        <v>20833.330000000002</v>
      </c>
      <c r="P56" s="4">
        <v>1.4</v>
      </c>
      <c r="Q56" s="3">
        <f t="shared" si="1"/>
        <v>48125</v>
      </c>
      <c r="R56" s="3">
        <f>ROUND((F56/3600)*IFERROR(VLOOKUP(I56, '[1]02_DM_NHAN_SU_MAY'!$M$2:$Q$25, 5, FALSE), 39375), 0)</f>
        <v>14375</v>
      </c>
      <c r="S56" s="3">
        <v>0</v>
      </c>
      <c r="T56" s="3">
        <f t="shared" si="2"/>
        <v>62500</v>
      </c>
    </row>
    <row r="57" spans="1:20" x14ac:dyDescent="0.25">
      <c r="A57" s="5" t="s">
        <v>183</v>
      </c>
      <c r="B57" s="5">
        <v>56</v>
      </c>
      <c r="C57" s="5" t="s">
        <v>68</v>
      </c>
      <c r="D57" s="5" t="s">
        <v>174</v>
      </c>
      <c r="E57" s="5" t="s">
        <v>184</v>
      </c>
      <c r="F57" s="6">
        <v>3600</v>
      </c>
      <c r="G57" s="7">
        <f t="shared" si="0"/>
        <v>0.125</v>
      </c>
      <c r="H57" s="5" t="s">
        <v>34</v>
      </c>
      <c r="I57" s="5" t="s">
        <v>176</v>
      </c>
      <c r="J57" s="5" t="s">
        <v>97</v>
      </c>
      <c r="K57" s="5" t="s">
        <v>98</v>
      </c>
      <c r="L57" s="5" t="s">
        <v>109</v>
      </c>
      <c r="M57" s="5" t="s">
        <v>49</v>
      </c>
      <c r="N57" s="5" t="s">
        <v>50</v>
      </c>
      <c r="O57" s="6">
        <f>IFERROR(VLOOKUP(M57, '[1]08_CSDL_DAO_CU_VAT_LIEU'!$A$2:$F$64, 6, FALSE), 27500)</f>
        <v>20833.330000000002</v>
      </c>
      <c r="P57" s="7">
        <v>1.4</v>
      </c>
      <c r="Q57" s="6">
        <f t="shared" si="1"/>
        <v>48125</v>
      </c>
      <c r="R57" s="6">
        <f>ROUND((F57/3600)*IFERROR(VLOOKUP(I57, '[1]02_DM_NHAN_SU_MAY'!$M$2:$Q$25, 5, FALSE), 39375), 0)</f>
        <v>14375</v>
      </c>
      <c r="S57" s="6">
        <v>0</v>
      </c>
      <c r="T57" s="6">
        <f t="shared" si="2"/>
        <v>62500</v>
      </c>
    </row>
    <row r="58" spans="1:20" x14ac:dyDescent="0.25">
      <c r="A58" s="2" t="s">
        <v>185</v>
      </c>
      <c r="B58" s="2">
        <v>57</v>
      </c>
      <c r="C58" s="2" t="s">
        <v>68</v>
      </c>
      <c r="D58" s="2" t="s">
        <v>186</v>
      </c>
      <c r="E58" s="2" t="s">
        <v>187</v>
      </c>
      <c r="F58" s="3">
        <v>3600</v>
      </c>
      <c r="G58" s="4">
        <f t="shared" si="0"/>
        <v>0.125</v>
      </c>
      <c r="H58" s="2" t="s">
        <v>34</v>
      </c>
      <c r="I58" s="2" t="s">
        <v>24</v>
      </c>
      <c r="J58" s="2" t="s">
        <v>97</v>
      </c>
      <c r="K58" s="2" t="s">
        <v>98</v>
      </c>
      <c r="L58" s="2" t="s">
        <v>109</v>
      </c>
      <c r="M58" s="2" t="s">
        <v>49</v>
      </c>
      <c r="N58" s="2" t="s">
        <v>50</v>
      </c>
      <c r="O58" s="3">
        <f>IFERROR(VLOOKUP(M58, '[1]08_CSDL_DAO_CU_VAT_LIEU'!$A$2:$F$64, 6, FALSE), 27500)</f>
        <v>20833.330000000002</v>
      </c>
      <c r="P58" s="4">
        <v>1.4</v>
      </c>
      <c r="Q58" s="3">
        <f t="shared" si="1"/>
        <v>48125</v>
      </c>
      <c r="R58" s="3">
        <f>ROUND((F58/3600)*IFERROR(VLOOKUP(I58, '[1]02_DM_NHAN_SU_MAY'!$M$2:$Q$25, 5, FALSE), 39375), 0)</f>
        <v>39375</v>
      </c>
      <c r="S58" s="3">
        <v>0</v>
      </c>
      <c r="T58" s="3">
        <f t="shared" si="2"/>
        <v>87500</v>
      </c>
    </row>
    <row r="59" spans="1:20" x14ac:dyDescent="0.25">
      <c r="A59" s="5" t="s">
        <v>188</v>
      </c>
      <c r="B59" s="5">
        <v>58</v>
      </c>
      <c r="C59" s="5" t="s">
        <v>68</v>
      </c>
      <c r="D59" s="5" t="s">
        <v>189</v>
      </c>
      <c r="E59" s="5" t="s">
        <v>190</v>
      </c>
      <c r="F59" s="6">
        <v>14400</v>
      </c>
      <c r="G59" s="7">
        <f t="shared" si="0"/>
        <v>0.5</v>
      </c>
      <c r="H59" s="5" t="s">
        <v>34</v>
      </c>
      <c r="I59" s="5" t="s">
        <v>24</v>
      </c>
      <c r="J59" s="5" t="s">
        <v>97</v>
      </c>
      <c r="K59" s="5" t="s">
        <v>98</v>
      </c>
      <c r="L59" s="5" t="s">
        <v>109</v>
      </c>
      <c r="M59" s="5" t="s">
        <v>49</v>
      </c>
      <c r="N59" s="5" t="s">
        <v>50</v>
      </c>
      <c r="O59" s="6">
        <f>IFERROR(VLOOKUP(M59, '[1]08_CSDL_DAO_CU_VAT_LIEU'!$A$2:$F$64, 6, FALSE), 27500)</f>
        <v>20833.330000000002</v>
      </c>
      <c r="P59" s="7">
        <v>5.6</v>
      </c>
      <c r="Q59" s="6">
        <f t="shared" si="1"/>
        <v>192500</v>
      </c>
      <c r="R59" s="6">
        <f>ROUND((F59/3600)*IFERROR(VLOOKUP(I59, '[1]02_DM_NHAN_SU_MAY'!$M$2:$Q$25, 5, FALSE), 39375), 0)</f>
        <v>157500</v>
      </c>
      <c r="S59" s="6">
        <v>0</v>
      </c>
      <c r="T59" s="6">
        <f t="shared" si="2"/>
        <v>350000</v>
      </c>
    </row>
    <row r="60" spans="1:20" x14ac:dyDescent="0.25">
      <c r="A60" s="2" t="s">
        <v>191</v>
      </c>
      <c r="B60" s="2">
        <v>59</v>
      </c>
      <c r="C60" s="2" t="s">
        <v>68</v>
      </c>
      <c r="D60" s="2" t="s">
        <v>192</v>
      </c>
      <c r="E60" s="2" t="s">
        <v>193</v>
      </c>
      <c r="F60" s="3">
        <v>13200</v>
      </c>
      <c r="G60" s="4">
        <f t="shared" si="0"/>
        <v>0.45829999999999999</v>
      </c>
      <c r="H60" s="2" t="s">
        <v>34</v>
      </c>
      <c r="I60" s="2" t="s">
        <v>24</v>
      </c>
      <c r="J60" s="2" t="s">
        <v>97</v>
      </c>
      <c r="K60" s="2" t="s">
        <v>98</v>
      </c>
      <c r="L60" s="2" t="s">
        <v>109</v>
      </c>
      <c r="M60" s="2" t="s">
        <v>49</v>
      </c>
      <c r="N60" s="2" t="s">
        <v>50</v>
      </c>
      <c r="O60" s="3">
        <f>IFERROR(VLOOKUP(M60, '[1]08_CSDL_DAO_CU_VAT_LIEU'!$A$2:$F$64, 6, FALSE), 27500)</f>
        <v>20833.330000000002</v>
      </c>
      <c r="P60" s="4">
        <v>5.13</v>
      </c>
      <c r="Q60" s="3">
        <f t="shared" si="1"/>
        <v>176458</v>
      </c>
      <c r="R60" s="3">
        <f>ROUND((F60/3600)*IFERROR(VLOOKUP(I60, '[1]02_DM_NHAN_SU_MAY'!$M$2:$Q$25, 5, FALSE), 39375), 0)</f>
        <v>144375</v>
      </c>
      <c r="S60" s="3">
        <v>0</v>
      </c>
      <c r="T60" s="3">
        <f t="shared" si="2"/>
        <v>320833</v>
      </c>
    </row>
    <row r="61" spans="1:20" x14ac:dyDescent="0.25">
      <c r="A61" s="5" t="s">
        <v>194</v>
      </c>
      <c r="B61" s="5">
        <v>60</v>
      </c>
      <c r="C61" s="5" t="s">
        <v>149</v>
      </c>
      <c r="D61" s="5" t="s">
        <v>195</v>
      </c>
      <c r="E61" s="5" t="s">
        <v>147</v>
      </c>
      <c r="F61" s="6">
        <v>4800</v>
      </c>
      <c r="G61" s="7">
        <f t="shared" si="0"/>
        <v>0.16669999999999999</v>
      </c>
      <c r="H61" s="5" t="s">
        <v>34</v>
      </c>
      <c r="I61" s="5" t="s">
        <v>151</v>
      </c>
      <c r="J61" s="5" t="s">
        <v>36</v>
      </c>
      <c r="K61" s="5" t="s">
        <v>37</v>
      </c>
      <c r="L61" s="5" t="s">
        <v>38</v>
      </c>
      <c r="M61" s="5" t="s">
        <v>49</v>
      </c>
      <c r="N61" s="5" t="s">
        <v>50</v>
      </c>
      <c r="O61" s="6">
        <f>IFERROR(VLOOKUP(M61, '[1]08_CSDL_DAO_CU_VAT_LIEU'!$A$2:$F$64, 6, FALSE), 27500)</f>
        <v>20833.330000000002</v>
      </c>
      <c r="P61" s="7">
        <v>2.2400000000000002</v>
      </c>
      <c r="Q61" s="6">
        <f t="shared" si="1"/>
        <v>64167</v>
      </c>
      <c r="R61" s="6">
        <f>ROUND((F61/3600)*IFERROR(VLOOKUP(I61, '[1]02_DM_NHAN_SU_MAY'!$M$2:$Q$25, 5, FALSE), 39375), 0)</f>
        <v>52500</v>
      </c>
      <c r="S61" s="6">
        <v>0</v>
      </c>
      <c r="T61" s="6">
        <f t="shared" si="2"/>
        <v>116667</v>
      </c>
    </row>
    <row r="62" spans="1:20" x14ac:dyDescent="0.25">
      <c r="A62" s="2" t="s">
        <v>196</v>
      </c>
      <c r="B62" s="2">
        <v>61</v>
      </c>
      <c r="C62" s="2" t="s">
        <v>149</v>
      </c>
      <c r="D62" s="2" t="s">
        <v>197</v>
      </c>
      <c r="E62" s="2" t="s">
        <v>147</v>
      </c>
      <c r="F62" s="3">
        <v>4800</v>
      </c>
      <c r="G62" s="4">
        <f t="shared" si="0"/>
        <v>0.16669999999999999</v>
      </c>
      <c r="H62" s="2" t="s">
        <v>34</v>
      </c>
      <c r="I62" s="2" t="s">
        <v>151</v>
      </c>
      <c r="J62" s="2" t="s">
        <v>36</v>
      </c>
      <c r="K62" s="2" t="s">
        <v>37</v>
      </c>
      <c r="L62" s="2" t="s">
        <v>38</v>
      </c>
      <c r="M62" s="2" t="s">
        <v>49</v>
      </c>
      <c r="N62" s="2" t="s">
        <v>50</v>
      </c>
      <c r="O62" s="3">
        <f>IFERROR(VLOOKUP(M62, '[1]08_CSDL_DAO_CU_VAT_LIEU'!$A$2:$F$64, 6, FALSE), 27500)</f>
        <v>20833.330000000002</v>
      </c>
      <c r="P62" s="4">
        <v>2.2400000000000002</v>
      </c>
      <c r="Q62" s="3">
        <f t="shared" si="1"/>
        <v>64167</v>
      </c>
      <c r="R62" s="3">
        <f>ROUND((F62/3600)*IFERROR(VLOOKUP(I62, '[1]02_DM_NHAN_SU_MAY'!$M$2:$Q$25, 5, FALSE), 39375), 0)</f>
        <v>52500</v>
      </c>
      <c r="S62" s="3">
        <v>0</v>
      </c>
      <c r="T62" s="3">
        <f t="shared" si="2"/>
        <v>116667</v>
      </c>
    </row>
    <row r="63" spans="1:20" x14ac:dyDescent="0.25">
      <c r="A63" s="5" t="s">
        <v>198</v>
      </c>
      <c r="B63" s="5">
        <v>62</v>
      </c>
      <c r="C63" s="5" t="s">
        <v>149</v>
      </c>
      <c r="D63" s="5" t="s">
        <v>199</v>
      </c>
      <c r="E63" s="5" t="s">
        <v>147</v>
      </c>
      <c r="F63" s="6">
        <v>7200</v>
      </c>
      <c r="G63" s="7">
        <f t="shared" si="0"/>
        <v>0.25</v>
      </c>
      <c r="H63" s="5" t="s">
        <v>34</v>
      </c>
      <c r="I63" s="5" t="s">
        <v>151</v>
      </c>
      <c r="J63" s="5" t="s">
        <v>36</v>
      </c>
      <c r="K63" s="5" t="s">
        <v>37</v>
      </c>
      <c r="L63" s="5" t="s">
        <v>38</v>
      </c>
      <c r="M63" s="5" t="s">
        <v>49</v>
      </c>
      <c r="N63" s="5" t="s">
        <v>50</v>
      </c>
      <c r="O63" s="6">
        <f>IFERROR(VLOOKUP(M63, '[1]08_CSDL_DAO_CU_VAT_LIEU'!$A$2:$F$64, 6, FALSE), 27500)</f>
        <v>20833.330000000002</v>
      </c>
      <c r="P63" s="7">
        <v>3.36</v>
      </c>
      <c r="Q63" s="6">
        <f t="shared" si="1"/>
        <v>96250</v>
      </c>
      <c r="R63" s="6">
        <f>ROUND((F63/3600)*IFERROR(VLOOKUP(I63, '[1]02_DM_NHAN_SU_MAY'!$M$2:$Q$25, 5, FALSE), 39375), 0)</f>
        <v>78750</v>
      </c>
      <c r="S63" s="6">
        <v>0</v>
      </c>
      <c r="T63" s="6">
        <f t="shared" si="2"/>
        <v>175000</v>
      </c>
    </row>
    <row r="64" spans="1:20" x14ac:dyDescent="0.25">
      <c r="A64" s="2" t="s">
        <v>200</v>
      </c>
      <c r="B64" s="2">
        <v>63</v>
      </c>
      <c r="C64" s="2" t="s">
        <v>149</v>
      </c>
      <c r="D64" s="2" t="s">
        <v>201</v>
      </c>
      <c r="E64" s="2" t="s">
        <v>147</v>
      </c>
      <c r="F64" s="2">
        <v>720</v>
      </c>
      <c r="G64" s="4">
        <f t="shared" si="0"/>
        <v>2.5000000000000001E-2</v>
      </c>
      <c r="H64" s="2" t="s">
        <v>34</v>
      </c>
      <c r="I64" s="2" t="s">
        <v>151</v>
      </c>
      <c r="J64" s="2" t="s">
        <v>36</v>
      </c>
      <c r="K64" s="2" t="s">
        <v>37</v>
      </c>
      <c r="L64" s="2" t="s">
        <v>38</v>
      </c>
      <c r="M64" s="2" t="s">
        <v>49</v>
      </c>
      <c r="N64" s="2" t="s">
        <v>50</v>
      </c>
      <c r="O64" s="3">
        <f>IFERROR(VLOOKUP(M64, '[1]08_CSDL_DAO_CU_VAT_LIEU'!$A$2:$F$64, 6, FALSE), 27500)</f>
        <v>20833.330000000002</v>
      </c>
      <c r="P64" s="4">
        <v>0.34</v>
      </c>
      <c r="Q64" s="3">
        <f t="shared" si="1"/>
        <v>9625</v>
      </c>
      <c r="R64" s="3">
        <f>ROUND((F64/3600)*IFERROR(VLOOKUP(I64, '[1]02_DM_NHAN_SU_MAY'!$M$2:$Q$25, 5, FALSE), 39375), 0)</f>
        <v>7875</v>
      </c>
      <c r="S64" s="3">
        <v>0</v>
      </c>
      <c r="T64" s="3">
        <f t="shared" si="2"/>
        <v>17500</v>
      </c>
    </row>
    <row r="65" spans="1:20" x14ac:dyDescent="0.25">
      <c r="A65" s="5" t="s">
        <v>202</v>
      </c>
      <c r="B65" s="5">
        <v>64</v>
      </c>
      <c r="C65" s="5" t="s">
        <v>149</v>
      </c>
      <c r="D65" s="5" t="s">
        <v>203</v>
      </c>
      <c r="E65" s="5" t="s">
        <v>147</v>
      </c>
      <c r="F65" s="5">
        <v>480</v>
      </c>
      <c r="G65" s="7">
        <f t="shared" si="0"/>
        <v>1.67E-2</v>
      </c>
      <c r="H65" s="5" t="s">
        <v>34</v>
      </c>
      <c r="I65" s="5" t="s">
        <v>151</v>
      </c>
      <c r="J65" s="5" t="s">
        <v>36</v>
      </c>
      <c r="K65" s="5" t="s">
        <v>37</v>
      </c>
      <c r="L65" s="5" t="s">
        <v>38</v>
      </c>
      <c r="M65" s="5" t="s">
        <v>49</v>
      </c>
      <c r="N65" s="5" t="s">
        <v>50</v>
      </c>
      <c r="O65" s="6">
        <f>IFERROR(VLOOKUP(M65, '[1]08_CSDL_DAO_CU_VAT_LIEU'!$A$2:$F$64, 6, FALSE), 27500)</f>
        <v>20833.330000000002</v>
      </c>
      <c r="P65" s="7">
        <v>0.22</v>
      </c>
      <c r="Q65" s="6">
        <f t="shared" si="1"/>
        <v>6417</v>
      </c>
      <c r="R65" s="6">
        <f>ROUND((F65/3600)*IFERROR(VLOOKUP(I65, '[1]02_DM_NHAN_SU_MAY'!$M$2:$Q$25, 5, FALSE), 39375), 0)</f>
        <v>5250</v>
      </c>
      <c r="S65" s="6">
        <v>0</v>
      </c>
      <c r="T65" s="6">
        <f t="shared" si="2"/>
        <v>11667</v>
      </c>
    </row>
    <row r="66" spans="1:20" x14ac:dyDescent="0.25">
      <c r="A66" s="2" t="s">
        <v>204</v>
      </c>
      <c r="B66" s="2">
        <v>65</v>
      </c>
      <c r="C66" s="2" t="s">
        <v>68</v>
      </c>
      <c r="D66" s="2" t="s">
        <v>205</v>
      </c>
      <c r="E66" s="2" t="s">
        <v>147</v>
      </c>
      <c r="F66" s="3">
        <v>5400</v>
      </c>
      <c r="G66" s="4">
        <f t="shared" ref="G66:G129" si="3">ROUND(F66/28800, 4)</f>
        <v>0.1875</v>
      </c>
      <c r="H66" s="2" t="s">
        <v>34</v>
      </c>
      <c r="I66" s="2" t="s">
        <v>24</v>
      </c>
      <c r="J66" s="2" t="s">
        <v>97</v>
      </c>
      <c r="K66" s="2" t="s">
        <v>98</v>
      </c>
      <c r="L66" s="2" t="s">
        <v>109</v>
      </c>
      <c r="M66" s="2" t="s">
        <v>28</v>
      </c>
      <c r="N66" s="2" t="s">
        <v>29</v>
      </c>
      <c r="O66" s="3">
        <f>IFERROR(VLOOKUP(M66, '[1]08_CSDL_DAO_CU_VAT_LIEU'!$A$2:$F$64, 6, FALSE), 27500)</f>
        <v>27500</v>
      </c>
      <c r="P66" s="4">
        <v>2.1</v>
      </c>
      <c r="Q66" s="3">
        <f t="shared" ref="Q66:Q129" si="4">ROUND(F66*(385000/28800), 0)</f>
        <v>72188</v>
      </c>
      <c r="R66" s="3">
        <f>ROUND((F66/3600)*IFERROR(VLOOKUP(I66, '[1]02_DM_NHAN_SU_MAY'!$M$2:$Q$25, 5, FALSE), 39375), 0)</f>
        <v>59063</v>
      </c>
      <c r="S66" s="3">
        <v>0</v>
      </c>
      <c r="T66" s="3">
        <f t="shared" ref="T66:T129" si="5">Q66+R66</f>
        <v>131251</v>
      </c>
    </row>
    <row r="67" spans="1:20" x14ac:dyDescent="0.25">
      <c r="A67" s="5" t="s">
        <v>206</v>
      </c>
      <c r="B67" s="5">
        <v>66</v>
      </c>
      <c r="C67" s="5" t="s">
        <v>149</v>
      </c>
      <c r="D67" s="5" t="s">
        <v>207</v>
      </c>
      <c r="E67" s="5" t="s">
        <v>147</v>
      </c>
      <c r="F67" s="6">
        <v>7200</v>
      </c>
      <c r="G67" s="7">
        <f t="shared" si="3"/>
        <v>0.25</v>
      </c>
      <c r="H67" s="5" t="s">
        <v>34</v>
      </c>
      <c r="I67" s="5" t="s">
        <v>151</v>
      </c>
      <c r="J67" s="5" t="s">
        <v>36</v>
      </c>
      <c r="K67" s="5" t="s">
        <v>37</v>
      </c>
      <c r="L67" s="5" t="s">
        <v>38</v>
      </c>
      <c r="M67" s="5" t="s">
        <v>49</v>
      </c>
      <c r="N67" s="5" t="s">
        <v>50</v>
      </c>
      <c r="O67" s="6">
        <f>IFERROR(VLOOKUP(M67, '[1]08_CSDL_DAO_CU_VAT_LIEU'!$A$2:$F$64, 6, FALSE), 27500)</f>
        <v>20833.330000000002</v>
      </c>
      <c r="P67" s="7">
        <v>3.36</v>
      </c>
      <c r="Q67" s="6">
        <f t="shared" si="4"/>
        <v>96250</v>
      </c>
      <c r="R67" s="6">
        <f>ROUND((F67/3600)*IFERROR(VLOOKUP(I67, '[1]02_DM_NHAN_SU_MAY'!$M$2:$Q$25, 5, FALSE), 39375), 0)</f>
        <v>78750</v>
      </c>
      <c r="S67" s="6">
        <v>0</v>
      </c>
      <c r="T67" s="6">
        <f t="shared" si="5"/>
        <v>175000</v>
      </c>
    </row>
    <row r="68" spans="1:20" x14ac:dyDescent="0.25">
      <c r="A68" s="2" t="s">
        <v>208</v>
      </c>
      <c r="B68" s="2">
        <v>67</v>
      </c>
      <c r="C68" s="2" t="s">
        <v>21</v>
      </c>
      <c r="D68" s="2" t="s">
        <v>209</v>
      </c>
      <c r="E68" s="2" t="s">
        <v>210</v>
      </c>
      <c r="F68" s="3">
        <v>86400</v>
      </c>
      <c r="G68" s="4">
        <f t="shared" si="3"/>
        <v>3</v>
      </c>
      <c r="H68" s="2">
        <v>1</v>
      </c>
      <c r="I68" s="2" t="s">
        <v>71</v>
      </c>
      <c r="J68" s="2" t="s">
        <v>25</v>
      </c>
      <c r="K68" s="2" t="s">
        <v>26</v>
      </c>
      <c r="L68" s="2" t="s">
        <v>211</v>
      </c>
      <c r="M68" s="2" t="s">
        <v>75</v>
      </c>
      <c r="N68" s="2" t="s">
        <v>76</v>
      </c>
      <c r="O68" s="3">
        <f>IFERROR(VLOOKUP(M68, '[1]08_CSDL_DAO_CU_VAT_LIEU'!$A$2:$F$64, 6, FALSE), 27500)</f>
        <v>42500</v>
      </c>
      <c r="P68" s="4">
        <v>50.4</v>
      </c>
      <c r="Q68" s="3">
        <f t="shared" si="4"/>
        <v>1155000</v>
      </c>
      <c r="R68" s="3">
        <f>ROUND((F68/3600)*IFERROR(VLOOKUP(I68, '[1]02_DM_NHAN_SU_MAY'!$M$2:$Q$25, 5, FALSE), 39375), 0)</f>
        <v>645000</v>
      </c>
      <c r="S68" s="3">
        <v>0</v>
      </c>
      <c r="T68" s="3">
        <f t="shared" si="5"/>
        <v>1800000</v>
      </c>
    </row>
    <row r="69" spans="1:20" x14ac:dyDescent="0.25">
      <c r="A69" s="5" t="s">
        <v>212</v>
      </c>
      <c r="B69" s="5">
        <v>68</v>
      </c>
      <c r="C69" s="5" t="s">
        <v>21</v>
      </c>
      <c r="D69" s="5" t="s">
        <v>209</v>
      </c>
      <c r="E69" s="5" t="s">
        <v>213</v>
      </c>
      <c r="F69" s="6">
        <v>42000</v>
      </c>
      <c r="G69" s="7">
        <f t="shared" si="3"/>
        <v>1.4582999999999999</v>
      </c>
      <c r="H69" s="5">
        <v>2</v>
      </c>
      <c r="I69" s="5" t="s">
        <v>71</v>
      </c>
      <c r="J69" s="5" t="s">
        <v>25</v>
      </c>
      <c r="K69" s="5" t="s">
        <v>26</v>
      </c>
      <c r="L69" s="5" t="s">
        <v>211</v>
      </c>
      <c r="M69" s="5" t="s">
        <v>75</v>
      </c>
      <c r="N69" s="5" t="s">
        <v>76</v>
      </c>
      <c r="O69" s="6">
        <f>IFERROR(VLOOKUP(M69, '[1]08_CSDL_DAO_CU_VAT_LIEU'!$A$2:$F$64, 6, FALSE), 27500)</f>
        <v>42500</v>
      </c>
      <c r="P69" s="7">
        <v>24.5</v>
      </c>
      <c r="Q69" s="6">
        <f t="shared" si="4"/>
        <v>561458</v>
      </c>
      <c r="R69" s="6">
        <f>ROUND((F69/3600)*IFERROR(VLOOKUP(I69, '[1]02_DM_NHAN_SU_MAY'!$M$2:$Q$25, 5, FALSE), 39375), 0)</f>
        <v>313542</v>
      </c>
      <c r="S69" s="6">
        <v>0</v>
      </c>
      <c r="T69" s="6">
        <f t="shared" si="5"/>
        <v>875000</v>
      </c>
    </row>
    <row r="70" spans="1:20" x14ac:dyDescent="0.25">
      <c r="A70" s="2" t="s">
        <v>214</v>
      </c>
      <c r="B70" s="2">
        <v>69</v>
      </c>
      <c r="C70" s="2" t="s">
        <v>21</v>
      </c>
      <c r="D70" s="2" t="s">
        <v>209</v>
      </c>
      <c r="E70" s="2" t="s">
        <v>215</v>
      </c>
      <c r="F70" s="3">
        <v>42000</v>
      </c>
      <c r="G70" s="4">
        <f t="shared" si="3"/>
        <v>1.4582999999999999</v>
      </c>
      <c r="H70" s="2" t="s">
        <v>34</v>
      </c>
      <c r="I70" s="2" t="s">
        <v>71</v>
      </c>
      <c r="J70" s="2" t="s">
        <v>25</v>
      </c>
      <c r="K70" s="2" t="s">
        <v>26</v>
      </c>
      <c r="L70" s="2" t="s">
        <v>211</v>
      </c>
      <c r="M70" s="2" t="s">
        <v>75</v>
      </c>
      <c r="N70" s="2" t="s">
        <v>76</v>
      </c>
      <c r="O70" s="3">
        <f>IFERROR(VLOOKUP(M70, '[1]08_CSDL_DAO_CU_VAT_LIEU'!$A$2:$F$64, 6, FALSE), 27500)</f>
        <v>42500</v>
      </c>
      <c r="P70" s="4">
        <v>24.5</v>
      </c>
      <c r="Q70" s="3">
        <f t="shared" si="4"/>
        <v>561458</v>
      </c>
      <c r="R70" s="3">
        <f>ROUND((F70/3600)*IFERROR(VLOOKUP(I70, '[1]02_DM_NHAN_SU_MAY'!$M$2:$Q$25, 5, FALSE), 39375), 0)</f>
        <v>313542</v>
      </c>
      <c r="S70" s="3">
        <v>0</v>
      </c>
      <c r="T70" s="3">
        <f t="shared" si="5"/>
        <v>875000</v>
      </c>
    </row>
    <row r="71" spans="1:20" x14ac:dyDescent="0.25">
      <c r="A71" s="5" t="s">
        <v>216</v>
      </c>
      <c r="B71" s="5">
        <v>70</v>
      </c>
      <c r="C71" s="5" t="s">
        <v>217</v>
      </c>
      <c r="D71" s="5" t="s">
        <v>218</v>
      </c>
      <c r="E71" s="5" t="s">
        <v>219</v>
      </c>
      <c r="F71" s="6">
        <v>324000</v>
      </c>
      <c r="G71" s="7">
        <f t="shared" si="3"/>
        <v>11.25</v>
      </c>
      <c r="H71" s="5">
        <v>1</v>
      </c>
      <c r="I71" s="5" t="s">
        <v>35</v>
      </c>
      <c r="J71" s="5" t="s">
        <v>56</v>
      </c>
      <c r="K71" s="5" t="s">
        <v>57</v>
      </c>
      <c r="L71" s="5" t="s">
        <v>58</v>
      </c>
      <c r="M71" s="5" t="s">
        <v>138</v>
      </c>
      <c r="N71" s="5" t="s">
        <v>139</v>
      </c>
      <c r="O71" s="6">
        <f>IFERROR(VLOOKUP(M71, '[1]08_CSDL_DAO_CU_VAT_LIEU'!$A$2:$F$64, 6, FALSE), 27500)</f>
        <v>32500</v>
      </c>
      <c r="P71" s="7">
        <v>151.19999999999999</v>
      </c>
      <c r="Q71" s="6">
        <f t="shared" si="4"/>
        <v>4331250</v>
      </c>
      <c r="R71" s="6">
        <f>ROUND((F71/3600)*IFERROR(VLOOKUP(I71, '[1]02_DM_NHAN_SU_MAY'!$M$2:$Q$25, 5, FALSE), 39375), 0)</f>
        <v>3543750</v>
      </c>
      <c r="S71" s="6">
        <v>0</v>
      </c>
      <c r="T71" s="6">
        <f t="shared" si="5"/>
        <v>7875000</v>
      </c>
    </row>
    <row r="72" spans="1:20" x14ac:dyDescent="0.25">
      <c r="A72" s="2" t="s">
        <v>220</v>
      </c>
      <c r="B72" s="2">
        <v>71</v>
      </c>
      <c r="C72" s="2" t="s">
        <v>217</v>
      </c>
      <c r="D72" s="2" t="s">
        <v>218</v>
      </c>
      <c r="E72" s="2" t="s">
        <v>221</v>
      </c>
      <c r="F72" s="3">
        <v>324000</v>
      </c>
      <c r="G72" s="4">
        <f t="shared" si="3"/>
        <v>11.25</v>
      </c>
      <c r="H72" s="2">
        <v>2</v>
      </c>
      <c r="I72" s="2" t="s">
        <v>35</v>
      </c>
      <c r="J72" s="2" t="s">
        <v>56</v>
      </c>
      <c r="K72" s="2" t="s">
        <v>57</v>
      </c>
      <c r="L72" s="2" t="s">
        <v>58</v>
      </c>
      <c r="M72" s="2" t="s">
        <v>138</v>
      </c>
      <c r="N72" s="2" t="s">
        <v>139</v>
      </c>
      <c r="O72" s="3">
        <f>IFERROR(VLOOKUP(M72, '[1]08_CSDL_DAO_CU_VAT_LIEU'!$A$2:$F$64, 6, FALSE), 27500)</f>
        <v>32500</v>
      </c>
      <c r="P72" s="4">
        <v>151.19999999999999</v>
      </c>
      <c r="Q72" s="3">
        <f t="shared" si="4"/>
        <v>4331250</v>
      </c>
      <c r="R72" s="3">
        <f>ROUND((F72/3600)*IFERROR(VLOOKUP(I72, '[1]02_DM_NHAN_SU_MAY'!$M$2:$Q$25, 5, FALSE), 39375), 0)</f>
        <v>3543750</v>
      </c>
      <c r="S72" s="3">
        <v>0</v>
      </c>
      <c r="T72" s="3">
        <f t="shared" si="5"/>
        <v>7875000</v>
      </c>
    </row>
    <row r="73" spans="1:20" x14ac:dyDescent="0.25">
      <c r="A73" s="5" t="s">
        <v>222</v>
      </c>
      <c r="B73" s="5">
        <v>72</v>
      </c>
      <c r="C73" s="5" t="s">
        <v>217</v>
      </c>
      <c r="D73" s="5" t="s">
        <v>218</v>
      </c>
      <c r="E73" s="5" t="s">
        <v>223</v>
      </c>
      <c r="F73" s="6">
        <v>324000</v>
      </c>
      <c r="G73" s="7">
        <f t="shared" si="3"/>
        <v>11.25</v>
      </c>
      <c r="H73" s="5">
        <v>3</v>
      </c>
      <c r="I73" s="5" t="s">
        <v>35</v>
      </c>
      <c r="J73" s="5" t="s">
        <v>56</v>
      </c>
      <c r="K73" s="5" t="s">
        <v>57</v>
      </c>
      <c r="L73" s="5" t="s">
        <v>58</v>
      </c>
      <c r="M73" s="5" t="s">
        <v>138</v>
      </c>
      <c r="N73" s="5" t="s">
        <v>139</v>
      </c>
      <c r="O73" s="6">
        <f>IFERROR(VLOOKUP(M73, '[1]08_CSDL_DAO_CU_VAT_LIEU'!$A$2:$F$64, 6, FALSE), 27500)</f>
        <v>32500</v>
      </c>
      <c r="P73" s="7">
        <v>151.19999999999999</v>
      </c>
      <c r="Q73" s="6">
        <f t="shared" si="4"/>
        <v>4331250</v>
      </c>
      <c r="R73" s="6">
        <f>ROUND((F73/3600)*IFERROR(VLOOKUP(I73, '[1]02_DM_NHAN_SU_MAY'!$M$2:$Q$25, 5, FALSE), 39375), 0)</f>
        <v>3543750</v>
      </c>
      <c r="S73" s="6">
        <v>0</v>
      </c>
      <c r="T73" s="6">
        <f t="shared" si="5"/>
        <v>7875000</v>
      </c>
    </row>
    <row r="74" spans="1:20" x14ac:dyDescent="0.25">
      <c r="A74" s="2" t="s">
        <v>224</v>
      </c>
      <c r="B74" s="2">
        <v>73</v>
      </c>
      <c r="C74" s="2" t="s">
        <v>217</v>
      </c>
      <c r="D74" s="2" t="s">
        <v>218</v>
      </c>
      <c r="E74" s="2" t="s">
        <v>225</v>
      </c>
      <c r="F74" s="3">
        <v>324000</v>
      </c>
      <c r="G74" s="4">
        <f t="shared" si="3"/>
        <v>11.25</v>
      </c>
      <c r="H74" s="2">
        <v>4</v>
      </c>
      <c r="I74" s="2" t="s">
        <v>35</v>
      </c>
      <c r="J74" s="2" t="s">
        <v>56</v>
      </c>
      <c r="K74" s="2" t="s">
        <v>57</v>
      </c>
      <c r="L74" s="2" t="s">
        <v>58</v>
      </c>
      <c r="M74" s="2" t="s">
        <v>138</v>
      </c>
      <c r="N74" s="2" t="s">
        <v>139</v>
      </c>
      <c r="O74" s="3">
        <f>IFERROR(VLOOKUP(M74, '[1]08_CSDL_DAO_CU_VAT_LIEU'!$A$2:$F$64, 6, FALSE), 27500)</f>
        <v>32500</v>
      </c>
      <c r="P74" s="4">
        <v>151.19999999999999</v>
      </c>
      <c r="Q74" s="3">
        <f t="shared" si="4"/>
        <v>4331250</v>
      </c>
      <c r="R74" s="3">
        <f>ROUND((F74/3600)*IFERROR(VLOOKUP(I74, '[1]02_DM_NHAN_SU_MAY'!$M$2:$Q$25, 5, FALSE), 39375), 0)</f>
        <v>3543750</v>
      </c>
      <c r="S74" s="3">
        <v>0</v>
      </c>
      <c r="T74" s="3">
        <f t="shared" si="5"/>
        <v>7875000</v>
      </c>
    </row>
    <row r="75" spans="1:20" x14ac:dyDescent="0.25">
      <c r="A75" s="5" t="s">
        <v>226</v>
      </c>
      <c r="B75" s="5">
        <v>74</v>
      </c>
      <c r="C75" s="5" t="s">
        <v>217</v>
      </c>
      <c r="D75" s="5" t="s">
        <v>218</v>
      </c>
      <c r="E75" s="5" t="s">
        <v>227</v>
      </c>
      <c r="F75" s="6">
        <v>5400</v>
      </c>
      <c r="G75" s="7">
        <f t="shared" si="3"/>
        <v>0.1875</v>
      </c>
      <c r="H75" s="5">
        <v>5</v>
      </c>
      <c r="I75" s="5" t="s">
        <v>24</v>
      </c>
      <c r="J75" s="5" t="s">
        <v>56</v>
      </c>
      <c r="K75" s="5" t="s">
        <v>57</v>
      </c>
      <c r="L75" s="5" t="s">
        <v>58</v>
      </c>
      <c r="M75" s="5" t="s">
        <v>28</v>
      </c>
      <c r="N75" s="5" t="s">
        <v>29</v>
      </c>
      <c r="O75" s="6">
        <f>IFERROR(VLOOKUP(M75, '[1]08_CSDL_DAO_CU_VAT_LIEU'!$A$2:$F$64, 6, FALSE), 27500)</f>
        <v>27500</v>
      </c>
      <c r="P75" s="7">
        <v>2.52</v>
      </c>
      <c r="Q75" s="6">
        <f t="shared" si="4"/>
        <v>72188</v>
      </c>
      <c r="R75" s="6">
        <f>ROUND((F75/3600)*IFERROR(VLOOKUP(I75, '[1]02_DM_NHAN_SU_MAY'!$M$2:$Q$25, 5, FALSE), 39375), 0)</f>
        <v>59063</v>
      </c>
      <c r="S75" s="6">
        <v>0</v>
      </c>
      <c r="T75" s="6">
        <f t="shared" si="5"/>
        <v>131251</v>
      </c>
    </row>
    <row r="76" spans="1:20" x14ac:dyDescent="0.25">
      <c r="A76" s="2" t="s">
        <v>228</v>
      </c>
      <c r="B76" s="2">
        <v>75</v>
      </c>
      <c r="C76" s="2" t="s">
        <v>217</v>
      </c>
      <c r="D76" s="2" t="s">
        <v>218</v>
      </c>
      <c r="E76" s="2" t="s">
        <v>229</v>
      </c>
      <c r="F76" s="3">
        <v>5400</v>
      </c>
      <c r="G76" s="4">
        <f t="shared" si="3"/>
        <v>0.1875</v>
      </c>
      <c r="H76" s="2">
        <v>6</v>
      </c>
      <c r="I76" s="2" t="s">
        <v>24</v>
      </c>
      <c r="J76" s="2" t="s">
        <v>56</v>
      </c>
      <c r="K76" s="2" t="s">
        <v>57</v>
      </c>
      <c r="L76" s="2" t="s">
        <v>58</v>
      </c>
      <c r="M76" s="2" t="s">
        <v>28</v>
      </c>
      <c r="N76" s="2" t="s">
        <v>29</v>
      </c>
      <c r="O76" s="3">
        <f>IFERROR(VLOOKUP(M76, '[1]08_CSDL_DAO_CU_VAT_LIEU'!$A$2:$F$64, 6, FALSE), 27500)</f>
        <v>27500</v>
      </c>
      <c r="P76" s="4">
        <v>2.52</v>
      </c>
      <c r="Q76" s="3">
        <f t="shared" si="4"/>
        <v>72188</v>
      </c>
      <c r="R76" s="3">
        <f>ROUND((F76/3600)*IFERROR(VLOOKUP(I76, '[1]02_DM_NHAN_SU_MAY'!$M$2:$Q$25, 5, FALSE), 39375), 0)</f>
        <v>59063</v>
      </c>
      <c r="S76" s="3">
        <v>0</v>
      </c>
      <c r="T76" s="3">
        <f t="shared" si="5"/>
        <v>131251</v>
      </c>
    </row>
    <row r="77" spans="1:20" x14ac:dyDescent="0.25">
      <c r="A77" s="5" t="s">
        <v>230</v>
      </c>
      <c r="B77" s="5">
        <v>76</v>
      </c>
      <c r="C77" s="5" t="s">
        <v>217</v>
      </c>
      <c r="D77" s="5" t="s">
        <v>218</v>
      </c>
      <c r="E77" s="5" t="s">
        <v>231</v>
      </c>
      <c r="F77" s="6">
        <v>5400</v>
      </c>
      <c r="G77" s="7">
        <f t="shared" si="3"/>
        <v>0.1875</v>
      </c>
      <c r="H77" s="5">
        <v>7</v>
      </c>
      <c r="I77" s="5" t="s">
        <v>24</v>
      </c>
      <c r="J77" s="5" t="s">
        <v>56</v>
      </c>
      <c r="K77" s="5" t="s">
        <v>57</v>
      </c>
      <c r="L77" s="5" t="s">
        <v>58</v>
      </c>
      <c r="M77" s="5" t="s">
        <v>28</v>
      </c>
      <c r="N77" s="5" t="s">
        <v>29</v>
      </c>
      <c r="O77" s="6">
        <f>IFERROR(VLOOKUP(M77, '[1]08_CSDL_DAO_CU_VAT_LIEU'!$A$2:$F$64, 6, FALSE), 27500)</f>
        <v>27500</v>
      </c>
      <c r="P77" s="7">
        <v>2.52</v>
      </c>
      <c r="Q77" s="6">
        <f t="shared" si="4"/>
        <v>72188</v>
      </c>
      <c r="R77" s="6">
        <f>ROUND((F77/3600)*IFERROR(VLOOKUP(I77, '[1]02_DM_NHAN_SU_MAY'!$M$2:$Q$25, 5, FALSE), 39375), 0)</f>
        <v>59063</v>
      </c>
      <c r="S77" s="6">
        <v>0</v>
      </c>
      <c r="T77" s="6">
        <f t="shared" si="5"/>
        <v>131251</v>
      </c>
    </row>
    <row r="78" spans="1:20" x14ac:dyDescent="0.25">
      <c r="A78" s="2" t="s">
        <v>232</v>
      </c>
      <c r="B78" s="2">
        <v>77</v>
      </c>
      <c r="C78" s="2" t="s">
        <v>217</v>
      </c>
      <c r="D78" s="2" t="s">
        <v>218</v>
      </c>
      <c r="E78" s="2" t="s">
        <v>233</v>
      </c>
      <c r="F78" s="3">
        <v>5400</v>
      </c>
      <c r="G78" s="4">
        <f t="shared" si="3"/>
        <v>0.1875</v>
      </c>
      <c r="H78" s="2" t="s">
        <v>34</v>
      </c>
      <c r="I78" s="2" t="s">
        <v>24</v>
      </c>
      <c r="J78" s="2" t="s">
        <v>56</v>
      </c>
      <c r="K78" s="2" t="s">
        <v>57</v>
      </c>
      <c r="L78" s="2" t="s">
        <v>58</v>
      </c>
      <c r="M78" s="2" t="s">
        <v>28</v>
      </c>
      <c r="N78" s="2" t="s">
        <v>29</v>
      </c>
      <c r="O78" s="3">
        <f>IFERROR(VLOOKUP(M78, '[1]08_CSDL_DAO_CU_VAT_LIEU'!$A$2:$F$64, 6, FALSE), 27500)</f>
        <v>27500</v>
      </c>
      <c r="P78" s="4">
        <v>2.52</v>
      </c>
      <c r="Q78" s="3">
        <f t="shared" si="4"/>
        <v>72188</v>
      </c>
      <c r="R78" s="3">
        <f>ROUND((F78/3600)*IFERROR(VLOOKUP(I78, '[1]02_DM_NHAN_SU_MAY'!$M$2:$Q$25, 5, FALSE), 39375), 0)</f>
        <v>59063</v>
      </c>
      <c r="S78" s="3">
        <v>0</v>
      </c>
      <c r="T78" s="3">
        <f t="shared" si="5"/>
        <v>131251</v>
      </c>
    </row>
    <row r="79" spans="1:20" x14ac:dyDescent="0.25">
      <c r="A79" s="5" t="s">
        <v>234</v>
      </c>
      <c r="B79" s="5">
        <v>78</v>
      </c>
      <c r="C79" s="5" t="s">
        <v>217</v>
      </c>
      <c r="D79" s="5" t="s">
        <v>218</v>
      </c>
      <c r="E79" s="5">
        <v>0</v>
      </c>
      <c r="F79" s="6">
        <v>3600</v>
      </c>
      <c r="G79" s="7">
        <f t="shared" si="3"/>
        <v>0.125</v>
      </c>
      <c r="H79" s="5" t="s">
        <v>34</v>
      </c>
      <c r="I79" s="5" t="s">
        <v>24</v>
      </c>
      <c r="J79" s="5" t="s">
        <v>56</v>
      </c>
      <c r="K79" s="5" t="s">
        <v>57</v>
      </c>
      <c r="L79" s="5" t="s">
        <v>58</v>
      </c>
      <c r="M79" s="5" t="s">
        <v>49</v>
      </c>
      <c r="N79" s="5" t="s">
        <v>50</v>
      </c>
      <c r="O79" s="6">
        <f>IFERROR(VLOOKUP(M79, '[1]08_CSDL_DAO_CU_VAT_LIEU'!$A$2:$F$64, 6, FALSE), 27500)</f>
        <v>20833.330000000002</v>
      </c>
      <c r="P79" s="7">
        <v>1.68</v>
      </c>
      <c r="Q79" s="6">
        <f t="shared" si="4"/>
        <v>48125</v>
      </c>
      <c r="R79" s="6">
        <f>ROUND((F79/3600)*IFERROR(VLOOKUP(I79, '[1]02_DM_NHAN_SU_MAY'!$M$2:$Q$25, 5, FALSE), 39375), 0)</f>
        <v>39375</v>
      </c>
      <c r="S79" s="6">
        <v>0</v>
      </c>
      <c r="T79" s="6">
        <f t="shared" si="5"/>
        <v>87500</v>
      </c>
    </row>
    <row r="80" spans="1:20" x14ac:dyDescent="0.25">
      <c r="A80" s="2" t="s">
        <v>235</v>
      </c>
      <c r="B80" s="2">
        <v>79</v>
      </c>
      <c r="C80" s="2" t="s">
        <v>68</v>
      </c>
      <c r="D80" s="2" t="s">
        <v>236</v>
      </c>
      <c r="E80" s="2" t="s">
        <v>237</v>
      </c>
      <c r="F80" s="3">
        <v>3600</v>
      </c>
      <c r="G80" s="4">
        <f t="shared" si="3"/>
        <v>0.125</v>
      </c>
      <c r="H80" s="2" t="s">
        <v>34</v>
      </c>
      <c r="I80" s="2" t="s">
        <v>71</v>
      </c>
      <c r="J80" s="2" t="s">
        <v>238</v>
      </c>
      <c r="K80" s="2" t="s">
        <v>239</v>
      </c>
      <c r="L80" s="2" t="s">
        <v>240</v>
      </c>
      <c r="M80" s="2" t="s">
        <v>75</v>
      </c>
      <c r="N80" s="2" t="s">
        <v>76</v>
      </c>
      <c r="O80" s="3">
        <f>IFERROR(VLOOKUP(M80, '[1]08_CSDL_DAO_CU_VAT_LIEU'!$A$2:$F$64, 6, FALSE), 27500)</f>
        <v>42500</v>
      </c>
      <c r="P80" s="4">
        <v>1.4</v>
      </c>
      <c r="Q80" s="3">
        <f t="shared" si="4"/>
        <v>48125</v>
      </c>
      <c r="R80" s="3">
        <f>ROUND((F80/3600)*IFERROR(VLOOKUP(I80, '[1]02_DM_NHAN_SU_MAY'!$M$2:$Q$25, 5, FALSE), 39375), 0)</f>
        <v>26875</v>
      </c>
      <c r="S80" s="3">
        <v>0</v>
      </c>
      <c r="T80" s="3">
        <f t="shared" si="5"/>
        <v>75000</v>
      </c>
    </row>
    <row r="81" spans="1:20" x14ac:dyDescent="0.25">
      <c r="A81" s="5" t="s">
        <v>241</v>
      </c>
      <c r="B81" s="5">
        <v>80</v>
      </c>
      <c r="C81" s="5" t="s">
        <v>68</v>
      </c>
      <c r="D81" s="5" t="s">
        <v>242</v>
      </c>
      <c r="E81" s="5" t="s">
        <v>243</v>
      </c>
      <c r="F81" s="6">
        <v>3600</v>
      </c>
      <c r="G81" s="7">
        <f t="shared" si="3"/>
        <v>0.125</v>
      </c>
      <c r="H81" s="5" t="s">
        <v>34</v>
      </c>
      <c r="I81" s="5" t="s">
        <v>24</v>
      </c>
      <c r="J81" s="5" t="s">
        <v>97</v>
      </c>
      <c r="K81" s="5" t="s">
        <v>98</v>
      </c>
      <c r="L81" s="5" t="s">
        <v>109</v>
      </c>
      <c r="M81" s="5" t="s">
        <v>28</v>
      </c>
      <c r="N81" s="5" t="s">
        <v>29</v>
      </c>
      <c r="O81" s="6">
        <f>IFERROR(VLOOKUP(M81, '[1]08_CSDL_DAO_CU_VAT_LIEU'!$A$2:$F$64, 6, FALSE), 27500)</f>
        <v>27500</v>
      </c>
      <c r="P81" s="7">
        <v>1.4</v>
      </c>
      <c r="Q81" s="6">
        <f t="shared" si="4"/>
        <v>48125</v>
      </c>
      <c r="R81" s="6">
        <f>ROUND((F81/3600)*IFERROR(VLOOKUP(I81, '[1]02_DM_NHAN_SU_MAY'!$M$2:$Q$25, 5, FALSE), 39375), 0)</f>
        <v>39375</v>
      </c>
      <c r="S81" s="6">
        <v>0</v>
      </c>
      <c r="T81" s="6">
        <f t="shared" si="5"/>
        <v>87500</v>
      </c>
    </row>
    <row r="82" spans="1:20" x14ac:dyDescent="0.25">
      <c r="A82" s="2" t="s">
        <v>244</v>
      </c>
      <c r="B82" s="2">
        <v>81</v>
      </c>
      <c r="C82" s="2" t="s">
        <v>68</v>
      </c>
      <c r="D82" s="2" t="s">
        <v>245</v>
      </c>
      <c r="E82" s="2" t="s">
        <v>246</v>
      </c>
      <c r="F82" s="3">
        <v>14400</v>
      </c>
      <c r="G82" s="4">
        <f t="shared" si="3"/>
        <v>0.5</v>
      </c>
      <c r="H82" s="2" t="s">
        <v>34</v>
      </c>
      <c r="I82" s="2" t="s">
        <v>24</v>
      </c>
      <c r="J82" s="2" t="s">
        <v>97</v>
      </c>
      <c r="K82" s="2" t="s">
        <v>98</v>
      </c>
      <c r="L82" s="2" t="s">
        <v>109</v>
      </c>
      <c r="M82" s="2" t="s">
        <v>49</v>
      </c>
      <c r="N82" s="2" t="s">
        <v>50</v>
      </c>
      <c r="O82" s="3">
        <f>IFERROR(VLOOKUP(M82, '[1]08_CSDL_DAO_CU_VAT_LIEU'!$A$2:$F$64, 6, FALSE), 27500)</f>
        <v>20833.330000000002</v>
      </c>
      <c r="P82" s="4">
        <v>5.6</v>
      </c>
      <c r="Q82" s="3">
        <f t="shared" si="4"/>
        <v>192500</v>
      </c>
      <c r="R82" s="3">
        <f>ROUND((F82/3600)*IFERROR(VLOOKUP(I82, '[1]02_DM_NHAN_SU_MAY'!$M$2:$Q$25, 5, FALSE), 39375), 0)</f>
        <v>157500</v>
      </c>
      <c r="S82" s="3">
        <v>0</v>
      </c>
      <c r="T82" s="3">
        <f t="shared" si="5"/>
        <v>350000</v>
      </c>
    </row>
    <row r="83" spans="1:20" x14ac:dyDescent="0.25">
      <c r="A83" s="5" t="s">
        <v>247</v>
      </c>
      <c r="B83" s="5">
        <v>82</v>
      </c>
      <c r="C83" s="5" t="s">
        <v>68</v>
      </c>
      <c r="D83" s="5" t="s">
        <v>248</v>
      </c>
      <c r="E83" s="5" t="s">
        <v>246</v>
      </c>
      <c r="F83" s="6">
        <v>28800</v>
      </c>
      <c r="G83" s="7">
        <f t="shared" si="3"/>
        <v>1</v>
      </c>
      <c r="H83" s="5" t="s">
        <v>34</v>
      </c>
      <c r="I83" s="5" t="s">
        <v>71</v>
      </c>
      <c r="J83" s="5" t="s">
        <v>97</v>
      </c>
      <c r="K83" s="5" t="s">
        <v>98</v>
      </c>
      <c r="L83" s="5" t="s">
        <v>109</v>
      </c>
      <c r="M83" s="5" t="s">
        <v>49</v>
      </c>
      <c r="N83" s="5" t="s">
        <v>50</v>
      </c>
      <c r="O83" s="6">
        <f>IFERROR(VLOOKUP(M83, '[1]08_CSDL_DAO_CU_VAT_LIEU'!$A$2:$F$64, 6, FALSE), 27500)</f>
        <v>20833.330000000002</v>
      </c>
      <c r="P83" s="7">
        <v>11.2</v>
      </c>
      <c r="Q83" s="6">
        <f t="shared" si="4"/>
        <v>385000</v>
      </c>
      <c r="R83" s="6">
        <f>ROUND((F83/3600)*IFERROR(VLOOKUP(I83, '[1]02_DM_NHAN_SU_MAY'!$M$2:$Q$25, 5, FALSE), 39375), 0)</f>
        <v>215000</v>
      </c>
      <c r="S83" s="6">
        <v>0</v>
      </c>
      <c r="T83" s="6">
        <f t="shared" si="5"/>
        <v>600000</v>
      </c>
    </row>
    <row r="84" spans="1:20" x14ac:dyDescent="0.25">
      <c r="A84" s="2" t="s">
        <v>249</v>
      </c>
      <c r="B84" s="2">
        <v>83</v>
      </c>
      <c r="C84" s="2" t="s">
        <v>68</v>
      </c>
      <c r="D84" s="2" t="s">
        <v>250</v>
      </c>
      <c r="E84" s="2" t="s">
        <v>251</v>
      </c>
      <c r="F84" s="3">
        <v>28800</v>
      </c>
      <c r="G84" s="4">
        <f t="shared" si="3"/>
        <v>1</v>
      </c>
      <c r="H84" s="2" t="s">
        <v>34</v>
      </c>
      <c r="I84" s="2" t="s">
        <v>71</v>
      </c>
      <c r="J84" s="2" t="s">
        <v>97</v>
      </c>
      <c r="K84" s="2" t="s">
        <v>98</v>
      </c>
      <c r="L84" s="2" t="s">
        <v>109</v>
      </c>
      <c r="M84" s="2" t="s">
        <v>49</v>
      </c>
      <c r="N84" s="2" t="s">
        <v>50</v>
      </c>
      <c r="O84" s="3">
        <f>IFERROR(VLOOKUP(M84, '[1]08_CSDL_DAO_CU_VAT_LIEU'!$A$2:$F$64, 6, FALSE), 27500)</f>
        <v>20833.330000000002</v>
      </c>
      <c r="P84" s="4">
        <v>11.2</v>
      </c>
      <c r="Q84" s="3">
        <f t="shared" si="4"/>
        <v>385000</v>
      </c>
      <c r="R84" s="3">
        <f>ROUND((F84/3600)*IFERROR(VLOOKUP(I84, '[1]02_DM_NHAN_SU_MAY'!$M$2:$Q$25, 5, FALSE), 39375), 0)</f>
        <v>215000</v>
      </c>
      <c r="S84" s="3">
        <v>0</v>
      </c>
      <c r="T84" s="3">
        <f t="shared" si="5"/>
        <v>600000</v>
      </c>
    </row>
    <row r="85" spans="1:20" x14ac:dyDescent="0.25">
      <c r="A85" s="5" t="s">
        <v>252</v>
      </c>
      <c r="B85" s="5">
        <v>84</v>
      </c>
      <c r="C85" s="5" t="s">
        <v>253</v>
      </c>
      <c r="D85" s="5" t="s">
        <v>254</v>
      </c>
      <c r="E85" s="5" t="s">
        <v>255</v>
      </c>
      <c r="F85" s="6">
        <v>3600</v>
      </c>
      <c r="G85" s="7">
        <f t="shared" si="3"/>
        <v>0.125</v>
      </c>
      <c r="H85" s="5">
        <v>1</v>
      </c>
      <c r="I85" s="5" t="s">
        <v>24</v>
      </c>
      <c r="J85" s="5" t="s">
        <v>97</v>
      </c>
      <c r="K85" s="5" t="s">
        <v>98</v>
      </c>
      <c r="L85" s="5" t="s">
        <v>109</v>
      </c>
      <c r="M85" s="5" t="s">
        <v>49</v>
      </c>
      <c r="N85" s="5" t="s">
        <v>50</v>
      </c>
      <c r="O85" s="6">
        <f>IFERROR(VLOOKUP(M85, '[1]08_CSDL_DAO_CU_VAT_LIEU'!$A$2:$F$64, 6, FALSE), 27500)</f>
        <v>20833.330000000002</v>
      </c>
      <c r="P85" s="7">
        <v>1.4</v>
      </c>
      <c r="Q85" s="6">
        <f t="shared" si="4"/>
        <v>48125</v>
      </c>
      <c r="R85" s="6">
        <f>ROUND((F85/3600)*IFERROR(VLOOKUP(I85, '[1]02_DM_NHAN_SU_MAY'!$M$2:$Q$25, 5, FALSE), 39375), 0)</f>
        <v>39375</v>
      </c>
      <c r="S85" s="6">
        <v>0</v>
      </c>
      <c r="T85" s="6">
        <f t="shared" si="5"/>
        <v>87500</v>
      </c>
    </row>
    <row r="86" spans="1:20" x14ac:dyDescent="0.25">
      <c r="A86" s="2" t="s">
        <v>256</v>
      </c>
      <c r="B86" s="2">
        <v>85</v>
      </c>
      <c r="C86" s="2" t="s">
        <v>253</v>
      </c>
      <c r="D86" s="2" t="s">
        <v>254</v>
      </c>
      <c r="E86" s="2" t="s">
        <v>257</v>
      </c>
      <c r="F86" s="3">
        <v>3600</v>
      </c>
      <c r="G86" s="4">
        <f t="shared" si="3"/>
        <v>0.125</v>
      </c>
      <c r="H86" s="2" t="s">
        <v>34</v>
      </c>
      <c r="I86" s="2" t="s">
        <v>24</v>
      </c>
      <c r="J86" s="2" t="s">
        <v>97</v>
      </c>
      <c r="K86" s="2" t="s">
        <v>98</v>
      </c>
      <c r="L86" s="2" t="s">
        <v>109</v>
      </c>
      <c r="M86" s="2" t="s">
        <v>49</v>
      </c>
      <c r="N86" s="2" t="s">
        <v>50</v>
      </c>
      <c r="O86" s="3">
        <f>IFERROR(VLOOKUP(M86, '[1]08_CSDL_DAO_CU_VAT_LIEU'!$A$2:$F$64, 6, FALSE), 27500)</f>
        <v>20833.330000000002</v>
      </c>
      <c r="P86" s="4">
        <v>1.4</v>
      </c>
      <c r="Q86" s="3">
        <f t="shared" si="4"/>
        <v>48125</v>
      </c>
      <c r="R86" s="3">
        <f>ROUND((F86/3600)*IFERROR(VLOOKUP(I86, '[1]02_DM_NHAN_SU_MAY'!$M$2:$Q$25, 5, FALSE), 39375), 0)</f>
        <v>39375</v>
      </c>
      <c r="S86" s="3">
        <v>0</v>
      </c>
      <c r="T86" s="3">
        <f t="shared" si="5"/>
        <v>87500</v>
      </c>
    </row>
    <row r="87" spans="1:20" x14ac:dyDescent="0.25">
      <c r="A87" s="5" t="s">
        <v>258</v>
      </c>
      <c r="B87" s="5">
        <v>86</v>
      </c>
      <c r="C87" s="5" t="s">
        <v>253</v>
      </c>
      <c r="D87" s="5" t="s">
        <v>254</v>
      </c>
      <c r="E87" s="5" t="s">
        <v>259</v>
      </c>
      <c r="F87" s="6">
        <v>7200</v>
      </c>
      <c r="G87" s="7">
        <f t="shared" si="3"/>
        <v>0.25</v>
      </c>
      <c r="H87" s="5">
        <v>2</v>
      </c>
      <c r="I87" s="5" t="s">
        <v>90</v>
      </c>
      <c r="J87" s="5" t="s">
        <v>97</v>
      </c>
      <c r="K87" s="5" t="s">
        <v>98</v>
      </c>
      <c r="L87" s="5" t="s">
        <v>143</v>
      </c>
      <c r="M87" s="5" t="s">
        <v>92</v>
      </c>
      <c r="N87" s="5" t="s">
        <v>93</v>
      </c>
      <c r="O87" s="6">
        <f>IFERROR(VLOOKUP(M87, '[1]08_CSDL_DAO_CU_VAT_LIEU'!$A$2:$F$64, 6, FALSE), 27500)</f>
        <v>74000</v>
      </c>
      <c r="P87" s="7">
        <v>2.8</v>
      </c>
      <c r="Q87" s="6">
        <f t="shared" si="4"/>
        <v>96250</v>
      </c>
      <c r="R87" s="6">
        <f>ROUND((F87/3600)*IFERROR(VLOOKUP(I87, '[1]02_DM_NHAN_SU_MAY'!$M$2:$Q$25, 5, FALSE), 39375), 0)</f>
        <v>53750</v>
      </c>
      <c r="S87" s="6">
        <v>0</v>
      </c>
      <c r="T87" s="6">
        <f t="shared" si="5"/>
        <v>150000</v>
      </c>
    </row>
    <row r="88" spans="1:20" x14ac:dyDescent="0.25">
      <c r="A88" s="2" t="s">
        <v>260</v>
      </c>
      <c r="B88" s="2">
        <v>87</v>
      </c>
      <c r="C88" s="2" t="s">
        <v>145</v>
      </c>
      <c r="D88" s="2" t="s">
        <v>261</v>
      </c>
      <c r="E88" s="2" t="s">
        <v>262</v>
      </c>
      <c r="F88" s="2">
        <v>720</v>
      </c>
      <c r="G88" s="4">
        <f t="shared" si="3"/>
        <v>2.5000000000000001E-2</v>
      </c>
      <c r="H88" s="2">
        <v>1</v>
      </c>
      <c r="I88" s="2" t="s">
        <v>71</v>
      </c>
      <c r="J88" s="2" t="s">
        <v>36</v>
      </c>
      <c r="K88" s="2" t="s">
        <v>37</v>
      </c>
      <c r="L88" s="2" t="s">
        <v>263</v>
      </c>
      <c r="M88" s="2" t="s">
        <v>75</v>
      </c>
      <c r="N88" s="2" t="s">
        <v>76</v>
      </c>
      <c r="O88" s="3">
        <f>IFERROR(VLOOKUP(M88, '[1]08_CSDL_DAO_CU_VAT_LIEU'!$A$2:$F$64, 6, FALSE), 27500)</f>
        <v>42500</v>
      </c>
      <c r="P88" s="4">
        <v>0.34</v>
      </c>
      <c r="Q88" s="3">
        <f t="shared" si="4"/>
        <v>9625</v>
      </c>
      <c r="R88" s="3">
        <f>ROUND((F88/3600)*IFERROR(VLOOKUP(I88, '[1]02_DM_NHAN_SU_MAY'!$M$2:$Q$25, 5, FALSE), 39375), 0)</f>
        <v>5375</v>
      </c>
      <c r="S88" s="3">
        <v>0</v>
      </c>
      <c r="T88" s="3">
        <f t="shared" si="5"/>
        <v>15000</v>
      </c>
    </row>
    <row r="89" spans="1:20" x14ac:dyDescent="0.25">
      <c r="A89" s="5" t="s">
        <v>264</v>
      </c>
      <c r="B89" s="5">
        <v>88</v>
      </c>
      <c r="C89" s="5" t="s">
        <v>145</v>
      </c>
      <c r="D89" s="5" t="s">
        <v>261</v>
      </c>
      <c r="E89" s="5" t="s">
        <v>265</v>
      </c>
      <c r="F89" s="5">
        <v>720</v>
      </c>
      <c r="G89" s="7">
        <f t="shared" si="3"/>
        <v>2.5000000000000001E-2</v>
      </c>
      <c r="H89" s="5">
        <v>2</v>
      </c>
      <c r="I89" s="5" t="s">
        <v>71</v>
      </c>
      <c r="J89" s="5" t="s">
        <v>36</v>
      </c>
      <c r="K89" s="5" t="s">
        <v>37</v>
      </c>
      <c r="L89" s="5" t="s">
        <v>263</v>
      </c>
      <c r="M89" s="5" t="s">
        <v>75</v>
      </c>
      <c r="N89" s="5" t="s">
        <v>76</v>
      </c>
      <c r="O89" s="6">
        <f>IFERROR(VLOOKUP(M89, '[1]08_CSDL_DAO_CU_VAT_LIEU'!$A$2:$F$64, 6, FALSE), 27500)</f>
        <v>42500</v>
      </c>
      <c r="P89" s="7">
        <v>0.34</v>
      </c>
      <c r="Q89" s="6">
        <f t="shared" si="4"/>
        <v>9625</v>
      </c>
      <c r="R89" s="6">
        <f>ROUND((F89/3600)*IFERROR(VLOOKUP(I89, '[1]02_DM_NHAN_SU_MAY'!$M$2:$Q$25, 5, FALSE), 39375), 0)</f>
        <v>5375</v>
      </c>
      <c r="S89" s="6">
        <v>0</v>
      </c>
      <c r="T89" s="6">
        <f t="shared" si="5"/>
        <v>15000</v>
      </c>
    </row>
    <row r="90" spans="1:20" x14ac:dyDescent="0.25">
      <c r="A90" s="2" t="s">
        <v>266</v>
      </c>
      <c r="B90" s="2">
        <v>89</v>
      </c>
      <c r="C90" s="2" t="s">
        <v>145</v>
      </c>
      <c r="D90" s="2" t="s">
        <v>261</v>
      </c>
      <c r="E90" s="2" t="s">
        <v>267</v>
      </c>
      <c r="F90" s="2">
        <v>240</v>
      </c>
      <c r="G90" s="4">
        <f t="shared" si="3"/>
        <v>8.3000000000000001E-3</v>
      </c>
      <c r="H90" s="2">
        <v>3</v>
      </c>
      <c r="I90" s="2" t="s">
        <v>90</v>
      </c>
      <c r="J90" s="2" t="s">
        <v>36</v>
      </c>
      <c r="K90" s="2" t="s">
        <v>37</v>
      </c>
      <c r="L90" s="2" t="s">
        <v>268</v>
      </c>
      <c r="M90" s="2" t="s">
        <v>269</v>
      </c>
      <c r="N90" s="2" t="s">
        <v>270</v>
      </c>
      <c r="O90" s="3">
        <f>IFERROR(VLOOKUP(M90, '[1]08_CSDL_DAO_CU_VAT_LIEU'!$A$2:$F$64, 6, FALSE), 27500)</f>
        <v>720000</v>
      </c>
      <c r="P90" s="4">
        <v>0.11</v>
      </c>
      <c r="Q90" s="3">
        <f t="shared" si="4"/>
        <v>3208</v>
      </c>
      <c r="R90" s="3">
        <f>ROUND((F90/3600)*IFERROR(VLOOKUP(I90, '[1]02_DM_NHAN_SU_MAY'!$M$2:$Q$25, 5, FALSE), 39375), 0)</f>
        <v>1792</v>
      </c>
      <c r="S90" s="3">
        <v>0</v>
      </c>
      <c r="T90" s="3">
        <f t="shared" si="5"/>
        <v>5000</v>
      </c>
    </row>
    <row r="91" spans="1:20" x14ac:dyDescent="0.25">
      <c r="A91" s="5" t="s">
        <v>271</v>
      </c>
      <c r="B91" s="5">
        <v>90</v>
      </c>
      <c r="C91" s="5" t="s">
        <v>145</v>
      </c>
      <c r="D91" s="5" t="s">
        <v>261</v>
      </c>
      <c r="E91" s="5" t="s">
        <v>272</v>
      </c>
      <c r="F91" s="5">
        <v>240</v>
      </c>
      <c r="G91" s="7">
        <f t="shared" si="3"/>
        <v>8.3000000000000001E-3</v>
      </c>
      <c r="H91" s="5">
        <v>4</v>
      </c>
      <c r="I91" s="5" t="s">
        <v>24</v>
      </c>
      <c r="J91" s="5" t="s">
        <v>36</v>
      </c>
      <c r="K91" s="5" t="s">
        <v>37</v>
      </c>
      <c r="L91" s="5" t="s">
        <v>38</v>
      </c>
      <c r="M91" s="5" t="s">
        <v>269</v>
      </c>
      <c r="N91" s="5" t="s">
        <v>270</v>
      </c>
      <c r="O91" s="6">
        <f>IFERROR(VLOOKUP(M91, '[1]08_CSDL_DAO_CU_VAT_LIEU'!$A$2:$F$64, 6, FALSE), 27500)</f>
        <v>720000</v>
      </c>
      <c r="P91" s="7">
        <v>0.11</v>
      </c>
      <c r="Q91" s="6">
        <f t="shared" si="4"/>
        <v>3208</v>
      </c>
      <c r="R91" s="6">
        <f>ROUND((F91/3600)*IFERROR(VLOOKUP(I91, '[1]02_DM_NHAN_SU_MAY'!$M$2:$Q$25, 5, FALSE), 39375), 0)</f>
        <v>2625</v>
      </c>
      <c r="S91" s="6">
        <v>0</v>
      </c>
      <c r="T91" s="6">
        <f t="shared" si="5"/>
        <v>5833</v>
      </c>
    </row>
    <row r="92" spans="1:20" x14ac:dyDescent="0.25">
      <c r="A92" s="2" t="s">
        <v>273</v>
      </c>
      <c r="B92" s="2">
        <v>91</v>
      </c>
      <c r="C92" s="2" t="s">
        <v>145</v>
      </c>
      <c r="D92" s="2" t="s">
        <v>261</v>
      </c>
      <c r="E92" s="2" t="s">
        <v>274</v>
      </c>
      <c r="F92" s="2">
        <v>720</v>
      </c>
      <c r="G92" s="4">
        <f t="shared" si="3"/>
        <v>2.5000000000000001E-2</v>
      </c>
      <c r="H92" s="2">
        <v>5</v>
      </c>
      <c r="I92" s="2" t="s">
        <v>24</v>
      </c>
      <c r="J92" s="2" t="s">
        <v>36</v>
      </c>
      <c r="K92" s="2" t="s">
        <v>37</v>
      </c>
      <c r="L92" s="2" t="s">
        <v>38</v>
      </c>
      <c r="M92" s="2" t="s">
        <v>28</v>
      </c>
      <c r="N92" s="2" t="s">
        <v>29</v>
      </c>
      <c r="O92" s="3">
        <f>IFERROR(VLOOKUP(M92, '[1]08_CSDL_DAO_CU_VAT_LIEU'!$A$2:$F$64, 6, FALSE), 27500)</f>
        <v>27500</v>
      </c>
      <c r="P92" s="4">
        <v>0.34</v>
      </c>
      <c r="Q92" s="3">
        <f t="shared" si="4"/>
        <v>9625</v>
      </c>
      <c r="R92" s="3">
        <f>ROUND((F92/3600)*IFERROR(VLOOKUP(I92, '[1]02_DM_NHAN_SU_MAY'!$M$2:$Q$25, 5, FALSE), 39375), 0)</f>
        <v>7875</v>
      </c>
      <c r="S92" s="3">
        <v>0</v>
      </c>
      <c r="T92" s="3">
        <f t="shared" si="5"/>
        <v>17500</v>
      </c>
    </row>
    <row r="93" spans="1:20" x14ac:dyDescent="0.25">
      <c r="A93" s="5" t="s">
        <v>275</v>
      </c>
      <c r="B93" s="5">
        <v>92</v>
      </c>
      <c r="C93" s="5" t="s">
        <v>145</v>
      </c>
      <c r="D93" s="5" t="s">
        <v>261</v>
      </c>
      <c r="E93" s="5" t="s">
        <v>276</v>
      </c>
      <c r="F93" s="5">
        <v>720</v>
      </c>
      <c r="G93" s="7">
        <f t="shared" si="3"/>
        <v>2.5000000000000001E-2</v>
      </c>
      <c r="H93" s="5" t="s">
        <v>34</v>
      </c>
      <c r="I93" s="5" t="s">
        <v>24</v>
      </c>
      <c r="J93" s="5" t="s">
        <v>36</v>
      </c>
      <c r="K93" s="5" t="s">
        <v>37</v>
      </c>
      <c r="L93" s="5" t="s">
        <v>38</v>
      </c>
      <c r="M93" s="5" t="s">
        <v>28</v>
      </c>
      <c r="N93" s="5" t="s">
        <v>29</v>
      </c>
      <c r="O93" s="6">
        <f>IFERROR(VLOOKUP(M93, '[1]08_CSDL_DAO_CU_VAT_LIEU'!$A$2:$F$64, 6, FALSE), 27500)</f>
        <v>27500</v>
      </c>
      <c r="P93" s="7">
        <v>0.34</v>
      </c>
      <c r="Q93" s="6">
        <f t="shared" si="4"/>
        <v>9625</v>
      </c>
      <c r="R93" s="6">
        <f>ROUND((F93/3600)*IFERROR(VLOOKUP(I93, '[1]02_DM_NHAN_SU_MAY'!$M$2:$Q$25, 5, FALSE), 39375), 0)</f>
        <v>7875</v>
      </c>
      <c r="S93" s="6">
        <v>0</v>
      </c>
      <c r="T93" s="6">
        <f t="shared" si="5"/>
        <v>17500</v>
      </c>
    </row>
    <row r="94" spans="1:20" x14ac:dyDescent="0.25">
      <c r="A94" s="2" t="s">
        <v>277</v>
      </c>
      <c r="B94" s="2">
        <v>93</v>
      </c>
      <c r="C94" s="2" t="s">
        <v>68</v>
      </c>
      <c r="D94" s="2" t="s">
        <v>278</v>
      </c>
      <c r="E94" s="2" t="s">
        <v>279</v>
      </c>
      <c r="F94" s="3">
        <v>10800</v>
      </c>
      <c r="G94" s="4">
        <f t="shared" si="3"/>
        <v>0.375</v>
      </c>
      <c r="H94" s="2" t="s">
        <v>34</v>
      </c>
      <c r="I94" s="2" t="s">
        <v>24</v>
      </c>
      <c r="J94" s="2" t="s">
        <v>97</v>
      </c>
      <c r="K94" s="2" t="s">
        <v>98</v>
      </c>
      <c r="L94" s="2" t="s">
        <v>109</v>
      </c>
      <c r="M94" s="2" t="s">
        <v>28</v>
      </c>
      <c r="N94" s="2" t="s">
        <v>29</v>
      </c>
      <c r="O94" s="3">
        <f>IFERROR(VLOOKUP(M94, '[1]08_CSDL_DAO_CU_VAT_LIEU'!$A$2:$F$64, 6, FALSE), 27500)</f>
        <v>27500</v>
      </c>
      <c r="P94" s="4">
        <v>4.2</v>
      </c>
      <c r="Q94" s="3">
        <f t="shared" si="4"/>
        <v>144375</v>
      </c>
      <c r="R94" s="3">
        <f>ROUND((F94/3600)*IFERROR(VLOOKUP(I94, '[1]02_DM_NHAN_SU_MAY'!$M$2:$Q$25, 5, FALSE), 39375), 0)</f>
        <v>118125</v>
      </c>
      <c r="S94" s="3">
        <v>0</v>
      </c>
      <c r="T94" s="3">
        <f t="shared" si="5"/>
        <v>262500</v>
      </c>
    </row>
    <row r="95" spans="1:20" x14ac:dyDescent="0.25">
      <c r="A95" s="5" t="s">
        <v>280</v>
      </c>
      <c r="B95" s="5">
        <v>94</v>
      </c>
      <c r="C95" s="5" t="s">
        <v>68</v>
      </c>
      <c r="D95" s="5" t="s">
        <v>281</v>
      </c>
      <c r="E95" s="5" t="s">
        <v>147</v>
      </c>
      <c r="F95" s="6">
        <v>10800</v>
      </c>
      <c r="G95" s="7">
        <f t="shared" si="3"/>
        <v>0.375</v>
      </c>
      <c r="H95" s="5" t="s">
        <v>34</v>
      </c>
      <c r="I95" s="5" t="s">
        <v>24</v>
      </c>
      <c r="J95" s="5" t="s">
        <v>97</v>
      </c>
      <c r="K95" s="5" t="s">
        <v>98</v>
      </c>
      <c r="L95" s="5" t="s">
        <v>109</v>
      </c>
      <c r="M95" s="5" t="s">
        <v>28</v>
      </c>
      <c r="N95" s="5" t="s">
        <v>29</v>
      </c>
      <c r="O95" s="6">
        <f>IFERROR(VLOOKUP(M95, '[1]08_CSDL_DAO_CU_VAT_LIEU'!$A$2:$F$64, 6, FALSE), 27500)</f>
        <v>27500</v>
      </c>
      <c r="P95" s="7">
        <v>4.2</v>
      </c>
      <c r="Q95" s="6">
        <f t="shared" si="4"/>
        <v>144375</v>
      </c>
      <c r="R95" s="6">
        <f>ROUND((F95/3600)*IFERROR(VLOOKUP(I95, '[1]02_DM_NHAN_SU_MAY'!$M$2:$Q$25, 5, FALSE), 39375), 0)</f>
        <v>118125</v>
      </c>
      <c r="S95" s="6">
        <v>0</v>
      </c>
      <c r="T95" s="6">
        <f t="shared" si="5"/>
        <v>262500</v>
      </c>
    </row>
    <row r="96" spans="1:20" x14ac:dyDescent="0.25">
      <c r="A96" s="2" t="s">
        <v>282</v>
      </c>
      <c r="B96" s="2">
        <v>95</v>
      </c>
      <c r="C96" s="2" t="s">
        <v>68</v>
      </c>
      <c r="D96" s="2" t="s">
        <v>283</v>
      </c>
      <c r="E96" s="2" t="s">
        <v>284</v>
      </c>
      <c r="F96" s="2">
        <v>120</v>
      </c>
      <c r="G96" s="4">
        <f t="shared" si="3"/>
        <v>4.1999999999999997E-3</v>
      </c>
      <c r="H96" s="2" t="s">
        <v>34</v>
      </c>
      <c r="I96" s="2" t="s">
        <v>90</v>
      </c>
      <c r="J96" s="2" t="s">
        <v>238</v>
      </c>
      <c r="K96" s="2" t="s">
        <v>239</v>
      </c>
      <c r="L96" s="2" t="s">
        <v>285</v>
      </c>
      <c r="M96" s="2" t="s">
        <v>92</v>
      </c>
      <c r="N96" s="2" t="s">
        <v>93</v>
      </c>
      <c r="O96" s="3">
        <f>IFERROR(VLOOKUP(M96, '[1]08_CSDL_DAO_CU_VAT_LIEU'!$A$2:$F$64, 6, FALSE), 27500)</f>
        <v>74000</v>
      </c>
      <c r="P96" s="4">
        <v>0.05</v>
      </c>
      <c r="Q96" s="3">
        <f t="shared" si="4"/>
        <v>1604</v>
      </c>
      <c r="R96" s="3">
        <f>ROUND((F96/3600)*IFERROR(VLOOKUP(I96, '[1]02_DM_NHAN_SU_MAY'!$M$2:$Q$25, 5, FALSE), 39375), 0)</f>
        <v>896</v>
      </c>
      <c r="S96" s="3">
        <v>0</v>
      </c>
      <c r="T96" s="3">
        <f t="shared" si="5"/>
        <v>2500</v>
      </c>
    </row>
    <row r="97" spans="1:20" x14ac:dyDescent="0.25">
      <c r="A97" s="5" t="s">
        <v>286</v>
      </c>
      <c r="B97" s="5">
        <v>96</v>
      </c>
      <c r="C97" s="5" t="s">
        <v>149</v>
      </c>
      <c r="D97" s="5" t="s">
        <v>287</v>
      </c>
      <c r="E97" s="5" t="s">
        <v>147</v>
      </c>
      <c r="F97" s="5">
        <v>480</v>
      </c>
      <c r="G97" s="7">
        <f t="shared" si="3"/>
        <v>1.67E-2</v>
      </c>
      <c r="H97" s="5" t="s">
        <v>34</v>
      </c>
      <c r="I97" s="5" t="s">
        <v>151</v>
      </c>
      <c r="J97" s="5" t="s">
        <v>36</v>
      </c>
      <c r="K97" s="5" t="s">
        <v>37</v>
      </c>
      <c r="L97" s="5" t="s">
        <v>38</v>
      </c>
      <c r="M97" s="5" t="s">
        <v>49</v>
      </c>
      <c r="N97" s="5" t="s">
        <v>50</v>
      </c>
      <c r="O97" s="6">
        <f>IFERROR(VLOOKUP(M97, '[1]08_CSDL_DAO_CU_VAT_LIEU'!$A$2:$F$64, 6, FALSE), 27500)</f>
        <v>20833.330000000002</v>
      </c>
      <c r="P97" s="7">
        <v>0.22</v>
      </c>
      <c r="Q97" s="6">
        <f t="shared" si="4"/>
        <v>6417</v>
      </c>
      <c r="R97" s="6">
        <f>ROUND((F97/3600)*IFERROR(VLOOKUP(I97, '[1]02_DM_NHAN_SU_MAY'!$M$2:$Q$25, 5, FALSE), 39375), 0)</f>
        <v>5250</v>
      </c>
      <c r="S97" s="6">
        <v>0</v>
      </c>
      <c r="T97" s="6">
        <f t="shared" si="5"/>
        <v>11667</v>
      </c>
    </row>
    <row r="98" spans="1:20" x14ac:dyDescent="0.25">
      <c r="A98" s="2" t="s">
        <v>288</v>
      </c>
      <c r="B98" s="2">
        <v>97</v>
      </c>
      <c r="C98" s="2" t="s">
        <v>149</v>
      </c>
      <c r="D98" s="2" t="s">
        <v>289</v>
      </c>
      <c r="E98" s="2" t="s">
        <v>147</v>
      </c>
      <c r="F98" s="2">
        <v>480</v>
      </c>
      <c r="G98" s="4">
        <f t="shared" si="3"/>
        <v>1.67E-2</v>
      </c>
      <c r="H98" s="2" t="s">
        <v>34</v>
      </c>
      <c r="I98" s="2" t="s">
        <v>151</v>
      </c>
      <c r="J98" s="2" t="s">
        <v>36</v>
      </c>
      <c r="K98" s="2" t="s">
        <v>37</v>
      </c>
      <c r="L98" s="2" t="s">
        <v>38</v>
      </c>
      <c r="M98" s="2" t="s">
        <v>49</v>
      </c>
      <c r="N98" s="2" t="s">
        <v>50</v>
      </c>
      <c r="O98" s="3">
        <f>IFERROR(VLOOKUP(M98, '[1]08_CSDL_DAO_CU_VAT_LIEU'!$A$2:$F$64, 6, FALSE), 27500)</f>
        <v>20833.330000000002</v>
      </c>
      <c r="P98" s="4">
        <v>0.22</v>
      </c>
      <c r="Q98" s="3">
        <f t="shared" si="4"/>
        <v>6417</v>
      </c>
      <c r="R98" s="3">
        <f>ROUND((F98/3600)*IFERROR(VLOOKUP(I98, '[1]02_DM_NHAN_SU_MAY'!$M$2:$Q$25, 5, FALSE), 39375), 0)</f>
        <v>5250</v>
      </c>
      <c r="S98" s="3">
        <v>0</v>
      </c>
      <c r="T98" s="3">
        <f t="shared" si="5"/>
        <v>11667</v>
      </c>
    </row>
    <row r="99" spans="1:20" x14ac:dyDescent="0.25">
      <c r="A99" s="5" t="s">
        <v>290</v>
      </c>
      <c r="B99" s="5">
        <v>98</v>
      </c>
      <c r="C99" s="5" t="s">
        <v>149</v>
      </c>
      <c r="D99" s="5" t="s">
        <v>291</v>
      </c>
      <c r="E99" s="5" t="s">
        <v>147</v>
      </c>
      <c r="F99" s="5">
        <v>480</v>
      </c>
      <c r="G99" s="7">
        <f t="shared" si="3"/>
        <v>1.67E-2</v>
      </c>
      <c r="H99" s="5" t="s">
        <v>34</v>
      </c>
      <c r="I99" s="5" t="s">
        <v>151</v>
      </c>
      <c r="J99" s="5" t="s">
        <v>36</v>
      </c>
      <c r="K99" s="5" t="s">
        <v>37</v>
      </c>
      <c r="L99" s="5" t="s">
        <v>38</v>
      </c>
      <c r="M99" s="5" t="s">
        <v>49</v>
      </c>
      <c r="N99" s="5" t="s">
        <v>50</v>
      </c>
      <c r="O99" s="6">
        <f>IFERROR(VLOOKUP(M99, '[1]08_CSDL_DAO_CU_VAT_LIEU'!$A$2:$F$64, 6, FALSE), 27500)</f>
        <v>20833.330000000002</v>
      </c>
      <c r="P99" s="7">
        <v>0.22</v>
      </c>
      <c r="Q99" s="6">
        <f t="shared" si="4"/>
        <v>6417</v>
      </c>
      <c r="R99" s="6">
        <f>ROUND((F99/3600)*IFERROR(VLOOKUP(I99, '[1]02_DM_NHAN_SU_MAY'!$M$2:$Q$25, 5, FALSE), 39375), 0)</f>
        <v>5250</v>
      </c>
      <c r="S99" s="6">
        <v>0</v>
      </c>
      <c r="T99" s="6">
        <f t="shared" si="5"/>
        <v>11667</v>
      </c>
    </row>
    <row r="100" spans="1:20" x14ac:dyDescent="0.25">
      <c r="A100" s="2" t="s">
        <v>292</v>
      </c>
      <c r="B100" s="2">
        <v>99</v>
      </c>
      <c r="C100" s="2" t="s">
        <v>149</v>
      </c>
      <c r="D100" s="2" t="s">
        <v>201</v>
      </c>
      <c r="E100" s="2" t="s">
        <v>147</v>
      </c>
      <c r="F100" s="2">
        <v>480</v>
      </c>
      <c r="G100" s="4">
        <f t="shared" si="3"/>
        <v>1.67E-2</v>
      </c>
      <c r="H100" s="2" t="s">
        <v>34</v>
      </c>
      <c r="I100" s="2" t="s">
        <v>151</v>
      </c>
      <c r="J100" s="2" t="s">
        <v>36</v>
      </c>
      <c r="K100" s="2" t="s">
        <v>37</v>
      </c>
      <c r="L100" s="2" t="s">
        <v>38</v>
      </c>
      <c r="M100" s="2" t="s">
        <v>49</v>
      </c>
      <c r="N100" s="2" t="s">
        <v>50</v>
      </c>
      <c r="O100" s="3">
        <f>IFERROR(VLOOKUP(M100, '[1]08_CSDL_DAO_CU_VAT_LIEU'!$A$2:$F$64, 6, FALSE), 27500)</f>
        <v>20833.330000000002</v>
      </c>
      <c r="P100" s="4">
        <v>0.22</v>
      </c>
      <c r="Q100" s="3">
        <f t="shared" si="4"/>
        <v>6417</v>
      </c>
      <c r="R100" s="3">
        <f>ROUND((F100/3600)*IFERROR(VLOOKUP(I100, '[1]02_DM_NHAN_SU_MAY'!$M$2:$Q$25, 5, FALSE), 39375), 0)</f>
        <v>5250</v>
      </c>
      <c r="S100" s="3">
        <v>0</v>
      </c>
      <c r="T100" s="3">
        <f t="shared" si="5"/>
        <v>11667</v>
      </c>
    </row>
    <row r="101" spans="1:20" x14ac:dyDescent="0.25">
      <c r="A101" s="5" t="s">
        <v>293</v>
      </c>
      <c r="B101" s="5">
        <v>100</v>
      </c>
      <c r="C101" s="5" t="s">
        <v>149</v>
      </c>
      <c r="D101" s="5" t="s">
        <v>294</v>
      </c>
      <c r="E101" s="5" t="s">
        <v>147</v>
      </c>
      <c r="F101" s="5">
        <v>720</v>
      </c>
      <c r="G101" s="7">
        <f t="shared" si="3"/>
        <v>2.5000000000000001E-2</v>
      </c>
      <c r="H101" s="5" t="s">
        <v>34</v>
      </c>
      <c r="I101" s="5" t="s">
        <v>151</v>
      </c>
      <c r="J101" s="5" t="s">
        <v>36</v>
      </c>
      <c r="K101" s="5" t="s">
        <v>37</v>
      </c>
      <c r="L101" s="5" t="s">
        <v>38</v>
      </c>
      <c r="M101" s="5" t="s">
        <v>49</v>
      </c>
      <c r="N101" s="5" t="s">
        <v>50</v>
      </c>
      <c r="O101" s="6">
        <f>IFERROR(VLOOKUP(M101, '[1]08_CSDL_DAO_CU_VAT_LIEU'!$A$2:$F$64, 6, FALSE), 27500)</f>
        <v>20833.330000000002</v>
      </c>
      <c r="P101" s="7">
        <v>0.34</v>
      </c>
      <c r="Q101" s="6">
        <f t="shared" si="4"/>
        <v>9625</v>
      </c>
      <c r="R101" s="6">
        <f>ROUND((F101/3600)*IFERROR(VLOOKUP(I101, '[1]02_DM_NHAN_SU_MAY'!$M$2:$Q$25, 5, FALSE), 39375), 0)</f>
        <v>7875</v>
      </c>
      <c r="S101" s="6">
        <v>0</v>
      </c>
      <c r="T101" s="6">
        <f t="shared" si="5"/>
        <v>17500</v>
      </c>
    </row>
    <row r="102" spans="1:20" x14ac:dyDescent="0.25">
      <c r="A102" s="2" t="s">
        <v>295</v>
      </c>
      <c r="B102" s="2">
        <v>101</v>
      </c>
      <c r="C102" s="2" t="s">
        <v>149</v>
      </c>
      <c r="D102" s="2" t="s">
        <v>296</v>
      </c>
      <c r="E102" s="2" t="s">
        <v>147</v>
      </c>
      <c r="F102" s="2">
        <v>720</v>
      </c>
      <c r="G102" s="4">
        <f t="shared" si="3"/>
        <v>2.5000000000000001E-2</v>
      </c>
      <c r="H102" s="2" t="s">
        <v>34</v>
      </c>
      <c r="I102" s="2" t="s">
        <v>151</v>
      </c>
      <c r="J102" s="2" t="s">
        <v>36</v>
      </c>
      <c r="K102" s="2" t="s">
        <v>37</v>
      </c>
      <c r="L102" s="2" t="s">
        <v>38</v>
      </c>
      <c r="M102" s="2" t="s">
        <v>49</v>
      </c>
      <c r="N102" s="2" t="s">
        <v>50</v>
      </c>
      <c r="O102" s="3">
        <f>IFERROR(VLOOKUP(M102, '[1]08_CSDL_DAO_CU_VAT_LIEU'!$A$2:$F$64, 6, FALSE), 27500)</f>
        <v>20833.330000000002</v>
      </c>
      <c r="P102" s="4">
        <v>0.34</v>
      </c>
      <c r="Q102" s="3">
        <f t="shared" si="4"/>
        <v>9625</v>
      </c>
      <c r="R102" s="3">
        <f>ROUND((F102/3600)*IFERROR(VLOOKUP(I102, '[1]02_DM_NHAN_SU_MAY'!$M$2:$Q$25, 5, FALSE), 39375), 0)</f>
        <v>7875</v>
      </c>
      <c r="S102" s="3">
        <v>0</v>
      </c>
      <c r="T102" s="3">
        <f t="shared" si="5"/>
        <v>17500</v>
      </c>
    </row>
    <row r="103" spans="1:20" x14ac:dyDescent="0.25">
      <c r="A103" s="5" t="s">
        <v>297</v>
      </c>
      <c r="B103" s="5">
        <v>102</v>
      </c>
      <c r="C103" s="5" t="s">
        <v>149</v>
      </c>
      <c r="D103" s="5" t="s">
        <v>298</v>
      </c>
      <c r="E103" s="5" t="s">
        <v>147</v>
      </c>
      <c r="F103" s="6">
        <v>1260</v>
      </c>
      <c r="G103" s="7">
        <f t="shared" si="3"/>
        <v>4.3799999999999999E-2</v>
      </c>
      <c r="H103" s="5" t="s">
        <v>34</v>
      </c>
      <c r="I103" s="5" t="s">
        <v>151</v>
      </c>
      <c r="J103" s="5" t="s">
        <v>36</v>
      </c>
      <c r="K103" s="5" t="s">
        <v>37</v>
      </c>
      <c r="L103" s="5" t="s">
        <v>38</v>
      </c>
      <c r="M103" s="5" t="s">
        <v>49</v>
      </c>
      <c r="N103" s="5" t="s">
        <v>50</v>
      </c>
      <c r="O103" s="6">
        <f>IFERROR(VLOOKUP(M103, '[1]08_CSDL_DAO_CU_VAT_LIEU'!$A$2:$F$64, 6, FALSE), 27500)</f>
        <v>20833.330000000002</v>
      </c>
      <c r="P103" s="7">
        <v>0.59</v>
      </c>
      <c r="Q103" s="6">
        <f t="shared" si="4"/>
        <v>16844</v>
      </c>
      <c r="R103" s="6">
        <f>ROUND((F103/3600)*IFERROR(VLOOKUP(I103, '[1]02_DM_NHAN_SU_MAY'!$M$2:$Q$25, 5, FALSE), 39375), 0)</f>
        <v>13781</v>
      </c>
      <c r="S103" s="6">
        <v>0</v>
      </c>
      <c r="T103" s="6">
        <f t="shared" si="5"/>
        <v>30625</v>
      </c>
    </row>
    <row r="104" spans="1:20" x14ac:dyDescent="0.25">
      <c r="A104" s="2" t="s">
        <v>299</v>
      </c>
      <c r="B104" s="2">
        <v>103</v>
      </c>
      <c r="C104" s="2" t="s">
        <v>149</v>
      </c>
      <c r="D104" s="2" t="s">
        <v>300</v>
      </c>
      <c r="E104" s="2" t="s">
        <v>147</v>
      </c>
      <c r="F104" s="3">
        <v>1421</v>
      </c>
      <c r="G104" s="4">
        <f t="shared" si="3"/>
        <v>4.9299999999999997E-2</v>
      </c>
      <c r="H104" s="2" t="s">
        <v>34</v>
      </c>
      <c r="I104" s="2" t="s">
        <v>151</v>
      </c>
      <c r="J104" s="2" t="s">
        <v>36</v>
      </c>
      <c r="K104" s="2" t="s">
        <v>37</v>
      </c>
      <c r="L104" s="2" t="s">
        <v>38</v>
      </c>
      <c r="M104" s="2" t="s">
        <v>49</v>
      </c>
      <c r="N104" s="2" t="s">
        <v>50</v>
      </c>
      <c r="O104" s="3">
        <f>IFERROR(VLOOKUP(M104, '[1]08_CSDL_DAO_CU_VAT_LIEU'!$A$2:$F$64, 6, FALSE), 27500)</f>
        <v>20833.330000000002</v>
      </c>
      <c r="P104" s="4">
        <v>0.66</v>
      </c>
      <c r="Q104" s="3">
        <f t="shared" si="4"/>
        <v>18996</v>
      </c>
      <c r="R104" s="3">
        <f>ROUND((F104/3600)*IFERROR(VLOOKUP(I104, '[1]02_DM_NHAN_SU_MAY'!$M$2:$Q$25, 5, FALSE), 39375), 0)</f>
        <v>15542</v>
      </c>
      <c r="S104" s="3">
        <v>0</v>
      </c>
      <c r="T104" s="3">
        <f t="shared" si="5"/>
        <v>34538</v>
      </c>
    </row>
    <row r="105" spans="1:20" x14ac:dyDescent="0.25">
      <c r="A105" s="5" t="s">
        <v>301</v>
      </c>
      <c r="B105" s="5">
        <v>104</v>
      </c>
      <c r="C105" s="5" t="s">
        <v>149</v>
      </c>
      <c r="D105" s="5" t="s">
        <v>300</v>
      </c>
      <c r="E105" s="5" t="s">
        <v>147</v>
      </c>
      <c r="F105" s="6">
        <v>1285</v>
      </c>
      <c r="G105" s="7">
        <f t="shared" si="3"/>
        <v>4.4600000000000001E-2</v>
      </c>
      <c r="H105" s="5" t="s">
        <v>34</v>
      </c>
      <c r="I105" s="5" t="s">
        <v>151</v>
      </c>
      <c r="J105" s="5" t="s">
        <v>36</v>
      </c>
      <c r="K105" s="5" t="s">
        <v>37</v>
      </c>
      <c r="L105" s="5" t="s">
        <v>38</v>
      </c>
      <c r="M105" s="5" t="s">
        <v>49</v>
      </c>
      <c r="N105" s="5" t="s">
        <v>50</v>
      </c>
      <c r="O105" s="6">
        <f>IFERROR(VLOOKUP(M105, '[1]08_CSDL_DAO_CU_VAT_LIEU'!$A$2:$F$64, 6, FALSE), 27500)</f>
        <v>20833.330000000002</v>
      </c>
      <c r="P105" s="7">
        <v>0.6</v>
      </c>
      <c r="Q105" s="6">
        <f t="shared" si="4"/>
        <v>17178</v>
      </c>
      <c r="R105" s="6">
        <f>ROUND((F105/3600)*IFERROR(VLOOKUP(I105, '[1]02_DM_NHAN_SU_MAY'!$M$2:$Q$25, 5, FALSE), 39375), 0)</f>
        <v>14055</v>
      </c>
      <c r="S105" s="6">
        <v>0</v>
      </c>
      <c r="T105" s="6">
        <f t="shared" si="5"/>
        <v>31233</v>
      </c>
    </row>
    <row r="106" spans="1:20" x14ac:dyDescent="0.25">
      <c r="A106" s="2" t="s">
        <v>302</v>
      </c>
      <c r="B106" s="2">
        <v>105</v>
      </c>
      <c r="C106" s="2" t="s">
        <v>149</v>
      </c>
      <c r="D106" s="2" t="s">
        <v>303</v>
      </c>
      <c r="E106" s="2" t="s">
        <v>147</v>
      </c>
      <c r="F106" s="3">
        <v>1985</v>
      </c>
      <c r="G106" s="4">
        <f t="shared" si="3"/>
        <v>6.8900000000000003E-2</v>
      </c>
      <c r="H106" s="2" t="s">
        <v>34</v>
      </c>
      <c r="I106" s="2" t="s">
        <v>151</v>
      </c>
      <c r="J106" s="2" t="s">
        <v>36</v>
      </c>
      <c r="K106" s="2" t="s">
        <v>37</v>
      </c>
      <c r="L106" s="2" t="s">
        <v>38</v>
      </c>
      <c r="M106" s="2" t="s">
        <v>49</v>
      </c>
      <c r="N106" s="2" t="s">
        <v>50</v>
      </c>
      <c r="O106" s="3">
        <f>IFERROR(VLOOKUP(M106, '[1]08_CSDL_DAO_CU_VAT_LIEU'!$A$2:$F$64, 6, FALSE), 27500)</f>
        <v>20833.330000000002</v>
      </c>
      <c r="P106" s="4">
        <v>0.93</v>
      </c>
      <c r="Q106" s="3">
        <f t="shared" si="4"/>
        <v>26536</v>
      </c>
      <c r="R106" s="3">
        <f>ROUND((F106/3600)*IFERROR(VLOOKUP(I106, '[1]02_DM_NHAN_SU_MAY'!$M$2:$Q$25, 5, FALSE), 39375), 0)</f>
        <v>21711</v>
      </c>
      <c r="S106" s="3">
        <v>0</v>
      </c>
      <c r="T106" s="3">
        <f t="shared" si="5"/>
        <v>48247</v>
      </c>
    </row>
    <row r="107" spans="1:20" x14ac:dyDescent="0.25">
      <c r="A107" s="5" t="s">
        <v>304</v>
      </c>
      <c r="B107" s="5">
        <v>106</v>
      </c>
      <c r="C107" s="5" t="s">
        <v>149</v>
      </c>
      <c r="D107" s="5" t="s">
        <v>305</v>
      </c>
      <c r="E107" s="5" t="s">
        <v>147</v>
      </c>
      <c r="F107" s="6">
        <v>3375</v>
      </c>
      <c r="G107" s="7">
        <f t="shared" si="3"/>
        <v>0.1172</v>
      </c>
      <c r="H107" s="5" t="s">
        <v>34</v>
      </c>
      <c r="I107" s="5" t="s">
        <v>151</v>
      </c>
      <c r="J107" s="5" t="s">
        <v>36</v>
      </c>
      <c r="K107" s="5" t="s">
        <v>37</v>
      </c>
      <c r="L107" s="5" t="s">
        <v>38</v>
      </c>
      <c r="M107" s="5" t="s">
        <v>49</v>
      </c>
      <c r="N107" s="5" t="s">
        <v>50</v>
      </c>
      <c r="O107" s="6">
        <f>IFERROR(VLOOKUP(M107, '[1]08_CSDL_DAO_CU_VAT_LIEU'!$A$2:$F$64, 6, FALSE), 27500)</f>
        <v>20833.330000000002</v>
      </c>
      <c r="P107" s="7">
        <v>1.57</v>
      </c>
      <c r="Q107" s="6">
        <f t="shared" si="4"/>
        <v>45117</v>
      </c>
      <c r="R107" s="6">
        <f>ROUND((F107/3600)*IFERROR(VLOOKUP(I107, '[1]02_DM_NHAN_SU_MAY'!$M$2:$Q$25, 5, FALSE), 39375), 0)</f>
        <v>36914</v>
      </c>
      <c r="S107" s="6">
        <v>0</v>
      </c>
      <c r="T107" s="6">
        <f t="shared" si="5"/>
        <v>82031</v>
      </c>
    </row>
    <row r="108" spans="1:20" x14ac:dyDescent="0.25">
      <c r="A108" s="2" t="s">
        <v>306</v>
      </c>
      <c r="B108" s="2">
        <v>107</v>
      </c>
      <c r="C108" s="2" t="s">
        <v>149</v>
      </c>
      <c r="D108" s="2" t="s">
        <v>168</v>
      </c>
      <c r="E108" s="2" t="s">
        <v>147</v>
      </c>
      <c r="F108" s="3">
        <v>3375</v>
      </c>
      <c r="G108" s="4">
        <f t="shared" si="3"/>
        <v>0.1172</v>
      </c>
      <c r="H108" s="2" t="s">
        <v>34</v>
      </c>
      <c r="I108" s="2" t="s">
        <v>151</v>
      </c>
      <c r="J108" s="2" t="s">
        <v>36</v>
      </c>
      <c r="K108" s="2" t="s">
        <v>37</v>
      </c>
      <c r="L108" s="2" t="s">
        <v>38</v>
      </c>
      <c r="M108" s="2" t="s">
        <v>49</v>
      </c>
      <c r="N108" s="2" t="s">
        <v>50</v>
      </c>
      <c r="O108" s="3">
        <f>IFERROR(VLOOKUP(M108, '[1]08_CSDL_DAO_CU_VAT_LIEU'!$A$2:$F$64, 6, FALSE), 27500)</f>
        <v>20833.330000000002</v>
      </c>
      <c r="P108" s="4">
        <v>1.57</v>
      </c>
      <c r="Q108" s="3">
        <f t="shared" si="4"/>
        <v>45117</v>
      </c>
      <c r="R108" s="3">
        <f>ROUND((F108/3600)*IFERROR(VLOOKUP(I108, '[1]02_DM_NHAN_SU_MAY'!$M$2:$Q$25, 5, FALSE), 39375), 0)</f>
        <v>36914</v>
      </c>
      <c r="S108" s="3">
        <v>0</v>
      </c>
      <c r="T108" s="3">
        <f t="shared" si="5"/>
        <v>82031</v>
      </c>
    </row>
    <row r="109" spans="1:20" x14ac:dyDescent="0.25">
      <c r="A109" s="5" t="s">
        <v>307</v>
      </c>
      <c r="B109" s="5">
        <v>108</v>
      </c>
      <c r="C109" s="5" t="s">
        <v>149</v>
      </c>
      <c r="D109" s="5" t="s">
        <v>308</v>
      </c>
      <c r="E109" s="5" t="s">
        <v>147</v>
      </c>
      <c r="F109" s="6">
        <v>3375</v>
      </c>
      <c r="G109" s="7">
        <f t="shared" si="3"/>
        <v>0.1172</v>
      </c>
      <c r="H109" s="5" t="s">
        <v>34</v>
      </c>
      <c r="I109" s="5" t="s">
        <v>151</v>
      </c>
      <c r="J109" s="5" t="s">
        <v>36</v>
      </c>
      <c r="K109" s="5" t="s">
        <v>37</v>
      </c>
      <c r="L109" s="5" t="s">
        <v>38</v>
      </c>
      <c r="M109" s="5" t="s">
        <v>49</v>
      </c>
      <c r="N109" s="5" t="s">
        <v>50</v>
      </c>
      <c r="O109" s="6">
        <f>IFERROR(VLOOKUP(M109, '[1]08_CSDL_DAO_CU_VAT_LIEU'!$A$2:$F$64, 6, FALSE), 27500)</f>
        <v>20833.330000000002</v>
      </c>
      <c r="P109" s="7">
        <v>1.57</v>
      </c>
      <c r="Q109" s="6">
        <f t="shared" si="4"/>
        <v>45117</v>
      </c>
      <c r="R109" s="6">
        <f>ROUND((F109/3600)*IFERROR(VLOOKUP(I109, '[1]02_DM_NHAN_SU_MAY'!$M$2:$Q$25, 5, FALSE), 39375), 0)</f>
        <v>36914</v>
      </c>
      <c r="S109" s="6">
        <v>0</v>
      </c>
      <c r="T109" s="6">
        <f t="shared" si="5"/>
        <v>82031</v>
      </c>
    </row>
    <row r="110" spans="1:20" x14ac:dyDescent="0.25">
      <c r="A110" s="2" t="s">
        <v>309</v>
      </c>
      <c r="B110" s="2">
        <v>109</v>
      </c>
      <c r="C110" s="2" t="s">
        <v>149</v>
      </c>
      <c r="D110" s="2" t="s">
        <v>310</v>
      </c>
      <c r="E110" s="2" t="s">
        <v>147</v>
      </c>
      <c r="F110" s="3">
        <v>4500</v>
      </c>
      <c r="G110" s="4">
        <f t="shared" si="3"/>
        <v>0.15629999999999999</v>
      </c>
      <c r="H110" s="2" t="s">
        <v>34</v>
      </c>
      <c r="I110" s="2" t="s">
        <v>151</v>
      </c>
      <c r="J110" s="2" t="s">
        <v>36</v>
      </c>
      <c r="K110" s="2" t="s">
        <v>37</v>
      </c>
      <c r="L110" s="2" t="s">
        <v>38</v>
      </c>
      <c r="M110" s="2" t="s">
        <v>49</v>
      </c>
      <c r="N110" s="2" t="s">
        <v>50</v>
      </c>
      <c r="O110" s="3">
        <f>IFERROR(VLOOKUP(M110, '[1]08_CSDL_DAO_CU_VAT_LIEU'!$A$2:$F$64, 6, FALSE), 27500)</f>
        <v>20833.330000000002</v>
      </c>
      <c r="P110" s="4">
        <v>2.1</v>
      </c>
      <c r="Q110" s="3">
        <f t="shared" si="4"/>
        <v>60156</v>
      </c>
      <c r="R110" s="3">
        <f>ROUND((F110/3600)*IFERROR(VLOOKUP(I110, '[1]02_DM_NHAN_SU_MAY'!$M$2:$Q$25, 5, FALSE), 39375), 0)</f>
        <v>49219</v>
      </c>
      <c r="S110" s="3">
        <v>0</v>
      </c>
      <c r="T110" s="3">
        <f t="shared" si="5"/>
        <v>109375</v>
      </c>
    </row>
    <row r="111" spans="1:20" x14ac:dyDescent="0.25">
      <c r="A111" s="5" t="s">
        <v>311</v>
      </c>
      <c r="B111" s="5">
        <v>110</v>
      </c>
      <c r="C111" s="5" t="s">
        <v>149</v>
      </c>
      <c r="D111" s="5" t="s">
        <v>312</v>
      </c>
      <c r="E111" s="5" t="s">
        <v>147</v>
      </c>
      <c r="F111" s="6">
        <v>4500</v>
      </c>
      <c r="G111" s="7">
        <f t="shared" si="3"/>
        <v>0.15629999999999999</v>
      </c>
      <c r="H111" s="5" t="s">
        <v>34</v>
      </c>
      <c r="I111" s="5" t="s">
        <v>151</v>
      </c>
      <c r="J111" s="5" t="s">
        <v>36</v>
      </c>
      <c r="K111" s="5" t="s">
        <v>37</v>
      </c>
      <c r="L111" s="5" t="s">
        <v>38</v>
      </c>
      <c r="M111" s="5" t="s">
        <v>49</v>
      </c>
      <c r="N111" s="5" t="s">
        <v>50</v>
      </c>
      <c r="O111" s="6">
        <f>IFERROR(VLOOKUP(M111, '[1]08_CSDL_DAO_CU_VAT_LIEU'!$A$2:$F$64, 6, FALSE), 27500)</f>
        <v>20833.330000000002</v>
      </c>
      <c r="P111" s="7">
        <v>2.1</v>
      </c>
      <c r="Q111" s="6">
        <f t="shared" si="4"/>
        <v>60156</v>
      </c>
      <c r="R111" s="6">
        <f>ROUND((F111/3600)*IFERROR(VLOOKUP(I111, '[1]02_DM_NHAN_SU_MAY'!$M$2:$Q$25, 5, FALSE), 39375), 0)</f>
        <v>49219</v>
      </c>
      <c r="S111" s="6">
        <v>0</v>
      </c>
      <c r="T111" s="6">
        <f t="shared" si="5"/>
        <v>109375</v>
      </c>
    </row>
    <row r="112" spans="1:20" x14ac:dyDescent="0.25">
      <c r="A112" s="2" t="s">
        <v>313</v>
      </c>
      <c r="B112" s="2">
        <v>111</v>
      </c>
      <c r="C112" s="2" t="s">
        <v>149</v>
      </c>
      <c r="D112" s="2" t="s">
        <v>314</v>
      </c>
      <c r="E112" s="2" t="s">
        <v>147</v>
      </c>
      <c r="F112" s="2">
        <v>450</v>
      </c>
      <c r="G112" s="4">
        <f t="shared" si="3"/>
        <v>1.5599999999999999E-2</v>
      </c>
      <c r="H112" s="2" t="s">
        <v>34</v>
      </c>
      <c r="I112" s="2" t="s">
        <v>151</v>
      </c>
      <c r="J112" s="2" t="s">
        <v>36</v>
      </c>
      <c r="K112" s="2" t="s">
        <v>37</v>
      </c>
      <c r="L112" s="2" t="s">
        <v>38</v>
      </c>
      <c r="M112" s="2" t="s">
        <v>49</v>
      </c>
      <c r="N112" s="2" t="s">
        <v>50</v>
      </c>
      <c r="O112" s="3">
        <f>IFERROR(VLOOKUP(M112, '[1]08_CSDL_DAO_CU_VAT_LIEU'!$A$2:$F$64, 6, FALSE), 27500)</f>
        <v>20833.330000000002</v>
      </c>
      <c r="P112" s="4">
        <v>0.21</v>
      </c>
      <c r="Q112" s="3">
        <f t="shared" si="4"/>
        <v>6016</v>
      </c>
      <c r="R112" s="3">
        <f>ROUND((F112/3600)*IFERROR(VLOOKUP(I112, '[1]02_DM_NHAN_SU_MAY'!$M$2:$Q$25, 5, FALSE), 39375), 0)</f>
        <v>4922</v>
      </c>
      <c r="S112" s="3">
        <v>0</v>
      </c>
      <c r="T112" s="3">
        <f t="shared" si="5"/>
        <v>10938</v>
      </c>
    </row>
    <row r="113" spans="1:20" x14ac:dyDescent="0.25">
      <c r="A113" s="5" t="s">
        <v>315</v>
      </c>
      <c r="B113" s="5">
        <v>112</v>
      </c>
      <c r="C113" s="5" t="s">
        <v>149</v>
      </c>
      <c r="D113" s="5" t="s">
        <v>316</v>
      </c>
      <c r="E113" s="5" t="s">
        <v>147</v>
      </c>
      <c r="F113" s="6">
        <v>5400</v>
      </c>
      <c r="G113" s="7">
        <f t="shared" si="3"/>
        <v>0.1875</v>
      </c>
      <c r="H113" s="5" t="s">
        <v>34</v>
      </c>
      <c r="I113" s="5" t="s">
        <v>151</v>
      </c>
      <c r="J113" s="5" t="s">
        <v>36</v>
      </c>
      <c r="K113" s="5" t="s">
        <v>37</v>
      </c>
      <c r="L113" s="5" t="s">
        <v>38</v>
      </c>
      <c r="M113" s="5" t="s">
        <v>49</v>
      </c>
      <c r="N113" s="5" t="s">
        <v>50</v>
      </c>
      <c r="O113" s="6">
        <f>IFERROR(VLOOKUP(M113, '[1]08_CSDL_DAO_CU_VAT_LIEU'!$A$2:$F$64, 6, FALSE), 27500)</f>
        <v>20833.330000000002</v>
      </c>
      <c r="P113" s="7">
        <v>2.52</v>
      </c>
      <c r="Q113" s="6">
        <f t="shared" si="4"/>
        <v>72188</v>
      </c>
      <c r="R113" s="6">
        <f>ROUND((F113/3600)*IFERROR(VLOOKUP(I113, '[1]02_DM_NHAN_SU_MAY'!$M$2:$Q$25, 5, FALSE), 39375), 0)</f>
        <v>59063</v>
      </c>
      <c r="S113" s="6">
        <v>0</v>
      </c>
      <c r="T113" s="6">
        <f t="shared" si="5"/>
        <v>131251</v>
      </c>
    </row>
    <row r="114" spans="1:20" x14ac:dyDescent="0.25">
      <c r="A114" s="2" t="s">
        <v>317</v>
      </c>
      <c r="B114" s="2">
        <v>113</v>
      </c>
      <c r="C114" s="2" t="s">
        <v>149</v>
      </c>
      <c r="D114" s="2" t="s">
        <v>318</v>
      </c>
      <c r="E114" s="2" t="s">
        <v>147</v>
      </c>
      <c r="F114" s="3">
        <v>5400</v>
      </c>
      <c r="G114" s="4">
        <f t="shared" si="3"/>
        <v>0.1875</v>
      </c>
      <c r="H114" s="2" t="s">
        <v>34</v>
      </c>
      <c r="I114" s="2" t="s">
        <v>151</v>
      </c>
      <c r="J114" s="2" t="s">
        <v>36</v>
      </c>
      <c r="K114" s="2" t="s">
        <v>37</v>
      </c>
      <c r="L114" s="2" t="s">
        <v>38</v>
      </c>
      <c r="M114" s="2" t="s">
        <v>49</v>
      </c>
      <c r="N114" s="2" t="s">
        <v>50</v>
      </c>
      <c r="O114" s="3">
        <f>IFERROR(VLOOKUP(M114, '[1]08_CSDL_DAO_CU_VAT_LIEU'!$A$2:$F$64, 6, FALSE), 27500)</f>
        <v>20833.330000000002</v>
      </c>
      <c r="P114" s="4">
        <v>2.52</v>
      </c>
      <c r="Q114" s="3">
        <f t="shared" si="4"/>
        <v>72188</v>
      </c>
      <c r="R114" s="3">
        <f>ROUND((F114/3600)*IFERROR(VLOOKUP(I114, '[1]02_DM_NHAN_SU_MAY'!$M$2:$Q$25, 5, FALSE), 39375), 0)</f>
        <v>59063</v>
      </c>
      <c r="S114" s="3">
        <v>0</v>
      </c>
      <c r="T114" s="3">
        <f t="shared" si="5"/>
        <v>131251</v>
      </c>
    </row>
    <row r="115" spans="1:20" x14ac:dyDescent="0.25">
      <c r="A115" s="5" t="s">
        <v>319</v>
      </c>
      <c r="B115" s="5">
        <v>114</v>
      </c>
      <c r="C115" s="5" t="s">
        <v>149</v>
      </c>
      <c r="D115" s="5" t="s">
        <v>320</v>
      </c>
      <c r="E115" s="5" t="s">
        <v>147</v>
      </c>
      <c r="F115" s="5">
        <v>567</v>
      </c>
      <c r="G115" s="7">
        <f t="shared" si="3"/>
        <v>1.9699999999999999E-2</v>
      </c>
      <c r="H115" s="5" t="s">
        <v>34</v>
      </c>
      <c r="I115" s="5" t="s">
        <v>151</v>
      </c>
      <c r="J115" s="5" t="s">
        <v>36</v>
      </c>
      <c r="K115" s="5" t="s">
        <v>37</v>
      </c>
      <c r="L115" s="5" t="s">
        <v>38</v>
      </c>
      <c r="M115" s="5" t="s">
        <v>49</v>
      </c>
      <c r="N115" s="5" t="s">
        <v>50</v>
      </c>
      <c r="O115" s="6">
        <f>IFERROR(VLOOKUP(M115, '[1]08_CSDL_DAO_CU_VAT_LIEU'!$A$2:$F$64, 6, FALSE), 27500)</f>
        <v>20833.330000000002</v>
      </c>
      <c r="P115" s="7">
        <v>0.26</v>
      </c>
      <c r="Q115" s="6">
        <f t="shared" si="4"/>
        <v>7580</v>
      </c>
      <c r="R115" s="6">
        <f>ROUND((F115/3600)*IFERROR(VLOOKUP(I115, '[1]02_DM_NHAN_SU_MAY'!$M$2:$Q$25, 5, FALSE), 39375), 0)</f>
        <v>6202</v>
      </c>
      <c r="S115" s="6">
        <v>0</v>
      </c>
      <c r="T115" s="6">
        <f t="shared" si="5"/>
        <v>13782</v>
      </c>
    </row>
    <row r="116" spans="1:20" x14ac:dyDescent="0.25">
      <c r="A116" s="2" t="s">
        <v>321</v>
      </c>
      <c r="B116" s="2">
        <v>115</v>
      </c>
      <c r="C116" s="2" t="s">
        <v>149</v>
      </c>
      <c r="D116" s="2" t="s">
        <v>322</v>
      </c>
      <c r="E116" s="2" t="s">
        <v>147</v>
      </c>
      <c r="F116" s="3">
        <v>1285</v>
      </c>
      <c r="G116" s="4">
        <f t="shared" si="3"/>
        <v>4.4600000000000001E-2</v>
      </c>
      <c r="H116" s="2" t="s">
        <v>34</v>
      </c>
      <c r="I116" s="2" t="s">
        <v>151</v>
      </c>
      <c r="J116" s="2" t="s">
        <v>36</v>
      </c>
      <c r="K116" s="2" t="s">
        <v>37</v>
      </c>
      <c r="L116" s="2" t="s">
        <v>38</v>
      </c>
      <c r="M116" s="2" t="s">
        <v>49</v>
      </c>
      <c r="N116" s="2" t="s">
        <v>50</v>
      </c>
      <c r="O116" s="3">
        <f>IFERROR(VLOOKUP(M116, '[1]08_CSDL_DAO_CU_VAT_LIEU'!$A$2:$F$64, 6, FALSE), 27500)</f>
        <v>20833.330000000002</v>
      </c>
      <c r="P116" s="4">
        <v>0.6</v>
      </c>
      <c r="Q116" s="3">
        <f t="shared" si="4"/>
        <v>17178</v>
      </c>
      <c r="R116" s="3">
        <f>ROUND((F116/3600)*IFERROR(VLOOKUP(I116, '[1]02_DM_NHAN_SU_MAY'!$M$2:$Q$25, 5, FALSE), 39375), 0)</f>
        <v>14055</v>
      </c>
      <c r="S116" s="3">
        <v>0</v>
      </c>
      <c r="T116" s="3">
        <f t="shared" si="5"/>
        <v>31233</v>
      </c>
    </row>
    <row r="117" spans="1:20" x14ac:dyDescent="0.25">
      <c r="A117" s="5" t="s">
        <v>323</v>
      </c>
      <c r="B117" s="5">
        <v>116</v>
      </c>
      <c r="C117" s="5" t="s">
        <v>149</v>
      </c>
      <c r="D117" s="5" t="s">
        <v>324</v>
      </c>
      <c r="E117" s="5" t="s">
        <v>147</v>
      </c>
      <c r="F117" s="6">
        <v>1588</v>
      </c>
      <c r="G117" s="7">
        <f t="shared" si="3"/>
        <v>5.5100000000000003E-2</v>
      </c>
      <c r="H117" s="5" t="s">
        <v>34</v>
      </c>
      <c r="I117" s="5" t="s">
        <v>151</v>
      </c>
      <c r="J117" s="5" t="s">
        <v>36</v>
      </c>
      <c r="K117" s="5" t="s">
        <v>37</v>
      </c>
      <c r="L117" s="5" t="s">
        <v>38</v>
      </c>
      <c r="M117" s="5" t="s">
        <v>49</v>
      </c>
      <c r="N117" s="5" t="s">
        <v>50</v>
      </c>
      <c r="O117" s="6">
        <f>IFERROR(VLOOKUP(M117, '[1]08_CSDL_DAO_CU_VAT_LIEU'!$A$2:$F$64, 6, FALSE), 27500)</f>
        <v>20833.330000000002</v>
      </c>
      <c r="P117" s="7">
        <v>0.74</v>
      </c>
      <c r="Q117" s="6">
        <f t="shared" si="4"/>
        <v>21228</v>
      </c>
      <c r="R117" s="6">
        <f>ROUND((F117/3600)*IFERROR(VLOOKUP(I117, '[1]02_DM_NHAN_SU_MAY'!$M$2:$Q$25, 5, FALSE), 39375), 0)</f>
        <v>17369</v>
      </c>
      <c r="S117" s="6">
        <v>0</v>
      </c>
      <c r="T117" s="6">
        <f t="shared" si="5"/>
        <v>38597</v>
      </c>
    </row>
    <row r="118" spans="1:20" x14ac:dyDescent="0.25">
      <c r="A118" s="2" t="s">
        <v>325</v>
      </c>
      <c r="B118" s="2">
        <v>117</v>
      </c>
      <c r="C118" s="2" t="s">
        <v>149</v>
      </c>
      <c r="D118" s="2" t="s">
        <v>326</v>
      </c>
      <c r="E118" s="2" t="s">
        <v>147</v>
      </c>
      <c r="F118" s="3">
        <v>1928</v>
      </c>
      <c r="G118" s="4">
        <f t="shared" si="3"/>
        <v>6.6900000000000001E-2</v>
      </c>
      <c r="H118" s="2" t="s">
        <v>34</v>
      </c>
      <c r="I118" s="2" t="s">
        <v>151</v>
      </c>
      <c r="J118" s="2" t="s">
        <v>36</v>
      </c>
      <c r="K118" s="2" t="s">
        <v>37</v>
      </c>
      <c r="L118" s="2" t="s">
        <v>38</v>
      </c>
      <c r="M118" s="2" t="s">
        <v>49</v>
      </c>
      <c r="N118" s="2" t="s">
        <v>50</v>
      </c>
      <c r="O118" s="3">
        <f>IFERROR(VLOOKUP(M118, '[1]08_CSDL_DAO_CU_VAT_LIEU'!$A$2:$F$64, 6, FALSE), 27500)</f>
        <v>20833.330000000002</v>
      </c>
      <c r="P118" s="4">
        <v>0.9</v>
      </c>
      <c r="Q118" s="3">
        <f t="shared" si="4"/>
        <v>25774</v>
      </c>
      <c r="R118" s="3">
        <f>ROUND((F118/3600)*IFERROR(VLOOKUP(I118, '[1]02_DM_NHAN_SU_MAY'!$M$2:$Q$25, 5, FALSE), 39375), 0)</f>
        <v>21088</v>
      </c>
      <c r="S118" s="3">
        <v>0</v>
      </c>
      <c r="T118" s="3">
        <f t="shared" si="5"/>
        <v>46862</v>
      </c>
    </row>
    <row r="119" spans="1:20" x14ac:dyDescent="0.25">
      <c r="A119" s="5" t="s">
        <v>327</v>
      </c>
      <c r="B119" s="5">
        <v>118</v>
      </c>
      <c r="C119" s="5" t="s">
        <v>149</v>
      </c>
      <c r="D119" s="5" t="s">
        <v>328</v>
      </c>
      <c r="E119" s="5" t="s">
        <v>147</v>
      </c>
      <c r="F119" s="6">
        <v>3600</v>
      </c>
      <c r="G119" s="7">
        <f t="shared" si="3"/>
        <v>0.125</v>
      </c>
      <c r="H119" s="5" t="s">
        <v>34</v>
      </c>
      <c r="I119" s="5" t="s">
        <v>151</v>
      </c>
      <c r="J119" s="5" t="s">
        <v>36</v>
      </c>
      <c r="K119" s="5" t="s">
        <v>37</v>
      </c>
      <c r="L119" s="5" t="s">
        <v>38</v>
      </c>
      <c r="M119" s="5" t="s">
        <v>49</v>
      </c>
      <c r="N119" s="5" t="s">
        <v>50</v>
      </c>
      <c r="O119" s="6">
        <f>IFERROR(VLOOKUP(M119, '[1]08_CSDL_DAO_CU_VAT_LIEU'!$A$2:$F$64, 6, FALSE), 27500)</f>
        <v>20833.330000000002</v>
      </c>
      <c r="P119" s="7">
        <v>1.68</v>
      </c>
      <c r="Q119" s="6">
        <f t="shared" si="4"/>
        <v>48125</v>
      </c>
      <c r="R119" s="6">
        <f>ROUND((F119/3600)*IFERROR(VLOOKUP(I119, '[1]02_DM_NHAN_SU_MAY'!$M$2:$Q$25, 5, FALSE), 39375), 0)</f>
        <v>39375</v>
      </c>
      <c r="S119" s="6">
        <v>0</v>
      </c>
      <c r="T119" s="6">
        <f t="shared" si="5"/>
        <v>87500</v>
      </c>
    </row>
    <row r="120" spans="1:20" x14ac:dyDescent="0.25">
      <c r="A120" s="2" t="s">
        <v>329</v>
      </c>
      <c r="B120" s="2">
        <v>119</v>
      </c>
      <c r="C120" s="2" t="s">
        <v>330</v>
      </c>
      <c r="D120" s="2" t="s">
        <v>331</v>
      </c>
      <c r="E120" s="2" t="s">
        <v>332</v>
      </c>
      <c r="F120" s="3">
        <v>13500</v>
      </c>
      <c r="G120" s="4">
        <f t="shared" si="3"/>
        <v>0.46879999999999999</v>
      </c>
      <c r="H120" s="2" t="s">
        <v>34</v>
      </c>
      <c r="I120" s="2" t="s">
        <v>24</v>
      </c>
      <c r="J120" s="2" t="s">
        <v>56</v>
      </c>
      <c r="K120" s="2" t="s">
        <v>57</v>
      </c>
      <c r="L120" s="2" t="s">
        <v>58</v>
      </c>
      <c r="M120" s="2" t="s">
        <v>138</v>
      </c>
      <c r="N120" s="2" t="s">
        <v>139</v>
      </c>
      <c r="O120" s="3">
        <f>IFERROR(VLOOKUP(M120, '[1]08_CSDL_DAO_CU_VAT_LIEU'!$A$2:$F$64, 6, FALSE), 27500)</f>
        <v>32500</v>
      </c>
      <c r="P120" s="4">
        <v>6.3</v>
      </c>
      <c r="Q120" s="3">
        <f t="shared" si="4"/>
        <v>180469</v>
      </c>
      <c r="R120" s="3">
        <f>ROUND((F120/3600)*IFERROR(VLOOKUP(I120, '[1]02_DM_NHAN_SU_MAY'!$M$2:$Q$25, 5, FALSE), 39375), 0)</f>
        <v>147656</v>
      </c>
      <c r="S120" s="3">
        <v>0</v>
      </c>
      <c r="T120" s="3">
        <f t="shared" si="5"/>
        <v>328125</v>
      </c>
    </row>
    <row r="121" spans="1:20" x14ac:dyDescent="0.25">
      <c r="A121" s="5" t="s">
        <v>333</v>
      </c>
      <c r="B121" s="5">
        <v>120</v>
      </c>
      <c r="C121" s="5" t="s">
        <v>330</v>
      </c>
      <c r="D121" s="5" t="s">
        <v>334</v>
      </c>
      <c r="E121" s="5" t="s">
        <v>335</v>
      </c>
      <c r="F121" s="6">
        <v>13500</v>
      </c>
      <c r="G121" s="7">
        <f t="shared" si="3"/>
        <v>0.46879999999999999</v>
      </c>
      <c r="H121" s="5" t="s">
        <v>34</v>
      </c>
      <c r="I121" s="5" t="s">
        <v>24</v>
      </c>
      <c r="J121" s="5" t="s">
        <v>56</v>
      </c>
      <c r="K121" s="5" t="s">
        <v>57</v>
      </c>
      <c r="L121" s="5" t="s">
        <v>58</v>
      </c>
      <c r="M121" s="5" t="s">
        <v>49</v>
      </c>
      <c r="N121" s="5" t="s">
        <v>50</v>
      </c>
      <c r="O121" s="6">
        <f>IFERROR(VLOOKUP(M121, '[1]08_CSDL_DAO_CU_VAT_LIEU'!$A$2:$F$64, 6, FALSE), 27500)</f>
        <v>20833.330000000002</v>
      </c>
      <c r="P121" s="7">
        <v>6.3</v>
      </c>
      <c r="Q121" s="6">
        <f t="shared" si="4"/>
        <v>180469</v>
      </c>
      <c r="R121" s="6">
        <f>ROUND((F121/3600)*IFERROR(VLOOKUP(I121, '[1]02_DM_NHAN_SU_MAY'!$M$2:$Q$25, 5, FALSE), 39375), 0)</f>
        <v>147656</v>
      </c>
      <c r="S121" s="6">
        <v>0</v>
      </c>
      <c r="T121" s="6">
        <f t="shared" si="5"/>
        <v>328125</v>
      </c>
    </row>
    <row r="122" spans="1:20" x14ac:dyDescent="0.25">
      <c r="A122" s="2" t="s">
        <v>336</v>
      </c>
      <c r="B122" s="2">
        <v>121</v>
      </c>
      <c r="C122" s="2" t="s">
        <v>330</v>
      </c>
      <c r="D122" s="2" t="s">
        <v>337</v>
      </c>
      <c r="E122" s="2" t="s">
        <v>335</v>
      </c>
      <c r="F122" s="3">
        <v>18000</v>
      </c>
      <c r="G122" s="4">
        <f t="shared" si="3"/>
        <v>0.625</v>
      </c>
      <c r="H122" s="2" t="s">
        <v>34</v>
      </c>
      <c r="I122" s="2" t="s">
        <v>24</v>
      </c>
      <c r="J122" s="2" t="s">
        <v>56</v>
      </c>
      <c r="K122" s="2" t="s">
        <v>57</v>
      </c>
      <c r="L122" s="2" t="s">
        <v>58</v>
      </c>
      <c r="M122" s="2" t="s">
        <v>49</v>
      </c>
      <c r="N122" s="2" t="s">
        <v>50</v>
      </c>
      <c r="O122" s="3">
        <f>IFERROR(VLOOKUP(M122, '[1]08_CSDL_DAO_CU_VAT_LIEU'!$A$2:$F$64, 6, FALSE), 27500)</f>
        <v>20833.330000000002</v>
      </c>
      <c r="P122" s="4">
        <v>8.4</v>
      </c>
      <c r="Q122" s="3">
        <f t="shared" si="4"/>
        <v>240625</v>
      </c>
      <c r="R122" s="3">
        <f>ROUND((F122/3600)*IFERROR(VLOOKUP(I122, '[1]02_DM_NHAN_SU_MAY'!$M$2:$Q$25, 5, FALSE), 39375), 0)</f>
        <v>196875</v>
      </c>
      <c r="S122" s="3">
        <v>0</v>
      </c>
      <c r="T122" s="3">
        <f t="shared" si="5"/>
        <v>437500</v>
      </c>
    </row>
    <row r="123" spans="1:20" x14ac:dyDescent="0.25">
      <c r="A123" s="5" t="s">
        <v>338</v>
      </c>
      <c r="B123" s="5">
        <v>122</v>
      </c>
      <c r="C123" s="5" t="s">
        <v>217</v>
      </c>
      <c r="D123" s="6">
        <v>210766</v>
      </c>
      <c r="E123" s="5" t="s">
        <v>335</v>
      </c>
      <c r="F123" s="6">
        <v>13500</v>
      </c>
      <c r="G123" s="7">
        <f t="shared" si="3"/>
        <v>0.46879999999999999</v>
      </c>
      <c r="H123" s="5" t="s">
        <v>34</v>
      </c>
      <c r="I123" s="5" t="s">
        <v>24</v>
      </c>
      <c r="J123" s="5" t="s">
        <v>56</v>
      </c>
      <c r="K123" s="5" t="s">
        <v>57</v>
      </c>
      <c r="L123" s="5" t="s">
        <v>58</v>
      </c>
      <c r="M123" s="5" t="s">
        <v>49</v>
      </c>
      <c r="N123" s="5" t="s">
        <v>50</v>
      </c>
      <c r="O123" s="6">
        <f>IFERROR(VLOOKUP(M123, '[1]08_CSDL_DAO_CU_VAT_LIEU'!$A$2:$F$64, 6, FALSE), 27500)</f>
        <v>20833.330000000002</v>
      </c>
      <c r="P123" s="7">
        <v>6.3</v>
      </c>
      <c r="Q123" s="6">
        <f t="shared" si="4"/>
        <v>180469</v>
      </c>
      <c r="R123" s="6">
        <f>ROUND((F123/3600)*IFERROR(VLOOKUP(I123, '[1]02_DM_NHAN_SU_MAY'!$M$2:$Q$25, 5, FALSE), 39375), 0)</f>
        <v>147656</v>
      </c>
      <c r="S123" s="6">
        <v>0</v>
      </c>
      <c r="T123" s="6">
        <f t="shared" si="5"/>
        <v>328125</v>
      </c>
    </row>
    <row r="124" spans="1:20" x14ac:dyDescent="0.25">
      <c r="A124" s="2" t="s">
        <v>339</v>
      </c>
      <c r="B124" s="2">
        <v>123</v>
      </c>
      <c r="C124" s="2" t="s">
        <v>217</v>
      </c>
      <c r="D124" s="3">
        <v>210767</v>
      </c>
      <c r="E124" s="2" t="s">
        <v>335</v>
      </c>
      <c r="F124" s="3">
        <v>13500</v>
      </c>
      <c r="G124" s="4">
        <f t="shared" si="3"/>
        <v>0.46879999999999999</v>
      </c>
      <c r="H124" s="2" t="s">
        <v>34</v>
      </c>
      <c r="I124" s="2" t="s">
        <v>24</v>
      </c>
      <c r="J124" s="2" t="s">
        <v>56</v>
      </c>
      <c r="K124" s="2" t="s">
        <v>57</v>
      </c>
      <c r="L124" s="2" t="s">
        <v>58</v>
      </c>
      <c r="M124" s="2" t="s">
        <v>49</v>
      </c>
      <c r="N124" s="2" t="s">
        <v>50</v>
      </c>
      <c r="O124" s="3">
        <f>IFERROR(VLOOKUP(M124, '[1]08_CSDL_DAO_CU_VAT_LIEU'!$A$2:$F$64, 6, FALSE), 27500)</f>
        <v>20833.330000000002</v>
      </c>
      <c r="P124" s="4">
        <v>6.3</v>
      </c>
      <c r="Q124" s="3">
        <f t="shared" si="4"/>
        <v>180469</v>
      </c>
      <c r="R124" s="3">
        <f>ROUND((F124/3600)*IFERROR(VLOOKUP(I124, '[1]02_DM_NHAN_SU_MAY'!$M$2:$Q$25, 5, FALSE), 39375), 0)</f>
        <v>147656</v>
      </c>
      <c r="S124" s="3">
        <v>0</v>
      </c>
      <c r="T124" s="3">
        <f t="shared" si="5"/>
        <v>328125</v>
      </c>
    </row>
    <row r="125" spans="1:20" x14ac:dyDescent="0.25">
      <c r="A125" s="5" t="s">
        <v>340</v>
      </c>
      <c r="B125" s="5">
        <v>124</v>
      </c>
      <c r="C125" s="5" t="s">
        <v>217</v>
      </c>
      <c r="D125" s="6">
        <v>210768</v>
      </c>
      <c r="E125" s="5" t="s">
        <v>335</v>
      </c>
      <c r="F125" s="6">
        <v>13500</v>
      </c>
      <c r="G125" s="7">
        <f t="shared" si="3"/>
        <v>0.46879999999999999</v>
      </c>
      <c r="H125" s="5" t="s">
        <v>34</v>
      </c>
      <c r="I125" s="5" t="s">
        <v>24</v>
      </c>
      <c r="J125" s="5" t="s">
        <v>56</v>
      </c>
      <c r="K125" s="5" t="s">
        <v>57</v>
      </c>
      <c r="L125" s="5" t="s">
        <v>58</v>
      </c>
      <c r="M125" s="5" t="s">
        <v>49</v>
      </c>
      <c r="N125" s="5" t="s">
        <v>50</v>
      </c>
      <c r="O125" s="6">
        <f>IFERROR(VLOOKUP(M125, '[1]08_CSDL_DAO_CU_VAT_LIEU'!$A$2:$F$64, 6, FALSE), 27500)</f>
        <v>20833.330000000002</v>
      </c>
      <c r="P125" s="7">
        <v>6.3</v>
      </c>
      <c r="Q125" s="6">
        <f t="shared" si="4"/>
        <v>180469</v>
      </c>
      <c r="R125" s="6">
        <f>ROUND((F125/3600)*IFERROR(VLOOKUP(I125, '[1]02_DM_NHAN_SU_MAY'!$M$2:$Q$25, 5, FALSE), 39375), 0)</f>
        <v>147656</v>
      </c>
      <c r="S125" s="6">
        <v>0</v>
      </c>
      <c r="T125" s="6">
        <f t="shared" si="5"/>
        <v>328125</v>
      </c>
    </row>
    <row r="126" spans="1:20" x14ac:dyDescent="0.25">
      <c r="A126" s="2" t="s">
        <v>341</v>
      </c>
      <c r="B126" s="2">
        <v>125</v>
      </c>
      <c r="C126" s="2" t="s">
        <v>68</v>
      </c>
      <c r="D126" s="2" t="s">
        <v>342</v>
      </c>
      <c r="E126" s="2" t="s">
        <v>343</v>
      </c>
      <c r="F126" s="3">
        <v>27000</v>
      </c>
      <c r="G126" s="4">
        <f t="shared" si="3"/>
        <v>0.9375</v>
      </c>
      <c r="H126" s="2">
        <v>1</v>
      </c>
      <c r="I126" s="2" t="s">
        <v>24</v>
      </c>
      <c r="J126" s="2" t="s">
        <v>97</v>
      </c>
      <c r="K126" s="2" t="s">
        <v>98</v>
      </c>
      <c r="L126" s="2" t="s">
        <v>109</v>
      </c>
      <c r="M126" s="2" t="s">
        <v>28</v>
      </c>
      <c r="N126" s="2" t="s">
        <v>29</v>
      </c>
      <c r="O126" s="3">
        <f>IFERROR(VLOOKUP(M126, '[1]08_CSDL_DAO_CU_VAT_LIEU'!$A$2:$F$64, 6, FALSE), 27500)</f>
        <v>27500</v>
      </c>
      <c r="P126" s="4">
        <v>10.5</v>
      </c>
      <c r="Q126" s="3">
        <f t="shared" si="4"/>
        <v>360938</v>
      </c>
      <c r="R126" s="3">
        <f>ROUND((F126/3600)*IFERROR(VLOOKUP(I126, '[1]02_DM_NHAN_SU_MAY'!$M$2:$Q$25, 5, FALSE), 39375), 0)</f>
        <v>295313</v>
      </c>
      <c r="S126" s="3">
        <v>0</v>
      </c>
      <c r="T126" s="3">
        <f t="shared" si="5"/>
        <v>656251</v>
      </c>
    </row>
    <row r="127" spans="1:20" x14ac:dyDescent="0.25">
      <c r="A127" s="5" t="s">
        <v>344</v>
      </c>
      <c r="B127" s="5">
        <v>126</v>
      </c>
      <c r="C127" s="5" t="s">
        <v>68</v>
      </c>
      <c r="D127" s="5" t="s">
        <v>342</v>
      </c>
      <c r="E127" s="5" t="s">
        <v>345</v>
      </c>
      <c r="F127" s="6">
        <v>27000</v>
      </c>
      <c r="G127" s="7">
        <f t="shared" si="3"/>
        <v>0.9375</v>
      </c>
      <c r="H127" s="5">
        <v>2</v>
      </c>
      <c r="I127" s="5" t="s">
        <v>24</v>
      </c>
      <c r="J127" s="5" t="s">
        <v>97</v>
      </c>
      <c r="K127" s="5" t="s">
        <v>98</v>
      </c>
      <c r="L127" s="5" t="s">
        <v>109</v>
      </c>
      <c r="M127" s="5" t="s">
        <v>28</v>
      </c>
      <c r="N127" s="5" t="s">
        <v>29</v>
      </c>
      <c r="O127" s="6">
        <f>IFERROR(VLOOKUP(M127, '[1]08_CSDL_DAO_CU_VAT_LIEU'!$A$2:$F$64, 6, FALSE), 27500)</f>
        <v>27500</v>
      </c>
      <c r="P127" s="7">
        <v>10.5</v>
      </c>
      <c r="Q127" s="6">
        <f t="shared" si="4"/>
        <v>360938</v>
      </c>
      <c r="R127" s="6">
        <f>ROUND((F127/3600)*IFERROR(VLOOKUP(I127, '[1]02_DM_NHAN_SU_MAY'!$M$2:$Q$25, 5, FALSE), 39375), 0)</f>
        <v>295313</v>
      </c>
      <c r="S127" s="6">
        <v>0</v>
      </c>
      <c r="T127" s="6">
        <f t="shared" si="5"/>
        <v>656251</v>
      </c>
    </row>
    <row r="128" spans="1:20" x14ac:dyDescent="0.25">
      <c r="A128" s="2" t="s">
        <v>346</v>
      </c>
      <c r="B128" s="2">
        <v>127</v>
      </c>
      <c r="C128" s="2" t="s">
        <v>68</v>
      </c>
      <c r="D128" s="2" t="s">
        <v>342</v>
      </c>
      <c r="E128" s="2" t="s">
        <v>347</v>
      </c>
      <c r="F128" s="3">
        <v>27000</v>
      </c>
      <c r="G128" s="4">
        <f t="shared" si="3"/>
        <v>0.9375</v>
      </c>
      <c r="H128" s="2">
        <v>3</v>
      </c>
      <c r="I128" s="2" t="s">
        <v>24</v>
      </c>
      <c r="J128" s="2" t="s">
        <v>97</v>
      </c>
      <c r="K128" s="2" t="s">
        <v>98</v>
      </c>
      <c r="L128" s="2" t="s">
        <v>109</v>
      </c>
      <c r="M128" s="2" t="s">
        <v>28</v>
      </c>
      <c r="N128" s="2" t="s">
        <v>29</v>
      </c>
      <c r="O128" s="3">
        <f>IFERROR(VLOOKUP(M128, '[1]08_CSDL_DAO_CU_VAT_LIEU'!$A$2:$F$64, 6, FALSE), 27500)</f>
        <v>27500</v>
      </c>
      <c r="P128" s="4">
        <v>10.5</v>
      </c>
      <c r="Q128" s="3">
        <f t="shared" si="4"/>
        <v>360938</v>
      </c>
      <c r="R128" s="3">
        <f>ROUND((F128/3600)*IFERROR(VLOOKUP(I128, '[1]02_DM_NHAN_SU_MAY'!$M$2:$Q$25, 5, FALSE), 39375), 0)</f>
        <v>295313</v>
      </c>
      <c r="S128" s="3">
        <v>0</v>
      </c>
      <c r="T128" s="3">
        <f t="shared" si="5"/>
        <v>656251</v>
      </c>
    </row>
    <row r="129" spans="1:20" x14ac:dyDescent="0.25">
      <c r="A129" s="5" t="s">
        <v>348</v>
      </c>
      <c r="B129" s="5">
        <v>128</v>
      </c>
      <c r="C129" s="5" t="s">
        <v>68</v>
      </c>
      <c r="D129" s="5" t="s">
        <v>342</v>
      </c>
      <c r="E129" s="5" t="s">
        <v>349</v>
      </c>
      <c r="F129" s="6">
        <v>27000</v>
      </c>
      <c r="G129" s="7">
        <f t="shared" si="3"/>
        <v>0.9375</v>
      </c>
      <c r="H129" s="5" t="s">
        <v>34</v>
      </c>
      <c r="I129" s="5" t="s">
        <v>90</v>
      </c>
      <c r="J129" s="5" t="s">
        <v>97</v>
      </c>
      <c r="K129" s="5" t="s">
        <v>98</v>
      </c>
      <c r="L129" s="5" t="s">
        <v>99</v>
      </c>
      <c r="M129" s="5" t="s">
        <v>92</v>
      </c>
      <c r="N129" s="5" t="s">
        <v>93</v>
      </c>
      <c r="O129" s="6">
        <f>IFERROR(VLOOKUP(M129, '[1]08_CSDL_DAO_CU_VAT_LIEU'!$A$2:$F$64, 6, FALSE), 27500)</f>
        <v>74000</v>
      </c>
      <c r="P129" s="7">
        <v>10.5</v>
      </c>
      <c r="Q129" s="6">
        <f t="shared" si="4"/>
        <v>360938</v>
      </c>
      <c r="R129" s="6">
        <f>ROUND((F129/3600)*IFERROR(VLOOKUP(I129, '[1]02_DM_NHAN_SU_MAY'!$M$2:$Q$25, 5, FALSE), 39375), 0)</f>
        <v>201563</v>
      </c>
      <c r="S129" s="6">
        <v>0</v>
      </c>
      <c r="T129" s="6">
        <f t="shared" si="5"/>
        <v>562501</v>
      </c>
    </row>
    <row r="130" spans="1:20" x14ac:dyDescent="0.25">
      <c r="A130" s="2" t="s">
        <v>350</v>
      </c>
      <c r="B130" s="2">
        <v>129</v>
      </c>
      <c r="C130" s="2" t="s">
        <v>217</v>
      </c>
      <c r="D130" s="2" t="s">
        <v>351</v>
      </c>
      <c r="E130" s="2" t="s">
        <v>352</v>
      </c>
      <c r="F130" s="3">
        <v>13500</v>
      </c>
      <c r="G130" s="4">
        <f t="shared" ref="G130:G193" si="6">ROUND(F130/28800, 4)</f>
        <v>0.46879999999999999</v>
      </c>
      <c r="H130" s="2">
        <v>1</v>
      </c>
      <c r="I130" s="2" t="s">
        <v>24</v>
      </c>
      <c r="J130" s="2" t="s">
        <v>56</v>
      </c>
      <c r="K130" s="2" t="s">
        <v>57</v>
      </c>
      <c r="L130" s="2" t="s">
        <v>58</v>
      </c>
      <c r="M130" s="2" t="s">
        <v>49</v>
      </c>
      <c r="N130" s="2" t="s">
        <v>50</v>
      </c>
      <c r="O130" s="3">
        <f>IFERROR(VLOOKUP(M130, '[1]08_CSDL_DAO_CU_VAT_LIEU'!$A$2:$F$64, 6, FALSE), 27500)</f>
        <v>20833.330000000002</v>
      </c>
      <c r="P130" s="4">
        <v>6.3</v>
      </c>
      <c r="Q130" s="3">
        <f t="shared" ref="Q130:Q193" si="7">ROUND(F130*(385000/28800), 0)</f>
        <v>180469</v>
      </c>
      <c r="R130" s="3">
        <f>ROUND((F130/3600)*IFERROR(VLOOKUP(I130, '[1]02_DM_NHAN_SU_MAY'!$M$2:$Q$25, 5, FALSE), 39375), 0)</f>
        <v>147656</v>
      </c>
      <c r="S130" s="3">
        <v>0</v>
      </c>
      <c r="T130" s="3">
        <f t="shared" ref="T130:T193" si="8">Q130+R130</f>
        <v>328125</v>
      </c>
    </row>
    <row r="131" spans="1:20" x14ac:dyDescent="0.25">
      <c r="A131" s="5" t="s">
        <v>353</v>
      </c>
      <c r="B131" s="5">
        <v>130</v>
      </c>
      <c r="C131" s="5" t="s">
        <v>217</v>
      </c>
      <c r="D131" s="5" t="s">
        <v>351</v>
      </c>
      <c r="E131" s="5" t="s">
        <v>354</v>
      </c>
      <c r="F131" s="6">
        <v>187200</v>
      </c>
      <c r="G131" s="7">
        <f t="shared" si="6"/>
        <v>6.5</v>
      </c>
      <c r="H131" s="5" t="s">
        <v>34</v>
      </c>
      <c r="I131" s="5" t="s">
        <v>24</v>
      </c>
      <c r="J131" s="5" t="s">
        <v>56</v>
      </c>
      <c r="K131" s="5" t="s">
        <v>57</v>
      </c>
      <c r="L131" s="5" t="s">
        <v>58</v>
      </c>
      <c r="M131" s="5" t="s">
        <v>49</v>
      </c>
      <c r="N131" s="5" t="s">
        <v>50</v>
      </c>
      <c r="O131" s="6">
        <f>IFERROR(VLOOKUP(M131, '[1]08_CSDL_DAO_CU_VAT_LIEU'!$A$2:$F$64, 6, FALSE), 27500)</f>
        <v>20833.330000000002</v>
      </c>
      <c r="P131" s="7">
        <v>87.36</v>
      </c>
      <c r="Q131" s="6">
        <f t="shared" si="7"/>
        <v>2502500</v>
      </c>
      <c r="R131" s="6">
        <f>ROUND((F131/3600)*IFERROR(VLOOKUP(I131, '[1]02_DM_NHAN_SU_MAY'!$M$2:$Q$25, 5, FALSE), 39375), 0)</f>
        <v>2047500</v>
      </c>
      <c r="S131" s="6">
        <v>0</v>
      </c>
      <c r="T131" s="6">
        <f t="shared" si="8"/>
        <v>4550000</v>
      </c>
    </row>
    <row r="132" spans="1:20" x14ac:dyDescent="0.25">
      <c r="A132" s="2" t="s">
        <v>355</v>
      </c>
      <c r="B132" s="2">
        <v>131</v>
      </c>
      <c r="C132" s="2" t="s">
        <v>217</v>
      </c>
      <c r="D132" s="2" t="s">
        <v>218</v>
      </c>
      <c r="E132" s="2" t="s">
        <v>352</v>
      </c>
      <c r="F132" s="3">
        <v>86400</v>
      </c>
      <c r="G132" s="4">
        <f t="shared" si="6"/>
        <v>3</v>
      </c>
      <c r="H132" s="2">
        <v>1</v>
      </c>
      <c r="I132" s="2" t="s">
        <v>24</v>
      </c>
      <c r="J132" s="2" t="s">
        <v>56</v>
      </c>
      <c r="K132" s="2" t="s">
        <v>57</v>
      </c>
      <c r="L132" s="2" t="s">
        <v>58</v>
      </c>
      <c r="M132" s="2" t="s">
        <v>49</v>
      </c>
      <c r="N132" s="2" t="s">
        <v>50</v>
      </c>
      <c r="O132" s="3">
        <f>IFERROR(VLOOKUP(M132, '[1]08_CSDL_DAO_CU_VAT_LIEU'!$A$2:$F$64, 6, FALSE), 27500)</f>
        <v>20833.330000000002</v>
      </c>
      <c r="P132" s="4">
        <v>40.32</v>
      </c>
      <c r="Q132" s="3">
        <f t="shared" si="7"/>
        <v>1155000</v>
      </c>
      <c r="R132" s="3">
        <f>ROUND((F132/3600)*IFERROR(VLOOKUP(I132, '[1]02_DM_NHAN_SU_MAY'!$M$2:$Q$25, 5, FALSE), 39375), 0)</f>
        <v>945000</v>
      </c>
      <c r="S132" s="3">
        <v>0</v>
      </c>
      <c r="T132" s="3">
        <f t="shared" si="8"/>
        <v>2100000</v>
      </c>
    </row>
    <row r="133" spans="1:20" x14ac:dyDescent="0.25">
      <c r="A133" s="5" t="s">
        <v>356</v>
      </c>
      <c r="B133" s="5">
        <v>132</v>
      </c>
      <c r="C133" s="5" t="s">
        <v>217</v>
      </c>
      <c r="D133" s="5" t="s">
        <v>218</v>
      </c>
      <c r="E133" s="5" t="s">
        <v>357</v>
      </c>
      <c r="F133" s="6">
        <v>28800</v>
      </c>
      <c r="G133" s="7">
        <f t="shared" si="6"/>
        <v>1</v>
      </c>
      <c r="H133" s="5">
        <v>2</v>
      </c>
      <c r="I133" s="5" t="s">
        <v>90</v>
      </c>
      <c r="J133" s="5" t="s">
        <v>56</v>
      </c>
      <c r="K133" s="5" t="s">
        <v>57</v>
      </c>
      <c r="L133" s="5" t="s">
        <v>358</v>
      </c>
      <c r="M133" s="5" t="s">
        <v>92</v>
      </c>
      <c r="N133" s="5" t="s">
        <v>93</v>
      </c>
      <c r="O133" s="6">
        <f>IFERROR(VLOOKUP(M133, '[1]08_CSDL_DAO_CU_VAT_LIEU'!$A$2:$F$64, 6, FALSE), 27500)</f>
        <v>74000</v>
      </c>
      <c r="P133" s="7">
        <v>13.44</v>
      </c>
      <c r="Q133" s="6">
        <f t="shared" si="7"/>
        <v>385000</v>
      </c>
      <c r="R133" s="6">
        <f>ROUND((F133/3600)*IFERROR(VLOOKUP(I133, '[1]02_DM_NHAN_SU_MAY'!$M$2:$Q$25, 5, FALSE), 39375), 0)</f>
        <v>215000</v>
      </c>
      <c r="S133" s="6">
        <v>0</v>
      </c>
      <c r="T133" s="6">
        <f t="shared" si="8"/>
        <v>600000</v>
      </c>
    </row>
    <row r="134" spans="1:20" x14ac:dyDescent="0.25">
      <c r="A134" s="2" t="s">
        <v>359</v>
      </c>
      <c r="B134" s="2">
        <v>133</v>
      </c>
      <c r="C134" s="2" t="s">
        <v>217</v>
      </c>
      <c r="D134" s="2" t="s">
        <v>218</v>
      </c>
      <c r="E134" s="2" t="s">
        <v>360</v>
      </c>
      <c r="F134" s="3">
        <v>86400</v>
      </c>
      <c r="G134" s="4">
        <f t="shared" si="6"/>
        <v>3</v>
      </c>
      <c r="H134" s="2" t="s">
        <v>34</v>
      </c>
      <c r="I134" s="2" t="s">
        <v>24</v>
      </c>
      <c r="J134" s="2" t="s">
        <v>56</v>
      </c>
      <c r="K134" s="2" t="s">
        <v>57</v>
      </c>
      <c r="L134" s="2" t="s">
        <v>58</v>
      </c>
      <c r="M134" s="2" t="s">
        <v>49</v>
      </c>
      <c r="N134" s="2" t="s">
        <v>50</v>
      </c>
      <c r="O134" s="3">
        <f>IFERROR(VLOOKUP(M134, '[1]08_CSDL_DAO_CU_VAT_LIEU'!$A$2:$F$64, 6, FALSE), 27500)</f>
        <v>20833.330000000002</v>
      </c>
      <c r="P134" s="4">
        <v>40.32</v>
      </c>
      <c r="Q134" s="3">
        <f t="shared" si="7"/>
        <v>1155000</v>
      </c>
      <c r="R134" s="3">
        <f>ROUND((F134/3600)*IFERROR(VLOOKUP(I134, '[1]02_DM_NHAN_SU_MAY'!$M$2:$Q$25, 5, FALSE), 39375), 0)</f>
        <v>945000</v>
      </c>
      <c r="S134" s="3">
        <v>0</v>
      </c>
      <c r="T134" s="3">
        <f t="shared" si="8"/>
        <v>2100000</v>
      </c>
    </row>
    <row r="135" spans="1:20" x14ac:dyDescent="0.25">
      <c r="A135" s="5" t="s">
        <v>361</v>
      </c>
      <c r="B135" s="5">
        <v>134</v>
      </c>
      <c r="C135" s="5" t="s">
        <v>217</v>
      </c>
      <c r="D135" s="6">
        <v>496025</v>
      </c>
      <c r="E135" s="5" t="s">
        <v>352</v>
      </c>
      <c r="F135" s="6">
        <v>86400</v>
      </c>
      <c r="G135" s="7">
        <f t="shared" si="6"/>
        <v>3</v>
      </c>
      <c r="H135" s="5">
        <v>1</v>
      </c>
      <c r="I135" s="5" t="s">
        <v>24</v>
      </c>
      <c r="J135" s="5" t="s">
        <v>56</v>
      </c>
      <c r="K135" s="5" t="s">
        <v>57</v>
      </c>
      <c r="L135" s="5" t="s">
        <v>58</v>
      </c>
      <c r="M135" s="5" t="s">
        <v>49</v>
      </c>
      <c r="N135" s="5" t="s">
        <v>50</v>
      </c>
      <c r="O135" s="6">
        <f>IFERROR(VLOOKUP(M135, '[1]08_CSDL_DAO_CU_VAT_LIEU'!$A$2:$F$64, 6, FALSE), 27500)</f>
        <v>20833.330000000002</v>
      </c>
      <c r="P135" s="7">
        <v>40.32</v>
      </c>
      <c r="Q135" s="6">
        <f t="shared" si="7"/>
        <v>1155000</v>
      </c>
      <c r="R135" s="6">
        <f>ROUND((F135/3600)*IFERROR(VLOOKUP(I135, '[1]02_DM_NHAN_SU_MAY'!$M$2:$Q$25, 5, FALSE), 39375), 0)</f>
        <v>945000</v>
      </c>
      <c r="S135" s="6">
        <v>0</v>
      </c>
      <c r="T135" s="6">
        <f t="shared" si="8"/>
        <v>2100000</v>
      </c>
    </row>
    <row r="136" spans="1:20" x14ac:dyDescent="0.25">
      <c r="A136" s="2" t="s">
        <v>362</v>
      </c>
      <c r="B136" s="2">
        <v>135</v>
      </c>
      <c r="C136" s="2" t="s">
        <v>217</v>
      </c>
      <c r="D136" s="3">
        <v>496025</v>
      </c>
      <c r="E136" s="2" t="s">
        <v>363</v>
      </c>
      <c r="F136" s="3">
        <v>28800</v>
      </c>
      <c r="G136" s="4">
        <f t="shared" si="6"/>
        <v>1</v>
      </c>
      <c r="H136" s="2">
        <v>2</v>
      </c>
      <c r="I136" s="2" t="s">
        <v>90</v>
      </c>
      <c r="J136" s="2" t="s">
        <v>56</v>
      </c>
      <c r="K136" s="2" t="s">
        <v>57</v>
      </c>
      <c r="L136" s="2" t="s">
        <v>358</v>
      </c>
      <c r="M136" s="2" t="s">
        <v>92</v>
      </c>
      <c r="N136" s="2" t="s">
        <v>93</v>
      </c>
      <c r="O136" s="3">
        <f>IFERROR(VLOOKUP(M136, '[1]08_CSDL_DAO_CU_VAT_LIEU'!$A$2:$F$64, 6, FALSE), 27500)</f>
        <v>74000</v>
      </c>
      <c r="P136" s="4">
        <v>13.44</v>
      </c>
      <c r="Q136" s="3">
        <f t="shared" si="7"/>
        <v>385000</v>
      </c>
      <c r="R136" s="3">
        <f>ROUND((F136/3600)*IFERROR(VLOOKUP(I136, '[1]02_DM_NHAN_SU_MAY'!$M$2:$Q$25, 5, FALSE), 39375), 0)</f>
        <v>215000</v>
      </c>
      <c r="S136" s="3">
        <v>0</v>
      </c>
      <c r="T136" s="3">
        <f t="shared" si="8"/>
        <v>600000</v>
      </c>
    </row>
    <row r="137" spans="1:20" x14ac:dyDescent="0.25">
      <c r="A137" s="5" t="s">
        <v>364</v>
      </c>
      <c r="B137" s="5">
        <v>136</v>
      </c>
      <c r="C137" s="5" t="s">
        <v>217</v>
      </c>
      <c r="D137" s="6">
        <v>496025</v>
      </c>
      <c r="E137" s="5" t="s">
        <v>365</v>
      </c>
      <c r="F137" s="6">
        <v>86400</v>
      </c>
      <c r="G137" s="7">
        <f t="shared" si="6"/>
        <v>3</v>
      </c>
      <c r="H137" s="5" t="s">
        <v>34</v>
      </c>
      <c r="I137" s="5" t="s">
        <v>24</v>
      </c>
      <c r="J137" s="5" t="s">
        <v>56</v>
      </c>
      <c r="K137" s="5" t="s">
        <v>57</v>
      </c>
      <c r="L137" s="5" t="s">
        <v>58</v>
      </c>
      <c r="M137" s="5" t="s">
        <v>49</v>
      </c>
      <c r="N137" s="5" t="s">
        <v>50</v>
      </c>
      <c r="O137" s="6">
        <f>IFERROR(VLOOKUP(M137, '[1]08_CSDL_DAO_CU_VAT_LIEU'!$A$2:$F$64, 6, FALSE), 27500)</f>
        <v>20833.330000000002</v>
      </c>
      <c r="P137" s="7">
        <v>40.32</v>
      </c>
      <c r="Q137" s="6">
        <f t="shared" si="7"/>
        <v>1155000</v>
      </c>
      <c r="R137" s="6">
        <f>ROUND((F137/3600)*IFERROR(VLOOKUP(I137, '[1]02_DM_NHAN_SU_MAY'!$M$2:$Q$25, 5, FALSE), 39375), 0)</f>
        <v>945000</v>
      </c>
      <c r="S137" s="6">
        <v>0</v>
      </c>
      <c r="T137" s="6">
        <f t="shared" si="8"/>
        <v>2100000</v>
      </c>
    </row>
    <row r="138" spans="1:20" x14ac:dyDescent="0.25">
      <c r="A138" s="2" t="s">
        <v>366</v>
      </c>
      <c r="B138" s="2">
        <v>137</v>
      </c>
      <c r="C138" s="2" t="s">
        <v>68</v>
      </c>
      <c r="D138" s="2" t="s">
        <v>367</v>
      </c>
      <c r="E138" s="2" t="s">
        <v>147</v>
      </c>
      <c r="F138" s="3">
        <v>28800</v>
      </c>
      <c r="G138" s="4">
        <f t="shared" si="6"/>
        <v>1</v>
      </c>
      <c r="H138" s="2" t="s">
        <v>34</v>
      </c>
      <c r="I138" s="2" t="s">
        <v>24</v>
      </c>
      <c r="J138" s="2" t="s">
        <v>97</v>
      </c>
      <c r="K138" s="2" t="s">
        <v>98</v>
      </c>
      <c r="L138" s="2" t="s">
        <v>109</v>
      </c>
      <c r="M138" s="2" t="s">
        <v>28</v>
      </c>
      <c r="N138" s="2" t="s">
        <v>29</v>
      </c>
      <c r="O138" s="3">
        <f>IFERROR(VLOOKUP(M138, '[1]08_CSDL_DAO_CU_VAT_LIEU'!$A$2:$F$64, 6, FALSE), 27500)</f>
        <v>27500</v>
      </c>
      <c r="P138" s="4">
        <v>11.2</v>
      </c>
      <c r="Q138" s="3">
        <f t="shared" si="7"/>
        <v>385000</v>
      </c>
      <c r="R138" s="3">
        <f>ROUND((F138/3600)*IFERROR(VLOOKUP(I138, '[1]02_DM_NHAN_SU_MAY'!$M$2:$Q$25, 5, FALSE), 39375), 0)</f>
        <v>315000</v>
      </c>
      <c r="S138" s="3">
        <v>0</v>
      </c>
      <c r="T138" s="3">
        <f t="shared" si="8"/>
        <v>700000</v>
      </c>
    </row>
    <row r="139" spans="1:20" x14ac:dyDescent="0.25">
      <c r="A139" s="5" t="s">
        <v>368</v>
      </c>
      <c r="B139" s="5">
        <v>138</v>
      </c>
      <c r="C139" s="5" t="s">
        <v>68</v>
      </c>
      <c r="D139" s="5" t="s">
        <v>369</v>
      </c>
      <c r="E139" s="5" t="s">
        <v>370</v>
      </c>
      <c r="F139" s="6">
        <v>43200</v>
      </c>
      <c r="G139" s="7">
        <f t="shared" si="6"/>
        <v>1.5</v>
      </c>
      <c r="H139" s="5" t="s">
        <v>34</v>
      </c>
      <c r="I139" s="5" t="s">
        <v>24</v>
      </c>
      <c r="J139" s="5" t="s">
        <v>97</v>
      </c>
      <c r="K139" s="5" t="s">
        <v>98</v>
      </c>
      <c r="L139" s="5" t="s">
        <v>109</v>
      </c>
      <c r="M139" s="5" t="s">
        <v>49</v>
      </c>
      <c r="N139" s="5" t="s">
        <v>50</v>
      </c>
      <c r="O139" s="6">
        <f>IFERROR(VLOOKUP(M139, '[1]08_CSDL_DAO_CU_VAT_LIEU'!$A$2:$F$64, 6, FALSE), 27500)</f>
        <v>20833.330000000002</v>
      </c>
      <c r="P139" s="7">
        <v>16.8</v>
      </c>
      <c r="Q139" s="6">
        <f t="shared" si="7"/>
        <v>577500</v>
      </c>
      <c r="R139" s="6">
        <f>ROUND((F139/3600)*IFERROR(VLOOKUP(I139, '[1]02_DM_NHAN_SU_MAY'!$M$2:$Q$25, 5, FALSE), 39375), 0)</f>
        <v>472500</v>
      </c>
      <c r="S139" s="6">
        <v>0</v>
      </c>
      <c r="T139" s="6">
        <f t="shared" si="8"/>
        <v>1050000</v>
      </c>
    </row>
    <row r="140" spans="1:20" x14ac:dyDescent="0.25">
      <c r="A140" s="2" t="s">
        <v>371</v>
      </c>
      <c r="B140" s="2">
        <v>139</v>
      </c>
      <c r="C140" s="2" t="s">
        <v>68</v>
      </c>
      <c r="D140" s="2" t="s">
        <v>372</v>
      </c>
      <c r="E140" s="2" t="s">
        <v>373</v>
      </c>
      <c r="F140" s="3">
        <v>10800</v>
      </c>
      <c r="G140" s="4">
        <f t="shared" si="6"/>
        <v>0.375</v>
      </c>
      <c r="H140" s="2">
        <v>1</v>
      </c>
      <c r="I140" s="2" t="s">
        <v>90</v>
      </c>
      <c r="J140" s="2" t="s">
        <v>97</v>
      </c>
      <c r="K140" s="2" t="s">
        <v>98</v>
      </c>
      <c r="L140" s="2" t="s">
        <v>143</v>
      </c>
      <c r="M140" s="2" t="s">
        <v>92</v>
      </c>
      <c r="N140" s="2" t="s">
        <v>93</v>
      </c>
      <c r="O140" s="3">
        <f>IFERROR(VLOOKUP(M140, '[1]08_CSDL_DAO_CU_VAT_LIEU'!$A$2:$F$64, 6, FALSE), 27500)</f>
        <v>74000</v>
      </c>
      <c r="P140" s="4">
        <v>4.2</v>
      </c>
      <c r="Q140" s="3">
        <f t="shared" si="7"/>
        <v>144375</v>
      </c>
      <c r="R140" s="3">
        <f>ROUND((F140/3600)*IFERROR(VLOOKUP(I140, '[1]02_DM_NHAN_SU_MAY'!$M$2:$Q$25, 5, FALSE), 39375), 0)</f>
        <v>80625</v>
      </c>
      <c r="S140" s="3">
        <v>0</v>
      </c>
      <c r="T140" s="3">
        <f t="shared" si="8"/>
        <v>225000</v>
      </c>
    </row>
    <row r="141" spans="1:20" x14ac:dyDescent="0.25">
      <c r="A141" s="5" t="s">
        <v>374</v>
      </c>
      <c r="B141" s="5">
        <v>140</v>
      </c>
      <c r="C141" s="5" t="s">
        <v>68</v>
      </c>
      <c r="D141" s="5" t="s">
        <v>375</v>
      </c>
      <c r="E141" s="5" t="s">
        <v>376</v>
      </c>
      <c r="F141" s="6">
        <v>10800</v>
      </c>
      <c r="G141" s="7">
        <f t="shared" si="6"/>
        <v>0.375</v>
      </c>
      <c r="H141" s="5">
        <v>1</v>
      </c>
      <c r="I141" s="5" t="s">
        <v>24</v>
      </c>
      <c r="J141" s="5" t="s">
        <v>97</v>
      </c>
      <c r="K141" s="5" t="s">
        <v>98</v>
      </c>
      <c r="L141" s="5" t="s">
        <v>109</v>
      </c>
      <c r="M141" s="5" t="s">
        <v>49</v>
      </c>
      <c r="N141" s="5" t="s">
        <v>50</v>
      </c>
      <c r="O141" s="6">
        <f>IFERROR(VLOOKUP(M141, '[1]08_CSDL_DAO_CU_VAT_LIEU'!$A$2:$F$64, 6, FALSE), 27500)</f>
        <v>20833.330000000002</v>
      </c>
      <c r="P141" s="7">
        <v>4.2</v>
      </c>
      <c r="Q141" s="6">
        <f t="shared" si="7"/>
        <v>144375</v>
      </c>
      <c r="R141" s="6">
        <f>ROUND((F141/3600)*IFERROR(VLOOKUP(I141, '[1]02_DM_NHAN_SU_MAY'!$M$2:$Q$25, 5, FALSE), 39375), 0)</f>
        <v>118125</v>
      </c>
      <c r="S141" s="6">
        <v>0</v>
      </c>
      <c r="T141" s="6">
        <f t="shared" si="8"/>
        <v>262500</v>
      </c>
    </row>
    <row r="142" spans="1:20" x14ac:dyDescent="0.25">
      <c r="A142" s="2" t="s">
        <v>377</v>
      </c>
      <c r="B142" s="2">
        <v>141</v>
      </c>
      <c r="C142" s="2" t="s">
        <v>46</v>
      </c>
      <c r="D142" s="2" t="s">
        <v>47</v>
      </c>
      <c r="E142" s="2" t="s">
        <v>147</v>
      </c>
      <c r="F142" s="3">
        <v>3600</v>
      </c>
      <c r="G142" s="4">
        <f t="shared" si="6"/>
        <v>0.125</v>
      </c>
      <c r="H142" s="2" t="s">
        <v>34</v>
      </c>
      <c r="I142" s="2" t="s">
        <v>24</v>
      </c>
      <c r="J142" s="2" t="s">
        <v>25</v>
      </c>
      <c r="K142" s="2" t="s">
        <v>26</v>
      </c>
      <c r="L142" s="2" t="s">
        <v>27</v>
      </c>
      <c r="M142" s="2" t="s">
        <v>28</v>
      </c>
      <c r="N142" s="2" t="s">
        <v>29</v>
      </c>
      <c r="O142" s="3">
        <f>IFERROR(VLOOKUP(M142, '[1]08_CSDL_DAO_CU_VAT_LIEU'!$A$2:$F$64, 6, FALSE), 27500)</f>
        <v>27500</v>
      </c>
      <c r="P142" s="4">
        <v>2.1</v>
      </c>
      <c r="Q142" s="3">
        <f t="shared" si="7"/>
        <v>48125</v>
      </c>
      <c r="R142" s="3">
        <f>ROUND((F142/3600)*IFERROR(VLOOKUP(I142, '[1]02_DM_NHAN_SU_MAY'!$M$2:$Q$25, 5, FALSE), 39375), 0)</f>
        <v>39375</v>
      </c>
      <c r="S142" s="3">
        <v>0</v>
      </c>
      <c r="T142" s="3">
        <f t="shared" si="8"/>
        <v>87500</v>
      </c>
    </row>
    <row r="143" spans="1:20" x14ac:dyDescent="0.25">
      <c r="A143" s="5" t="s">
        <v>378</v>
      </c>
      <c r="B143" s="5">
        <v>142</v>
      </c>
      <c r="C143" s="5" t="s">
        <v>68</v>
      </c>
      <c r="D143" s="5" t="s">
        <v>379</v>
      </c>
      <c r="E143" s="5" t="s">
        <v>380</v>
      </c>
      <c r="F143" s="6">
        <v>14400</v>
      </c>
      <c r="G143" s="7">
        <f t="shared" si="6"/>
        <v>0.5</v>
      </c>
      <c r="H143" s="5" t="s">
        <v>34</v>
      </c>
      <c r="I143" s="5" t="s">
        <v>24</v>
      </c>
      <c r="J143" s="5" t="s">
        <v>97</v>
      </c>
      <c r="K143" s="5" t="s">
        <v>98</v>
      </c>
      <c r="L143" s="5" t="s">
        <v>109</v>
      </c>
      <c r="M143" s="5" t="s">
        <v>28</v>
      </c>
      <c r="N143" s="5" t="s">
        <v>29</v>
      </c>
      <c r="O143" s="6">
        <f>IFERROR(VLOOKUP(M143, '[1]08_CSDL_DAO_CU_VAT_LIEU'!$A$2:$F$64, 6, FALSE), 27500)</f>
        <v>27500</v>
      </c>
      <c r="P143" s="7">
        <v>5.6</v>
      </c>
      <c r="Q143" s="6">
        <f t="shared" si="7"/>
        <v>192500</v>
      </c>
      <c r="R143" s="6">
        <f>ROUND((F143/3600)*IFERROR(VLOOKUP(I143, '[1]02_DM_NHAN_SU_MAY'!$M$2:$Q$25, 5, FALSE), 39375), 0)</f>
        <v>157500</v>
      </c>
      <c r="S143" s="6">
        <v>0</v>
      </c>
      <c r="T143" s="6">
        <f t="shared" si="8"/>
        <v>350000</v>
      </c>
    </row>
    <row r="144" spans="1:20" x14ac:dyDescent="0.25">
      <c r="A144" s="2" t="s">
        <v>381</v>
      </c>
      <c r="B144" s="2">
        <v>143</v>
      </c>
      <c r="C144" s="2" t="s">
        <v>68</v>
      </c>
      <c r="D144" s="2" t="s">
        <v>382</v>
      </c>
      <c r="E144" s="2" t="s">
        <v>383</v>
      </c>
      <c r="F144" s="3">
        <v>1200</v>
      </c>
      <c r="G144" s="4">
        <f t="shared" si="6"/>
        <v>4.1700000000000001E-2</v>
      </c>
      <c r="H144" s="2">
        <v>1</v>
      </c>
      <c r="I144" s="2" t="s">
        <v>24</v>
      </c>
      <c r="J144" s="2" t="s">
        <v>97</v>
      </c>
      <c r="K144" s="2" t="s">
        <v>98</v>
      </c>
      <c r="L144" s="2" t="s">
        <v>109</v>
      </c>
      <c r="M144" s="2" t="s">
        <v>49</v>
      </c>
      <c r="N144" s="2" t="s">
        <v>50</v>
      </c>
      <c r="O144" s="3">
        <f>IFERROR(VLOOKUP(M144, '[1]08_CSDL_DAO_CU_VAT_LIEU'!$A$2:$F$64, 6, FALSE), 27500)</f>
        <v>20833.330000000002</v>
      </c>
      <c r="P144" s="4">
        <v>0.47</v>
      </c>
      <c r="Q144" s="3">
        <f t="shared" si="7"/>
        <v>16042</v>
      </c>
      <c r="R144" s="3">
        <f>ROUND((F144/3600)*IFERROR(VLOOKUP(I144, '[1]02_DM_NHAN_SU_MAY'!$M$2:$Q$25, 5, FALSE), 39375), 0)</f>
        <v>13125</v>
      </c>
      <c r="S144" s="3">
        <v>0</v>
      </c>
      <c r="T144" s="3">
        <f t="shared" si="8"/>
        <v>29167</v>
      </c>
    </row>
    <row r="145" spans="1:20" x14ac:dyDescent="0.25">
      <c r="A145" s="5" t="s">
        <v>384</v>
      </c>
      <c r="B145" s="5">
        <v>144</v>
      </c>
      <c r="C145" s="5" t="s">
        <v>68</v>
      </c>
      <c r="D145" s="5" t="s">
        <v>382</v>
      </c>
      <c r="E145" s="5" t="s">
        <v>385</v>
      </c>
      <c r="F145" s="6">
        <v>1200</v>
      </c>
      <c r="G145" s="7">
        <f t="shared" si="6"/>
        <v>4.1700000000000001E-2</v>
      </c>
      <c r="H145" s="5">
        <v>2</v>
      </c>
      <c r="I145" s="5" t="s">
        <v>24</v>
      </c>
      <c r="J145" s="5" t="s">
        <v>97</v>
      </c>
      <c r="K145" s="5" t="s">
        <v>98</v>
      </c>
      <c r="L145" s="5" t="s">
        <v>109</v>
      </c>
      <c r="M145" s="5" t="s">
        <v>49</v>
      </c>
      <c r="N145" s="5" t="s">
        <v>50</v>
      </c>
      <c r="O145" s="6">
        <f>IFERROR(VLOOKUP(M145, '[1]08_CSDL_DAO_CU_VAT_LIEU'!$A$2:$F$64, 6, FALSE), 27500)</f>
        <v>20833.330000000002</v>
      </c>
      <c r="P145" s="7">
        <v>0.47</v>
      </c>
      <c r="Q145" s="6">
        <f t="shared" si="7"/>
        <v>16042</v>
      </c>
      <c r="R145" s="6">
        <f>ROUND((F145/3600)*IFERROR(VLOOKUP(I145, '[1]02_DM_NHAN_SU_MAY'!$M$2:$Q$25, 5, FALSE), 39375), 0)</f>
        <v>13125</v>
      </c>
      <c r="S145" s="6">
        <v>0</v>
      </c>
      <c r="T145" s="6">
        <f t="shared" si="8"/>
        <v>29167</v>
      </c>
    </row>
    <row r="146" spans="1:20" x14ac:dyDescent="0.25">
      <c r="A146" s="2" t="s">
        <v>386</v>
      </c>
      <c r="B146" s="2">
        <v>145</v>
      </c>
      <c r="C146" s="2" t="s">
        <v>68</v>
      </c>
      <c r="D146" s="2" t="s">
        <v>382</v>
      </c>
      <c r="E146" s="2" t="s">
        <v>387</v>
      </c>
      <c r="F146" s="2">
        <v>900</v>
      </c>
      <c r="G146" s="4">
        <f t="shared" si="6"/>
        <v>3.1300000000000001E-2</v>
      </c>
      <c r="H146" s="2">
        <v>3</v>
      </c>
      <c r="I146" s="2" t="s">
        <v>24</v>
      </c>
      <c r="J146" s="2" t="s">
        <v>97</v>
      </c>
      <c r="K146" s="2" t="s">
        <v>98</v>
      </c>
      <c r="L146" s="2" t="s">
        <v>109</v>
      </c>
      <c r="M146" s="2" t="s">
        <v>49</v>
      </c>
      <c r="N146" s="2" t="s">
        <v>50</v>
      </c>
      <c r="O146" s="3">
        <f>IFERROR(VLOOKUP(M146, '[1]08_CSDL_DAO_CU_VAT_LIEU'!$A$2:$F$64, 6, FALSE), 27500)</f>
        <v>20833.330000000002</v>
      </c>
      <c r="P146" s="4">
        <v>0.35</v>
      </c>
      <c r="Q146" s="3">
        <f t="shared" si="7"/>
        <v>12031</v>
      </c>
      <c r="R146" s="3">
        <f>ROUND((F146/3600)*IFERROR(VLOOKUP(I146, '[1]02_DM_NHAN_SU_MAY'!$M$2:$Q$25, 5, FALSE), 39375), 0)</f>
        <v>9844</v>
      </c>
      <c r="S146" s="3">
        <v>0</v>
      </c>
      <c r="T146" s="3">
        <f t="shared" si="8"/>
        <v>21875</v>
      </c>
    </row>
    <row r="147" spans="1:20" x14ac:dyDescent="0.25">
      <c r="A147" s="5" t="s">
        <v>388</v>
      </c>
      <c r="B147" s="5">
        <v>146</v>
      </c>
      <c r="C147" s="5" t="s">
        <v>68</v>
      </c>
      <c r="D147" s="5" t="s">
        <v>382</v>
      </c>
      <c r="E147" s="5" t="s">
        <v>389</v>
      </c>
      <c r="F147" s="6">
        <v>1800</v>
      </c>
      <c r="G147" s="7">
        <f t="shared" si="6"/>
        <v>6.25E-2</v>
      </c>
      <c r="H147" s="5">
        <v>4</v>
      </c>
      <c r="I147" s="5" t="s">
        <v>24</v>
      </c>
      <c r="J147" s="5" t="s">
        <v>97</v>
      </c>
      <c r="K147" s="5" t="s">
        <v>98</v>
      </c>
      <c r="L147" s="5" t="s">
        <v>109</v>
      </c>
      <c r="M147" s="5" t="s">
        <v>49</v>
      </c>
      <c r="N147" s="5" t="s">
        <v>50</v>
      </c>
      <c r="O147" s="6">
        <f>IFERROR(VLOOKUP(M147, '[1]08_CSDL_DAO_CU_VAT_LIEU'!$A$2:$F$64, 6, FALSE), 27500)</f>
        <v>20833.330000000002</v>
      </c>
      <c r="P147" s="7">
        <v>0.7</v>
      </c>
      <c r="Q147" s="6">
        <f t="shared" si="7"/>
        <v>24063</v>
      </c>
      <c r="R147" s="6">
        <f>ROUND((F147/3600)*IFERROR(VLOOKUP(I147, '[1]02_DM_NHAN_SU_MAY'!$M$2:$Q$25, 5, FALSE), 39375), 0)</f>
        <v>19688</v>
      </c>
      <c r="S147" s="6">
        <v>0</v>
      </c>
      <c r="T147" s="6">
        <f t="shared" si="8"/>
        <v>43751</v>
      </c>
    </row>
    <row r="148" spans="1:20" x14ac:dyDescent="0.25">
      <c r="A148" s="2" t="s">
        <v>390</v>
      </c>
      <c r="B148" s="2">
        <v>147</v>
      </c>
      <c r="C148" s="2" t="s">
        <v>68</v>
      </c>
      <c r="D148" s="2" t="s">
        <v>382</v>
      </c>
      <c r="E148" s="2" t="s">
        <v>391</v>
      </c>
      <c r="F148" s="3">
        <v>14400</v>
      </c>
      <c r="G148" s="4">
        <f t="shared" si="6"/>
        <v>0.5</v>
      </c>
      <c r="H148" s="2">
        <v>5</v>
      </c>
      <c r="I148" s="2" t="s">
        <v>24</v>
      </c>
      <c r="J148" s="2" t="s">
        <v>97</v>
      </c>
      <c r="K148" s="2" t="s">
        <v>98</v>
      </c>
      <c r="L148" s="2" t="s">
        <v>109</v>
      </c>
      <c r="M148" s="2" t="s">
        <v>49</v>
      </c>
      <c r="N148" s="2" t="s">
        <v>50</v>
      </c>
      <c r="O148" s="3">
        <f>IFERROR(VLOOKUP(M148, '[1]08_CSDL_DAO_CU_VAT_LIEU'!$A$2:$F$64, 6, FALSE), 27500)</f>
        <v>20833.330000000002</v>
      </c>
      <c r="P148" s="4">
        <v>5.6</v>
      </c>
      <c r="Q148" s="3">
        <f t="shared" si="7"/>
        <v>192500</v>
      </c>
      <c r="R148" s="3">
        <f>ROUND((F148/3600)*IFERROR(VLOOKUP(I148, '[1]02_DM_NHAN_SU_MAY'!$M$2:$Q$25, 5, FALSE), 39375), 0)</f>
        <v>157500</v>
      </c>
      <c r="S148" s="3">
        <v>0</v>
      </c>
      <c r="T148" s="3">
        <f t="shared" si="8"/>
        <v>350000</v>
      </c>
    </row>
    <row r="149" spans="1:20" x14ac:dyDescent="0.25">
      <c r="A149" s="5" t="s">
        <v>392</v>
      </c>
      <c r="B149" s="5">
        <v>148</v>
      </c>
      <c r="C149" s="5" t="s">
        <v>68</v>
      </c>
      <c r="D149" s="5" t="s">
        <v>382</v>
      </c>
      <c r="E149" s="5" t="s">
        <v>393</v>
      </c>
      <c r="F149" s="6">
        <v>1200</v>
      </c>
      <c r="G149" s="7">
        <f t="shared" si="6"/>
        <v>4.1700000000000001E-2</v>
      </c>
      <c r="H149" s="5">
        <v>6</v>
      </c>
      <c r="I149" s="5" t="s">
        <v>24</v>
      </c>
      <c r="J149" s="5" t="s">
        <v>97</v>
      </c>
      <c r="K149" s="5" t="s">
        <v>98</v>
      </c>
      <c r="L149" s="5" t="s">
        <v>109</v>
      </c>
      <c r="M149" s="5" t="s">
        <v>49</v>
      </c>
      <c r="N149" s="5" t="s">
        <v>50</v>
      </c>
      <c r="O149" s="6">
        <f>IFERROR(VLOOKUP(M149, '[1]08_CSDL_DAO_CU_VAT_LIEU'!$A$2:$F$64, 6, FALSE), 27500)</f>
        <v>20833.330000000002</v>
      </c>
      <c r="P149" s="7">
        <v>0.47</v>
      </c>
      <c r="Q149" s="6">
        <f t="shared" si="7"/>
        <v>16042</v>
      </c>
      <c r="R149" s="6">
        <f>ROUND((F149/3600)*IFERROR(VLOOKUP(I149, '[1]02_DM_NHAN_SU_MAY'!$M$2:$Q$25, 5, FALSE), 39375), 0)</f>
        <v>13125</v>
      </c>
      <c r="S149" s="6">
        <v>0</v>
      </c>
      <c r="T149" s="6">
        <f t="shared" si="8"/>
        <v>29167</v>
      </c>
    </row>
    <row r="150" spans="1:20" x14ac:dyDescent="0.25">
      <c r="A150" s="2" t="s">
        <v>394</v>
      </c>
      <c r="B150" s="2">
        <v>149</v>
      </c>
      <c r="C150" s="2" t="s">
        <v>68</v>
      </c>
      <c r="D150" s="2" t="s">
        <v>382</v>
      </c>
      <c r="E150" s="2" t="s">
        <v>395</v>
      </c>
      <c r="F150" s="3">
        <v>1200</v>
      </c>
      <c r="G150" s="4">
        <f t="shared" si="6"/>
        <v>4.1700000000000001E-2</v>
      </c>
      <c r="H150" s="2">
        <v>7</v>
      </c>
      <c r="I150" s="2" t="s">
        <v>24</v>
      </c>
      <c r="J150" s="2" t="s">
        <v>97</v>
      </c>
      <c r="K150" s="2" t="s">
        <v>98</v>
      </c>
      <c r="L150" s="2" t="s">
        <v>109</v>
      </c>
      <c r="M150" s="2" t="s">
        <v>28</v>
      </c>
      <c r="N150" s="2" t="s">
        <v>29</v>
      </c>
      <c r="O150" s="3">
        <f>IFERROR(VLOOKUP(M150, '[1]08_CSDL_DAO_CU_VAT_LIEU'!$A$2:$F$64, 6, FALSE), 27500)</f>
        <v>27500</v>
      </c>
      <c r="P150" s="4">
        <v>0.47</v>
      </c>
      <c r="Q150" s="3">
        <f t="shared" si="7"/>
        <v>16042</v>
      </c>
      <c r="R150" s="3">
        <f>ROUND((F150/3600)*IFERROR(VLOOKUP(I150, '[1]02_DM_NHAN_SU_MAY'!$M$2:$Q$25, 5, FALSE), 39375), 0)</f>
        <v>13125</v>
      </c>
      <c r="S150" s="3">
        <v>0</v>
      </c>
      <c r="T150" s="3">
        <f t="shared" si="8"/>
        <v>29167</v>
      </c>
    </row>
    <row r="151" spans="1:20" x14ac:dyDescent="0.25">
      <c r="A151" s="5" t="s">
        <v>396</v>
      </c>
      <c r="B151" s="5">
        <v>150</v>
      </c>
      <c r="C151" s="5" t="s">
        <v>68</v>
      </c>
      <c r="D151" s="5" t="s">
        <v>382</v>
      </c>
      <c r="E151" s="5" t="s">
        <v>397</v>
      </c>
      <c r="F151" s="6">
        <v>1200</v>
      </c>
      <c r="G151" s="7">
        <f t="shared" si="6"/>
        <v>4.1700000000000001E-2</v>
      </c>
      <c r="H151" s="5" t="s">
        <v>34</v>
      </c>
      <c r="I151" s="5" t="s">
        <v>24</v>
      </c>
      <c r="J151" s="5" t="s">
        <v>97</v>
      </c>
      <c r="K151" s="5" t="s">
        <v>98</v>
      </c>
      <c r="L151" s="5" t="s">
        <v>109</v>
      </c>
      <c r="M151" s="5" t="s">
        <v>49</v>
      </c>
      <c r="N151" s="5" t="s">
        <v>50</v>
      </c>
      <c r="O151" s="6">
        <f>IFERROR(VLOOKUP(M151, '[1]08_CSDL_DAO_CU_VAT_LIEU'!$A$2:$F$64, 6, FALSE), 27500)</f>
        <v>20833.330000000002</v>
      </c>
      <c r="P151" s="7">
        <v>0.47</v>
      </c>
      <c r="Q151" s="6">
        <f t="shared" si="7"/>
        <v>16042</v>
      </c>
      <c r="R151" s="6">
        <f>ROUND((F151/3600)*IFERROR(VLOOKUP(I151, '[1]02_DM_NHAN_SU_MAY'!$M$2:$Q$25, 5, FALSE), 39375), 0)</f>
        <v>13125</v>
      </c>
      <c r="S151" s="6">
        <v>0</v>
      </c>
      <c r="T151" s="6">
        <f t="shared" si="8"/>
        <v>29167</v>
      </c>
    </row>
    <row r="152" spans="1:20" x14ac:dyDescent="0.25">
      <c r="A152" s="2" t="s">
        <v>398</v>
      </c>
      <c r="B152" s="2">
        <v>151</v>
      </c>
      <c r="C152" s="2" t="s">
        <v>68</v>
      </c>
      <c r="D152" s="2" t="s">
        <v>399</v>
      </c>
      <c r="E152" s="2" t="s">
        <v>400</v>
      </c>
      <c r="F152" s="2">
        <v>300</v>
      </c>
      <c r="G152" s="4">
        <f t="shared" si="6"/>
        <v>1.04E-2</v>
      </c>
      <c r="H152" s="2" t="s">
        <v>34</v>
      </c>
      <c r="I152" s="2" t="s">
        <v>90</v>
      </c>
      <c r="J152" s="2" t="s">
        <v>238</v>
      </c>
      <c r="K152" s="2" t="s">
        <v>239</v>
      </c>
      <c r="L152" s="2" t="s">
        <v>401</v>
      </c>
      <c r="M152" s="2" t="s">
        <v>402</v>
      </c>
      <c r="N152" s="2" t="s">
        <v>403</v>
      </c>
      <c r="O152" s="3">
        <f>IFERROR(VLOOKUP(M152, '[1]08_CSDL_DAO_CU_VAT_LIEU'!$A$2:$F$64, 6, FALSE), 27500)</f>
        <v>10400</v>
      </c>
      <c r="P152" s="4">
        <v>0.12</v>
      </c>
      <c r="Q152" s="3">
        <f t="shared" si="7"/>
        <v>4010</v>
      </c>
      <c r="R152" s="3">
        <f>ROUND((F152/3600)*IFERROR(VLOOKUP(I152, '[1]02_DM_NHAN_SU_MAY'!$M$2:$Q$25, 5, FALSE), 39375), 0)</f>
        <v>2240</v>
      </c>
      <c r="S152" s="3">
        <v>0</v>
      </c>
      <c r="T152" s="3">
        <f t="shared" si="8"/>
        <v>6250</v>
      </c>
    </row>
    <row r="153" spans="1:20" x14ac:dyDescent="0.25">
      <c r="A153" s="5" t="s">
        <v>404</v>
      </c>
      <c r="B153" s="5">
        <v>152</v>
      </c>
      <c r="C153" s="5" t="s">
        <v>145</v>
      </c>
      <c r="D153" s="5" t="s">
        <v>261</v>
      </c>
      <c r="E153" s="5" t="s">
        <v>405</v>
      </c>
      <c r="F153" s="6">
        <v>1800</v>
      </c>
      <c r="G153" s="7">
        <f t="shared" si="6"/>
        <v>6.25E-2</v>
      </c>
      <c r="H153" s="5" t="s">
        <v>34</v>
      </c>
      <c r="I153" s="5" t="s">
        <v>55</v>
      </c>
      <c r="J153" s="5" t="s">
        <v>36</v>
      </c>
      <c r="K153" s="5" t="s">
        <v>37</v>
      </c>
      <c r="L153" s="5" t="s">
        <v>263</v>
      </c>
      <c r="M153" s="5" t="s">
        <v>75</v>
      </c>
      <c r="N153" s="5" t="s">
        <v>76</v>
      </c>
      <c r="O153" s="6">
        <f>IFERROR(VLOOKUP(M153, '[1]08_CSDL_DAO_CU_VAT_LIEU'!$A$2:$F$64, 6, FALSE), 27500)</f>
        <v>42500</v>
      </c>
      <c r="P153" s="7">
        <v>0.84</v>
      </c>
      <c r="Q153" s="6">
        <f t="shared" si="7"/>
        <v>24063</v>
      </c>
      <c r="R153" s="6">
        <f>ROUND((F153/3600)*IFERROR(VLOOKUP(I153, '[1]02_DM_NHAN_SU_MAY'!$M$2:$Q$25, 5, FALSE), 39375), 0)</f>
        <v>7188</v>
      </c>
      <c r="S153" s="6">
        <v>0</v>
      </c>
      <c r="T153" s="6">
        <f t="shared" si="8"/>
        <v>31251</v>
      </c>
    </row>
    <row r="154" spans="1:20" x14ac:dyDescent="0.25">
      <c r="A154" s="2" t="s">
        <v>406</v>
      </c>
      <c r="B154" s="2">
        <v>153</v>
      </c>
      <c r="C154" s="2" t="s">
        <v>68</v>
      </c>
      <c r="D154" s="2" t="s">
        <v>407</v>
      </c>
      <c r="E154" s="2" t="s">
        <v>408</v>
      </c>
      <c r="F154" s="3">
        <v>3600</v>
      </c>
      <c r="G154" s="4">
        <f t="shared" si="6"/>
        <v>0.125</v>
      </c>
      <c r="H154" s="2" t="s">
        <v>34</v>
      </c>
      <c r="I154" s="2" t="s">
        <v>24</v>
      </c>
      <c r="J154" s="2" t="s">
        <v>97</v>
      </c>
      <c r="K154" s="2" t="s">
        <v>98</v>
      </c>
      <c r="L154" s="2" t="s">
        <v>109</v>
      </c>
      <c r="M154" s="2" t="s">
        <v>49</v>
      </c>
      <c r="N154" s="2" t="s">
        <v>50</v>
      </c>
      <c r="O154" s="3">
        <f>IFERROR(VLOOKUP(M154, '[1]08_CSDL_DAO_CU_VAT_LIEU'!$A$2:$F$64, 6, FALSE), 27500)</f>
        <v>20833.330000000002</v>
      </c>
      <c r="P154" s="4">
        <v>1.4</v>
      </c>
      <c r="Q154" s="3">
        <f t="shared" si="7"/>
        <v>48125</v>
      </c>
      <c r="R154" s="3">
        <f>ROUND((F154/3600)*IFERROR(VLOOKUP(I154, '[1]02_DM_NHAN_SU_MAY'!$M$2:$Q$25, 5, FALSE), 39375), 0)</f>
        <v>39375</v>
      </c>
      <c r="S154" s="3">
        <v>0</v>
      </c>
      <c r="T154" s="3">
        <f t="shared" si="8"/>
        <v>87500</v>
      </c>
    </row>
    <row r="155" spans="1:20" x14ac:dyDescent="0.25">
      <c r="A155" s="5" t="s">
        <v>409</v>
      </c>
      <c r="B155" s="5">
        <v>154</v>
      </c>
      <c r="C155" s="5" t="s">
        <v>68</v>
      </c>
      <c r="D155" s="5" t="s">
        <v>410</v>
      </c>
      <c r="E155" s="5" t="s">
        <v>411</v>
      </c>
      <c r="F155" s="5">
        <v>120</v>
      </c>
      <c r="G155" s="7">
        <f t="shared" si="6"/>
        <v>4.1999999999999997E-3</v>
      </c>
      <c r="H155" s="5" t="s">
        <v>34</v>
      </c>
      <c r="I155" s="5" t="s">
        <v>24</v>
      </c>
      <c r="J155" s="5" t="s">
        <v>238</v>
      </c>
      <c r="K155" s="5" t="s">
        <v>239</v>
      </c>
      <c r="L155" s="5" t="s">
        <v>285</v>
      </c>
      <c r="M155" s="5" t="s">
        <v>49</v>
      </c>
      <c r="N155" s="5" t="s">
        <v>50</v>
      </c>
      <c r="O155" s="6">
        <f>IFERROR(VLOOKUP(M155, '[1]08_CSDL_DAO_CU_VAT_LIEU'!$A$2:$F$64, 6, FALSE), 27500)</f>
        <v>20833.330000000002</v>
      </c>
      <c r="P155" s="7">
        <v>0.05</v>
      </c>
      <c r="Q155" s="6">
        <f t="shared" si="7"/>
        <v>1604</v>
      </c>
      <c r="R155" s="6">
        <f>ROUND((F155/3600)*IFERROR(VLOOKUP(I155, '[1]02_DM_NHAN_SU_MAY'!$M$2:$Q$25, 5, FALSE), 39375), 0)</f>
        <v>1313</v>
      </c>
      <c r="S155" s="6">
        <v>0</v>
      </c>
      <c r="T155" s="6">
        <f t="shared" si="8"/>
        <v>2917</v>
      </c>
    </row>
    <row r="156" spans="1:20" x14ac:dyDescent="0.25">
      <c r="A156" s="2" t="s">
        <v>412</v>
      </c>
      <c r="B156" s="2">
        <v>155</v>
      </c>
      <c r="C156" s="2" t="s">
        <v>68</v>
      </c>
      <c r="D156" s="2" t="s">
        <v>410</v>
      </c>
      <c r="E156" s="2" t="s">
        <v>411</v>
      </c>
      <c r="F156" s="2">
        <v>660</v>
      </c>
      <c r="G156" s="4">
        <f t="shared" si="6"/>
        <v>2.29E-2</v>
      </c>
      <c r="H156" s="2" t="s">
        <v>34</v>
      </c>
      <c r="I156" s="2" t="s">
        <v>24</v>
      </c>
      <c r="J156" s="2" t="s">
        <v>238</v>
      </c>
      <c r="K156" s="2" t="s">
        <v>239</v>
      </c>
      <c r="L156" s="2" t="s">
        <v>285</v>
      </c>
      <c r="M156" s="2" t="s">
        <v>49</v>
      </c>
      <c r="N156" s="2" t="s">
        <v>50</v>
      </c>
      <c r="O156" s="3">
        <f>IFERROR(VLOOKUP(M156, '[1]08_CSDL_DAO_CU_VAT_LIEU'!$A$2:$F$64, 6, FALSE), 27500)</f>
        <v>20833.330000000002</v>
      </c>
      <c r="P156" s="4">
        <v>0.26</v>
      </c>
      <c r="Q156" s="3">
        <f t="shared" si="7"/>
        <v>8823</v>
      </c>
      <c r="R156" s="3">
        <f>ROUND((F156/3600)*IFERROR(VLOOKUP(I156, '[1]02_DM_NHAN_SU_MAY'!$M$2:$Q$25, 5, FALSE), 39375), 0)</f>
        <v>7219</v>
      </c>
      <c r="S156" s="3">
        <v>0</v>
      </c>
      <c r="T156" s="3">
        <f t="shared" si="8"/>
        <v>16042</v>
      </c>
    </row>
    <row r="157" spans="1:20" x14ac:dyDescent="0.25">
      <c r="A157" s="5" t="s">
        <v>413</v>
      </c>
      <c r="B157" s="5">
        <v>156</v>
      </c>
      <c r="C157" s="5" t="s">
        <v>46</v>
      </c>
      <c r="D157" s="5" t="s">
        <v>414</v>
      </c>
      <c r="E157" s="5" t="s">
        <v>415</v>
      </c>
      <c r="F157" s="6">
        <v>3600</v>
      </c>
      <c r="G157" s="7">
        <f t="shared" si="6"/>
        <v>0.125</v>
      </c>
      <c r="H157" s="5" t="s">
        <v>34</v>
      </c>
      <c r="I157" s="5" t="s">
        <v>24</v>
      </c>
      <c r="J157" s="5" t="s">
        <v>25</v>
      </c>
      <c r="K157" s="5" t="s">
        <v>26</v>
      </c>
      <c r="L157" s="5" t="s">
        <v>27</v>
      </c>
      <c r="M157" s="5" t="s">
        <v>49</v>
      </c>
      <c r="N157" s="5" t="s">
        <v>50</v>
      </c>
      <c r="O157" s="6">
        <f>IFERROR(VLOOKUP(M157, '[1]08_CSDL_DAO_CU_VAT_LIEU'!$A$2:$F$64, 6, FALSE), 27500)</f>
        <v>20833.330000000002</v>
      </c>
      <c r="P157" s="7">
        <v>2.1</v>
      </c>
      <c r="Q157" s="6">
        <f t="shared" si="7"/>
        <v>48125</v>
      </c>
      <c r="R157" s="6">
        <f>ROUND((F157/3600)*IFERROR(VLOOKUP(I157, '[1]02_DM_NHAN_SU_MAY'!$M$2:$Q$25, 5, FALSE), 39375), 0)</f>
        <v>39375</v>
      </c>
      <c r="S157" s="6">
        <v>0</v>
      </c>
      <c r="T157" s="6">
        <f t="shared" si="8"/>
        <v>87500</v>
      </c>
    </row>
    <row r="158" spans="1:20" x14ac:dyDescent="0.25">
      <c r="A158" s="2" t="s">
        <v>416</v>
      </c>
      <c r="B158" s="2">
        <v>157</v>
      </c>
      <c r="C158" s="2" t="s">
        <v>46</v>
      </c>
      <c r="D158" s="2" t="s">
        <v>414</v>
      </c>
      <c r="E158" s="2" t="s">
        <v>147</v>
      </c>
      <c r="F158" s="3">
        <v>18000</v>
      </c>
      <c r="G158" s="4">
        <f t="shared" si="6"/>
        <v>0.625</v>
      </c>
      <c r="H158" s="2" t="s">
        <v>34</v>
      </c>
      <c r="I158" s="2" t="s">
        <v>24</v>
      </c>
      <c r="J158" s="2" t="s">
        <v>25</v>
      </c>
      <c r="K158" s="2" t="s">
        <v>26</v>
      </c>
      <c r="L158" s="2" t="s">
        <v>27</v>
      </c>
      <c r="M158" s="2" t="s">
        <v>28</v>
      </c>
      <c r="N158" s="2" t="s">
        <v>29</v>
      </c>
      <c r="O158" s="3">
        <f>IFERROR(VLOOKUP(M158, '[1]08_CSDL_DAO_CU_VAT_LIEU'!$A$2:$F$64, 6, FALSE), 27500)</f>
        <v>27500</v>
      </c>
      <c r="P158" s="4">
        <v>10.5</v>
      </c>
      <c r="Q158" s="3">
        <f t="shared" si="7"/>
        <v>240625</v>
      </c>
      <c r="R158" s="3">
        <f>ROUND((F158/3600)*IFERROR(VLOOKUP(I158, '[1]02_DM_NHAN_SU_MAY'!$M$2:$Q$25, 5, FALSE), 39375), 0)</f>
        <v>196875</v>
      </c>
      <c r="S158" s="3">
        <v>0</v>
      </c>
      <c r="T158" s="3">
        <f t="shared" si="8"/>
        <v>437500</v>
      </c>
    </row>
    <row r="159" spans="1:20" x14ac:dyDescent="0.25">
      <c r="A159" s="5" t="s">
        <v>417</v>
      </c>
      <c r="B159" s="5">
        <v>158</v>
      </c>
      <c r="C159" s="5" t="s">
        <v>46</v>
      </c>
      <c r="D159" s="5" t="s">
        <v>418</v>
      </c>
      <c r="E159" s="5" t="s">
        <v>415</v>
      </c>
      <c r="F159" s="6">
        <v>3600</v>
      </c>
      <c r="G159" s="7">
        <f t="shared" si="6"/>
        <v>0.125</v>
      </c>
      <c r="H159" s="5" t="s">
        <v>34</v>
      </c>
      <c r="I159" s="5" t="s">
        <v>24</v>
      </c>
      <c r="J159" s="5" t="s">
        <v>25</v>
      </c>
      <c r="K159" s="5" t="s">
        <v>26</v>
      </c>
      <c r="L159" s="5" t="s">
        <v>27</v>
      </c>
      <c r="M159" s="5" t="s">
        <v>49</v>
      </c>
      <c r="N159" s="5" t="s">
        <v>50</v>
      </c>
      <c r="O159" s="6">
        <f>IFERROR(VLOOKUP(M159, '[1]08_CSDL_DAO_CU_VAT_LIEU'!$A$2:$F$64, 6, FALSE), 27500)</f>
        <v>20833.330000000002</v>
      </c>
      <c r="P159" s="7">
        <v>2.1</v>
      </c>
      <c r="Q159" s="6">
        <f t="shared" si="7"/>
        <v>48125</v>
      </c>
      <c r="R159" s="6">
        <f>ROUND((F159/3600)*IFERROR(VLOOKUP(I159, '[1]02_DM_NHAN_SU_MAY'!$M$2:$Q$25, 5, FALSE), 39375), 0)</f>
        <v>39375</v>
      </c>
      <c r="S159" s="6">
        <v>0</v>
      </c>
      <c r="T159" s="6">
        <f t="shared" si="8"/>
        <v>87500</v>
      </c>
    </row>
    <row r="160" spans="1:20" x14ac:dyDescent="0.25">
      <c r="A160" s="2" t="s">
        <v>419</v>
      </c>
      <c r="B160" s="2">
        <v>159</v>
      </c>
      <c r="C160" s="2" t="s">
        <v>46</v>
      </c>
      <c r="D160" s="2" t="s">
        <v>418</v>
      </c>
      <c r="E160" s="2" t="s">
        <v>147</v>
      </c>
      <c r="F160" s="3">
        <v>18000</v>
      </c>
      <c r="G160" s="4">
        <f t="shared" si="6"/>
        <v>0.625</v>
      </c>
      <c r="H160" s="2" t="s">
        <v>34</v>
      </c>
      <c r="I160" s="2" t="s">
        <v>24</v>
      </c>
      <c r="J160" s="2" t="s">
        <v>25</v>
      </c>
      <c r="K160" s="2" t="s">
        <v>26</v>
      </c>
      <c r="L160" s="2" t="s">
        <v>27</v>
      </c>
      <c r="M160" s="2" t="s">
        <v>28</v>
      </c>
      <c r="N160" s="2" t="s">
        <v>29</v>
      </c>
      <c r="O160" s="3">
        <f>IFERROR(VLOOKUP(M160, '[1]08_CSDL_DAO_CU_VAT_LIEU'!$A$2:$F$64, 6, FALSE), 27500)</f>
        <v>27500</v>
      </c>
      <c r="P160" s="4">
        <v>10.5</v>
      </c>
      <c r="Q160" s="3">
        <f t="shared" si="7"/>
        <v>240625</v>
      </c>
      <c r="R160" s="3">
        <f>ROUND((F160/3600)*IFERROR(VLOOKUP(I160, '[1]02_DM_NHAN_SU_MAY'!$M$2:$Q$25, 5, FALSE), 39375), 0)</f>
        <v>196875</v>
      </c>
      <c r="S160" s="3">
        <v>0</v>
      </c>
      <c r="T160" s="3">
        <f t="shared" si="8"/>
        <v>437500</v>
      </c>
    </row>
    <row r="161" spans="1:20" x14ac:dyDescent="0.25">
      <c r="A161" s="5" t="s">
        <v>420</v>
      </c>
      <c r="B161" s="5">
        <v>160</v>
      </c>
      <c r="C161" s="5" t="s">
        <v>52</v>
      </c>
      <c r="D161" s="5" t="s">
        <v>421</v>
      </c>
      <c r="E161" s="5" t="s">
        <v>147</v>
      </c>
      <c r="F161" s="5">
        <v>900</v>
      </c>
      <c r="G161" s="7">
        <f t="shared" si="6"/>
        <v>3.1300000000000001E-2</v>
      </c>
      <c r="H161" s="5" t="s">
        <v>34</v>
      </c>
      <c r="I161" s="5" t="s">
        <v>55</v>
      </c>
      <c r="J161" s="5" t="s">
        <v>56</v>
      </c>
      <c r="K161" s="5" t="s">
        <v>57</v>
      </c>
      <c r="L161" s="5" t="s">
        <v>58</v>
      </c>
      <c r="M161" s="5" t="s">
        <v>28</v>
      </c>
      <c r="N161" s="5" t="s">
        <v>29</v>
      </c>
      <c r="O161" s="6">
        <f>IFERROR(VLOOKUP(M161, '[1]08_CSDL_DAO_CU_VAT_LIEU'!$A$2:$F$64, 6, FALSE), 27500)</f>
        <v>27500</v>
      </c>
      <c r="P161" s="7">
        <v>0.42</v>
      </c>
      <c r="Q161" s="6">
        <f t="shared" si="7"/>
        <v>12031</v>
      </c>
      <c r="R161" s="6">
        <f>ROUND((F161/3600)*IFERROR(VLOOKUP(I161, '[1]02_DM_NHAN_SU_MAY'!$M$2:$Q$25, 5, FALSE), 39375), 0)</f>
        <v>3594</v>
      </c>
      <c r="S161" s="6">
        <v>0</v>
      </c>
      <c r="T161" s="6">
        <f t="shared" si="8"/>
        <v>15625</v>
      </c>
    </row>
    <row r="162" spans="1:20" x14ac:dyDescent="0.25">
      <c r="A162" s="2" t="s">
        <v>422</v>
      </c>
      <c r="B162" s="2">
        <v>161</v>
      </c>
      <c r="C162" s="2" t="s">
        <v>21</v>
      </c>
      <c r="D162" s="2" t="s">
        <v>423</v>
      </c>
      <c r="E162" s="2" t="s">
        <v>147</v>
      </c>
      <c r="F162" s="3">
        <v>43200</v>
      </c>
      <c r="G162" s="4">
        <f t="shared" si="6"/>
        <v>1.5</v>
      </c>
      <c r="H162" s="2" t="s">
        <v>34</v>
      </c>
      <c r="I162" s="2" t="s">
        <v>24</v>
      </c>
      <c r="J162" s="2" t="s">
        <v>97</v>
      </c>
      <c r="K162" s="2" t="s">
        <v>98</v>
      </c>
      <c r="L162" s="2" t="s">
        <v>109</v>
      </c>
      <c r="M162" s="2" t="s">
        <v>28</v>
      </c>
      <c r="N162" s="2" t="s">
        <v>29</v>
      </c>
      <c r="O162" s="3">
        <f>IFERROR(VLOOKUP(M162, '[1]08_CSDL_DAO_CU_VAT_LIEU'!$A$2:$F$64, 6, FALSE), 27500)</f>
        <v>27500</v>
      </c>
      <c r="P162" s="4">
        <v>16.8</v>
      </c>
      <c r="Q162" s="3">
        <f t="shared" si="7"/>
        <v>577500</v>
      </c>
      <c r="R162" s="3">
        <f>ROUND((F162/3600)*IFERROR(VLOOKUP(I162, '[1]02_DM_NHAN_SU_MAY'!$M$2:$Q$25, 5, FALSE), 39375), 0)</f>
        <v>472500</v>
      </c>
      <c r="S162" s="3">
        <v>0</v>
      </c>
      <c r="T162" s="3">
        <f t="shared" si="8"/>
        <v>1050000</v>
      </c>
    </row>
    <row r="163" spans="1:20" x14ac:dyDescent="0.25">
      <c r="A163" s="5" t="s">
        <v>424</v>
      </c>
      <c r="B163" s="5">
        <v>162</v>
      </c>
      <c r="C163" s="5" t="s">
        <v>68</v>
      </c>
      <c r="D163" s="5" t="s">
        <v>425</v>
      </c>
      <c r="E163" s="5" t="s">
        <v>426</v>
      </c>
      <c r="F163" s="6">
        <v>1200</v>
      </c>
      <c r="G163" s="7">
        <f t="shared" si="6"/>
        <v>4.1700000000000001E-2</v>
      </c>
      <c r="H163" s="5" t="s">
        <v>34</v>
      </c>
      <c r="I163" s="5" t="s">
        <v>24</v>
      </c>
      <c r="J163" s="5" t="s">
        <v>97</v>
      </c>
      <c r="K163" s="5" t="s">
        <v>98</v>
      </c>
      <c r="L163" s="5" t="s">
        <v>109</v>
      </c>
      <c r="M163" s="5" t="s">
        <v>49</v>
      </c>
      <c r="N163" s="5" t="s">
        <v>50</v>
      </c>
      <c r="O163" s="6">
        <f>IFERROR(VLOOKUP(M163, '[1]08_CSDL_DAO_CU_VAT_LIEU'!$A$2:$F$64, 6, FALSE), 27500)</f>
        <v>20833.330000000002</v>
      </c>
      <c r="P163" s="7">
        <v>0.47</v>
      </c>
      <c r="Q163" s="6">
        <f t="shared" si="7"/>
        <v>16042</v>
      </c>
      <c r="R163" s="6">
        <f>ROUND((F163/3600)*IFERROR(VLOOKUP(I163, '[1]02_DM_NHAN_SU_MAY'!$M$2:$Q$25, 5, FALSE), 39375), 0)</f>
        <v>13125</v>
      </c>
      <c r="S163" s="6">
        <v>0</v>
      </c>
      <c r="T163" s="6">
        <f t="shared" si="8"/>
        <v>29167</v>
      </c>
    </row>
    <row r="164" spans="1:20" x14ac:dyDescent="0.25">
      <c r="A164" s="2" t="s">
        <v>427</v>
      </c>
      <c r="B164" s="2">
        <v>163</v>
      </c>
      <c r="C164" s="2" t="s">
        <v>68</v>
      </c>
      <c r="D164" s="2" t="s">
        <v>428</v>
      </c>
      <c r="E164" s="2" t="s">
        <v>429</v>
      </c>
      <c r="F164" s="3">
        <v>1200</v>
      </c>
      <c r="G164" s="4">
        <f t="shared" si="6"/>
        <v>4.1700000000000001E-2</v>
      </c>
      <c r="H164" s="2" t="s">
        <v>34</v>
      </c>
      <c r="I164" s="2" t="s">
        <v>24</v>
      </c>
      <c r="J164" s="2" t="s">
        <v>97</v>
      </c>
      <c r="K164" s="2" t="s">
        <v>98</v>
      </c>
      <c r="L164" s="2" t="s">
        <v>109</v>
      </c>
      <c r="M164" s="2" t="s">
        <v>49</v>
      </c>
      <c r="N164" s="2" t="s">
        <v>50</v>
      </c>
      <c r="O164" s="3">
        <f>IFERROR(VLOOKUP(M164, '[1]08_CSDL_DAO_CU_VAT_LIEU'!$A$2:$F$64, 6, FALSE), 27500)</f>
        <v>20833.330000000002</v>
      </c>
      <c r="P164" s="4">
        <v>0.47</v>
      </c>
      <c r="Q164" s="3">
        <f t="shared" si="7"/>
        <v>16042</v>
      </c>
      <c r="R164" s="3">
        <f>ROUND((F164/3600)*IFERROR(VLOOKUP(I164, '[1]02_DM_NHAN_SU_MAY'!$M$2:$Q$25, 5, FALSE), 39375), 0)</f>
        <v>13125</v>
      </c>
      <c r="S164" s="3">
        <v>0</v>
      </c>
      <c r="T164" s="3">
        <f t="shared" si="8"/>
        <v>29167</v>
      </c>
    </row>
    <row r="165" spans="1:20" x14ac:dyDescent="0.25">
      <c r="A165" s="5" t="s">
        <v>430</v>
      </c>
      <c r="B165" s="5">
        <v>164</v>
      </c>
      <c r="C165" s="5" t="s">
        <v>68</v>
      </c>
      <c r="D165" s="5" t="s">
        <v>431</v>
      </c>
      <c r="E165" s="5" t="s">
        <v>426</v>
      </c>
      <c r="F165" s="6">
        <v>1200</v>
      </c>
      <c r="G165" s="7">
        <f t="shared" si="6"/>
        <v>4.1700000000000001E-2</v>
      </c>
      <c r="H165" s="5" t="s">
        <v>34</v>
      </c>
      <c r="I165" s="5" t="s">
        <v>24</v>
      </c>
      <c r="J165" s="5" t="s">
        <v>97</v>
      </c>
      <c r="K165" s="5" t="s">
        <v>98</v>
      </c>
      <c r="L165" s="5" t="s">
        <v>109</v>
      </c>
      <c r="M165" s="5" t="s">
        <v>49</v>
      </c>
      <c r="N165" s="5" t="s">
        <v>50</v>
      </c>
      <c r="O165" s="6">
        <f>IFERROR(VLOOKUP(M165, '[1]08_CSDL_DAO_CU_VAT_LIEU'!$A$2:$F$64, 6, FALSE), 27500)</f>
        <v>20833.330000000002</v>
      </c>
      <c r="P165" s="7">
        <v>0.47</v>
      </c>
      <c r="Q165" s="6">
        <f t="shared" si="7"/>
        <v>16042</v>
      </c>
      <c r="R165" s="6">
        <f>ROUND((F165/3600)*IFERROR(VLOOKUP(I165, '[1]02_DM_NHAN_SU_MAY'!$M$2:$Q$25, 5, FALSE), 39375), 0)</f>
        <v>13125</v>
      </c>
      <c r="S165" s="6">
        <v>0</v>
      </c>
      <c r="T165" s="6">
        <f t="shared" si="8"/>
        <v>29167</v>
      </c>
    </row>
    <row r="166" spans="1:20" x14ac:dyDescent="0.25">
      <c r="A166" s="2" t="s">
        <v>432</v>
      </c>
      <c r="B166" s="2">
        <v>165</v>
      </c>
      <c r="C166" s="2" t="s">
        <v>68</v>
      </c>
      <c r="D166" s="2" t="s">
        <v>433</v>
      </c>
      <c r="E166" s="2" t="s">
        <v>434</v>
      </c>
      <c r="F166" s="3">
        <v>1200</v>
      </c>
      <c r="G166" s="4">
        <f t="shared" si="6"/>
        <v>4.1700000000000001E-2</v>
      </c>
      <c r="H166" s="2" t="s">
        <v>34</v>
      </c>
      <c r="I166" s="2" t="s">
        <v>24</v>
      </c>
      <c r="J166" s="2" t="s">
        <v>97</v>
      </c>
      <c r="K166" s="2" t="s">
        <v>98</v>
      </c>
      <c r="L166" s="2" t="s">
        <v>109</v>
      </c>
      <c r="M166" s="2" t="s">
        <v>49</v>
      </c>
      <c r="N166" s="2" t="s">
        <v>50</v>
      </c>
      <c r="O166" s="3">
        <f>IFERROR(VLOOKUP(M166, '[1]08_CSDL_DAO_CU_VAT_LIEU'!$A$2:$F$64, 6, FALSE), 27500)</f>
        <v>20833.330000000002</v>
      </c>
      <c r="P166" s="4">
        <v>0.47</v>
      </c>
      <c r="Q166" s="3">
        <f t="shared" si="7"/>
        <v>16042</v>
      </c>
      <c r="R166" s="3">
        <f>ROUND((F166/3600)*IFERROR(VLOOKUP(I166, '[1]02_DM_NHAN_SU_MAY'!$M$2:$Q$25, 5, FALSE), 39375), 0)</f>
        <v>13125</v>
      </c>
      <c r="S166" s="3">
        <v>0</v>
      </c>
      <c r="T166" s="3">
        <f t="shared" si="8"/>
        <v>29167</v>
      </c>
    </row>
    <row r="167" spans="1:20" x14ac:dyDescent="0.25">
      <c r="A167" s="5" t="s">
        <v>435</v>
      </c>
      <c r="B167" s="5">
        <v>166</v>
      </c>
      <c r="C167" s="5" t="s">
        <v>68</v>
      </c>
      <c r="D167" s="5" t="s">
        <v>436</v>
      </c>
      <c r="E167" s="5" t="s">
        <v>437</v>
      </c>
      <c r="F167" s="6">
        <v>1200</v>
      </c>
      <c r="G167" s="7">
        <f t="shared" si="6"/>
        <v>4.1700000000000001E-2</v>
      </c>
      <c r="H167" s="5" t="s">
        <v>34</v>
      </c>
      <c r="I167" s="5" t="s">
        <v>24</v>
      </c>
      <c r="J167" s="5" t="s">
        <v>97</v>
      </c>
      <c r="K167" s="5" t="s">
        <v>98</v>
      </c>
      <c r="L167" s="5" t="s">
        <v>109</v>
      </c>
      <c r="M167" s="5" t="s">
        <v>49</v>
      </c>
      <c r="N167" s="5" t="s">
        <v>50</v>
      </c>
      <c r="O167" s="6">
        <f>IFERROR(VLOOKUP(M167, '[1]08_CSDL_DAO_CU_VAT_LIEU'!$A$2:$F$64, 6, FALSE), 27500)</f>
        <v>20833.330000000002</v>
      </c>
      <c r="P167" s="7">
        <v>0.47</v>
      </c>
      <c r="Q167" s="6">
        <f t="shared" si="7"/>
        <v>16042</v>
      </c>
      <c r="R167" s="6">
        <f>ROUND((F167/3600)*IFERROR(VLOOKUP(I167, '[1]02_DM_NHAN_SU_MAY'!$M$2:$Q$25, 5, FALSE), 39375), 0)</f>
        <v>13125</v>
      </c>
      <c r="S167" s="6">
        <v>0</v>
      </c>
      <c r="T167" s="6">
        <f t="shared" si="8"/>
        <v>29167</v>
      </c>
    </row>
    <row r="168" spans="1:20" x14ac:dyDescent="0.25">
      <c r="A168" s="2" t="s">
        <v>438</v>
      </c>
      <c r="B168" s="2">
        <v>167</v>
      </c>
      <c r="C168" s="2" t="s">
        <v>68</v>
      </c>
      <c r="D168" s="2" t="s">
        <v>439</v>
      </c>
      <c r="E168" s="2" t="s">
        <v>440</v>
      </c>
      <c r="F168" s="3">
        <v>34600</v>
      </c>
      <c r="G168" s="4">
        <f t="shared" si="6"/>
        <v>1.2014</v>
      </c>
      <c r="H168" s="2">
        <v>1</v>
      </c>
      <c r="I168" s="2" t="s">
        <v>35</v>
      </c>
      <c r="J168" s="2" t="s">
        <v>97</v>
      </c>
      <c r="K168" s="2" t="s">
        <v>98</v>
      </c>
      <c r="L168" s="2" t="s">
        <v>109</v>
      </c>
      <c r="M168" s="2" t="s">
        <v>28</v>
      </c>
      <c r="N168" s="2" t="s">
        <v>29</v>
      </c>
      <c r="O168" s="3">
        <f>IFERROR(VLOOKUP(M168, '[1]08_CSDL_DAO_CU_VAT_LIEU'!$A$2:$F$64, 6, FALSE), 27500)</f>
        <v>27500</v>
      </c>
      <c r="P168" s="4">
        <v>13.46</v>
      </c>
      <c r="Q168" s="3">
        <f t="shared" si="7"/>
        <v>462535</v>
      </c>
      <c r="R168" s="3">
        <f>ROUND((F168/3600)*IFERROR(VLOOKUP(I168, '[1]02_DM_NHAN_SU_MAY'!$M$2:$Q$25, 5, FALSE), 39375), 0)</f>
        <v>378438</v>
      </c>
      <c r="S168" s="3">
        <v>0</v>
      </c>
      <c r="T168" s="3">
        <f t="shared" si="8"/>
        <v>840973</v>
      </c>
    </row>
    <row r="169" spans="1:20" x14ac:dyDescent="0.25">
      <c r="A169" s="5" t="s">
        <v>441</v>
      </c>
      <c r="B169" s="5">
        <v>168</v>
      </c>
      <c r="C169" s="5" t="s">
        <v>68</v>
      </c>
      <c r="D169" s="5" t="s">
        <v>439</v>
      </c>
      <c r="E169" s="5" t="s">
        <v>442</v>
      </c>
      <c r="F169" s="6">
        <v>7200</v>
      </c>
      <c r="G169" s="7">
        <f t="shared" si="6"/>
        <v>0.25</v>
      </c>
      <c r="H169" s="5">
        <v>2</v>
      </c>
      <c r="I169" s="5" t="s">
        <v>24</v>
      </c>
      <c r="J169" s="5" t="s">
        <v>97</v>
      </c>
      <c r="K169" s="5" t="s">
        <v>98</v>
      </c>
      <c r="L169" s="5" t="s">
        <v>109</v>
      </c>
      <c r="M169" s="5" t="s">
        <v>28</v>
      </c>
      <c r="N169" s="5" t="s">
        <v>29</v>
      </c>
      <c r="O169" s="6">
        <f>IFERROR(VLOOKUP(M169, '[1]08_CSDL_DAO_CU_VAT_LIEU'!$A$2:$F$64, 6, FALSE), 27500)</f>
        <v>27500</v>
      </c>
      <c r="P169" s="7">
        <v>2.8</v>
      </c>
      <c r="Q169" s="6">
        <f t="shared" si="7"/>
        <v>96250</v>
      </c>
      <c r="R169" s="6">
        <f>ROUND((F169/3600)*IFERROR(VLOOKUP(I169, '[1]02_DM_NHAN_SU_MAY'!$M$2:$Q$25, 5, FALSE), 39375), 0)</f>
        <v>78750</v>
      </c>
      <c r="S169" s="6">
        <v>0</v>
      </c>
      <c r="T169" s="6">
        <f t="shared" si="8"/>
        <v>175000</v>
      </c>
    </row>
    <row r="170" spans="1:20" x14ac:dyDescent="0.25">
      <c r="A170" s="2" t="s">
        <v>443</v>
      </c>
      <c r="B170" s="2">
        <v>169</v>
      </c>
      <c r="C170" s="2" t="s">
        <v>68</v>
      </c>
      <c r="D170" s="2" t="s">
        <v>439</v>
      </c>
      <c r="E170" s="2" t="s">
        <v>444</v>
      </c>
      <c r="F170" s="3">
        <v>34600</v>
      </c>
      <c r="G170" s="4">
        <f t="shared" si="6"/>
        <v>1.2014</v>
      </c>
      <c r="H170" s="2">
        <v>3</v>
      </c>
      <c r="I170" s="2" t="s">
        <v>35</v>
      </c>
      <c r="J170" s="2" t="s">
        <v>97</v>
      </c>
      <c r="K170" s="2" t="s">
        <v>98</v>
      </c>
      <c r="L170" s="2" t="s">
        <v>109</v>
      </c>
      <c r="M170" s="2" t="s">
        <v>138</v>
      </c>
      <c r="N170" s="2" t="s">
        <v>139</v>
      </c>
      <c r="O170" s="3">
        <f>IFERROR(VLOOKUP(M170, '[1]08_CSDL_DAO_CU_VAT_LIEU'!$A$2:$F$64, 6, FALSE), 27500)</f>
        <v>32500</v>
      </c>
      <c r="P170" s="4">
        <v>13.46</v>
      </c>
      <c r="Q170" s="3">
        <f t="shared" si="7"/>
        <v>462535</v>
      </c>
      <c r="R170" s="3">
        <f>ROUND((F170/3600)*IFERROR(VLOOKUP(I170, '[1]02_DM_NHAN_SU_MAY'!$M$2:$Q$25, 5, FALSE), 39375), 0)</f>
        <v>378438</v>
      </c>
      <c r="S170" s="3">
        <v>0</v>
      </c>
      <c r="T170" s="3">
        <f t="shared" si="8"/>
        <v>840973</v>
      </c>
    </row>
    <row r="171" spans="1:20" x14ac:dyDescent="0.25">
      <c r="A171" s="5" t="s">
        <v>445</v>
      </c>
      <c r="B171" s="5">
        <v>170</v>
      </c>
      <c r="C171" s="5" t="s">
        <v>68</v>
      </c>
      <c r="D171" s="5" t="s">
        <v>446</v>
      </c>
      <c r="E171" s="5" t="s">
        <v>447</v>
      </c>
      <c r="F171" s="5">
        <v>360</v>
      </c>
      <c r="G171" s="7">
        <f t="shared" si="6"/>
        <v>1.2500000000000001E-2</v>
      </c>
      <c r="H171" s="5" t="s">
        <v>34</v>
      </c>
      <c r="I171" s="5" t="s">
        <v>24</v>
      </c>
      <c r="J171" s="5" t="s">
        <v>238</v>
      </c>
      <c r="K171" s="5" t="s">
        <v>239</v>
      </c>
      <c r="L171" s="5" t="s">
        <v>285</v>
      </c>
      <c r="M171" s="5" t="s">
        <v>28</v>
      </c>
      <c r="N171" s="5" t="s">
        <v>29</v>
      </c>
      <c r="O171" s="6">
        <f>IFERROR(VLOOKUP(M171, '[1]08_CSDL_DAO_CU_VAT_LIEU'!$A$2:$F$64, 6, FALSE), 27500)</f>
        <v>27500</v>
      </c>
      <c r="P171" s="7">
        <v>0.14000000000000001</v>
      </c>
      <c r="Q171" s="6">
        <f t="shared" si="7"/>
        <v>4813</v>
      </c>
      <c r="R171" s="6">
        <f>ROUND((F171/3600)*IFERROR(VLOOKUP(I171, '[1]02_DM_NHAN_SU_MAY'!$M$2:$Q$25, 5, FALSE), 39375), 0)</f>
        <v>3938</v>
      </c>
      <c r="S171" s="6">
        <v>0</v>
      </c>
      <c r="T171" s="6">
        <f t="shared" si="8"/>
        <v>8751</v>
      </c>
    </row>
    <row r="172" spans="1:20" x14ac:dyDescent="0.25">
      <c r="A172" s="2" t="s">
        <v>448</v>
      </c>
      <c r="B172" s="2">
        <v>171</v>
      </c>
      <c r="C172" s="2" t="s">
        <v>52</v>
      </c>
      <c r="D172" s="2" t="s">
        <v>449</v>
      </c>
      <c r="E172" s="2" t="s">
        <v>450</v>
      </c>
      <c r="F172" s="2">
        <v>600</v>
      </c>
      <c r="G172" s="4">
        <f t="shared" si="6"/>
        <v>2.0799999999999999E-2</v>
      </c>
      <c r="H172" s="2" t="s">
        <v>34</v>
      </c>
      <c r="I172" s="2" t="s">
        <v>55</v>
      </c>
      <c r="J172" s="2" t="s">
        <v>56</v>
      </c>
      <c r="K172" s="2" t="s">
        <v>57</v>
      </c>
      <c r="L172" s="2" t="s">
        <v>58</v>
      </c>
      <c r="M172" s="2" t="s">
        <v>49</v>
      </c>
      <c r="N172" s="2" t="s">
        <v>50</v>
      </c>
      <c r="O172" s="3">
        <f>IFERROR(VLOOKUP(M172, '[1]08_CSDL_DAO_CU_VAT_LIEU'!$A$2:$F$64, 6, FALSE), 27500)</f>
        <v>20833.330000000002</v>
      </c>
      <c r="P172" s="4">
        <v>0.28000000000000003</v>
      </c>
      <c r="Q172" s="3">
        <f t="shared" si="7"/>
        <v>8021</v>
      </c>
      <c r="R172" s="3">
        <f>ROUND((F172/3600)*IFERROR(VLOOKUP(I172, '[1]02_DM_NHAN_SU_MAY'!$M$2:$Q$25, 5, FALSE), 39375), 0)</f>
        <v>2396</v>
      </c>
      <c r="S172" s="3">
        <v>0</v>
      </c>
      <c r="T172" s="3">
        <f t="shared" si="8"/>
        <v>10417</v>
      </c>
    </row>
    <row r="173" spans="1:20" x14ac:dyDescent="0.25">
      <c r="A173" s="5" t="s">
        <v>451</v>
      </c>
      <c r="B173" s="5">
        <v>172</v>
      </c>
      <c r="C173" s="5" t="s">
        <v>52</v>
      </c>
      <c r="D173" s="5" t="s">
        <v>452</v>
      </c>
      <c r="E173" s="5" t="s">
        <v>450</v>
      </c>
      <c r="F173" s="5">
        <v>600</v>
      </c>
      <c r="G173" s="7">
        <f t="shared" si="6"/>
        <v>2.0799999999999999E-2</v>
      </c>
      <c r="H173" s="5" t="s">
        <v>34</v>
      </c>
      <c r="I173" s="5" t="s">
        <v>55</v>
      </c>
      <c r="J173" s="5" t="s">
        <v>56</v>
      </c>
      <c r="K173" s="5" t="s">
        <v>57</v>
      </c>
      <c r="L173" s="5" t="s">
        <v>58</v>
      </c>
      <c r="M173" s="5" t="s">
        <v>49</v>
      </c>
      <c r="N173" s="5" t="s">
        <v>50</v>
      </c>
      <c r="O173" s="6">
        <f>IFERROR(VLOOKUP(M173, '[1]08_CSDL_DAO_CU_VAT_LIEU'!$A$2:$F$64, 6, FALSE), 27500)</f>
        <v>20833.330000000002</v>
      </c>
      <c r="P173" s="7">
        <v>0.28000000000000003</v>
      </c>
      <c r="Q173" s="6">
        <f t="shared" si="7"/>
        <v>8021</v>
      </c>
      <c r="R173" s="6">
        <f>ROUND((F173/3600)*IFERROR(VLOOKUP(I173, '[1]02_DM_NHAN_SU_MAY'!$M$2:$Q$25, 5, FALSE), 39375), 0)</f>
        <v>2396</v>
      </c>
      <c r="S173" s="6">
        <v>0</v>
      </c>
      <c r="T173" s="6">
        <f t="shared" si="8"/>
        <v>10417</v>
      </c>
    </row>
    <row r="174" spans="1:20" x14ac:dyDescent="0.25">
      <c r="A174" s="2" t="s">
        <v>453</v>
      </c>
      <c r="B174" s="2">
        <v>173</v>
      </c>
      <c r="C174" s="2" t="s">
        <v>52</v>
      </c>
      <c r="D174" s="2" t="s">
        <v>131</v>
      </c>
      <c r="E174" s="2" t="s">
        <v>450</v>
      </c>
      <c r="F174" s="2">
        <v>600</v>
      </c>
      <c r="G174" s="4">
        <f t="shared" si="6"/>
        <v>2.0799999999999999E-2</v>
      </c>
      <c r="H174" s="2" t="s">
        <v>34</v>
      </c>
      <c r="I174" s="2" t="s">
        <v>55</v>
      </c>
      <c r="J174" s="2" t="s">
        <v>56</v>
      </c>
      <c r="K174" s="2" t="s">
        <v>57</v>
      </c>
      <c r="L174" s="2" t="s">
        <v>58</v>
      </c>
      <c r="M174" s="2" t="s">
        <v>49</v>
      </c>
      <c r="N174" s="2" t="s">
        <v>50</v>
      </c>
      <c r="O174" s="3">
        <f>IFERROR(VLOOKUP(M174, '[1]08_CSDL_DAO_CU_VAT_LIEU'!$A$2:$F$64, 6, FALSE), 27500)</f>
        <v>20833.330000000002</v>
      </c>
      <c r="P174" s="4">
        <v>0.28000000000000003</v>
      </c>
      <c r="Q174" s="3">
        <f t="shared" si="7"/>
        <v>8021</v>
      </c>
      <c r="R174" s="3">
        <f>ROUND((F174/3600)*IFERROR(VLOOKUP(I174, '[1]02_DM_NHAN_SU_MAY'!$M$2:$Q$25, 5, FALSE), 39375), 0)</f>
        <v>2396</v>
      </c>
      <c r="S174" s="3">
        <v>0</v>
      </c>
      <c r="T174" s="3">
        <f t="shared" si="8"/>
        <v>10417</v>
      </c>
    </row>
    <row r="175" spans="1:20" x14ac:dyDescent="0.25">
      <c r="A175" s="5" t="s">
        <v>454</v>
      </c>
      <c r="B175" s="5">
        <v>174</v>
      </c>
      <c r="C175" s="5" t="s">
        <v>52</v>
      </c>
      <c r="D175" s="5" t="s">
        <v>455</v>
      </c>
      <c r="E175" s="5" t="s">
        <v>450</v>
      </c>
      <c r="F175" s="5">
        <v>800</v>
      </c>
      <c r="G175" s="7">
        <f t="shared" si="6"/>
        <v>2.7799999999999998E-2</v>
      </c>
      <c r="H175" s="5" t="s">
        <v>34</v>
      </c>
      <c r="I175" s="5" t="s">
        <v>55</v>
      </c>
      <c r="J175" s="5" t="s">
        <v>56</v>
      </c>
      <c r="K175" s="5" t="s">
        <v>57</v>
      </c>
      <c r="L175" s="5" t="s">
        <v>58</v>
      </c>
      <c r="M175" s="5" t="s">
        <v>49</v>
      </c>
      <c r="N175" s="5" t="s">
        <v>50</v>
      </c>
      <c r="O175" s="6">
        <f>IFERROR(VLOOKUP(M175, '[1]08_CSDL_DAO_CU_VAT_LIEU'!$A$2:$F$64, 6, FALSE), 27500)</f>
        <v>20833.330000000002</v>
      </c>
      <c r="P175" s="7">
        <v>0.37</v>
      </c>
      <c r="Q175" s="6">
        <f t="shared" si="7"/>
        <v>10694</v>
      </c>
      <c r="R175" s="6">
        <f>ROUND((F175/3600)*IFERROR(VLOOKUP(I175, '[1]02_DM_NHAN_SU_MAY'!$M$2:$Q$25, 5, FALSE), 39375), 0)</f>
        <v>3194</v>
      </c>
      <c r="S175" s="6">
        <v>0</v>
      </c>
      <c r="T175" s="6">
        <f t="shared" si="8"/>
        <v>13888</v>
      </c>
    </row>
    <row r="176" spans="1:20" x14ac:dyDescent="0.25">
      <c r="A176" s="2" t="s">
        <v>456</v>
      </c>
      <c r="B176" s="2">
        <v>175</v>
      </c>
      <c r="C176" s="2" t="s">
        <v>52</v>
      </c>
      <c r="D176" s="2" t="s">
        <v>457</v>
      </c>
      <c r="E176" s="2" t="s">
        <v>450</v>
      </c>
      <c r="F176" s="2">
        <v>800</v>
      </c>
      <c r="G176" s="4">
        <f t="shared" si="6"/>
        <v>2.7799999999999998E-2</v>
      </c>
      <c r="H176" s="2" t="s">
        <v>34</v>
      </c>
      <c r="I176" s="2" t="s">
        <v>55</v>
      </c>
      <c r="J176" s="2" t="s">
        <v>56</v>
      </c>
      <c r="K176" s="2" t="s">
        <v>57</v>
      </c>
      <c r="L176" s="2" t="s">
        <v>58</v>
      </c>
      <c r="M176" s="2" t="s">
        <v>49</v>
      </c>
      <c r="N176" s="2" t="s">
        <v>50</v>
      </c>
      <c r="O176" s="3">
        <f>IFERROR(VLOOKUP(M176, '[1]08_CSDL_DAO_CU_VAT_LIEU'!$A$2:$F$64, 6, FALSE), 27500)</f>
        <v>20833.330000000002</v>
      </c>
      <c r="P176" s="4">
        <v>0.37</v>
      </c>
      <c r="Q176" s="3">
        <f t="shared" si="7"/>
        <v>10694</v>
      </c>
      <c r="R176" s="3">
        <f>ROUND((F176/3600)*IFERROR(VLOOKUP(I176, '[1]02_DM_NHAN_SU_MAY'!$M$2:$Q$25, 5, FALSE), 39375), 0)</f>
        <v>3194</v>
      </c>
      <c r="S176" s="3">
        <v>0</v>
      </c>
      <c r="T176" s="3">
        <f t="shared" si="8"/>
        <v>13888</v>
      </c>
    </row>
    <row r="177" spans="1:20" x14ac:dyDescent="0.25">
      <c r="A177" s="5" t="s">
        <v>458</v>
      </c>
      <c r="B177" s="5">
        <v>176</v>
      </c>
      <c r="C177" s="5" t="s">
        <v>52</v>
      </c>
      <c r="D177" s="5" t="s">
        <v>459</v>
      </c>
      <c r="E177" s="5" t="s">
        <v>450</v>
      </c>
      <c r="F177" s="5">
        <v>800</v>
      </c>
      <c r="G177" s="7">
        <f t="shared" si="6"/>
        <v>2.7799999999999998E-2</v>
      </c>
      <c r="H177" s="5" t="s">
        <v>34</v>
      </c>
      <c r="I177" s="5" t="s">
        <v>55</v>
      </c>
      <c r="J177" s="5" t="s">
        <v>56</v>
      </c>
      <c r="K177" s="5" t="s">
        <v>57</v>
      </c>
      <c r="L177" s="5" t="s">
        <v>58</v>
      </c>
      <c r="M177" s="5" t="s">
        <v>49</v>
      </c>
      <c r="N177" s="5" t="s">
        <v>50</v>
      </c>
      <c r="O177" s="6">
        <f>IFERROR(VLOOKUP(M177, '[1]08_CSDL_DAO_CU_VAT_LIEU'!$A$2:$F$64, 6, FALSE), 27500)</f>
        <v>20833.330000000002</v>
      </c>
      <c r="P177" s="7">
        <v>0.37</v>
      </c>
      <c r="Q177" s="6">
        <f t="shared" si="7"/>
        <v>10694</v>
      </c>
      <c r="R177" s="6">
        <f>ROUND((F177/3600)*IFERROR(VLOOKUP(I177, '[1]02_DM_NHAN_SU_MAY'!$M$2:$Q$25, 5, FALSE), 39375), 0)</f>
        <v>3194</v>
      </c>
      <c r="S177" s="6">
        <v>0</v>
      </c>
      <c r="T177" s="6">
        <f t="shared" si="8"/>
        <v>13888</v>
      </c>
    </row>
    <row r="178" spans="1:20" x14ac:dyDescent="0.25">
      <c r="A178" s="2" t="s">
        <v>460</v>
      </c>
      <c r="B178" s="2">
        <v>177</v>
      </c>
      <c r="C178" s="2" t="s">
        <v>52</v>
      </c>
      <c r="D178" s="2" t="s">
        <v>461</v>
      </c>
      <c r="E178" s="2" t="s">
        <v>450</v>
      </c>
      <c r="F178" s="2">
        <v>900</v>
      </c>
      <c r="G178" s="4">
        <f t="shared" si="6"/>
        <v>3.1300000000000001E-2</v>
      </c>
      <c r="H178" s="2" t="s">
        <v>34</v>
      </c>
      <c r="I178" s="2" t="s">
        <v>55</v>
      </c>
      <c r="J178" s="2" t="s">
        <v>56</v>
      </c>
      <c r="K178" s="2" t="s">
        <v>57</v>
      </c>
      <c r="L178" s="2" t="s">
        <v>58</v>
      </c>
      <c r="M178" s="2" t="s">
        <v>49</v>
      </c>
      <c r="N178" s="2" t="s">
        <v>50</v>
      </c>
      <c r="O178" s="3">
        <f>IFERROR(VLOOKUP(M178, '[1]08_CSDL_DAO_CU_VAT_LIEU'!$A$2:$F$64, 6, FALSE), 27500)</f>
        <v>20833.330000000002</v>
      </c>
      <c r="P178" s="4">
        <v>0.42</v>
      </c>
      <c r="Q178" s="3">
        <f t="shared" si="7"/>
        <v>12031</v>
      </c>
      <c r="R178" s="3">
        <f>ROUND((F178/3600)*IFERROR(VLOOKUP(I178, '[1]02_DM_NHAN_SU_MAY'!$M$2:$Q$25, 5, FALSE), 39375), 0)</f>
        <v>3594</v>
      </c>
      <c r="S178" s="3">
        <v>0</v>
      </c>
      <c r="T178" s="3">
        <f t="shared" si="8"/>
        <v>15625</v>
      </c>
    </row>
    <row r="179" spans="1:20" x14ac:dyDescent="0.25">
      <c r="A179" s="5" t="s">
        <v>462</v>
      </c>
      <c r="B179" s="5">
        <v>178</v>
      </c>
      <c r="C179" s="5" t="s">
        <v>68</v>
      </c>
      <c r="D179" s="5" t="s">
        <v>375</v>
      </c>
      <c r="E179" s="5" t="s">
        <v>463</v>
      </c>
      <c r="F179" s="6">
        <v>14400</v>
      </c>
      <c r="G179" s="7">
        <f t="shared" si="6"/>
        <v>0.5</v>
      </c>
      <c r="H179" s="5" t="s">
        <v>34</v>
      </c>
      <c r="I179" s="5" t="s">
        <v>71</v>
      </c>
      <c r="J179" s="5" t="s">
        <v>97</v>
      </c>
      <c r="K179" s="5" t="s">
        <v>98</v>
      </c>
      <c r="L179" s="5" t="s">
        <v>99</v>
      </c>
      <c r="M179" s="5" t="s">
        <v>75</v>
      </c>
      <c r="N179" s="5" t="s">
        <v>76</v>
      </c>
      <c r="O179" s="6">
        <f>IFERROR(VLOOKUP(M179, '[1]08_CSDL_DAO_CU_VAT_LIEU'!$A$2:$F$64, 6, FALSE), 27500)</f>
        <v>42500</v>
      </c>
      <c r="P179" s="7">
        <v>5.6</v>
      </c>
      <c r="Q179" s="6">
        <f t="shared" si="7"/>
        <v>192500</v>
      </c>
      <c r="R179" s="6">
        <f>ROUND((F179/3600)*IFERROR(VLOOKUP(I179, '[1]02_DM_NHAN_SU_MAY'!$M$2:$Q$25, 5, FALSE), 39375), 0)</f>
        <v>107500</v>
      </c>
      <c r="S179" s="6">
        <v>0</v>
      </c>
      <c r="T179" s="6">
        <f t="shared" si="8"/>
        <v>300000</v>
      </c>
    </row>
    <row r="180" spans="1:20" x14ac:dyDescent="0.25">
      <c r="A180" s="2" t="s">
        <v>464</v>
      </c>
      <c r="B180" s="2">
        <v>179</v>
      </c>
      <c r="C180" s="2" t="s">
        <v>68</v>
      </c>
      <c r="D180" s="2" t="s">
        <v>465</v>
      </c>
      <c r="E180" s="2" t="s">
        <v>466</v>
      </c>
      <c r="F180" s="2">
        <v>300</v>
      </c>
      <c r="G180" s="4">
        <f t="shared" si="6"/>
        <v>1.04E-2</v>
      </c>
      <c r="H180" s="2" t="s">
        <v>34</v>
      </c>
      <c r="I180" s="2" t="s">
        <v>90</v>
      </c>
      <c r="J180" s="2" t="s">
        <v>72</v>
      </c>
      <c r="K180" s="2" t="s">
        <v>73</v>
      </c>
      <c r="L180" s="2" t="s">
        <v>91</v>
      </c>
      <c r="M180" s="2" t="s">
        <v>92</v>
      </c>
      <c r="N180" s="2" t="s">
        <v>93</v>
      </c>
      <c r="O180" s="3">
        <f>IFERROR(VLOOKUP(M180, '[1]08_CSDL_DAO_CU_VAT_LIEU'!$A$2:$F$64, 6, FALSE), 27500)</f>
        <v>74000</v>
      </c>
      <c r="P180" s="4">
        <v>0.12</v>
      </c>
      <c r="Q180" s="3">
        <f t="shared" si="7"/>
        <v>4010</v>
      </c>
      <c r="R180" s="3">
        <f>ROUND((F180/3600)*IFERROR(VLOOKUP(I180, '[1]02_DM_NHAN_SU_MAY'!$M$2:$Q$25, 5, FALSE), 39375), 0)</f>
        <v>2240</v>
      </c>
      <c r="S180" s="3">
        <v>0</v>
      </c>
      <c r="T180" s="3">
        <f t="shared" si="8"/>
        <v>6250</v>
      </c>
    </row>
    <row r="181" spans="1:20" x14ac:dyDescent="0.25">
      <c r="A181" s="5" t="s">
        <v>467</v>
      </c>
      <c r="B181" s="5">
        <v>180</v>
      </c>
      <c r="C181" s="5" t="s">
        <v>68</v>
      </c>
      <c r="D181" s="5" t="s">
        <v>468</v>
      </c>
      <c r="E181" s="5" t="s">
        <v>469</v>
      </c>
      <c r="F181" s="5">
        <v>180</v>
      </c>
      <c r="G181" s="7">
        <f t="shared" si="6"/>
        <v>6.3E-3</v>
      </c>
      <c r="H181" s="5" t="s">
        <v>34</v>
      </c>
      <c r="I181" s="5" t="s">
        <v>24</v>
      </c>
      <c r="J181" s="5" t="s">
        <v>238</v>
      </c>
      <c r="K181" s="5" t="s">
        <v>239</v>
      </c>
      <c r="L181" s="5" t="s">
        <v>285</v>
      </c>
      <c r="M181" s="5" t="s">
        <v>28</v>
      </c>
      <c r="N181" s="5" t="s">
        <v>29</v>
      </c>
      <c r="O181" s="6">
        <f>IFERROR(VLOOKUP(M181, '[1]08_CSDL_DAO_CU_VAT_LIEU'!$A$2:$F$64, 6, FALSE), 27500)</f>
        <v>27500</v>
      </c>
      <c r="P181" s="7">
        <v>7.0000000000000007E-2</v>
      </c>
      <c r="Q181" s="6">
        <f t="shared" si="7"/>
        <v>2406</v>
      </c>
      <c r="R181" s="6">
        <f>ROUND((F181/3600)*IFERROR(VLOOKUP(I181, '[1]02_DM_NHAN_SU_MAY'!$M$2:$Q$25, 5, FALSE), 39375), 0)</f>
        <v>1969</v>
      </c>
      <c r="S181" s="6">
        <v>0</v>
      </c>
      <c r="T181" s="6">
        <f t="shared" si="8"/>
        <v>4375</v>
      </c>
    </row>
    <row r="182" spans="1:20" x14ac:dyDescent="0.25">
      <c r="A182" s="2" t="s">
        <v>470</v>
      </c>
      <c r="B182" s="2">
        <v>181</v>
      </c>
      <c r="C182" s="2" t="s">
        <v>68</v>
      </c>
      <c r="D182" s="2" t="s">
        <v>471</v>
      </c>
      <c r="E182" s="2" t="s">
        <v>469</v>
      </c>
      <c r="F182" s="2">
        <v>240</v>
      </c>
      <c r="G182" s="4">
        <f t="shared" si="6"/>
        <v>8.3000000000000001E-3</v>
      </c>
      <c r="H182" s="2" t="s">
        <v>34</v>
      </c>
      <c r="I182" s="2" t="s">
        <v>24</v>
      </c>
      <c r="J182" s="2" t="s">
        <v>238</v>
      </c>
      <c r="K182" s="2" t="s">
        <v>239</v>
      </c>
      <c r="L182" s="2" t="s">
        <v>285</v>
      </c>
      <c r="M182" s="2" t="s">
        <v>28</v>
      </c>
      <c r="N182" s="2" t="s">
        <v>29</v>
      </c>
      <c r="O182" s="3">
        <f>IFERROR(VLOOKUP(M182, '[1]08_CSDL_DAO_CU_VAT_LIEU'!$A$2:$F$64, 6, FALSE), 27500)</f>
        <v>27500</v>
      </c>
      <c r="P182" s="4">
        <v>0.09</v>
      </c>
      <c r="Q182" s="3">
        <f t="shared" si="7"/>
        <v>3208</v>
      </c>
      <c r="R182" s="3">
        <f>ROUND((F182/3600)*IFERROR(VLOOKUP(I182, '[1]02_DM_NHAN_SU_MAY'!$M$2:$Q$25, 5, FALSE), 39375), 0)</f>
        <v>2625</v>
      </c>
      <c r="S182" s="3">
        <v>0</v>
      </c>
      <c r="T182" s="3">
        <f t="shared" si="8"/>
        <v>5833</v>
      </c>
    </row>
    <row r="183" spans="1:20" x14ac:dyDescent="0.25">
      <c r="A183" s="5" t="s">
        <v>472</v>
      </c>
      <c r="B183" s="5">
        <v>182</v>
      </c>
      <c r="C183" s="5" t="s">
        <v>68</v>
      </c>
      <c r="D183" s="5" t="s">
        <v>473</v>
      </c>
      <c r="E183" s="5" t="s">
        <v>469</v>
      </c>
      <c r="F183" s="5">
        <v>240</v>
      </c>
      <c r="G183" s="7">
        <f t="shared" si="6"/>
        <v>8.3000000000000001E-3</v>
      </c>
      <c r="H183" s="5" t="s">
        <v>34</v>
      </c>
      <c r="I183" s="5" t="s">
        <v>24</v>
      </c>
      <c r="J183" s="5" t="s">
        <v>238</v>
      </c>
      <c r="K183" s="5" t="s">
        <v>239</v>
      </c>
      <c r="L183" s="5" t="s">
        <v>285</v>
      </c>
      <c r="M183" s="5" t="s">
        <v>28</v>
      </c>
      <c r="N183" s="5" t="s">
        <v>29</v>
      </c>
      <c r="O183" s="6">
        <f>IFERROR(VLOOKUP(M183, '[1]08_CSDL_DAO_CU_VAT_LIEU'!$A$2:$F$64, 6, FALSE), 27500)</f>
        <v>27500</v>
      </c>
      <c r="P183" s="7">
        <v>0.09</v>
      </c>
      <c r="Q183" s="6">
        <f t="shared" si="7"/>
        <v>3208</v>
      </c>
      <c r="R183" s="6">
        <f>ROUND((F183/3600)*IFERROR(VLOOKUP(I183, '[1]02_DM_NHAN_SU_MAY'!$M$2:$Q$25, 5, FALSE), 39375), 0)</f>
        <v>2625</v>
      </c>
      <c r="S183" s="6">
        <v>0</v>
      </c>
      <c r="T183" s="6">
        <f t="shared" si="8"/>
        <v>5833</v>
      </c>
    </row>
    <row r="184" spans="1:20" x14ac:dyDescent="0.25">
      <c r="A184" s="2" t="s">
        <v>474</v>
      </c>
      <c r="B184" s="2">
        <v>183</v>
      </c>
      <c r="C184" s="2" t="s">
        <v>31</v>
      </c>
      <c r="D184" s="2" t="s">
        <v>475</v>
      </c>
      <c r="E184" s="2" t="s">
        <v>476</v>
      </c>
      <c r="F184" s="3">
        <v>3600</v>
      </c>
      <c r="G184" s="4">
        <f t="shared" si="6"/>
        <v>0.125</v>
      </c>
      <c r="H184" s="2" t="s">
        <v>34</v>
      </c>
      <c r="I184" s="2" t="s">
        <v>35</v>
      </c>
      <c r="J184" s="2" t="s">
        <v>36</v>
      </c>
      <c r="K184" s="2" t="s">
        <v>37</v>
      </c>
      <c r="L184" s="2" t="s">
        <v>38</v>
      </c>
      <c r="M184" s="2" t="s">
        <v>28</v>
      </c>
      <c r="N184" s="2" t="s">
        <v>29</v>
      </c>
      <c r="O184" s="3">
        <f>IFERROR(VLOOKUP(M184, '[1]08_CSDL_DAO_CU_VAT_LIEU'!$A$2:$F$64, 6, FALSE), 27500)</f>
        <v>27500</v>
      </c>
      <c r="P184" s="4">
        <v>1.68</v>
      </c>
      <c r="Q184" s="3">
        <f t="shared" si="7"/>
        <v>48125</v>
      </c>
      <c r="R184" s="3">
        <f>ROUND((F184/3600)*IFERROR(VLOOKUP(I184, '[1]02_DM_NHAN_SU_MAY'!$M$2:$Q$25, 5, FALSE), 39375), 0)</f>
        <v>39375</v>
      </c>
      <c r="S184" s="3">
        <v>0</v>
      </c>
      <c r="T184" s="3">
        <f t="shared" si="8"/>
        <v>87500</v>
      </c>
    </row>
    <row r="185" spans="1:20" x14ac:dyDescent="0.25">
      <c r="A185" s="5" t="s">
        <v>477</v>
      </c>
      <c r="B185" s="5">
        <v>184</v>
      </c>
      <c r="C185" s="5" t="s">
        <v>31</v>
      </c>
      <c r="D185" s="5" t="s">
        <v>478</v>
      </c>
      <c r="E185" s="5" t="s">
        <v>476</v>
      </c>
      <c r="F185" s="6">
        <v>3600</v>
      </c>
      <c r="G185" s="7">
        <f t="shared" si="6"/>
        <v>0.125</v>
      </c>
      <c r="H185" s="5" t="s">
        <v>34</v>
      </c>
      <c r="I185" s="5" t="s">
        <v>35</v>
      </c>
      <c r="J185" s="5" t="s">
        <v>36</v>
      </c>
      <c r="K185" s="5" t="s">
        <v>37</v>
      </c>
      <c r="L185" s="5" t="s">
        <v>38</v>
      </c>
      <c r="M185" s="5" t="s">
        <v>28</v>
      </c>
      <c r="N185" s="5" t="s">
        <v>29</v>
      </c>
      <c r="O185" s="6">
        <f>IFERROR(VLOOKUP(M185, '[1]08_CSDL_DAO_CU_VAT_LIEU'!$A$2:$F$64, 6, FALSE), 27500)</f>
        <v>27500</v>
      </c>
      <c r="P185" s="7">
        <v>1.68</v>
      </c>
      <c r="Q185" s="6">
        <f t="shared" si="7"/>
        <v>48125</v>
      </c>
      <c r="R185" s="6">
        <f>ROUND((F185/3600)*IFERROR(VLOOKUP(I185, '[1]02_DM_NHAN_SU_MAY'!$M$2:$Q$25, 5, FALSE), 39375), 0)</f>
        <v>39375</v>
      </c>
      <c r="S185" s="6">
        <v>0</v>
      </c>
      <c r="T185" s="6">
        <f t="shared" si="8"/>
        <v>87500</v>
      </c>
    </row>
    <row r="186" spans="1:20" x14ac:dyDescent="0.25">
      <c r="A186" s="2" t="s">
        <v>479</v>
      </c>
      <c r="B186" s="2">
        <v>185</v>
      </c>
      <c r="C186" s="2" t="s">
        <v>31</v>
      </c>
      <c r="D186" s="2" t="s">
        <v>480</v>
      </c>
      <c r="E186" s="2" t="s">
        <v>476</v>
      </c>
      <c r="F186" s="3">
        <v>3600</v>
      </c>
      <c r="G186" s="4">
        <f t="shared" si="6"/>
        <v>0.125</v>
      </c>
      <c r="H186" s="2" t="s">
        <v>34</v>
      </c>
      <c r="I186" s="2" t="s">
        <v>35</v>
      </c>
      <c r="J186" s="2" t="s">
        <v>36</v>
      </c>
      <c r="K186" s="2" t="s">
        <v>37</v>
      </c>
      <c r="L186" s="2" t="s">
        <v>38</v>
      </c>
      <c r="M186" s="2" t="s">
        <v>28</v>
      </c>
      <c r="N186" s="2" t="s">
        <v>29</v>
      </c>
      <c r="O186" s="3">
        <f>IFERROR(VLOOKUP(M186, '[1]08_CSDL_DAO_CU_VAT_LIEU'!$A$2:$F$64, 6, FALSE), 27500)</f>
        <v>27500</v>
      </c>
      <c r="P186" s="4">
        <v>1.68</v>
      </c>
      <c r="Q186" s="3">
        <f t="shared" si="7"/>
        <v>48125</v>
      </c>
      <c r="R186" s="3">
        <f>ROUND((F186/3600)*IFERROR(VLOOKUP(I186, '[1]02_DM_NHAN_SU_MAY'!$M$2:$Q$25, 5, FALSE), 39375), 0)</f>
        <v>39375</v>
      </c>
      <c r="S186" s="3">
        <v>0</v>
      </c>
      <c r="T186" s="3">
        <f t="shared" si="8"/>
        <v>87500</v>
      </c>
    </row>
    <row r="187" spans="1:20" x14ac:dyDescent="0.25">
      <c r="A187" s="5" t="s">
        <v>481</v>
      </c>
      <c r="B187" s="5">
        <v>186</v>
      </c>
      <c r="C187" s="5" t="s">
        <v>31</v>
      </c>
      <c r="D187" s="5" t="s">
        <v>482</v>
      </c>
      <c r="E187" s="5" t="s">
        <v>476</v>
      </c>
      <c r="F187" s="6">
        <v>3600</v>
      </c>
      <c r="G187" s="7">
        <f t="shared" si="6"/>
        <v>0.125</v>
      </c>
      <c r="H187" s="5" t="s">
        <v>34</v>
      </c>
      <c r="I187" s="5" t="s">
        <v>35</v>
      </c>
      <c r="J187" s="5" t="s">
        <v>36</v>
      </c>
      <c r="K187" s="5" t="s">
        <v>37</v>
      </c>
      <c r="L187" s="5" t="s">
        <v>38</v>
      </c>
      <c r="M187" s="5" t="s">
        <v>28</v>
      </c>
      <c r="N187" s="5" t="s">
        <v>29</v>
      </c>
      <c r="O187" s="6">
        <f>IFERROR(VLOOKUP(M187, '[1]08_CSDL_DAO_CU_VAT_LIEU'!$A$2:$F$64, 6, FALSE), 27500)</f>
        <v>27500</v>
      </c>
      <c r="P187" s="7">
        <v>1.68</v>
      </c>
      <c r="Q187" s="6">
        <f t="shared" si="7"/>
        <v>48125</v>
      </c>
      <c r="R187" s="6">
        <f>ROUND((F187/3600)*IFERROR(VLOOKUP(I187, '[1]02_DM_NHAN_SU_MAY'!$M$2:$Q$25, 5, FALSE), 39375), 0)</f>
        <v>39375</v>
      </c>
      <c r="S187" s="6">
        <v>0</v>
      </c>
      <c r="T187" s="6">
        <f t="shared" si="8"/>
        <v>87500</v>
      </c>
    </row>
    <row r="188" spans="1:20" x14ac:dyDescent="0.25">
      <c r="A188" s="2" t="s">
        <v>483</v>
      </c>
      <c r="B188" s="2">
        <v>187</v>
      </c>
      <c r="C188" s="2" t="s">
        <v>68</v>
      </c>
      <c r="D188" s="2" t="s">
        <v>484</v>
      </c>
      <c r="E188" s="2" t="s">
        <v>485</v>
      </c>
      <c r="F188" s="2">
        <v>180</v>
      </c>
      <c r="G188" s="4">
        <f t="shared" si="6"/>
        <v>6.3E-3</v>
      </c>
      <c r="H188" s="2">
        <v>1</v>
      </c>
      <c r="I188" s="2" t="s">
        <v>24</v>
      </c>
      <c r="J188" s="2" t="s">
        <v>97</v>
      </c>
      <c r="K188" s="2" t="s">
        <v>98</v>
      </c>
      <c r="L188" s="2" t="s">
        <v>109</v>
      </c>
      <c r="M188" s="2" t="s">
        <v>49</v>
      </c>
      <c r="N188" s="2" t="s">
        <v>50</v>
      </c>
      <c r="O188" s="3">
        <f>IFERROR(VLOOKUP(M188, '[1]08_CSDL_DAO_CU_VAT_LIEU'!$A$2:$F$64, 6, FALSE), 27500)</f>
        <v>20833.330000000002</v>
      </c>
      <c r="P188" s="4">
        <v>7.0000000000000007E-2</v>
      </c>
      <c r="Q188" s="3">
        <f t="shared" si="7"/>
        <v>2406</v>
      </c>
      <c r="R188" s="3">
        <f>ROUND((F188/3600)*IFERROR(VLOOKUP(I188, '[1]02_DM_NHAN_SU_MAY'!$M$2:$Q$25, 5, FALSE), 39375), 0)</f>
        <v>1969</v>
      </c>
      <c r="S188" s="3">
        <v>0</v>
      </c>
      <c r="T188" s="3">
        <f t="shared" si="8"/>
        <v>4375</v>
      </c>
    </row>
    <row r="189" spans="1:20" x14ac:dyDescent="0.25">
      <c r="A189" s="5" t="s">
        <v>486</v>
      </c>
      <c r="B189" s="5">
        <v>188</v>
      </c>
      <c r="C189" s="5" t="s">
        <v>68</v>
      </c>
      <c r="D189" s="5" t="s">
        <v>484</v>
      </c>
      <c r="E189" s="5" t="s">
        <v>487</v>
      </c>
      <c r="F189" s="5">
        <v>180</v>
      </c>
      <c r="G189" s="7">
        <f t="shared" si="6"/>
        <v>6.3E-3</v>
      </c>
      <c r="H189" s="5" t="s">
        <v>34</v>
      </c>
      <c r="I189" s="5" t="s">
        <v>24</v>
      </c>
      <c r="J189" s="5" t="s">
        <v>97</v>
      </c>
      <c r="K189" s="5" t="s">
        <v>98</v>
      </c>
      <c r="L189" s="5" t="s">
        <v>109</v>
      </c>
      <c r="M189" s="5" t="s">
        <v>49</v>
      </c>
      <c r="N189" s="5" t="s">
        <v>50</v>
      </c>
      <c r="O189" s="6">
        <f>IFERROR(VLOOKUP(M189, '[1]08_CSDL_DAO_CU_VAT_LIEU'!$A$2:$F$64, 6, FALSE), 27500)</f>
        <v>20833.330000000002</v>
      </c>
      <c r="P189" s="7">
        <v>7.0000000000000007E-2</v>
      </c>
      <c r="Q189" s="6">
        <f t="shared" si="7"/>
        <v>2406</v>
      </c>
      <c r="R189" s="6">
        <f>ROUND((F189/3600)*IFERROR(VLOOKUP(I189, '[1]02_DM_NHAN_SU_MAY'!$M$2:$Q$25, 5, FALSE), 39375), 0)</f>
        <v>1969</v>
      </c>
      <c r="S189" s="6">
        <v>0</v>
      </c>
      <c r="T189" s="6">
        <f t="shared" si="8"/>
        <v>4375</v>
      </c>
    </row>
    <row r="190" spans="1:20" x14ac:dyDescent="0.25">
      <c r="A190" s="2" t="s">
        <v>488</v>
      </c>
      <c r="B190" s="2">
        <v>189</v>
      </c>
      <c r="C190" s="2" t="s">
        <v>68</v>
      </c>
      <c r="D190" s="2" t="s">
        <v>489</v>
      </c>
      <c r="E190" s="2" t="s">
        <v>147</v>
      </c>
      <c r="F190" s="3">
        <v>14400</v>
      </c>
      <c r="G190" s="4">
        <f t="shared" si="6"/>
        <v>0.5</v>
      </c>
      <c r="H190" s="2" t="s">
        <v>34</v>
      </c>
      <c r="I190" s="2" t="s">
        <v>24</v>
      </c>
      <c r="J190" s="2" t="s">
        <v>97</v>
      </c>
      <c r="K190" s="2" t="s">
        <v>98</v>
      </c>
      <c r="L190" s="2" t="s">
        <v>109</v>
      </c>
      <c r="M190" s="2" t="s">
        <v>28</v>
      </c>
      <c r="N190" s="2" t="s">
        <v>29</v>
      </c>
      <c r="O190" s="3">
        <f>IFERROR(VLOOKUP(M190, '[1]08_CSDL_DAO_CU_VAT_LIEU'!$A$2:$F$64, 6, FALSE), 27500)</f>
        <v>27500</v>
      </c>
      <c r="P190" s="4">
        <v>5.6</v>
      </c>
      <c r="Q190" s="3">
        <f t="shared" si="7"/>
        <v>192500</v>
      </c>
      <c r="R190" s="3">
        <f>ROUND((F190/3600)*IFERROR(VLOOKUP(I190, '[1]02_DM_NHAN_SU_MAY'!$M$2:$Q$25, 5, FALSE), 39375), 0)</f>
        <v>157500</v>
      </c>
      <c r="S190" s="3">
        <v>0</v>
      </c>
      <c r="T190" s="3">
        <f t="shared" si="8"/>
        <v>350000</v>
      </c>
    </row>
    <row r="191" spans="1:20" x14ac:dyDescent="0.25">
      <c r="A191" s="5" t="s">
        <v>490</v>
      </c>
      <c r="B191" s="5">
        <v>190</v>
      </c>
      <c r="C191" s="5" t="s">
        <v>68</v>
      </c>
      <c r="D191" s="5" t="s">
        <v>491</v>
      </c>
      <c r="E191" s="5" t="s">
        <v>147</v>
      </c>
      <c r="F191" s="6">
        <v>43200</v>
      </c>
      <c r="G191" s="7">
        <f t="shared" si="6"/>
        <v>1.5</v>
      </c>
      <c r="H191" s="5" t="s">
        <v>34</v>
      </c>
      <c r="I191" s="5" t="s">
        <v>24</v>
      </c>
      <c r="J191" s="5" t="s">
        <v>97</v>
      </c>
      <c r="K191" s="5" t="s">
        <v>98</v>
      </c>
      <c r="L191" s="5" t="s">
        <v>109</v>
      </c>
      <c r="M191" s="5" t="s">
        <v>28</v>
      </c>
      <c r="N191" s="5" t="s">
        <v>29</v>
      </c>
      <c r="O191" s="6">
        <f>IFERROR(VLOOKUP(M191, '[1]08_CSDL_DAO_CU_VAT_LIEU'!$A$2:$F$64, 6, FALSE), 27500)</f>
        <v>27500</v>
      </c>
      <c r="P191" s="7">
        <v>16.8</v>
      </c>
      <c r="Q191" s="6">
        <f t="shared" si="7"/>
        <v>577500</v>
      </c>
      <c r="R191" s="6">
        <f>ROUND((F191/3600)*IFERROR(VLOOKUP(I191, '[1]02_DM_NHAN_SU_MAY'!$M$2:$Q$25, 5, FALSE), 39375), 0)</f>
        <v>472500</v>
      </c>
      <c r="S191" s="6">
        <v>0</v>
      </c>
      <c r="T191" s="6">
        <f t="shared" si="8"/>
        <v>1050000</v>
      </c>
    </row>
    <row r="192" spans="1:20" x14ac:dyDescent="0.25">
      <c r="A192" s="2" t="s">
        <v>492</v>
      </c>
      <c r="B192" s="2">
        <v>191</v>
      </c>
      <c r="C192" s="2" t="s">
        <v>68</v>
      </c>
      <c r="D192" s="2" t="s">
        <v>493</v>
      </c>
      <c r="E192" s="2" t="s">
        <v>147</v>
      </c>
      <c r="F192" s="3">
        <v>43200</v>
      </c>
      <c r="G192" s="4">
        <f t="shared" si="6"/>
        <v>1.5</v>
      </c>
      <c r="H192" s="2" t="s">
        <v>34</v>
      </c>
      <c r="I192" s="2" t="s">
        <v>24</v>
      </c>
      <c r="J192" s="2" t="s">
        <v>97</v>
      </c>
      <c r="K192" s="2" t="s">
        <v>98</v>
      </c>
      <c r="L192" s="2" t="s">
        <v>109</v>
      </c>
      <c r="M192" s="2" t="s">
        <v>28</v>
      </c>
      <c r="N192" s="2" t="s">
        <v>29</v>
      </c>
      <c r="O192" s="3">
        <f>IFERROR(VLOOKUP(M192, '[1]08_CSDL_DAO_CU_VAT_LIEU'!$A$2:$F$64, 6, FALSE), 27500)</f>
        <v>27500</v>
      </c>
      <c r="P192" s="4">
        <v>16.8</v>
      </c>
      <c r="Q192" s="3">
        <f t="shared" si="7"/>
        <v>577500</v>
      </c>
      <c r="R192" s="3">
        <f>ROUND((F192/3600)*IFERROR(VLOOKUP(I192, '[1]02_DM_NHAN_SU_MAY'!$M$2:$Q$25, 5, FALSE), 39375), 0)</f>
        <v>472500</v>
      </c>
      <c r="S192" s="3">
        <v>0</v>
      </c>
      <c r="T192" s="3">
        <f t="shared" si="8"/>
        <v>1050000</v>
      </c>
    </row>
    <row r="193" spans="1:20" x14ac:dyDescent="0.25">
      <c r="A193" s="5" t="s">
        <v>494</v>
      </c>
      <c r="B193" s="5">
        <v>192</v>
      </c>
      <c r="C193" s="5" t="s">
        <v>68</v>
      </c>
      <c r="D193" s="5" t="s">
        <v>495</v>
      </c>
      <c r="E193" s="5" t="s">
        <v>147</v>
      </c>
      <c r="F193" s="6">
        <v>43200</v>
      </c>
      <c r="G193" s="7">
        <f t="shared" si="6"/>
        <v>1.5</v>
      </c>
      <c r="H193" s="5" t="s">
        <v>34</v>
      </c>
      <c r="I193" s="5" t="s">
        <v>24</v>
      </c>
      <c r="J193" s="5" t="s">
        <v>97</v>
      </c>
      <c r="K193" s="5" t="s">
        <v>98</v>
      </c>
      <c r="L193" s="5" t="s">
        <v>109</v>
      </c>
      <c r="M193" s="5" t="s">
        <v>28</v>
      </c>
      <c r="N193" s="5" t="s">
        <v>29</v>
      </c>
      <c r="O193" s="6">
        <f>IFERROR(VLOOKUP(M193, '[1]08_CSDL_DAO_CU_VAT_LIEU'!$A$2:$F$64, 6, FALSE), 27500)</f>
        <v>27500</v>
      </c>
      <c r="P193" s="7">
        <v>16.8</v>
      </c>
      <c r="Q193" s="6">
        <f t="shared" si="7"/>
        <v>577500</v>
      </c>
      <c r="R193" s="6">
        <f>ROUND((F193/3600)*IFERROR(VLOOKUP(I193, '[1]02_DM_NHAN_SU_MAY'!$M$2:$Q$25, 5, FALSE), 39375), 0)</f>
        <v>472500</v>
      </c>
      <c r="S193" s="6">
        <v>0</v>
      </c>
      <c r="T193" s="6">
        <f t="shared" si="8"/>
        <v>1050000</v>
      </c>
    </row>
    <row r="194" spans="1:20" x14ac:dyDescent="0.25">
      <c r="A194" s="2" t="s">
        <v>496</v>
      </c>
      <c r="B194" s="2">
        <v>193</v>
      </c>
      <c r="C194" s="2" t="s">
        <v>68</v>
      </c>
      <c r="D194" s="2" t="s">
        <v>484</v>
      </c>
      <c r="E194" s="2" t="s">
        <v>497</v>
      </c>
      <c r="F194" s="3">
        <v>1200</v>
      </c>
      <c r="G194" s="4">
        <f t="shared" ref="G194:G257" si="9">ROUND(F194/28800, 4)</f>
        <v>4.1700000000000001E-2</v>
      </c>
      <c r="H194" s="2" t="s">
        <v>34</v>
      </c>
      <c r="I194" s="2" t="s">
        <v>24</v>
      </c>
      <c r="J194" s="2" t="s">
        <v>97</v>
      </c>
      <c r="K194" s="2" t="s">
        <v>98</v>
      </c>
      <c r="L194" s="2" t="s">
        <v>109</v>
      </c>
      <c r="M194" s="2" t="s">
        <v>49</v>
      </c>
      <c r="N194" s="2" t="s">
        <v>50</v>
      </c>
      <c r="O194" s="3">
        <f>IFERROR(VLOOKUP(M194, '[1]08_CSDL_DAO_CU_VAT_LIEU'!$A$2:$F$64, 6, FALSE), 27500)</f>
        <v>20833.330000000002</v>
      </c>
      <c r="P194" s="4">
        <v>0.47</v>
      </c>
      <c r="Q194" s="3">
        <f t="shared" ref="Q194:Q257" si="10">ROUND(F194*(385000/28800), 0)</f>
        <v>16042</v>
      </c>
      <c r="R194" s="3">
        <f>ROUND((F194/3600)*IFERROR(VLOOKUP(I194, '[1]02_DM_NHAN_SU_MAY'!$M$2:$Q$25, 5, FALSE), 39375), 0)</f>
        <v>13125</v>
      </c>
      <c r="S194" s="3">
        <v>0</v>
      </c>
      <c r="T194" s="3">
        <f t="shared" ref="T194:T257" si="11">Q194+R194</f>
        <v>29167</v>
      </c>
    </row>
    <row r="195" spans="1:20" x14ac:dyDescent="0.25">
      <c r="A195" s="5" t="s">
        <v>498</v>
      </c>
      <c r="B195" s="5">
        <v>194</v>
      </c>
      <c r="C195" s="5" t="s">
        <v>68</v>
      </c>
      <c r="D195" s="5" t="s">
        <v>499</v>
      </c>
      <c r="E195" s="5" t="s">
        <v>500</v>
      </c>
      <c r="F195" s="6">
        <v>1200</v>
      </c>
      <c r="G195" s="7">
        <f t="shared" si="9"/>
        <v>4.1700000000000001E-2</v>
      </c>
      <c r="H195" s="5" t="s">
        <v>34</v>
      </c>
      <c r="I195" s="5" t="s">
        <v>71</v>
      </c>
      <c r="J195" s="5" t="s">
        <v>238</v>
      </c>
      <c r="K195" s="5" t="s">
        <v>239</v>
      </c>
      <c r="L195" s="5" t="s">
        <v>240</v>
      </c>
      <c r="M195" s="5" t="s">
        <v>75</v>
      </c>
      <c r="N195" s="5" t="s">
        <v>76</v>
      </c>
      <c r="O195" s="6">
        <f>IFERROR(VLOOKUP(M195, '[1]08_CSDL_DAO_CU_VAT_LIEU'!$A$2:$F$64, 6, FALSE), 27500)</f>
        <v>42500</v>
      </c>
      <c r="P195" s="7">
        <v>0.47</v>
      </c>
      <c r="Q195" s="6">
        <f t="shared" si="10"/>
        <v>16042</v>
      </c>
      <c r="R195" s="6">
        <f>ROUND((F195/3600)*IFERROR(VLOOKUP(I195, '[1]02_DM_NHAN_SU_MAY'!$M$2:$Q$25, 5, FALSE), 39375), 0)</f>
        <v>8958</v>
      </c>
      <c r="S195" s="6">
        <v>0</v>
      </c>
      <c r="T195" s="6">
        <f t="shared" si="11"/>
        <v>25000</v>
      </c>
    </row>
    <row r="196" spans="1:20" x14ac:dyDescent="0.25">
      <c r="A196" s="2" t="s">
        <v>501</v>
      </c>
      <c r="B196" s="2">
        <v>195</v>
      </c>
      <c r="C196" s="2" t="s">
        <v>68</v>
      </c>
      <c r="D196" s="2" t="s">
        <v>502</v>
      </c>
      <c r="E196" s="2" t="s">
        <v>147</v>
      </c>
      <c r="F196" s="2">
        <v>180</v>
      </c>
      <c r="G196" s="4">
        <f t="shared" si="9"/>
        <v>6.3E-3</v>
      </c>
      <c r="H196" s="2" t="s">
        <v>34</v>
      </c>
      <c r="I196" s="2" t="s">
        <v>24</v>
      </c>
      <c r="J196" s="2" t="s">
        <v>238</v>
      </c>
      <c r="K196" s="2" t="s">
        <v>239</v>
      </c>
      <c r="L196" s="2" t="s">
        <v>285</v>
      </c>
      <c r="M196" s="2" t="s">
        <v>28</v>
      </c>
      <c r="N196" s="2" t="s">
        <v>29</v>
      </c>
      <c r="O196" s="3">
        <f>IFERROR(VLOOKUP(M196, '[1]08_CSDL_DAO_CU_VAT_LIEU'!$A$2:$F$64, 6, FALSE), 27500)</f>
        <v>27500</v>
      </c>
      <c r="P196" s="4">
        <v>7.0000000000000007E-2</v>
      </c>
      <c r="Q196" s="3">
        <f t="shared" si="10"/>
        <v>2406</v>
      </c>
      <c r="R196" s="3">
        <f>ROUND((F196/3600)*IFERROR(VLOOKUP(I196, '[1]02_DM_NHAN_SU_MAY'!$M$2:$Q$25, 5, FALSE), 39375), 0)</f>
        <v>1969</v>
      </c>
      <c r="S196" s="3">
        <v>0</v>
      </c>
      <c r="T196" s="3">
        <f t="shared" si="11"/>
        <v>4375</v>
      </c>
    </row>
    <row r="197" spans="1:20" x14ac:dyDescent="0.25">
      <c r="A197" s="5" t="s">
        <v>503</v>
      </c>
      <c r="B197" s="5">
        <v>196</v>
      </c>
      <c r="C197" s="5" t="s">
        <v>68</v>
      </c>
      <c r="D197" s="5" t="s">
        <v>504</v>
      </c>
      <c r="E197" s="5" t="s">
        <v>469</v>
      </c>
      <c r="F197" s="6">
        <v>5600</v>
      </c>
      <c r="G197" s="7">
        <f t="shared" si="9"/>
        <v>0.19439999999999999</v>
      </c>
      <c r="H197" s="5" t="s">
        <v>34</v>
      </c>
      <c r="I197" s="5" t="s">
        <v>24</v>
      </c>
      <c r="J197" s="5" t="s">
        <v>97</v>
      </c>
      <c r="K197" s="5" t="s">
        <v>98</v>
      </c>
      <c r="L197" s="5" t="s">
        <v>109</v>
      </c>
      <c r="M197" s="5" t="s">
        <v>28</v>
      </c>
      <c r="N197" s="5" t="s">
        <v>29</v>
      </c>
      <c r="O197" s="6">
        <f>IFERROR(VLOOKUP(M197, '[1]08_CSDL_DAO_CU_VAT_LIEU'!$A$2:$F$64, 6, FALSE), 27500)</f>
        <v>27500</v>
      </c>
      <c r="P197" s="7">
        <v>2.1800000000000002</v>
      </c>
      <c r="Q197" s="6">
        <f t="shared" si="10"/>
        <v>74861</v>
      </c>
      <c r="R197" s="6">
        <f>ROUND((F197/3600)*IFERROR(VLOOKUP(I197, '[1]02_DM_NHAN_SU_MAY'!$M$2:$Q$25, 5, FALSE), 39375), 0)</f>
        <v>61250</v>
      </c>
      <c r="S197" s="6">
        <v>0</v>
      </c>
      <c r="T197" s="6">
        <f t="shared" si="11"/>
        <v>136111</v>
      </c>
    </row>
    <row r="198" spans="1:20" x14ac:dyDescent="0.25">
      <c r="A198" s="2" t="s">
        <v>505</v>
      </c>
      <c r="B198" s="2">
        <v>197</v>
      </c>
      <c r="C198" s="2" t="s">
        <v>68</v>
      </c>
      <c r="D198" s="2" t="s">
        <v>506</v>
      </c>
      <c r="E198" s="2" t="s">
        <v>507</v>
      </c>
      <c r="F198" s="3">
        <v>14400</v>
      </c>
      <c r="G198" s="4">
        <f t="shared" si="9"/>
        <v>0.5</v>
      </c>
      <c r="H198" s="2">
        <v>1</v>
      </c>
      <c r="I198" s="2" t="s">
        <v>24</v>
      </c>
      <c r="J198" s="2" t="s">
        <v>72</v>
      </c>
      <c r="K198" s="2" t="s">
        <v>73</v>
      </c>
      <c r="L198" s="2" t="s">
        <v>508</v>
      </c>
      <c r="M198" s="2" t="s">
        <v>28</v>
      </c>
      <c r="N198" s="2" t="s">
        <v>29</v>
      </c>
      <c r="O198" s="3">
        <f>IFERROR(VLOOKUP(M198, '[1]08_CSDL_DAO_CU_VAT_LIEU'!$A$2:$F$64, 6, FALSE), 27500)</f>
        <v>27500</v>
      </c>
      <c r="P198" s="4">
        <v>5.6</v>
      </c>
      <c r="Q198" s="3">
        <f t="shared" si="10"/>
        <v>192500</v>
      </c>
      <c r="R198" s="3">
        <f>ROUND((F198/3600)*IFERROR(VLOOKUP(I198, '[1]02_DM_NHAN_SU_MAY'!$M$2:$Q$25, 5, FALSE), 39375), 0)</f>
        <v>157500</v>
      </c>
      <c r="S198" s="3">
        <v>0</v>
      </c>
      <c r="T198" s="3">
        <f t="shared" si="11"/>
        <v>350000</v>
      </c>
    </row>
    <row r="199" spans="1:20" x14ac:dyDescent="0.25">
      <c r="A199" s="5" t="s">
        <v>509</v>
      </c>
      <c r="B199" s="5">
        <v>198</v>
      </c>
      <c r="C199" s="5" t="s">
        <v>68</v>
      </c>
      <c r="D199" s="5" t="s">
        <v>506</v>
      </c>
      <c r="E199" s="5" t="s">
        <v>510</v>
      </c>
      <c r="F199" s="6">
        <v>3600</v>
      </c>
      <c r="G199" s="7">
        <f t="shared" si="9"/>
        <v>0.125</v>
      </c>
      <c r="H199" s="5">
        <v>2</v>
      </c>
      <c r="I199" s="5" t="s">
        <v>71</v>
      </c>
      <c r="J199" s="5" t="s">
        <v>72</v>
      </c>
      <c r="K199" s="5" t="s">
        <v>73</v>
      </c>
      <c r="L199" s="5" t="s">
        <v>74</v>
      </c>
      <c r="M199" s="5" t="s">
        <v>75</v>
      </c>
      <c r="N199" s="5" t="s">
        <v>76</v>
      </c>
      <c r="O199" s="6">
        <f>IFERROR(VLOOKUP(M199, '[1]08_CSDL_DAO_CU_VAT_LIEU'!$A$2:$F$64, 6, FALSE), 27500)</f>
        <v>42500</v>
      </c>
      <c r="P199" s="7">
        <v>1.4</v>
      </c>
      <c r="Q199" s="6">
        <f t="shared" si="10"/>
        <v>48125</v>
      </c>
      <c r="R199" s="6">
        <f>ROUND((F199/3600)*IFERROR(VLOOKUP(I199, '[1]02_DM_NHAN_SU_MAY'!$M$2:$Q$25, 5, FALSE), 39375), 0)</f>
        <v>26875</v>
      </c>
      <c r="S199" s="6">
        <v>0</v>
      </c>
      <c r="T199" s="6">
        <f t="shared" si="11"/>
        <v>75000</v>
      </c>
    </row>
    <row r="200" spans="1:20" x14ac:dyDescent="0.25">
      <c r="A200" s="2" t="s">
        <v>511</v>
      </c>
      <c r="B200" s="2">
        <v>199</v>
      </c>
      <c r="C200" s="2" t="s">
        <v>68</v>
      </c>
      <c r="D200" s="2" t="s">
        <v>506</v>
      </c>
      <c r="E200" s="2" t="s">
        <v>512</v>
      </c>
      <c r="F200" s="2">
        <v>900</v>
      </c>
      <c r="G200" s="4">
        <f t="shared" si="9"/>
        <v>3.1300000000000001E-2</v>
      </c>
      <c r="H200" s="2">
        <v>3</v>
      </c>
      <c r="I200" s="2" t="s">
        <v>90</v>
      </c>
      <c r="J200" s="2" t="s">
        <v>72</v>
      </c>
      <c r="K200" s="2" t="s">
        <v>73</v>
      </c>
      <c r="L200" s="2" t="s">
        <v>91</v>
      </c>
      <c r="M200" s="2" t="s">
        <v>513</v>
      </c>
      <c r="N200" s="2" t="s">
        <v>514</v>
      </c>
      <c r="O200" s="3">
        <f>IFERROR(VLOOKUP(M200, '[1]08_CSDL_DAO_CU_VAT_LIEU'!$A$2:$F$64, 6, FALSE), 27500)</f>
        <v>480000</v>
      </c>
      <c r="P200" s="4">
        <v>0.35</v>
      </c>
      <c r="Q200" s="3">
        <f t="shared" si="10"/>
        <v>12031</v>
      </c>
      <c r="R200" s="3">
        <f>ROUND((F200/3600)*IFERROR(VLOOKUP(I200, '[1]02_DM_NHAN_SU_MAY'!$M$2:$Q$25, 5, FALSE), 39375), 0)</f>
        <v>6719</v>
      </c>
      <c r="S200" s="3">
        <v>0</v>
      </c>
      <c r="T200" s="3">
        <f t="shared" si="11"/>
        <v>18750</v>
      </c>
    </row>
    <row r="201" spans="1:20" x14ac:dyDescent="0.25">
      <c r="A201" s="5" t="s">
        <v>515</v>
      </c>
      <c r="B201" s="5">
        <v>200</v>
      </c>
      <c r="C201" s="5" t="s">
        <v>68</v>
      </c>
      <c r="D201" s="5" t="s">
        <v>516</v>
      </c>
      <c r="E201" s="5" t="s">
        <v>517</v>
      </c>
      <c r="F201" s="6">
        <v>21600</v>
      </c>
      <c r="G201" s="7">
        <f t="shared" si="9"/>
        <v>0.75</v>
      </c>
      <c r="H201" s="5">
        <v>1</v>
      </c>
      <c r="I201" s="5" t="s">
        <v>71</v>
      </c>
      <c r="J201" s="5" t="s">
        <v>72</v>
      </c>
      <c r="K201" s="5" t="s">
        <v>73</v>
      </c>
      <c r="L201" s="5" t="s">
        <v>74</v>
      </c>
      <c r="M201" s="5" t="s">
        <v>75</v>
      </c>
      <c r="N201" s="5" t="s">
        <v>76</v>
      </c>
      <c r="O201" s="6">
        <f>IFERROR(VLOOKUP(M201, '[1]08_CSDL_DAO_CU_VAT_LIEU'!$A$2:$F$64, 6, FALSE), 27500)</f>
        <v>42500</v>
      </c>
      <c r="P201" s="7">
        <v>8.4</v>
      </c>
      <c r="Q201" s="6">
        <f t="shared" si="10"/>
        <v>288750</v>
      </c>
      <c r="R201" s="6">
        <f>ROUND((F201/3600)*IFERROR(VLOOKUP(I201, '[1]02_DM_NHAN_SU_MAY'!$M$2:$Q$25, 5, FALSE), 39375), 0)</f>
        <v>161250</v>
      </c>
      <c r="S201" s="6">
        <v>0</v>
      </c>
      <c r="T201" s="6">
        <f t="shared" si="11"/>
        <v>450000</v>
      </c>
    </row>
    <row r="202" spans="1:20" x14ac:dyDescent="0.25">
      <c r="A202" s="2" t="s">
        <v>518</v>
      </c>
      <c r="B202" s="2">
        <v>201</v>
      </c>
      <c r="C202" s="2" t="s">
        <v>68</v>
      </c>
      <c r="D202" s="2" t="s">
        <v>516</v>
      </c>
      <c r="E202" s="2" t="s">
        <v>519</v>
      </c>
      <c r="F202" s="3">
        <v>21600</v>
      </c>
      <c r="G202" s="4">
        <f t="shared" si="9"/>
        <v>0.75</v>
      </c>
      <c r="H202" s="2">
        <v>2</v>
      </c>
      <c r="I202" s="2" t="s">
        <v>71</v>
      </c>
      <c r="J202" s="2" t="s">
        <v>72</v>
      </c>
      <c r="K202" s="2" t="s">
        <v>73</v>
      </c>
      <c r="L202" s="2" t="s">
        <v>74</v>
      </c>
      <c r="M202" s="2" t="s">
        <v>75</v>
      </c>
      <c r="N202" s="2" t="s">
        <v>76</v>
      </c>
      <c r="O202" s="3">
        <f>IFERROR(VLOOKUP(M202, '[1]08_CSDL_DAO_CU_VAT_LIEU'!$A$2:$F$64, 6, FALSE), 27500)</f>
        <v>42500</v>
      </c>
      <c r="P202" s="4">
        <v>8.4</v>
      </c>
      <c r="Q202" s="3">
        <f t="shared" si="10"/>
        <v>288750</v>
      </c>
      <c r="R202" s="3">
        <f>ROUND((F202/3600)*IFERROR(VLOOKUP(I202, '[1]02_DM_NHAN_SU_MAY'!$M$2:$Q$25, 5, FALSE), 39375), 0)</f>
        <v>161250</v>
      </c>
      <c r="S202" s="3">
        <v>0</v>
      </c>
      <c r="T202" s="3">
        <f t="shared" si="11"/>
        <v>450000</v>
      </c>
    </row>
    <row r="203" spans="1:20" x14ac:dyDescent="0.25">
      <c r="A203" s="5" t="s">
        <v>520</v>
      </c>
      <c r="B203" s="5">
        <v>202</v>
      </c>
      <c r="C203" s="5" t="s">
        <v>68</v>
      </c>
      <c r="D203" s="5" t="s">
        <v>521</v>
      </c>
      <c r="E203" s="5" t="s">
        <v>522</v>
      </c>
      <c r="F203" s="6">
        <v>1980</v>
      </c>
      <c r="G203" s="7">
        <f t="shared" si="9"/>
        <v>6.88E-2</v>
      </c>
      <c r="H203" s="5" t="s">
        <v>34</v>
      </c>
      <c r="I203" s="5" t="s">
        <v>24</v>
      </c>
      <c r="J203" s="5" t="s">
        <v>238</v>
      </c>
      <c r="K203" s="5" t="s">
        <v>239</v>
      </c>
      <c r="L203" s="5" t="s">
        <v>285</v>
      </c>
      <c r="M203" s="5" t="s">
        <v>28</v>
      </c>
      <c r="N203" s="5" t="s">
        <v>29</v>
      </c>
      <c r="O203" s="6">
        <f>IFERROR(VLOOKUP(M203, '[1]08_CSDL_DAO_CU_VAT_LIEU'!$A$2:$F$64, 6, FALSE), 27500)</f>
        <v>27500</v>
      </c>
      <c r="P203" s="7">
        <v>0.77</v>
      </c>
      <c r="Q203" s="6">
        <f t="shared" si="10"/>
        <v>26469</v>
      </c>
      <c r="R203" s="6">
        <f>ROUND((F203/3600)*IFERROR(VLOOKUP(I203, '[1]02_DM_NHAN_SU_MAY'!$M$2:$Q$25, 5, FALSE), 39375), 0)</f>
        <v>21656</v>
      </c>
      <c r="S203" s="6">
        <v>0</v>
      </c>
      <c r="T203" s="6">
        <f t="shared" si="11"/>
        <v>48125</v>
      </c>
    </row>
    <row r="204" spans="1:20" x14ac:dyDescent="0.25">
      <c r="A204" s="2" t="s">
        <v>523</v>
      </c>
      <c r="B204" s="2">
        <v>203</v>
      </c>
      <c r="C204" s="2" t="s">
        <v>68</v>
      </c>
      <c r="D204" s="2" t="s">
        <v>521</v>
      </c>
      <c r="E204" s="2" t="s">
        <v>524</v>
      </c>
      <c r="F204" s="2">
        <v>300</v>
      </c>
      <c r="G204" s="4">
        <f t="shared" si="9"/>
        <v>1.04E-2</v>
      </c>
      <c r="H204" s="2" t="s">
        <v>34</v>
      </c>
      <c r="I204" s="2" t="s">
        <v>24</v>
      </c>
      <c r="J204" s="2" t="s">
        <v>238</v>
      </c>
      <c r="K204" s="2" t="s">
        <v>239</v>
      </c>
      <c r="L204" s="2" t="s">
        <v>285</v>
      </c>
      <c r="M204" s="2" t="s">
        <v>28</v>
      </c>
      <c r="N204" s="2" t="s">
        <v>29</v>
      </c>
      <c r="O204" s="3">
        <f>IFERROR(VLOOKUP(M204, '[1]08_CSDL_DAO_CU_VAT_LIEU'!$A$2:$F$64, 6, FALSE), 27500)</f>
        <v>27500</v>
      </c>
      <c r="P204" s="4">
        <v>0.12</v>
      </c>
      <c r="Q204" s="3">
        <f t="shared" si="10"/>
        <v>4010</v>
      </c>
      <c r="R204" s="3">
        <f>ROUND((F204/3600)*IFERROR(VLOOKUP(I204, '[1]02_DM_NHAN_SU_MAY'!$M$2:$Q$25, 5, FALSE), 39375), 0)</f>
        <v>3281</v>
      </c>
      <c r="S204" s="3">
        <v>0</v>
      </c>
      <c r="T204" s="3">
        <f t="shared" si="11"/>
        <v>7291</v>
      </c>
    </row>
    <row r="205" spans="1:20" x14ac:dyDescent="0.25">
      <c r="A205" s="5" t="s">
        <v>525</v>
      </c>
      <c r="B205" s="5">
        <v>204</v>
      </c>
      <c r="C205" s="5" t="s">
        <v>149</v>
      </c>
      <c r="D205" s="5" t="s">
        <v>526</v>
      </c>
      <c r="E205" s="5" t="s">
        <v>527</v>
      </c>
      <c r="F205" s="6">
        <v>1200</v>
      </c>
      <c r="G205" s="7">
        <f t="shared" si="9"/>
        <v>4.1700000000000001E-2</v>
      </c>
      <c r="H205" s="5" t="s">
        <v>34</v>
      </c>
      <c r="I205" s="5" t="s">
        <v>151</v>
      </c>
      <c r="J205" s="5" t="s">
        <v>36</v>
      </c>
      <c r="K205" s="5" t="s">
        <v>37</v>
      </c>
      <c r="L205" s="5" t="s">
        <v>38</v>
      </c>
      <c r="M205" s="5" t="s">
        <v>49</v>
      </c>
      <c r="N205" s="5" t="s">
        <v>50</v>
      </c>
      <c r="O205" s="6">
        <f>IFERROR(VLOOKUP(M205, '[1]08_CSDL_DAO_CU_VAT_LIEU'!$A$2:$F$64, 6, FALSE), 27500)</f>
        <v>20833.330000000002</v>
      </c>
      <c r="P205" s="7">
        <v>0.56000000000000005</v>
      </c>
      <c r="Q205" s="6">
        <f t="shared" si="10"/>
        <v>16042</v>
      </c>
      <c r="R205" s="6">
        <f>ROUND((F205/3600)*IFERROR(VLOOKUP(I205, '[1]02_DM_NHAN_SU_MAY'!$M$2:$Q$25, 5, FALSE), 39375), 0)</f>
        <v>13125</v>
      </c>
      <c r="S205" s="6">
        <v>0</v>
      </c>
      <c r="T205" s="6">
        <f t="shared" si="11"/>
        <v>29167</v>
      </c>
    </row>
    <row r="206" spans="1:20" x14ac:dyDescent="0.25">
      <c r="A206" s="2" t="s">
        <v>528</v>
      </c>
      <c r="B206" s="2">
        <v>205</v>
      </c>
      <c r="C206" s="2" t="s">
        <v>149</v>
      </c>
      <c r="D206" s="2" t="s">
        <v>529</v>
      </c>
      <c r="E206" s="2" t="s">
        <v>527</v>
      </c>
      <c r="F206" s="2">
        <v>576</v>
      </c>
      <c r="G206" s="4">
        <f t="shared" si="9"/>
        <v>0.02</v>
      </c>
      <c r="H206" s="2" t="s">
        <v>34</v>
      </c>
      <c r="I206" s="2" t="s">
        <v>151</v>
      </c>
      <c r="J206" s="2" t="s">
        <v>36</v>
      </c>
      <c r="K206" s="2" t="s">
        <v>37</v>
      </c>
      <c r="L206" s="2" t="s">
        <v>38</v>
      </c>
      <c r="M206" s="2" t="s">
        <v>49</v>
      </c>
      <c r="N206" s="2" t="s">
        <v>50</v>
      </c>
      <c r="O206" s="3">
        <f>IFERROR(VLOOKUP(M206, '[1]08_CSDL_DAO_CU_VAT_LIEU'!$A$2:$F$64, 6, FALSE), 27500)</f>
        <v>20833.330000000002</v>
      </c>
      <c r="P206" s="4">
        <v>0.27</v>
      </c>
      <c r="Q206" s="3">
        <f t="shared" si="10"/>
        <v>7700</v>
      </c>
      <c r="R206" s="3">
        <f>ROUND((F206/3600)*IFERROR(VLOOKUP(I206, '[1]02_DM_NHAN_SU_MAY'!$M$2:$Q$25, 5, FALSE), 39375), 0)</f>
        <v>6300</v>
      </c>
      <c r="S206" s="3">
        <v>0</v>
      </c>
      <c r="T206" s="3">
        <f t="shared" si="11"/>
        <v>14000</v>
      </c>
    </row>
    <row r="207" spans="1:20" x14ac:dyDescent="0.25">
      <c r="A207" s="5" t="s">
        <v>530</v>
      </c>
      <c r="B207" s="5">
        <v>206</v>
      </c>
      <c r="C207" s="5" t="s">
        <v>149</v>
      </c>
      <c r="D207" s="5" t="s">
        <v>531</v>
      </c>
      <c r="E207" s="5" t="s">
        <v>527</v>
      </c>
      <c r="F207" s="6">
        <v>3600</v>
      </c>
      <c r="G207" s="7">
        <f t="shared" si="9"/>
        <v>0.125</v>
      </c>
      <c r="H207" s="5" t="s">
        <v>34</v>
      </c>
      <c r="I207" s="5" t="s">
        <v>151</v>
      </c>
      <c r="J207" s="5" t="s">
        <v>36</v>
      </c>
      <c r="K207" s="5" t="s">
        <v>37</v>
      </c>
      <c r="L207" s="5" t="s">
        <v>38</v>
      </c>
      <c r="M207" s="5" t="s">
        <v>49</v>
      </c>
      <c r="N207" s="5" t="s">
        <v>50</v>
      </c>
      <c r="O207" s="6">
        <f>IFERROR(VLOOKUP(M207, '[1]08_CSDL_DAO_CU_VAT_LIEU'!$A$2:$F$64, 6, FALSE), 27500)</f>
        <v>20833.330000000002</v>
      </c>
      <c r="P207" s="7">
        <v>1.68</v>
      </c>
      <c r="Q207" s="6">
        <f t="shared" si="10"/>
        <v>48125</v>
      </c>
      <c r="R207" s="6">
        <f>ROUND((F207/3600)*IFERROR(VLOOKUP(I207, '[1]02_DM_NHAN_SU_MAY'!$M$2:$Q$25, 5, FALSE), 39375), 0)</f>
        <v>39375</v>
      </c>
      <c r="S207" s="6">
        <v>0</v>
      </c>
      <c r="T207" s="6">
        <f t="shared" si="11"/>
        <v>87500</v>
      </c>
    </row>
    <row r="208" spans="1:20" x14ac:dyDescent="0.25">
      <c r="A208" s="2" t="s">
        <v>532</v>
      </c>
      <c r="B208" s="2">
        <v>207</v>
      </c>
      <c r="C208" s="2" t="s">
        <v>149</v>
      </c>
      <c r="D208" s="2" t="s">
        <v>533</v>
      </c>
      <c r="E208" s="2" t="s">
        <v>527</v>
      </c>
      <c r="F208" s="3">
        <v>3600</v>
      </c>
      <c r="G208" s="4">
        <f t="shared" si="9"/>
        <v>0.125</v>
      </c>
      <c r="H208" s="2" t="s">
        <v>34</v>
      </c>
      <c r="I208" s="2" t="s">
        <v>151</v>
      </c>
      <c r="J208" s="2" t="s">
        <v>36</v>
      </c>
      <c r="K208" s="2" t="s">
        <v>37</v>
      </c>
      <c r="L208" s="2" t="s">
        <v>38</v>
      </c>
      <c r="M208" s="2" t="s">
        <v>49</v>
      </c>
      <c r="N208" s="2" t="s">
        <v>50</v>
      </c>
      <c r="O208" s="3">
        <f>IFERROR(VLOOKUP(M208, '[1]08_CSDL_DAO_CU_VAT_LIEU'!$A$2:$F$64, 6, FALSE), 27500)</f>
        <v>20833.330000000002</v>
      </c>
      <c r="P208" s="4">
        <v>1.68</v>
      </c>
      <c r="Q208" s="3">
        <f t="shared" si="10"/>
        <v>48125</v>
      </c>
      <c r="R208" s="3">
        <f>ROUND((F208/3600)*IFERROR(VLOOKUP(I208, '[1]02_DM_NHAN_SU_MAY'!$M$2:$Q$25, 5, FALSE), 39375), 0)</f>
        <v>39375</v>
      </c>
      <c r="S208" s="3">
        <v>0</v>
      </c>
      <c r="T208" s="3">
        <f t="shared" si="11"/>
        <v>87500</v>
      </c>
    </row>
    <row r="209" spans="1:20" x14ac:dyDescent="0.25">
      <c r="A209" s="5" t="s">
        <v>534</v>
      </c>
      <c r="B209" s="5">
        <v>208</v>
      </c>
      <c r="C209" s="5" t="s">
        <v>149</v>
      </c>
      <c r="D209" s="5" t="s">
        <v>535</v>
      </c>
      <c r="E209" s="5" t="s">
        <v>527</v>
      </c>
      <c r="F209" s="6">
        <v>3600</v>
      </c>
      <c r="G209" s="7">
        <f t="shared" si="9"/>
        <v>0.125</v>
      </c>
      <c r="H209" s="5" t="s">
        <v>34</v>
      </c>
      <c r="I209" s="5" t="s">
        <v>151</v>
      </c>
      <c r="J209" s="5" t="s">
        <v>36</v>
      </c>
      <c r="K209" s="5" t="s">
        <v>37</v>
      </c>
      <c r="L209" s="5" t="s">
        <v>38</v>
      </c>
      <c r="M209" s="5" t="s">
        <v>49</v>
      </c>
      <c r="N209" s="5" t="s">
        <v>50</v>
      </c>
      <c r="O209" s="6">
        <f>IFERROR(VLOOKUP(M209, '[1]08_CSDL_DAO_CU_VAT_LIEU'!$A$2:$F$64, 6, FALSE), 27500)</f>
        <v>20833.330000000002</v>
      </c>
      <c r="P209" s="7">
        <v>1.68</v>
      </c>
      <c r="Q209" s="6">
        <f t="shared" si="10"/>
        <v>48125</v>
      </c>
      <c r="R209" s="6">
        <f>ROUND((F209/3600)*IFERROR(VLOOKUP(I209, '[1]02_DM_NHAN_SU_MAY'!$M$2:$Q$25, 5, FALSE), 39375), 0)</f>
        <v>39375</v>
      </c>
      <c r="S209" s="6">
        <v>0</v>
      </c>
      <c r="T209" s="6">
        <f t="shared" si="11"/>
        <v>87500</v>
      </c>
    </row>
    <row r="210" spans="1:20" x14ac:dyDescent="0.25">
      <c r="A210" s="2" t="s">
        <v>536</v>
      </c>
      <c r="B210" s="2">
        <v>209</v>
      </c>
      <c r="C210" s="2" t="s">
        <v>149</v>
      </c>
      <c r="D210" s="2" t="s">
        <v>537</v>
      </c>
      <c r="E210" s="2" t="s">
        <v>527</v>
      </c>
      <c r="F210" s="3">
        <v>1515</v>
      </c>
      <c r="G210" s="4">
        <f t="shared" si="9"/>
        <v>5.2600000000000001E-2</v>
      </c>
      <c r="H210" s="2" t="s">
        <v>34</v>
      </c>
      <c r="I210" s="2" t="s">
        <v>151</v>
      </c>
      <c r="J210" s="2" t="s">
        <v>36</v>
      </c>
      <c r="K210" s="2" t="s">
        <v>37</v>
      </c>
      <c r="L210" s="2" t="s">
        <v>38</v>
      </c>
      <c r="M210" s="2" t="s">
        <v>49</v>
      </c>
      <c r="N210" s="2" t="s">
        <v>50</v>
      </c>
      <c r="O210" s="3">
        <f>IFERROR(VLOOKUP(M210, '[1]08_CSDL_DAO_CU_VAT_LIEU'!$A$2:$F$64, 6, FALSE), 27500)</f>
        <v>20833.330000000002</v>
      </c>
      <c r="P210" s="4">
        <v>0.71</v>
      </c>
      <c r="Q210" s="3">
        <f t="shared" si="10"/>
        <v>20253</v>
      </c>
      <c r="R210" s="3">
        <f>ROUND((F210/3600)*IFERROR(VLOOKUP(I210, '[1]02_DM_NHAN_SU_MAY'!$M$2:$Q$25, 5, FALSE), 39375), 0)</f>
        <v>16570</v>
      </c>
      <c r="S210" s="3">
        <v>0</v>
      </c>
      <c r="T210" s="3">
        <f t="shared" si="11"/>
        <v>36823</v>
      </c>
    </row>
    <row r="211" spans="1:20" x14ac:dyDescent="0.25">
      <c r="A211" s="5" t="s">
        <v>538</v>
      </c>
      <c r="B211" s="5">
        <v>210</v>
      </c>
      <c r="C211" s="5" t="s">
        <v>149</v>
      </c>
      <c r="D211" s="5" t="s">
        <v>539</v>
      </c>
      <c r="E211" s="5" t="s">
        <v>527</v>
      </c>
      <c r="F211" s="6">
        <v>1515</v>
      </c>
      <c r="G211" s="7">
        <f t="shared" si="9"/>
        <v>5.2600000000000001E-2</v>
      </c>
      <c r="H211" s="5" t="s">
        <v>34</v>
      </c>
      <c r="I211" s="5" t="s">
        <v>151</v>
      </c>
      <c r="J211" s="5" t="s">
        <v>36</v>
      </c>
      <c r="K211" s="5" t="s">
        <v>37</v>
      </c>
      <c r="L211" s="5" t="s">
        <v>38</v>
      </c>
      <c r="M211" s="5" t="s">
        <v>49</v>
      </c>
      <c r="N211" s="5" t="s">
        <v>50</v>
      </c>
      <c r="O211" s="6">
        <f>IFERROR(VLOOKUP(M211, '[1]08_CSDL_DAO_CU_VAT_LIEU'!$A$2:$F$64, 6, FALSE), 27500)</f>
        <v>20833.330000000002</v>
      </c>
      <c r="P211" s="7">
        <v>0.71</v>
      </c>
      <c r="Q211" s="6">
        <f t="shared" si="10"/>
        <v>20253</v>
      </c>
      <c r="R211" s="6">
        <f>ROUND((F211/3600)*IFERROR(VLOOKUP(I211, '[1]02_DM_NHAN_SU_MAY'!$M$2:$Q$25, 5, FALSE), 39375), 0)</f>
        <v>16570</v>
      </c>
      <c r="S211" s="6">
        <v>0</v>
      </c>
      <c r="T211" s="6">
        <f t="shared" si="11"/>
        <v>36823</v>
      </c>
    </row>
    <row r="212" spans="1:20" x14ac:dyDescent="0.25">
      <c r="A212" s="2" t="s">
        <v>540</v>
      </c>
      <c r="B212" s="2">
        <v>211</v>
      </c>
      <c r="C212" s="2" t="s">
        <v>149</v>
      </c>
      <c r="D212" s="2" t="s">
        <v>541</v>
      </c>
      <c r="E212" s="2" t="s">
        <v>527</v>
      </c>
      <c r="F212" s="3">
        <v>3600</v>
      </c>
      <c r="G212" s="4">
        <f t="shared" si="9"/>
        <v>0.125</v>
      </c>
      <c r="H212" s="2" t="s">
        <v>34</v>
      </c>
      <c r="I212" s="2" t="s">
        <v>151</v>
      </c>
      <c r="J212" s="2" t="s">
        <v>36</v>
      </c>
      <c r="K212" s="2" t="s">
        <v>37</v>
      </c>
      <c r="L212" s="2" t="s">
        <v>38</v>
      </c>
      <c r="M212" s="2" t="s">
        <v>49</v>
      </c>
      <c r="N212" s="2" t="s">
        <v>50</v>
      </c>
      <c r="O212" s="3">
        <f>IFERROR(VLOOKUP(M212, '[1]08_CSDL_DAO_CU_VAT_LIEU'!$A$2:$F$64, 6, FALSE), 27500)</f>
        <v>20833.330000000002</v>
      </c>
      <c r="P212" s="4">
        <v>1.68</v>
      </c>
      <c r="Q212" s="3">
        <f t="shared" si="10"/>
        <v>48125</v>
      </c>
      <c r="R212" s="3">
        <f>ROUND((F212/3600)*IFERROR(VLOOKUP(I212, '[1]02_DM_NHAN_SU_MAY'!$M$2:$Q$25, 5, FALSE), 39375), 0)</f>
        <v>39375</v>
      </c>
      <c r="S212" s="3">
        <v>0</v>
      </c>
      <c r="T212" s="3">
        <f t="shared" si="11"/>
        <v>87500</v>
      </c>
    </row>
    <row r="213" spans="1:20" x14ac:dyDescent="0.25">
      <c r="A213" s="5" t="s">
        <v>542</v>
      </c>
      <c r="B213" s="5">
        <v>212</v>
      </c>
      <c r="C213" s="5" t="s">
        <v>149</v>
      </c>
      <c r="D213" s="5" t="s">
        <v>535</v>
      </c>
      <c r="E213" s="5" t="s">
        <v>527</v>
      </c>
      <c r="F213" s="6">
        <v>3600</v>
      </c>
      <c r="G213" s="7">
        <f t="shared" si="9"/>
        <v>0.125</v>
      </c>
      <c r="H213" s="5" t="s">
        <v>34</v>
      </c>
      <c r="I213" s="5" t="s">
        <v>151</v>
      </c>
      <c r="J213" s="5" t="s">
        <v>36</v>
      </c>
      <c r="K213" s="5" t="s">
        <v>37</v>
      </c>
      <c r="L213" s="5" t="s">
        <v>38</v>
      </c>
      <c r="M213" s="5" t="s">
        <v>49</v>
      </c>
      <c r="N213" s="5" t="s">
        <v>50</v>
      </c>
      <c r="O213" s="6">
        <f>IFERROR(VLOOKUP(M213, '[1]08_CSDL_DAO_CU_VAT_LIEU'!$A$2:$F$64, 6, FALSE), 27500)</f>
        <v>20833.330000000002</v>
      </c>
      <c r="P213" s="7">
        <v>1.68</v>
      </c>
      <c r="Q213" s="6">
        <f t="shared" si="10"/>
        <v>48125</v>
      </c>
      <c r="R213" s="6">
        <f>ROUND((F213/3600)*IFERROR(VLOOKUP(I213, '[1]02_DM_NHAN_SU_MAY'!$M$2:$Q$25, 5, FALSE), 39375), 0)</f>
        <v>39375</v>
      </c>
      <c r="S213" s="6">
        <v>0</v>
      </c>
      <c r="T213" s="6">
        <f t="shared" si="11"/>
        <v>87500</v>
      </c>
    </row>
    <row r="214" spans="1:20" x14ac:dyDescent="0.25">
      <c r="A214" s="2" t="s">
        <v>543</v>
      </c>
      <c r="B214" s="2">
        <v>213</v>
      </c>
      <c r="C214" s="2" t="s">
        <v>149</v>
      </c>
      <c r="D214" s="2" t="s">
        <v>544</v>
      </c>
      <c r="E214" s="2" t="s">
        <v>527</v>
      </c>
      <c r="F214" s="3">
        <v>4114</v>
      </c>
      <c r="G214" s="4">
        <f t="shared" si="9"/>
        <v>0.14280000000000001</v>
      </c>
      <c r="H214" s="2" t="s">
        <v>34</v>
      </c>
      <c r="I214" s="2" t="s">
        <v>151</v>
      </c>
      <c r="J214" s="2" t="s">
        <v>36</v>
      </c>
      <c r="K214" s="2" t="s">
        <v>37</v>
      </c>
      <c r="L214" s="2" t="s">
        <v>38</v>
      </c>
      <c r="M214" s="2" t="s">
        <v>49</v>
      </c>
      <c r="N214" s="2" t="s">
        <v>50</v>
      </c>
      <c r="O214" s="3">
        <f>IFERROR(VLOOKUP(M214, '[1]08_CSDL_DAO_CU_VAT_LIEU'!$A$2:$F$64, 6, FALSE), 27500)</f>
        <v>20833.330000000002</v>
      </c>
      <c r="P214" s="4">
        <v>1.92</v>
      </c>
      <c r="Q214" s="3">
        <f t="shared" si="10"/>
        <v>54996</v>
      </c>
      <c r="R214" s="3">
        <f>ROUND((F214/3600)*IFERROR(VLOOKUP(I214, '[1]02_DM_NHAN_SU_MAY'!$M$2:$Q$25, 5, FALSE), 39375), 0)</f>
        <v>44997</v>
      </c>
      <c r="S214" s="3">
        <v>0</v>
      </c>
      <c r="T214" s="3">
        <f t="shared" si="11"/>
        <v>99993</v>
      </c>
    </row>
    <row r="215" spans="1:20" x14ac:dyDescent="0.25">
      <c r="A215" s="5" t="s">
        <v>545</v>
      </c>
      <c r="B215" s="5">
        <v>214</v>
      </c>
      <c r="C215" s="5" t="s">
        <v>149</v>
      </c>
      <c r="D215" s="5" t="s">
        <v>546</v>
      </c>
      <c r="E215" s="5" t="s">
        <v>527</v>
      </c>
      <c r="F215" s="6">
        <v>5400</v>
      </c>
      <c r="G215" s="7">
        <f t="shared" si="9"/>
        <v>0.1875</v>
      </c>
      <c r="H215" s="5" t="s">
        <v>34</v>
      </c>
      <c r="I215" s="5" t="s">
        <v>35</v>
      </c>
      <c r="J215" s="5" t="s">
        <v>36</v>
      </c>
      <c r="K215" s="5" t="s">
        <v>37</v>
      </c>
      <c r="L215" s="5" t="s">
        <v>38</v>
      </c>
      <c r="M215" s="5" t="s">
        <v>49</v>
      </c>
      <c r="N215" s="5" t="s">
        <v>50</v>
      </c>
      <c r="O215" s="6">
        <f>IFERROR(VLOOKUP(M215, '[1]08_CSDL_DAO_CU_VAT_LIEU'!$A$2:$F$64, 6, FALSE), 27500)</f>
        <v>20833.330000000002</v>
      </c>
      <c r="P215" s="7">
        <v>2.52</v>
      </c>
      <c r="Q215" s="6">
        <f t="shared" si="10"/>
        <v>72188</v>
      </c>
      <c r="R215" s="6">
        <f>ROUND((F215/3600)*IFERROR(VLOOKUP(I215, '[1]02_DM_NHAN_SU_MAY'!$M$2:$Q$25, 5, FALSE), 39375), 0)</f>
        <v>59063</v>
      </c>
      <c r="S215" s="6">
        <v>0</v>
      </c>
      <c r="T215" s="6">
        <f t="shared" si="11"/>
        <v>131251</v>
      </c>
    </row>
    <row r="216" spans="1:20" x14ac:dyDescent="0.25">
      <c r="A216" s="2" t="s">
        <v>547</v>
      </c>
      <c r="B216" s="2">
        <v>215</v>
      </c>
      <c r="C216" s="2" t="s">
        <v>149</v>
      </c>
      <c r="D216" s="2" t="s">
        <v>548</v>
      </c>
      <c r="E216" s="2" t="s">
        <v>527</v>
      </c>
      <c r="F216" s="3">
        <v>3600</v>
      </c>
      <c r="G216" s="4">
        <f t="shared" si="9"/>
        <v>0.125</v>
      </c>
      <c r="H216" s="2" t="s">
        <v>34</v>
      </c>
      <c r="I216" s="2" t="s">
        <v>151</v>
      </c>
      <c r="J216" s="2" t="s">
        <v>36</v>
      </c>
      <c r="K216" s="2" t="s">
        <v>37</v>
      </c>
      <c r="L216" s="2" t="s">
        <v>38</v>
      </c>
      <c r="M216" s="2" t="s">
        <v>49</v>
      </c>
      <c r="N216" s="2" t="s">
        <v>50</v>
      </c>
      <c r="O216" s="3">
        <f>IFERROR(VLOOKUP(M216, '[1]08_CSDL_DAO_CU_VAT_LIEU'!$A$2:$F$64, 6, FALSE), 27500)</f>
        <v>20833.330000000002</v>
      </c>
      <c r="P216" s="4">
        <v>1.68</v>
      </c>
      <c r="Q216" s="3">
        <f t="shared" si="10"/>
        <v>48125</v>
      </c>
      <c r="R216" s="3">
        <f>ROUND((F216/3600)*IFERROR(VLOOKUP(I216, '[1]02_DM_NHAN_SU_MAY'!$M$2:$Q$25, 5, FALSE), 39375), 0)</f>
        <v>39375</v>
      </c>
      <c r="S216" s="3">
        <v>0</v>
      </c>
      <c r="T216" s="3">
        <f t="shared" si="11"/>
        <v>87500</v>
      </c>
    </row>
    <row r="217" spans="1:20" x14ac:dyDescent="0.25">
      <c r="A217" s="5" t="s">
        <v>549</v>
      </c>
      <c r="B217" s="5">
        <v>216</v>
      </c>
      <c r="C217" s="5" t="s">
        <v>149</v>
      </c>
      <c r="D217" s="5" t="s">
        <v>550</v>
      </c>
      <c r="E217" s="5" t="s">
        <v>527</v>
      </c>
      <c r="F217" s="6">
        <v>5400</v>
      </c>
      <c r="G217" s="7">
        <f t="shared" si="9"/>
        <v>0.1875</v>
      </c>
      <c r="H217" s="5" t="s">
        <v>34</v>
      </c>
      <c r="I217" s="5" t="s">
        <v>151</v>
      </c>
      <c r="J217" s="5" t="s">
        <v>36</v>
      </c>
      <c r="K217" s="5" t="s">
        <v>37</v>
      </c>
      <c r="L217" s="5" t="s">
        <v>38</v>
      </c>
      <c r="M217" s="5" t="s">
        <v>49</v>
      </c>
      <c r="N217" s="5" t="s">
        <v>50</v>
      </c>
      <c r="O217" s="6">
        <f>IFERROR(VLOOKUP(M217, '[1]08_CSDL_DAO_CU_VAT_LIEU'!$A$2:$F$64, 6, FALSE), 27500)</f>
        <v>20833.330000000002</v>
      </c>
      <c r="P217" s="7">
        <v>2.52</v>
      </c>
      <c r="Q217" s="6">
        <f t="shared" si="10"/>
        <v>72188</v>
      </c>
      <c r="R217" s="6">
        <f>ROUND((F217/3600)*IFERROR(VLOOKUP(I217, '[1]02_DM_NHAN_SU_MAY'!$M$2:$Q$25, 5, FALSE), 39375), 0)</f>
        <v>59063</v>
      </c>
      <c r="S217" s="6">
        <v>0</v>
      </c>
      <c r="T217" s="6">
        <f t="shared" si="11"/>
        <v>131251</v>
      </c>
    </row>
    <row r="218" spans="1:20" x14ac:dyDescent="0.25">
      <c r="A218" s="2" t="s">
        <v>551</v>
      </c>
      <c r="B218" s="2">
        <v>217</v>
      </c>
      <c r="C218" s="2" t="s">
        <v>149</v>
      </c>
      <c r="D218" s="2" t="s">
        <v>550</v>
      </c>
      <c r="E218" s="2" t="s">
        <v>527</v>
      </c>
      <c r="F218" s="3">
        <v>5400</v>
      </c>
      <c r="G218" s="4">
        <f t="shared" si="9"/>
        <v>0.1875</v>
      </c>
      <c r="H218" s="2" t="s">
        <v>34</v>
      </c>
      <c r="I218" s="2" t="s">
        <v>151</v>
      </c>
      <c r="J218" s="2" t="s">
        <v>36</v>
      </c>
      <c r="K218" s="2" t="s">
        <v>37</v>
      </c>
      <c r="L218" s="2" t="s">
        <v>38</v>
      </c>
      <c r="M218" s="2" t="s">
        <v>49</v>
      </c>
      <c r="N218" s="2" t="s">
        <v>50</v>
      </c>
      <c r="O218" s="3">
        <f>IFERROR(VLOOKUP(M218, '[1]08_CSDL_DAO_CU_VAT_LIEU'!$A$2:$F$64, 6, FALSE), 27500)</f>
        <v>20833.330000000002</v>
      </c>
      <c r="P218" s="4">
        <v>2.52</v>
      </c>
      <c r="Q218" s="3">
        <f t="shared" si="10"/>
        <v>72188</v>
      </c>
      <c r="R218" s="3">
        <f>ROUND((F218/3600)*IFERROR(VLOOKUP(I218, '[1]02_DM_NHAN_SU_MAY'!$M$2:$Q$25, 5, FALSE), 39375), 0)</f>
        <v>59063</v>
      </c>
      <c r="S218" s="3">
        <v>0</v>
      </c>
      <c r="T218" s="3">
        <f t="shared" si="11"/>
        <v>131251</v>
      </c>
    </row>
    <row r="219" spans="1:20" x14ac:dyDescent="0.25">
      <c r="A219" s="5" t="s">
        <v>552</v>
      </c>
      <c r="B219" s="5">
        <v>218</v>
      </c>
      <c r="C219" s="5" t="s">
        <v>149</v>
      </c>
      <c r="D219" s="5" t="s">
        <v>550</v>
      </c>
      <c r="E219" s="5" t="s">
        <v>553</v>
      </c>
      <c r="F219" s="6">
        <v>5400</v>
      </c>
      <c r="G219" s="7">
        <f t="shared" si="9"/>
        <v>0.1875</v>
      </c>
      <c r="H219" s="5" t="s">
        <v>34</v>
      </c>
      <c r="I219" s="5" t="s">
        <v>151</v>
      </c>
      <c r="J219" s="5" t="s">
        <v>36</v>
      </c>
      <c r="K219" s="5" t="s">
        <v>37</v>
      </c>
      <c r="L219" s="5" t="s">
        <v>38</v>
      </c>
      <c r="M219" s="5" t="s">
        <v>49</v>
      </c>
      <c r="N219" s="5" t="s">
        <v>50</v>
      </c>
      <c r="O219" s="6">
        <f>IFERROR(VLOOKUP(M219, '[1]08_CSDL_DAO_CU_VAT_LIEU'!$A$2:$F$64, 6, FALSE), 27500)</f>
        <v>20833.330000000002</v>
      </c>
      <c r="P219" s="7">
        <v>2.52</v>
      </c>
      <c r="Q219" s="6">
        <f t="shared" si="10"/>
        <v>72188</v>
      </c>
      <c r="R219" s="6">
        <f>ROUND((F219/3600)*IFERROR(VLOOKUP(I219, '[1]02_DM_NHAN_SU_MAY'!$M$2:$Q$25, 5, FALSE), 39375), 0)</f>
        <v>59063</v>
      </c>
      <c r="S219" s="6">
        <v>0</v>
      </c>
      <c r="T219" s="6">
        <f t="shared" si="11"/>
        <v>131251</v>
      </c>
    </row>
    <row r="220" spans="1:20" x14ac:dyDescent="0.25">
      <c r="A220" s="2" t="s">
        <v>554</v>
      </c>
      <c r="B220" s="2">
        <v>219</v>
      </c>
      <c r="C220" s="2" t="s">
        <v>149</v>
      </c>
      <c r="D220" s="2" t="s">
        <v>555</v>
      </c>
      <c r="E220" s="2" t="s">
        <v>527</v>
      </c>
      <c r="F220" s="3">
        <v>5400</v>
      </c>
      <c r="G220" s="4">
        <f t="shared" si="9"/>
        <v>0.1875</v>
      </c>
      <c r="H220" s="2" t="s">
        <v>34</v>
      </c>
      <c r="I220" s="2" t="s">
        <v>35</v>
      </c>
      <c r="J220" s="2" t="s">
        <v>36</v>
      </c>
      <c r="K220" s="2" t="s">
        <v>37</v>
      </c>
      <c r="L220" s="2" t="s">
        <v>38</v>
      </c>
      <c r="M220" s="2" t="s">
        <v>49</v>
      </c>
      <c r="N220" s="2" t="s">
        <v>50</v>
      </c>
      <c r="O220" s="3">
        <f>IFERROR(VLOOKUP(M220, '[1]08_CSDL_DAO_CU_VAT_LIEU'!$A$2:$F$64, 6, FALSE), 27500)</f>
        <v>20833.330000000002</v>
      </c>
      <c r="P220" s="4">
        <v>2.52</v>
      </c>
      <c r="Q220" s="3">
        <f t="shared" si="10"/>
        <v>72188</v>
      </c>
      <c r="R220" s="3">
        <f>ROUND((F220/3600)*IFERROR(VLOOKUP(I220, '[1]02_DM_NHAN_SU_MAY'!$M$2:$Q$25, 5, FALSE), 39375), 0)</f>
        <v>59063</v>
      </c>
      <c r="S220" s="3">
        <v>0</v>
      </c>
      <c r="T220" s="3">
        <f t="shared" si="11"/>
        <v>131251</v>
      </c>
    </row>
    <row r="221" spans="1:20" x14ac:dyDescent="0.25">
      <c r="A221" s="5" t="s">
        <v>556</v>
      </c>
      <c r="B221" s="5">
        <v>220</v>
      </c>
      <c r="C221" s="5" t="s">
        <v>149</v>
      </c>
      <c r="D221" s="5" t="s">
        <v>557</v>
      </c>
      <c r="E221" s="5" t="s">
        <v>527</v>
      </c>
      <c r="F221" s="6">
        <v>3857</v>
      </c>
      <c r="G221" s="7">
        <f t="shared" si="9"/>
        <v>0.13389999999999999</v>
      </c>
      <c r="H221" s="5" t="s">
        <v>34</v>
      </c>
      <c r="I221" s="5" t="s">
        <v>151</v>
      </c>
      <c r="J221" s="5" t="s">
        <v>36</v>
      </c>
      <c r="K221" s="5" t="s">
        <v>37</v>
      </c>
      <c r="L221" s="5" t="s">
        <v>38</v>
      </c>
      <c r="M221" s="5" t="s">
        <v>49</v>
      </c>
      <c r="N221" s="5" t="s">
        <v>50</v>
      </c>
      <c r="O221" s="6">
        <f>IFERROR(VLOOKUP(M221, '[1]08_CSDL_DAO_CU_VAT_LIEU'!$A$2:$F$64, 6, FALSE), 27500)</f>
        <v>20833.330000000002</v>
      </c>
      <c r="P221" s="7">
        <v>1.8</v>
      </c>
      <c r="Q221" s="6">
        <f t="shared" si="10"/>
        <v>51561</v>
      </c>
      <c r="R221" s="6">
        <f>ROUND((F221/3600)*IFERROR(VLOOKUP(I221, '[1]02_DM_NHAN_SU_MAY'!$M$2:$Q$25, 5, FALSE), 39375), 0)</f>
        <v>42186</v>
      </c>
      <c r="S221" s="6">
        <v>0</v>
      </c>
      <c r="T221" s="6">
        <f t="shared" si="11"/>
        <v>93747</v>
      </c>
    </row>
    <row r="222" spans="1:20" x14ac:dyDescent="0.25">
      <c r="A222" s="2" t="s">
        <v>558</v>
      </c>
      <c r="B222" s="2">
        <v>221</v>
      </c>
      <c r="C222" s="2" t="s">
        <v>149</v>
      </c>
      <c r="D222" s="2" t="s">
        <v>559</v>
      </c>
      <c r="E222" s="2" t="s">
        <v>476</v>
      </c>
      <c r="F222" s="3">
        <v>5400</v>
      </c>
      <c r="G222" s="4">
        <f t="shared" si="9"/>
        <v>0.1875</v>
      </c>
      <c r="H222" s="2" t="s">
        <v>34</v>
      </c>
      <c r="I222" s="2" t="s">
        <v>35</v>
      </c>
      <c r="J222" s="2" t="s">
        <v>36</v>
      </c>
      <c r="K222" s="2" t="s">
        <v>37</v>
      </c>
      <c r="L222" s="2" t="s">
        <v>38</v>
      </c>
      <c r="M222" s="2" t="s">
        <v>49</v>
      </c>
      <c r="N222" s="2" t="s">
        <v>50</v>
      </c>
      <c r="O222" s="3">
        <f>IFERROR(VLOOKUP(M222, '[1]08_CSDL_DAO_CU_VAT_LIEU'!$A$2:$F$64, 6, FALSE), 27500)</f>
        <v>20833.330000000002</v>
      </c>
      <c r="P222" s="4">
        <v>2.52</v>
      </c>
      <c r="Q222" s="3">
        <f t="shared" si="10"/>
        <v>72188</v>
      </c>
      <c r="R222" s="3">
        <f>ROUND((F222/3600)*IFERROR(VLOOKUP(I222, '[1]02_DM_NHAN_SU_MAY'!$M$2:$Q$25, 5, FALSE), 39375), 0)</f>
        <v>59063</v>
      </c>
      <c r="S222" s="3">
        <v>0</v>
      </c>
      <c r="T222" s="3">
        <f t="shared" si="11"/>
        <v>131251</v>
      </c>
    </row>
    <row r="223" spans="1:20" x14ac:dyDescent="0.25">
      <c r="A223" s="5" t="s">
        <v>560</v>
      </c>
      <c r="B223" s="5">
        <v>222</v>
      </c>
      <c r="C223" s="5" t="s">
        <v>21</v>
      </c>
      <c r="D223" s="5" t="s">
        <v>209</v>
      </c>
      <c r="E223" s="5" t="s">
        <v>561</v>
      </c>
      <c r="F223" s="6">
        <v>40500</v>
      </c>
      <c r="G223" s="7">
        <f t="shared" si="9"/>
        <v>1.4063000000000001</v>
      </c>
      <c r="H223" s="5" t="s">
        <v>34</v>
      </c>
      <c r="I223" s="5" t="s">
        <v>71</v>
      </c>
      <c r="J223" s="5" t="s">
        <v>25</v>
      </c>
      <c r="K223" s="5" t="s">
        <v>26</v>
      </c>
      <c r="L223" s="5" t="s">
        <v>211</v>
      </c>
      <c r="M223" s="5" t="s">
        <v>75</v>
      </c>
      <c r="N223" s="5" t="s">
        <v>76</v>
      </c>
      <c r="O223" s="6">
        <f>IFERROR(VLOOKUP(M223, '[1]08_CSDL_DAO_CU_VAT_LIEU'!$A$2:$F$64, 6, FALSE), 27500)</f>
        <v>42500</v>
      </c>
      <c r="P223" s="7">
        <v>23.62</v>
      </c>
      <c r="Q223" s="6">
        <f t="shared" si="10"/>
        <v>541406</v>
      </c>
      <c r="R223" s="6">
        <f>ROUND((F223/3600)*IFERROR(VLOOKUP(I223, '[1]02_DM_NHAN_SU_MAY'!$M$2:$Q$25, 5, FALSE), 39375), 0)</f>
        <v>302344</v>
      </c>
      <c r="S223" s="6">
        <v>0</v>
      </c>
      <c r="T223" s="6">
        <f t="shared" si="11"/>
        <v>843750</v>
      </c>
    </row>
    <row r="224" spans="1:20" x14ac:dyDescent="0.25">
      <c r="A224" s="2" t="s">
        <v>562</v>
      </c>
      <c r="B224" s="2">
        <v>223</v>
      </c>
      <c r="C224" s="2" t="s">
        <v>68</v>
      </c>
      <c r="D224" s="2" t="s">
        <v>563</v>
      </c>
      <c r="E224" s="2" t="s">
        <v>564</v>
      </c>
      <c r="F224" s="3">
        <v>2400</v>
      </c>
      <c r="G224" s="4">
        <f t="shared" si="9"/>
        <v>8.3299999999999999E-2</v>
      </c>
      <c r="H224" s="2" t="s">
        <v>34</v>
      </c>
      <c r="I224" s="2" t="s">
        <v>90</v>
      </c>
      <c r="J224" s="2" t="s">
        <v>97</v>
      </c>
      <c r="K224" s="2" t="s">
        <v>98</v>
      </c>
      <c r="L224" s="2" t="s">
        <v>143</v>
      </c>
      <c r="M224" s="2" t="s">
        <v>565</v>
      </c>
      <c r="N224" s="2" t="s">
        <v>566</v>
      </c>
      <c r="O224" s="3">
        <f>IFERROR(VLOOKUP(M224, '[1]08_CSDL_DAO_CU_VAT_LIEU'!$A$2:$F$64, 6, FALSE), 27500)</f>
        <v>135000</v>
      </c>
      <c r="P224" s="4">
        <v>0.93</v>
      </c>
      <c r="Q224" s="3">
        <f t="shared" si="10"/>
        <v>32083</v>
      </c>
      <c r="R224" s="3">
        <f>ROUND((F224/3600)*IFERROR(VLOOKUP(I224, '[1]02_DM_NHAN_SU_MAY'!$M$2:$Q$25, 5, FALSE), 39375), 0)</f>
        <v>17917</v>
      </c>
      <c r="S224" s="3">
        <v>0</v>
      </c>
      <c r="T224" s="3">
        <f t="shared" si="11"/>
        <v>50000</v>
      </c>
    </row>
    <row r="225" spans="1:20" x14ac:dyDescent="0.25">
      <c r="A225" s="5" t="s">
        <v>567</v>
      </c>
      <c r="B225" s="5">
        <v>224</v>
      </c>
      <c r="C225" s="5" t="s">
        <v>68</v>
      </c>
      <c r="D225" s="5" t="s">
        <v>568</v>
      </c>
      <c r="E225" s="5" t="s">
        <v>343</v>
      </c>
      <c r="F225" s="6">
        <v>3600</v>
      </c>
      <c r="G225" s="7">
        <f t="shared" si="9"/>
        <v>0.125</v>
      </c>
      <c r="H225" s="5">
        <v>2</v>
      </c>
      <c r="I225" s="5" t="s">
        <v>24</v>
      </c>
      <c r="J225" s="5" t="s">
        <v>72</v>
      </c>
      <c r="K225" s="5" t="s">
        <v>73</v>
      </c>
      <c r="L225" s="5" t="s">
        <v>508</v>
      </c>
      <c r="M225" s="5" t="s">
        <v>28</v>
      </c>
      <c r="N225" s="5" t="s">
        <v>29</v>
      </c>
      <c r="O225" s="6">
        <f>IFERROR(VLOOKUP(M225, '[1]08_CSDL_DAO_CU_VAT_LIEU'!$A$2:$F$64, 6, FALSE), 27500)</f>
        <v>27500</v>
      </c>
      <c r="P225" s="7">
        <v>1.4</v>
      </c>
      <c r="Q225" s="6">
        <f t="shared" si="10"/>
        <v>48125</v>
      </c>
      <c r="R225" s="6">
        <f>ROUND((F225/3600)*IFERROR(VLOOKUP(I225, '[1]02_DM_NHAN_SU_MAY'!$M$2:$Q$25, 5, FALSE), 39375), 0)</f>
        <v>39375</v>
      </c>
      <c r="S225" s="6">
        <v>0</v>
      </c>
      <c r="T225" s="6">
        <f t="shared" si="11"/>
        <v>87500</v>
      </c>
    </row>
    <row r="226" spans="1:20" x14ac:dyDescent="0.25">
      <c r="A226" s="2" t="s">
        <v>569</v>
      </c>
      <c r="B226" s="2">
        <v>225</v>
      </c>
      <c r="C226" s="2" t="s">
        <v>68</v>
      </c>
      <c r="D226" s="2" t="s">
        <v>568</v>
      </c>
      <c r="E226" s="2" t="s">
        <v>570</v>
      </c>
      <c r="F226" s="3">
        <v>7200</v>
      </c>
      <c r="G226" s="4">
        <f t="shared" si="9"/>
        <v>0.25</v>
      </c>
      <c r="H226" s="2">
        <v>3</v>
      </c>
      <c r="I226" s="2" t="s">
        <v>24</v>
      </c>
      <c r="J226" s="2" t="s">
        <v>72</v>
      </c>
      <c r="K226" s="2" t="s">
        <v>73</v>
      </c>
      <c r="L226" s="2" t="s">
        <v>508</v>
      </c>
      <c r="M226" s="2" t="s">
        <v>28</v>
      </c>
      <c r="N226" s="2" t="s">
        <v>29</v>
      </c>
      <c r="O226" s="3">
        <f>IFERROR(VLOOKUP(M226, '[1]08_CSDL_DAO_CU_VAT_LIEU'!$A$2:$F$64, 6, FALSE), 27500)</f>
        <v>27500</v>
      </c>
      <c r="P226" s="4">
        <v>2.8</v>
      </c>
      <c r="Q226" s="3">
        <f t="shared" si="10"/>
        <v>96250</v>
      </c>
      <c r="R226" s="3">
        <f>ROUND((F226/3600)*IFERROR(VLOOKUP(I226, '[1]02_DM_NHAN_SU_MAY'!$M$2:$Q$25, 5, FALSE), 39375), 0)</f>
        <v>78750</v>
      </c>
      <c r="S226" s="3">
        <v>0</v>
      </c>
      <c r="T226" s="3">
        <f t="shared" si="11"/>
        <v>175000</v>
      </c>
    </row>
    <row r="227" spans="1:20" x14ac:dyDescent="0.25">
      <c r="A227" s="5" t="s">
        <v>571</v>
      </c>
      <c r="B227" s="5">
        <v>226</v>
      </c>
      <c r="C227" s="5" t="s">
        <v>68</v>
      </c>
      <c r="D227" s="5" t="s">
        <v>568</v>
      </c>
      <c r="E227" s="5" t="s">
        <v>572</v>
      </c>
      <c r="F227" s="6">
        <v>3600</v>
      </c>
      <c r="G227" s="7">
        <f t="shared" si="9"/>
        <v>0.125</v>
      </c>
      <c r="H227" s="5" t="s">
        <v>34</v>
      </c>
      <c r="I227" s="5" t="s">
        <v>55</v>
      </c>
      <c r="J227" s="5" t="s">
        <v>72</v>
      </c>
      <c r="K227" s="5" t="s">
        <v>73</v>
      </c>
      <c r="L227" s="5" t="s">
        <v>508</v>
      </c>
      <c r="M227" s="5" t="s">
        <v>49</v>
      </c>
      <c r="N227" s="5" t="s">
        <v>50</v>
      </c>
      <c r="O227" s="6">
        <f>IFERROR(VLOOKUP(M227, '[1]08_CSDL_DAO_CU_VAT_LIEU'!$A$2:$F$64, 6, FALSE), 27500)</f>
        <v>20833.330000000002</v>
      </c>
      <c r="P227" s="7">
        <v>1.4</v>
      </c>
      <c r="Q227" s="6">
        <f t="shared" si="10"/>
        <v>48125</v>
      </c>
      <c r="R227" s="6">
        <f>ROUND((F227/3600)*IFERROR(VLOOKUP(I227, '[1]02_DM_NHAN_SU_MAY'!$M$2:$Q$25, 5, FALSE), 39375), 0)</f>
        <v>14375</v>
      </c>
      <c r="S227" s="6">
        <v>0</v>
      </c>
      <c r="T227" s="6">
        <f t="shared" si="11"/>
        <v>62500</v>
      </c>
    </row>
    <row r="228" spans="1:20" x14ac:dyDescent="0.25">
      <c r="A228" s="2" t="s">
        <v>573</v>
      </c>
      <c r="B228" s="2">
        <v>227</v>
      </c>
      <c r="C228" s="2" t="s">
        <v>68</v>
      </c>
      <c r="D228" s="2" t="s">
        <v>574</v>
      </c>
      <c r="E228" s="2" t="s">
        <v>575</v>
      </c>
      <c r="F228" s="2">
        <v>420</v>
      </c>
      <c r="G228" s="4">
        <f t="shared" si="9"/>
        <v>1.46E-2</v>
      </c>
      <c r="H228" s="2">
        <v>1</v>
      </c>
      <c r="I228" s="2" t="s">
        <v>24</v>
      </c>
      <c r="J228" s="2" t="s">
        <v>72</v>
      </c>
      <c r="K228" s="2" t="s">
        <v>73</v>
      </c>
      <c r="L228" s="2" t="s">
        <v>508</v>
      </c>
      <c r="M228" s="2" t="s">
        <v>28</v>
      </c>
      <c r="N228" s="2" t="s">
        <v>29</v>
      </c>
      <c r="O228" s="3">
        <f>IFERROR(VLOOKUP(M228, '[1]08_CSDL_DAO_CU_VAT_LIEU'!$A$2:$F$64, 6, FALSE), 27500)</f>
        <v>27500</v>
      </c>
      <c r="P228" s="4">
        <v>0.16</v>
      </c>
      <c r="Q228" s="3">
        <f t="shared" si="10"/>
        <v>5615</v>
      </c>
      <c r="R228" s="3">
        <f>ROUND((F228/3600)*IFERROR(VLOOKUP(I228, '[1]02_DM_NHAN_SU_MAY'!$M$2:$Q$25, 5, FALSE), 39375), 0)</f>
        <v>4594</v>
      </c>
      <c r="S228" s="3">
        <v>0</v>
      </c>
      <c r="T228" s="3">
        <f t="shared" si="11"/>
        <v>10209</v>
      </c>
    </row>
    <row r="229" spans="1:20" x14ac:dyDescent="0.25">
      <c r="A229" s="5" t="s">
        <v>576</v>
      </c>
      <c r="B229" s="5">
        <v>228</v>
      </c>
      <c r="C229" s="5" t="s">
        <v>68</v>
      </c>
      <c r="D229" s="5" t="s">
        <v>574</v>
      </c>
      <c r="E229" s="5" t="s">
        <v>577</v>
      </c>
      <c r="F229" s="6">
        <v>5400</v>
      </c>
      <c r="G229" s="7">
        <f t="shared" si="9"/>
        <v>0.1875</v>
      </c>
      <c r="H229" s="5">
        <v>2</v>
      </c>
      <c r="I229" s="5" t="s">
        <v>24</v>
      </c>
      <c r="J229" s="5" t="s">
        <v>72</v>
      </c>
      <c r="K229" s="5" t="s">
        <v>73</v>
      </c>
      <c r="L229" s="5" t="s">
        <v>508</v>
      </c>
      <c r="M229" s="5" t="s">
        <v>28</v>
      </c>
      <c r="N229" s="5" t="s">
        <v>29</v>
      </c>
      <c r="O229" s="6">
        <f>IFERROR(VLOOKUP(M229, '[1]08_CSDL_DAO_CU_VAT_LIEU'!$A$2:$F$64, 6, FALSE), 27500)</f>
        <v>27500</v>
      </c>
      <c r="P229" s="7">
        <v>2.1</v>
      </c>
      <c r="Q229" s="6">
        <f t="shared" si="10"/>
        <v>72188</v>
      </c>
      <c r="R229" s="6">
        <f>ROUND((F229/3600)*IFERROR(VLOOKUP(I229, '[1]02_DM_NHAN_SU_MAY'!$M$2:$Q$25, 5, FALSE), 39375), 0)</f>
        <v>59063</v>
      </c>
      <c r="S229" s="6">
        <v>0</v>
      </c>
      <c r="T229" s="6">
        <f t="shared" si="11"/>
        <v>131251</v>
      </c>
    </row>
    <row r="230" spans="1:20" x14ac:dyDescent="0.25">
      <c r="A230" s="2" t="s">
        <v>578</v>
      </c>
      <c r="B230" s="2">
        <v>229</v>
      </c>
      <c r="C230" s="2" t="s">
        <v>68</v>
      </c>
      <c r="D230" s="2" t="s">
        <v>574</v>
      </c>
      <c r="E230" s="2" t="s">
        <v>579</v>
      </c>
      <c r="F230" s="3">
        <v>3600</v>
      </c>
      <c r="G230" s="4">
        <f t="shared" si="9"/>
        <v>0.125</v>
      </c>
      <c r="H230" s="2" t="s">
        <v>34</v>
      </c>
      <c r="I230" s="2" t="s">
        <v>55</v>
      </c>
      <c r="J230" s="2" t="s">
        <v>72</v>
      </c>
      <c r="K230" s="2" t="s">
        <v>73</v>
      </c>
      <c r="L230" s="2" t="s">
        <v>508</v>
      </c>
      <c r="M230" s="2" t="s">
        <v>49</v>
      </c>
      <c r="N230" s="2" t="s">
        <v>50</v>
      </c>
      <c r="O230" s="3">
        <f>IFERROR(VLOOKUP(M230, '[1]08_CSDL_DAO_CU_VAT_LIEU'!$A$2:$F$64, 6, FALSE), 27500)</f>
        <v>20833.330000000002</v>
      </c>
      <c r="P230" s="4">
        <v>1.4</v>
      </c>
      <c r="Q230" s="3">
        <f t="shared" si="10"/>
        <v>48125</v>
      </c>
      <c r="R230" s="3">
        <f>ROUND((F230/3600)*IFERROR(VLOOKUP(I230, '[1]02_DM_NHAN_SU_MAY'!$M$2:$Q$25, 5, FALSE), 39375), 0)</f>
        <v>14375</v>
      </c>
      <c r="S230" s="3">
        <v>0</v>
      </c>
      <c r="T230" s="3">
        <f t="shared" si="11"/>
        <v>62500</v>
      </c>
    </row>
    <row r="231" spans="1:20" x14ac:dyDescent="0.25">
      <c r="A231" s="5" t="s">
        <v>580</v>
      </c>
      <c r="B231" s="5">
        <v>230</v>
      </c>
      <c r="C231" s="5" t="s">
        <v>68</v>
      </c>
      <c r="D231" s="5" t="s">
        <v>581</v>
      </c>
      <c r="E231" s="5" t="s">
        <v>582</v>
      </c>
      <c r="F231" s="6">
        <v>3600</v>
      </c>
      <c r="G231" s="7">
        <f t="shared" si="9"/>
        <v>0.125</v>
      </c>
      <c r="H231" s="5">
        <v>1</v>
      </c>
      <c r="I231" s="5" t="s">
        <v>71</v>
      </c>
      <c r="J231" s="5" t="s">
        <v>72</v>
      </c>
      <c r="K231" s="5" t="s">
        <v>73</v>
      </c>
      <c r="L231" s="5" t="s">
        <v>508</v>
      </c>
      <c r="M231" s="5" t="s">
        <v>583</v>
      </c>
      <c r="N231" s="5" t="s">
        <v>584</v>
      </c>
      <c r="O231" s="6">
        <f>IFERROR(VLOOKUP(M231, '[1]08_CSDL_DAO_CU_VAT_LIEU'!$A$2:$F$64, 6, FALSE), 27500)</f>
        <v>36250</v>
      </c>
      <c r="P231" s="7">
        <v>1.4</v>
      </c>
      <c r="Q231" s="6">
        <f t="shared" si="10"/>
        <v>48125</v>
      </c>
      <c r="R231" s="6">
        <f>ROUND((F231/3600)*IFERROR(VLOOKUP(I231, '[1]02_DM_NHAN_SU_MAY'!$M$2:$Q$25, 5, FALSE), 39375), 0)</f>
        <v>26875</v>
      </c>
      <c r="S231" s="6">
        <v>0</v>
      </c>
      <c r="T231" s="6">
        <f t="shared" si="11"/>
        <v>75000</v>
      </c>
    </row>
    <row r="232" spans="1:20" x14ac:dyDescent="0.25">
      <c r="A232" s="2" t="s">
        <v>585</v>
      </c>
      <c r="B232" s="2">
        <v>231</v>
      </c>
      <c r="C232" s="2" t="s">
        <v>68</v>
      </c>
      <c r="D232" s="2" t="s">
        <v>581</v>
      </c>
      <c r="E232" s="2" t="s">
        <v>586</v>
      </c>
      <c r="F232" s="3">
        <v>14400</v>
      </c>
      <c r="G232" s="4">
        <f t="shared" si="9"/>
        <v>0.5</v>
      </c>
      <c r="H232" s="2">
        <v>2</v>
      </c>
      <c r="I232" s="2" t="s">
        <v>90</v>
      </c>
      <c r="J232" s="2" t="s">
        <v>72</v>
      </c>
      <c r="K232" s="2" t="s">
        <v>73</v>
      </c>
      <c r="L232" s="2" t="s">
        <v>91</v>
      </c>
      <c r="M232" s="2" t="s">
        <v>587</v>
      </c>
      <c r="N232" s="2" t="s">
        <v>588</v>
      </c>
      <c r="O232" s="3">
        <f>IFERROR(VLOOKUP(M232, '[1]08_CSDL_DAO_CU_VAT_LIEU'!$A$2:$F$64, 6, FALSE), 27500)</f>
        <v>240000</v>
      </c>
      <c r="P232" s="4">
        <v>5.6</v>
      </c>
      <c r="Q232" s="3">
        <f t="shared" si="10"/>
        <v>192500</v>
      </c>
      <c r="R232" s="3">
        <f>ROUND((F232/3600)*IFERROR(VLOOKUP(I232, '[1]02_DM_NHAN_SU_MAY'!$M$2:$Q$25, 5, FALSE), 39375), 0)</f>
        <v>107500</v>
      </c>
      <c r="S232" s="3">
        <v>0</v>
      </c>
      <c r="T232" s="3">
        <f t="shared" si="11"/>
        <v>300000</v>
      </c>
    </row>
    <row r="233" spans="1:20" x14ac:dyDescent="0.25">
      <c r="A233" s="5" t="s">
        <v>589</v>
      </c>
      <c r="B233" s="5">
        <v>232</v>
      </c>
      <c r="C233" s="5" t="s">
        <v>68</v>
      </c>
      <c r="D233" s="5" t="s">
        <v>581</v>
      </c>
      <c r="E233" s="5" t="s">
        <v>590</v>
      </c>
      <c r="F233" s="6">
        <v>3600</v>
      </c>
      <c r="G233" s="7">
        <f t="shared" si="9"/>
        <v>0.125</v>
      </c>
      <c r="H233" s="5">
        <v>3</v>
      </c>
      <c r="I233" s="5" t="s">
        <v>24</v>
      </c>
      <c r="J233" s="5" t="s">
        <v>72</v>
      </c>
      <c r="K233" s="5" t="s">
        <v>73</v>
      </c>
      <c r="L233" s="5" t="s">
        <v>508</v>
      </c>
      <c r="M233" s="5" t="s">
        <v>28</v>
      </c>
      <c r="N233" s="5" t="s">
        <v>29</v>
      </c>
      <c r="O233" s="6">
        <f>IFERROR(VLOOKUP(M233, '[1]08_CSDL_DAO_CU_VAT_LIEU'!$A$2:$F$64, 6, FALSE), 27500)</f>
        <v>27500</v>
      </c>
      <c r="P233" s="7">
        <v>1.4</v>
      </c>
      <c r="Q233" s="6">
        <f t="shared" si="10"/>
        <v>48125</v>
      </c>
      <c r="R233" s="6">
        <f>ROUND((F233/3600)*IFERROR(VLOOKUP(I233, '[1]02_DM_NHAN_SU_MAY'!$M$2:$Q$25, 5, FALSE), 39375), 0)</f>
        <v>39375</v>
      </c>
      <c r="S233" s="6">
        <v>0</v>
      </c>
      <c r="T233" s="6">
        <f t="shared" si="11"/>
        <v>87500</v>
      </c>
    </row>
    <row r="234" spans="1:20" x14ac:dyDescent="0.25">
      <c r="A234" s="2" t="s">
        <v>591</v>
      </c>
      <c r="B234" s="2">
        <v>233</v>
      </c>
      <c r="C234" s="2" t="s">
        <v>68</v>
      </c>
      <c r="D234" s="2" t="s">
        <v>574</v>
      </c>
      <c r="E234" s="2" t="s">
        <v>592</v>
      </c>
      <c r="F234" s="2">
        <v>900</v>
      </c>
      <c r="G234" s="4">
        <f t="shared" si="9"/>
        <v>3.1300000000000001E-2</v>
      </c>
      <c r="H234" s="2">
        <v>1</v>
      </c>
      <c r="I234" s="2" t="s">
        <v>90</v>
      </c>
      <c r="J234" s="2" t="s">
        <v>72</v>
      </c>
      <c r="K234" s="2" t="s">
        <v>73</v>
      </c>
      <c r="L234" s="2" t="s">
        <v>91</v>
      </c>
      <c r="M234" s="2" t="s">
        <v>269</v>
      </c>
      <c r="N234" s="2" t="s">
        <v>270</v>
      </c>
      <c r="O234" s="3">
        <f>IFERROR(VLOOKUP(M234, '[1]08_CSDL_DAO_CU_VAT_LIEU'!$A$2:$F$64, 6, FALSE), 27500)</f>
        <v>720000</v>
      </c>
      <c r="P234" s="4">
        <v>0.35</v>
      </c>
      <c r="Q234" s="3">
        <f t="shared" si="10"/>
        <v>12031</v>
      </c>
      <c r="R234" s="3">
        <f>ROUND((F234/3600)*IFERROR(VLOOKUP(I234, '[1]02_DM_NHAN_SU_MAY'!$M$2:$Q$25, 5, FALSE), 39375), 0)</f>
        <v>6719</v>
      </c>
      <c r="S234" s="3">
        <v>0</v>
      </c>
      <c r="T234" s="3">
        <f t="shared" si="11"/>
        <v>18750</v>
      </c>
    </row>
    <row r="235" spans="1:20" x14ac:dyDescent="0.25">
      <c r="A235" s="5" t="s">
        <v>593</v>
      </c>
      <c r="B235" s="5">
        <v>234</v>
      </c>
      <c r="C235" s="5" t="s">
        <v>68</v>
      </c>
      <c r="D235" s="5" t="s">
        <v>594</v>
      </c>
      <c r="E235" s="5" t="s">
        <v>595</v>
      </c>
      <c r="F235" s="6">
        <v>5400</v>
      </c>
      <c r="G235" s="7">
        <f t="shared" si="9"/>
        <v>0.1875</v>
      </c>
      <c r="H235" s="5" t="s">
        <v>34</v>
      </c>
      <c r="I235" s="5" t="s">
        <v>71</v>
      </c>
      <c r="J235" s="5" t="s">
        <v>97</v>
      </c>
      <c r="K235" s="5" t="s">
        <v>98</v>
      </c>
      <c r="L235" s="5" t="s">
        <v>99</v>
      </c>
      <c r="M235" s="5" t="s">
        <v>583</v>
      </c>
      <c r="N235" s="5" t="s">
        <v>584</v>
      </c>
      <c r="O235" s="6">
        <f>IFERROR(VLOOKUP(M235, '[1]08_CSDL_DAO_CU_VAT_LIEU'!$A$2:$F$64, 6, FALSE), 27500)</f>
        <v>36250</v>
      </c>
      <c r="P235" s="7">
        <v>2.1</v>
      </c>
      <c r="Q235" s="6">
        <f t="shared" si="10"/>
        <v>72188</v>
      </c>
      <c r="R235" s="6">
        <f>ROUND((F235/3600)*IFERROR(VLOOKUP(I235, '[1]02_DM_NHAN_SU_MAY'!$M$2:$Q$25, 5, FALSE), 39375), 0)</f>
        <v>40313</v>
      </c>
      <c r="S235" s="6">
        <v>0</v>
      </c>
      <c r="T235" s="6">
        <f t="shared" si="11"/>
        <v>112501</v>
      </c>
    </row>
    <row r="236" spans="1:20" x14ac:dyDescent="0.25">
      <c r="A236" s="2" t="s">
        <v>596</v>
      </c>
      <c r="B236" s="2">
        <v>235</v>
      </c>
      <c r="C236" s="2" t="s">
        <v>68</v>
      </c>
      <c r="D236" s="2" t="s">
        <v>597</v>
      </c>
      <c r="E236" s="2" t="s">
        <v>598</v>
      </c>
      <c r="F236" s="3">
        <v>5400</v>
      </c>
      <c r="G236" s="4">
        <f t="shared" si="9"/>
        <v>0.1875</v>
      </c>
      <c r="H236" s="2" t="s">
        <v>34</v>
      </c>
      <c r="I236" s="2" t="s">
        <v>71</v>
      </c>
      <c r="J236" s="2" t="s">
        <v>97</v>
      </c>
      <c r="K236" s="2" t="s">
        <v>98</v>
      </c>
      <c r="L236" s="2" t="s">
        <v>99</v>
      </c>
      <c r="M236" s="2" t="s">
        <v>75</v>
      </c>
      <c r="N236" s="2" t="s">
        <v>76</v>
      </c>
      <c r="O236" s="3">
        <f>IFERROR(VLOOKUP(M236, '[1]08_CSDL_DAO_CU_VAT_LIEU'!$A$2:$F$64, 6, FALSE), 27500)</f>
        <v>42500</v>
      </c>
      <c r="P236" s="4">
        <v>2.1</v>
      </c>
      <c r="Q236" s="3">
        <f t="shared" si="10"/>
        <v>72188</v>
      </c>
      <c r="R236" s="3">
        <f>ROUND((F236/3600)*IFERROR(VLOOKUP(I236, '[1]02_DM_NHAN_SU_MAY'!$M$2:$Q$25, 5, FALSE), 39375), 0)</f>
        <v>40313</v>
      </c>
      <c r="S236" s="3">
        <v>0</v>
      </c>
      <c r="T236" s="3">
        <f t="shared" si="11"/>
        <v>112501</v>
      </c>
    </row>
    <row r="237" spans="1:20" x14ac:dyDescent="0.25">
      <c r="A237" s="5" t="s">
        <v>599</v>
      </c>
      <c r="B237" s="5">
        <v>236</v>
      </c>
      <c r="C237" s="5" t="s">
        <v>68</v>
      </c>
      <c r="D237" s="5" t="s">
        <v>597</v>
      </c>
      <c r="E237" s="5" t="s">
        <v>600</v>
      </c>
      <c r="F237" s="6">
        <v>9000</v>
      </c>
      <c r="G237" s="7">
        <f t="shared" si="9"/>
        <v>0.3125</v>
      </c>
      <c r="H237" s="5" t="s">
        <v>34</v>
      </c>
      <c r="I237" s="5" t="s">
        <v>90</v>
      </c>
      <c r="J237" s="5" t="s">
        <v>97</v>
      </c>
      <c r="K237" s="5" t="s">
        <v>98</v>
      </c>
      <c r="L237" s="5" t="s">
        <v>143</v>
      </c>
      <c r="M237" s="5" t="s">
        <v>565</v>
      </c>
      <c r="N237" s="5" t="s">
        <v>566</v>
      </c>
      <c r="O237" s="6">
        <f>IFERROR(VLOOKUP(M237, '[1]08_CSDL_DAO_CU_VAT_LIEU'!$A$2:$F$64, 6, FALSE), 27500)</f>
        <v>135000</v>
      </c>
      <c r="P237" s="7">
        <v>3.5</v>
      </c>
      <c r="Q237" s="6">
        <f t="shared" si="10"/>
        <v>120313</v>
      </c>
      <c r="R237" s="6">
        <f>ROUND((F237/3600)*IFERROR(VLOOKUP(I237, '[1]02_DM_NHAN_SU_MAY'!$M$2:$Q$25, 5, FALSE), 39375), 0)</f>
        <v>67188</v>
      </c>
      <c r="S237" s="6">
        <v>0</v>
      </c>
      <c r="T237" s="6">
        <f t="shared" si="11"/>
        <v>187501</v>
      </c>
    </row>
    <row r="238" spans="1:20" x14ac:dyDescent="0.25">
      <c r="A238" s="2" t="s">
        <v>601</v>
      </c>
      <c r="B238" s="2">
        <v>237</v>
      </c>
      <c r="C238" s="2" t="s">
        <v>68</v>
      </c>
      <c r="D238" s="2" t="s">
        <v>594</v>
      </c>
      <c r="E238" s="2" t="s">
        <v>602</v>
      </c>
      <c r="F238" s="3">
        <v>5400</v>
      </c>
      <c r="G238" s="4">
        <f t="shared" si="9"/>
        <v>0.1875</v>
      </c>
      <c r="H238" s="2" t="s">
        <v>34</v>
      </c>
      <c r="I238" s="2" t="s">
        <v>71</v>
      </c>
      <c r="J238" s="2" t="s">
        <v>97</v>
      </c>
      <c r="K238" s="2" t="s">
        <v>98</v>
      </c>
      <c r="L238" s="2" t="s">
        <v>99</v>
      </c>
      <c r="M238" s="2" t="s">
        <v>583</v>
      </c>
      <c r="N238" s="2" t="s">
        <v>584</v>
      </c>
      <c r="O238" s="3">
        <f>IFERROR(VLOOKUP(M238, '[1]08_CSDL_DAO_CU_VAT_LIEU'!$A$2:$F$64, 6, FALSE), 27500)</f>
        <v>36250</v>
      </c>
      <c r="P238" s="4">
        <v>2.1</v>
      </c>
      <c r="Q238" s="3">
        <f t="shared" si="10"/>
        <v>72188</v>
      </c>
      <c r="R238" s="3">
        <f>ROUND((F238/3600)*IFERROR(VLOOKUP(I238, '[1]02_DM_NHAN_SU_MAY'!$M$2:$Q$25, 5, FALSE), 39375), 0)</f>
        <v>40313</v>
      </c>
      <c r="S238" s="3">
        <v>0</v>
      </c>
      <c r="T238" s="3">
        <f t="shared" si="11"/>
        <v>112501</v>
      </c>
    </row>
    <row r="239" spans="1:20" x14ac:dyDescent="0.25">
      <c r="A239" s="5" t="s">
        <v>603</v>
      </c>
      <c r="B239" s="5">
        <v>238</v>
      </c>
      <c r="C239" s="5" t="s">
        <v>68</v>
      </c>
      <c r="D239" s="5" t="s">
        <v>597</v>
      </c>
      <c r="E239" s="5" t="s">
        <v>602</v>
      </c>
      <c r="F239" s="6">
        <v>5400</v>
      </c>
      <c r="G239" s="7">
        <f t="shared" si="9"/>
        <v>0.1875</v>
      </c>
      <c r="H239" s="5" t="s">
        <v>34</v>
      </c>
      <c r="I239" s="5" t="s">
        <v>71</v>
      </c>
      <c r="J239" s="5" t="s">
        <v>97</v>
      </c>
      <c r="K239" s="5" t="s">
        <v>98</v>
      </c>
      <c r="L239" s="5" t="s">
        <v>99</v>
      </c>
      <c r="M239" s="5" t="s">
        <v>583</v>
      </c>
      <c r="N239" s="5" t="s">
        <v>584</v>
      </c>
      <c r="O239" s="6">
        <f>IFERROR(VLOOKUP(M239, '[1]08_CSDL_DAO_CU_VAT_LIEU'!$A$2:$F$64, 6, FALSE), 27500)</f>
        <v>36250</v>
      </c>
      <c r="P239" s="7">
        <v>2.1</v>
      </c>
      <c r="Q239" s="6">
        <f t="shared" si="10"/>
        <v>72188</v>
      </c>
      <c r="R239" s="6">
        <f>ROUND((F239/3600)*IFERROR(VLOOKUP(I239, '[1]02_DM_NHAN_SU_MAY'!$M$2:$Q$25, 5, FALSE), 39375), 0)</f>
        <v>40313</v>
      </c>
      <c r="S239" s="6">
        <v>0</v>
      </c>
      <c r="T239" s="6">
        <f t="shared" si="11"/>
        <v>112501</v>
      </c>
    </row>
    <row r="240" spans="1:20" x14ac:dyDescent="0.25">
      <c r="A240" s="2" t="s">
        <v>604</v>
      </c>
      <c r="B240" s="2">
        <v>239</v>
      </c>
      <c r="C240" s="2" t="s">
        <v>68</v>
      </c>
      <c r="D240" s="2" t="s">
        <v>597</v>
      </c>
      <c r="E240" s="2" t="s">
        <v>605</v>
      </c>
      <c r="F240" s="3">
        <v>5400</v>
      </c>
      <c r="G240" s="4">
        <f t="shared" si="9"/>
        <v>0.1875</v>
      </c>
      <c r="H240" s="2" t="s">
        <v>34</v>
      </c>
      <c r="I240" s="2" t="s">
        <v>90</v>
      </c>
      <c r="J240" s="2" t="s">
        <v>97</v>
      </c>
      <c r="K240" s="2" t="s">
        <v>98</v>
      </c>
      <c r="L240" s="2" t="s">
        <v>143</v>
      </c>
      <c r="M240" s="2" t="s">
        <v>92</v>
      </c>
      <c r="N240" s="2" t="s">
        <v>93</v>
      </c>
      <c r="O240" s="3">
        <f>IFERROR(VLOOKUP(M240, '[1]08_CSDL_DAO_CU_VAT_LIEU'!$A$2:$F$64, 6, FALSE), 27500)</f>
        <v>74000</v>
      </c>
      <c r="P240" s="4">
        <v>2.1</v>
      </c>
      <c r="Q240" s="3">
        <f t="shared" si="10"/>
        <v>72188</v>
      </c>
      <c r="R240" s="3">
        <f>ROUND((F240/3600)*IFERROR(VLOOKUP(I240, '[1]02_DM_NHAN_SU_MAY'!$M$2:$Q$25, 5, FALSE), 39375), 0)</f>
        <v>40313</v>
      </c>
      <c r="S240" s="3">
        <v>0</v>
      </c>
      <c r="T240" s="3">
        <f t="shared" si="11"/>
        <v>112501</v>
      </c>
    </row>
    <row r="241" spans="1:20" x14ac:dyDescent="0.25">
      <c r="A241" s="5" t="s">
        <v>606</v>
      </c>
      <c r="B241" s="5">
        <v>240</v>
      </c>
      <c r="C241" s="5" t="s">
        <v>68</v>
      </c>
      <c r="D241" s="5" t="s">
        <v>607</v>
      </c>
      <c r="E241" s="5" t="s">
        <v>147</v>
      </c>
      <c r="F241" s="6">
        <v>3600</v>
      </c>
      <c r="G241" s="7">
        <f t="shared" si="9"/>
        <v>0.125</v>
      </c>
      <c r="H241" s="5" t="s">
        <v>34</v>
      </c>
      <c r="I241" s="5" t="s">
        <v>24</v>
      </c>
      <c r="J241" s="5" t="s">
        <v>97</v>
      </c>
      <c r="K241" s="5" t="s">
        <v>98</v>
      </c>
      <c r="L241" s="5" t="s">
        <v>109</v>
      </c>
      <c r="M241" s="5" t="s">
        <v>28</v>
      </c>
      <c r="N241" s="5" t="s">
        <v>29</v>
      </c>
      <c r="O241" s="6">
        <f>IFERROR(VLOOKUP(M241, '[1]08_CSDL_DAO_CU_VAT_LIEU'!$A$2:$F$64, 6, FALSE), 27500)</f>
        <v>27500</v>
      </c>
      <c r="P241" s="7">
        <v>1.4</v>
      </c>
      <c r="Q241" s="6">
        <f t="shared" si="10"/>
        <v>48125</v>
      </c>
      <c r="R241" s="6">
        <f>ROUND((F241/3600)*IFERROR(VLOOKUP(I241, '[1]02_DM_NHAN_SU_MAY'!$M$2:$Q$25, 5, FALSE), 39375), 0)</f>
        <v>39375</v>
      </c>
      <c r="S241" s="6">
        <v>0</v>
      </c>
      <c r="T241" s="6">
        <f t="shared" si="11"/>
        <v>87500</v>
      </c>
    </row>
    <row r="242" spans="1:20" x14ac:dyDescent="0.25">
      <c r="A242" s="2" t="s">
        <v>608</v>
      </c>
      <c r="B242" s="2">
        <v>241</v>
      </c>
      <c r="C242" s="2" t="s">
        <v>68</v>
      </c>
      <c r="D242" s="2" t="s">
        <v>609</v>
      </c>
      <c r="E242" s="2" t="s">
        <v>610</v>
      </c>
      <c r="F242" s="3">
        <v>3600</v>
      </c>
      <c r="G242" s="4">
        <f t="shared" si="9"/>
        <v>0.125</v>
      </c>
      <c r="H242" s="2" t="s">
        <v>34</v>
      </c>
      <c r="I242" s="2" t="s">
        <v>55</v>
      </c>
      <c r="J242" s="2" t="s">
        <v>97</v>
      </c>
      <c r="K242" s="2" t="s">
        <v>98</v>
      </c>
      <c r="L242" s="2" t="s">
        <v>99</v>
      </c>
      <c r="M242" s="2" t="s">
        <v>75</v>
      </c>
      <c r="N242" s="2" t="s">
        <v>76</v>
      </c>
      <c r="O242" s="3">
        <f>IFERROR(VLOOKUP(M242, '[1]08_CSDL_DAO_CU_VAT_LIEU'!$A$2:$F$64, 6, FALSE), 27500)</f>
        <v>42500</v>
      </c>
      <c r="P242" s="4">
        <v>1.4</v>
      </c>
      <c r="Q242" s="3">
        <f t="shared" si="10"/>
        <v>48125</v>
      </c>
      <c r="R242" s="3">
        <f>ROUND((F242/3600)*IFERROR(VLOOKUP(I242, '[1]02_DM_NHAN_SU_MAY'!$M$2:$Q$25, 5, FALSE), 39375), 0)</f>
        <v>14375</v>
      </c>
      <c r="S242" s="3">
        <v>0</v>
      </c>
      <c r="T242" s="3">
        <f t="shared" si="11"/>
        <v>62500</v>
      </c>
    </row>
    <row r="243" spans="1:20" x14ac:dyDescent="0.25">
      <c r="A243" s="5" t="s">
        <v>611</v>
      </c>
      <c r="B243" s="5">
        <v>242</v>
      </c>
      <c r="C243" s="5" t="s">
        <v>68</v>
      </c>
      <c r="D243" s="5" t="s">
        <v>612</v>
      </c>
      <c r="E243" s="5" t="s">
        <v>476</v>
      </c>
      <c r="F243" s="6">
        <v>3600</v>
      </c>
      <c r="G243" s="7">
        <f t="shared" si="9"/>
        <v>0.125</v>
      </c>
      <c r="H243" s="5" t="s">
        <v>34</v>
      </c>
      <c r="I243" s="5" t="s">
        <v>24</v>
      </c>
      <c r="J243" s="5" t="s">
        <v>97</v>
      </c>
      <c r="K243" s="5" t="s">
        <v>98</v>
      </c>
      <c r="L243" s="5" t="s">
        <v>109</v>
      </c>
      <c r="M243" s="5" t="s">
        <v>28</v>
      </c>
      <c r="N243" s="5" t="s">
        <v>29</v>
      </c>
      <c r="O243" s="6">
        <f>IFERROR(VLOOKUP(M243, '[1]08_CSDL_DAO_CU_VAT_LIEU'!$A$2:$F$64, 6, FALSE), 27500)</f>
        <v>27500</v>
      </c>
      <c r="P243" s="7">
        <v>1.4</v>
      </c>
      <c r="Q243" s="6">
        <f t="shared" si="10"/>
        <v>48125</v>
      </c>
      <c r="R243" s="6">
        <f>ROUND((F243/3600)*IFERROR(VLOOKUP(I243, '[1]02_DM_NHAN_SU_MAY'!$M$2:$Q$25, 5, FALSE), 39375), 0)</f>
        <v>39375</v>
      </c>
      <c r="S243" s="6">
        <v>0</v>
      </c>
      <c r="T243" s="6">
        <f t="shared" si="11"/>
        <v>87500</v>
      </c>
    </row>
    <row r="244" spans="1:20" x14ac:dyDescent="0.25">
      <c r="A244" s="2" t="s">
        <v>613</v>
      </c>
      <c r="B244" s="2">
        <v>243</v>
      </c>
      <c r="C244" s="2" t="s">
        <v>68</v>
      </c>
      <c r="D244" s="2" t="s">
        <v>614</v>
      </c>
      <c r="E244" s="2" t="s">
        <v>615</v>
      </c>
      <c r="F244" s="3">
        <v>5400</v>
      </c>
      <c r="G244" s="4">
        <f t="shared" si="9"/>
        <v>0.1875</v>
      </c>
      <c r="H244" s="2" t="s">
        <v>34</v>
      </c>
      <c r="I244" s="2" t="s">
        <v>55</v>
      </c>
      <c r="J244" s="2" t="s">
        <v>97</v>
      </c>
      <c r="K244" s="2" t="s">
        <v>98</v>
      </c>
      <c r="L244" s="2" t="s">
        <v>109</v>
      </c>
      <c r="M244" s="2" t="s">
        <v>28</v>
      </c>
      <c r="N244" s="2" t="s">
        <v>29</v>
      </c>
      <c r="O244" s="3">
        <f>IFERROR(VLOOKUP(M244, '[1]08_CSDL_DAO_CU_VAT_LIEU'!$A$2:$F$64, 6, FALSE), 27500)</f>
        <v>27500</v>
      </c>
      <c r="P244" s="4">
        <v>2.1</v>
      </c>
      <c r="Q244" s="3">
        <f t="shared" si="10"/>
        <v>72188</v>
      </c>
      <c r="R244" s="3">
        <f>ROUND((F244/3600)*IFERROR(VLOOKUP(I244, '[1]02_DM_NHAN_SU_MAY'!$M$2:$Q$25, 5, FALSE), 39375), 0)</f>
        <v>21563</v>
      </c>
      <c r="S244" s="3">
        <v>0</v>
      </c>
      <c r="T244" s="3">
        <f t="shared" si="11"/>
        <v>93751</v>
      </c>
    </row>
    <row r="245" spans="1:20" x14ac:dyDescent="0.25">
      <c r="A245" s="5" t="s">
        <v>616</v>
      </c>
      <c r="B245" s="5">
        <v>244</v>
      </c>
      <c r="C245" s="5" t="s">
        <v>68</v>
      </c>
      <c r="D245" s="5" t="s">
        <v>617</v>
      </c>
      <c r="E245" s="5" t="s">
        <v>618</v>
      </c>
      <c r="F245" s="6">
        <v>1080</v>
      </c>
      <c r="G245" s="7">
        <f t="shared" si="9"/>
        <v>3.7499999999999999E-2</v>
      </c>
      <c r="H245" s="5" t="s">
        <v>34</v>
      </c>
      <c r="I245" s="5" t="s">
        <v>55</v>
      </c>
      <c r="J245" s="5" t="s">
        <v>97</v>
      </c>
      <c r="K245" s="5" t="s">
        <v>98</v>
      </c>
      <c r="L245" s="5" t="s">
        <v>109</v>
      </c>
      <c r="M245" s="5" t="s">
        <v>28</v>
      </c>
      <c r="N245" s="5" t="s">
        <v>29</v>
      </c>
      <c r="O245" s="6">
        <f>IFERROR(VLOOKUP(M245, '[1]08_CSDL_DAO_CU_VAT_LIEU'!$A$2:$F$64, 6, FALSE), 27500)</f>
        <v>27500</v>
      </c>
      <c r="P245" s="7">
        <v>0.42</v>
      </c>
      <c r="Q245" s="6">
        <f t="shared" si="10"/>
        <v>14438</v>
      </c>
      <c r="R245" s="6">
        <f>ROUND((F245/3600)*IFERROR(VLOOKUP(I245, '[1]02_DM_NHAN_SU_MAY'!$M$2:$Q$25, 5, FALSE), 39375), 0)</f>
        <v>4313</v>
      </c>
      <c r="S245" s="6">
        <v>0</v>
      </c>
      <c r="T245" s="6">
        <f t="shared" si="11"/>
        <v>18751</v>
      </c>
    </row>
    <row r="246" spans="1:20" x14ac:dyDescent="0.25">
      <c r="A246" s="2" t="s">
        <v>619</v>
      </c>
      <c r="B246" s="2">
        <v>245</v>
      </c>
      <c r="C246" s="2" t="s">
        <v>217</v>
      </c>
      <c r="D246" s="2" t="s">
        <v>351</v>
      </c>
      <c r="E246" s="2" t="s">
        <v>620</v>
      </c>
      <c r="F246" s="3">
        <v>3600</v>
      </c>
      <c r="G246" s="4">
        <f t="shared" si="9"/>
        <v>0.125</v>
      </c>
      <c r="H246" s="2" t="s">
        <v>34</v>
      </c>
      <c r="I246" s="2" t="s">
        <v>24</v>
      </c>
      <c r="J246" s="2" t="s">
        <v>56</v>
      </c>
      <c r="K246" s="2" t="s">
        <v>57</v>
      </c>
      <c r="L246" s="2" t="s">
        <v>58</v>
      </c>
      <c r="M246" s="2" t="s">
        <v>49</v>
      </c>
      <c r="N246" s="2" t="s">
        <v>50</v>
      </c>
      <c r="O246" s="3">
        <f>IFERROR(VLOOKUP(M246, '[1]08_CSDL_DAO_CU_VAT_LIEU'!$A$2:$F$64, 6, FALSE), 27500)</f>
        <v>20833.330000000002</v>
      </c>
      <c r="P246" s="4">
        <v>1.68</v>
      </c>
      <c r="Q246" s="3">
        <f t="shared" si="10"/>
        <v>48125</v>
      </c>
      <c r="R246" s="3">
        <f>ROUND((F246/3600)*IFERROR(VLOOKUP(I246, '[1]02_DM_NHAN_SU_MAY'!$M$2:$Q$25, 5, FALSE), 39375), 0)</f>
        <v>39375</v>
      </c>
      <c r="S246" s="3">
        <v>0</v>
      </c>
      <c r="T246" s="3">
        <f t="shared" si="11"/>
        <v>87500</v>
      </c>
    </row>
    <row r="247" spans="1:20" x14ac:dyDescent="0.25">
      <c r="A247" s="5" t="s">
        <v>621</v>
      </c>
      <c r="B247" s="5">
        <v>246</v>
      </c>
      <c r="C247" s="5" t="s">
        <v>217</v>
      </c>
      <c r="D247" s="5" t="s">
        <v>622</v>
      </c>
      <c r="E247" s="5" t="s">
        <v>135</v>
      </c>
      <c r="F247" s="6">
        <v>14400</v>
      </c>
      <c r="G247" s="7">
        <f t="shared" si="9"/>
        <v>0.5</v>
      </c>
      <c r="H247" s="5" t="s">
        <v>34</v>
      </c>
      <c r="I247" s="5" t="s">
        <v>24</v>
      </c>
      <c r="J247" s="5" t="s">
        <v>56</v>
      </c>
      <c r="K247" s="5" t="s">
        <v>57</v>
      </c>
      <c r="L247" s="5" t="s">
        <v>58</v>
      </c>
      <c r="M247" s="5" t="s">
        <v>28</v>
      </c>
      <c r="N247" s="5" t="s">
        <v>29</v>
      </c>
      <c r="O247" s="6">
        <f>IFERROR(VLOOKUP(M247, '[1]08_CSDL_DAO_CU_VAT_LIEU'!$A$2:$F$64, 6, FALSE), 27500)</f>
        <v>27500</v>
      </c>
      <c r="P247" s="7">
        <v>6.72</v>
      </c>
      <c r="Q247" s="6">
        <f t="shared" si="10"/>
        <v>192500</v>
      </c>
      <c r="R247" s="6">
        <f>ROUND((F247/3600)*IFERROR(VLOOKUP(I247, '[1]02_DM_NHAN_SU_MAY'!$M$2:$Q$25, 5, FALSE), 39375), 0)</f>
        <v>157500</v>
      </c>
      <c r="S247" s="6">
        <v>0</v>
      </c>
      <c r="T247" s="6">
        <f t="shared" si="11"/>
        <v>350000</v>
      </c>
    </row>
    <row r="248" spans="1:20" x14ac:dyDescent="0.25">
      <c r="A248" s="2" t="s">
        <v>623</v>
      </c>
      <c r="B248" s="2">
        <v>247</v>
      </c>
      <c r="C248" s="2" t="s">
        <v>217</v>
      </c>
      <c r="D248" s="2" t="s">
        <v>622</v>
      </c>
      <c r="E248" s="2" t="s">
        <v>624</v>
      </c>
      <c r="F248" s="3">
        <v>14400</v>
      </c>
      <c r="G248" s="4">
        <f t="shared" si="9"/>
        <v>0.5</v>
      </c>
      <c r="H248" s="2" t="s">
        <v>34</v>
      </c>
      <c r="I248" s="2" t="s">
        <v>24</v>
      </c>
      <c r="J248" s="2" t="s">
        <v>56</v>
      </c>
      <c r="K248" s="2" t="s">
        <v>57</v>
      </c>
      <c r="L248" s="2" t="s">
        <v>58</v>
      </c>
      <c r="M248" s="2" t="s">
        <v>138</v>
      </c>
      <c r="N248" s="2" t="s">
        <v>139</v>
      </c>
      <c r="O248" s="3">
        <f>IFERROR(VLOOKUP(M248, '[1]08_CSDL_DAO_CU_VAT_LIEU'!$A$2:$F$64, 6, FALSE), 27500)</f>
        <v>32500</v>
      </c>
      <c r="P248" s="4">
        <v>6.72</v>
      </c>
      <c r="Q248" s="3">
        <f t="shared" si="10"/>
        <v>192500</v>
      </c>
      <c r="R248" s="3">
        <f>ROUND((F248/3600)*IFERROR(VLOOKUP(I248, '[1]02_DM_NHAN_SU_MAY'!$M$2:$Q$25, 5, FALSE), 39375), 0)</f>
        <v>157500</v>
      </c>
      <c r="S248" s="3">
        <v>0</v>
      </c>
      <c r="T248" s="3">
        <f t="shared" si="11"/>
        <v>350000</v>
      </c>
    </row>
    <row r="249" spans="1:20" x14ac:dyDescent="0.25">
      <c r="A249" s="5" t="s">
        <v>625</v>
      </c>
      <c r="B249" s="5">
        <v>248</v>
      </c>
      <c r="C249" s="5" t="s">
        <v>68</v>
      </c>
      <c r="D249" s="5" t="s">
        <v>626</v>
      </c>
      <c r="E249" s="5" t="s">
        <v>627</v>
      </c>
      <c r="F249" s="6">
        <v>3600</v>
      </c>
      <c r="G249" s="7">
        <f t="shared" si="9"/>
        <v>0.125</v>
      </c>
      <c r="H249" s="5" t="s">
        <v>34</v>
      </c>
      <c r="I249" s="5" t="s">
        <v>90</v>
      </c>
      <c r="J249" s="5" t="s">
        <v>97</v>
      </c>
      <c r="K249" s="5" t="s">
        <v>98</v>
      </c>
      <c r="L249" s="5" t="s">
        <v>143</v>
      </c>
      <c r="M249" s="5" t="s">
        <v>92</v>
      </c>
      <c r="N249" s="5" t="s">
        <v>93</v>
      </c>
      <c r="O249" s="6">
        <f>IFERROR(VLOOKUP(M249, '[1]08_CSDL_DAO_CU_VAT_LIEU'!$A$2:$F$64, 6, FALSE), 27500)</f>
        <v>74000</v>
      </c>
      <c r="P249" s="7">
        <v>1.4</v>
      </c>
      <c r="Q249" s="6">
        <f t="shared" si="10"/>
        <v>48125</v>
      </c>
      <c r="R249" s="6">
        <f>ROUND((F249/3600)*IFERROR(VLOOKUP(I249, '[1]02_DM_NHAN_SU_MAY'!$M$2:$Q$25, 5, FALSE), 39375), 0)</f>
        <v>26875</v>
      </c>
      <c r="S249" s="6">
        <v>0</v>
      </c>
      <c r="T249" s="6">
        <f t="shared" si="11"/>
        <v>75000</v>
      </c>
    </row>
    <row r="250" spans="1:20" x14ac:dyDescent="0.25">
      <c r="A250" s="2" t="s">
        <v>628</v>
      </c>
      <c r="B250" s="2">
        <v>249</v>
      </c>
      <c r="C250" s="2" t="s">
        <v>68</v>
      </c>
      <c r="D250" s="2" t="s">
        <v>629</v>
      </c>
      <c r="E250" s="2" t="s">
        <v>115</v>
      </c>
      <c r="F250" s="3">
        <v>9000</v>
      </c>
      <c r="G250" s="4">
        <f t="shared" si="9"/>
        <v>0.3125</v>
      </c>
      <c r="H250" s="2" t="s">
        <v>34</v>
      </c>
      <c r="I250" s="2" t="s">
        <v>55</v>
      </c>
      <c r="J250" s="2" t="s">
        <v>97</v>
      </c>
      <c r="K250" s="2" t="s">
        <v>98</v>
      </c>
      <c r="L250" s="2" t="s">
        <v>109</v>
      </c>
      <c r="M250" s="2" t="s">
        <v>49</v>
      </c>
      <c r="N250" s="2" t="s">
        <v>50</v>
      </c>
      <c r="O250" s="3">
        <f>IFERROR(VLOOKUP(M250, '[1]08_CSDL_DAO_CU_VAT_LIEU'!$A$2:$F$64, 6, FALSE), 27500)</f>
        <v>20833.330000000002</v>
      </c>
      <c r="P250" s="4">
        <v>3.5</v>
      </c>
      <c r="Q250" s="3">
        <f t="shared" si="10"/>
        <v>120313</v>
      </c>
      <c r="R250" s="3">
        <f>ROUND((F250/3600)*IFERROR(VLOOKUP(I250, '[1]02_DM_NHAN_SU_MAY'!$M$2:$Q$25, 5, FALSE), 39375), 0)</f>
        <v>35938</v>
      </c>
      <c r="S250" s="3">
        <v>0</v>
      </c>
      <c r="T250" s="3">
        <f t="shared" si="11"/>
        <v>156251</v>
      </c>
    </row>
    <row r="251" spans="1:20" x14ac:dyDescent="0.25">
      <c r="A251" s="5" t="s">
        <v>630</v>
      </c>
      <c r="B251" s="5">
        <v>250</v>
      </c>
      <c r="C251" s="5" t="s">
        <v>68</v>
      </c>
      <c r="D251" s="5" t="s">
        <v>629</v>
      </c>
      <c r="E251" s="5" t="s">
        <v>117</v>
      </c>
      <c r="F251" s="6">
        <v>1200</v>
      </c>
      <c r="G251" s="7">
        <f t="shared" si="9"/>
        <v>4.1700000000000001E-2</v>
      </c>
      <c r="H251" s="5" t="s">
        <v>34</v>
      </c>
      <c r="I251" s="5" t="s">
        <v>61</v>
      </c>
      <c r="J251" s="5" t="s">
        <v>97</v>
      </c>
      <c r="K251" s="5" t="s">
        <v>98</v>
      </c>
      <c r="L251" s="5" t="s">
        <v>109</v>
      </c>
      <c r="M251" s="5" t="s">
        <v>49</v>
      </c>
      <c r="N251" s="5" t="s">
        <v>50</v>
      </c>
      <c r="O251" s="6">
        <f>IFERROR(VLOOKUP(M251, '[1]08_CSDL_DAO_CU_VAT_LIEU'!$A$2:$F$64, 6, FALSE), 27500)</f>
        <v>20833.330000000002</v>
      </c>
      <c r="P251" s="7">
        <v>0.47</v>
      </c>
      <c r="Q251" s="6">
        <f t="shared" si="10"/>
        <v>16042</v>
      </c>
      <c r="R251" s="6">
        <f>ROUND((F251/3600)*IFERROR(VLOOKUP(I251, '[1]02_DM_NHAN_SU_MAY'!$M$2:$Q$25, 5, FALSE), 39375), 0)</f>
        <v>4792</v>
      </c>
      <c r="S251" s="6">
        <v>0</v>
      </c>
      <c r="T251" s="6">
        <f t="shared" si="11"/>
        <v>20834</v>
      </c>
    </row>
    <row r="252" spans="1:20" x14ac:dyDescent="0.25">
      <c r="A252" s="2" t="s">
        <v>631</v>
      </c>
      <c r="B252" s="2">
        <v>251</v>
      </c>
      <c r="C252" s="2" t="s">
        <v>68</v>
      </c>
      <c r="D252" s="2" t="s">
        <v>632</v>
      </c>
      <c r="E252" s="2" t="s">
        <v>633</v>
      </c>
      <c r="F252" s="2">
        <v>600</v>
      </c>
      <c r="G252" s="4">
        <f t="shared" si="9"/>
        <v>2.0799999999999999E-2</v>
      </c>
      <c r="H252" s="2" t="s">
        <v>34</v>
      </c>
      <c r="I252" s="2" t="s">
        <v>90</v>
      </c>
      <c r="J252" s="2" t="s">
        <v>97</v>
      </c>
      <c r="K252" s="2" t="s">
        <v>98</v>
      </c>
      <c r="L252" s="2" t="s">
        <v>143</v>
      </c>
      <c r="M252" s="2" t="s">
        <v>92</v>
      </c>
      <c r="N252" s="2" t="s">
        <v>93</v>
      </c>
      <c r="O252" s="3">
        <f>IFERROR(VLOOKUP(M252, '[1]08_CSDL_DAO_CU_VAT_LIEU'!$A$2:$F$64, 6, FALSE), 27500)</f>
        <v>74000</v>
      </c>
      <c r="P252" s="4">
        <v>0.23</v>
      </c>
      <c r="Q252" s="3">
        <f t="shared" si="10"/>
        <v>8021</v>
      </c>
      <c r="R252" s="3">
        <f>ROUND((F252/3600)*IFERROR(VLOOKUP(I252, '[1]02_DM_NHAN_SU_MAY'!$M$2:$Q$25, 5, FALSE), 39375), 0)</f>
        <v>4479</v>
      </c>
      <c r="S252" s="3">
        <v>0</v>
      </c>
      <c r="T252" s="3">
        <f t="shared" si="11"/>
        <v>12500</v>
      </c>
    </row>
    <row r="253" spans="1:20" x14ac:dyDescent="0.25">
      <c r="A253" s="5" t="s">
        <v>634</v>
      </c>
      <c r="B253" s="5">
        <v>252</v>
      </c>
      <c r="C253" s="5" t="s">
        <v>217</v>
      </c>
      <c r="D253" s="5" t="s">
        <v>635</v>
      </c>
      <c r="E253" s="5" t="s">
        <v>96</v>
      </c>
      <c r="F253" s="6">
        <v>7200</v>
      </c>
      <c r="G253" s="7">
        <f t="shared" si="9"/>
        <v>0.25</v>
      </c>
      <c r="H253" s="5">
        <v>1</v>
      </c>
      <c r="I253" s="5" t="s">
        <v>71</v>
      </c>
      <c r="J253" s="5" t="s">
        <v>56</v>
      </c>
      <c r="K253" s="5" t="s">
        <v>57</v>
      </c>
      <c r="L253" s="5" t="s">
        <v>636</v>
      </c>
      <c r="M253" s="5" t="s">
        <v>75</v>
      </c>
      <c r="N253" s="5" t="s">
        <v>76</v>
      </c>
      <c r="O253" s="6">
        <f>IFERROR(VLOOKUP(M253, '[1]08_CSDL_DAO_CU_VAT_LIEU'!$A$2:$F$64, 6, FALSE), 27500)</f>
        <v>42500</v>
      </c>
      <c r="P253" s="7">
        <v>3.36</v>
      </c>
      <c r="Q253" s="6">
        <f t="shared" si="10"/>
        <v>96250</v>
      </c>
      <c r="R253" s="6">
        <f>ROUND((F253/3600)*IFERROR(VLOOKUP(I253, '[1]02_DM_NHAN_SU_MAY'!$M$2:$Q$25, 5, FALSE), 39375), 0)</f>
        <v>53750</v>
      </c>
      <c r="S253" s="6">
        <v>0</v>
      </c>
      <c r="T253" s="6">
        <f t="shared" si="11"/>
        <v>150000</v>
      </c>
    </row>
    <row r="254" spans="1:20" x14ac:dyDescent="0.25">
      <c r="A254" s="2" t="s">
        <v>637</v>
      </c>
      <c r="B254" s="2">
        <v>253</v>
      </c>
      <c r="C254" s="2" t="s">
        <v>217</v>
      </c>
      <c r="D254" s="2" t="s">
        <v>635</v>
      </c>
      <c r="E254" s="2" t="s">
        <v>638</v>
      </c>
      <c r="F254" s="3">
        <v>3600</v>
      </c>
      <c r="G254" s="4">
        <f t="shared" si="9"/>
        <v>0.125</v>
      </c>
      <c r="H254" s="2">
        <v>2</v>
      </c>
      <c r="I254" s="2" t="s">
        <v>71</v>
      </c>
      <c r="J254" s="2" t="s">
        <v>56</v>
      </c>
      <c r="K254" s="2" t="s">
        <v>57</v>
      </c>
      <c r="L254" s="2" t="s">
        <v>58</v>
      </c>
      <c r="M254" s="2" t="s">
        <v>75</v>
      </c>
      <c r="N254" s="2" t="s">
        <v>76</v>
      </c>
      <c r="O254" s="3">
        <f>IFERROR(VLOOKUP(M254, '[1]08_CSDL_DAO_CU_VAT_LIEU'!$A$2:$F$64, 6, FALSE), 27500)</f>
        <v>42500</v>
      </c>
      <c r="P254" s="4">
        <v>1.68</v>
      </c>
      <c r="Q254" s="3">
        <f t="shared" si="10"/>
        <v>48125</v>
      </c>
      <c r="R254" s="3">
        <f>ROUND((F254/3600)*IFERROR(VLOOKUP(I254, '[1]02_DM_NHAN_SU_MAY'!$M$2:$Q$25, 5, FALSE), 39375), 0)</f>
        <v>26875</v>
      </c>
      <c r="S254" s="3">
        <v>0</v>
      </c>
      <c r="T254" s="3">
        <f t="shared" si="11"/>
        <v>75000</v>
      </c>
    </row>
    <row r="255" spans="1:20" x14ac:dyDescent="0.25">
      <c r="A255" s="5" t="s">
        <v>639</v>
      </c>
      <c r="B255" s="5">
        <v>254</v>
      </c>
      <c r="C255" s="5" t="s">
        <v>217</v>
      </c>
      <c r="D255" s="5" t="s">
        <v>635</v>
      </c>
      <c r="E255" s="5" t="s">
        <v>640</v>
      </c>
      <c r="F255" s="6">
        <v>5400</v>
      </c>
      <c r="G255" s="7">
        <f t="shared" si="9"/>
        <v>0.1875</v>
      </c>
      <c r="H255" s="5">
        <v>3</v>
      </c>
      <c r="I255" s="5" t="s">
        <v>71</v>
      </c>
      <c r="J255" s="5" t="s">
        <v>56</v>
      </c>
      <c r="K255" s="5" t="s">
        <v>57</v>
      </c>
      <c r="L255" s="5" t="s">
        <v>58</v>
      </c>
      <c r="M255" s="5" t="s">
        <v>583</v>
      </c>
      <c r="N255" s="5" t="s">
        <v>584</v>
      </c>
      <c r="O255" s="6">
        <f>IFERROR(VLOOKUP(M255, '[1]08_CSDL_DAO_CU_VAT_LIEU'!$A$2:$F$64, 6, FALSE), 27500)</f>
        <v>36250</v>
      </c>
      <c r="P255" s="7">
        <v>2.52</v>
      </c>
      <c r="Q255" s="6">
        <f t="shared" si="10"/>
        <v>72188</v>
      </c>
      <c r="R255" s="6">
        <f>ROUND((F255/3600)*IFERROR(VLOOKUP(I255, '[1]02_DM_NHAN_SU_MAY'!$M$2:$Q$25, 5, FALSE), 39375), 0)</f>
        <v>40313</v>
      </c>
      <c r="S255" s="6">
        <v>0</v>
      </c>
      <c r="T255" s="6">
        <f t="shared" si="11"/>
        <v>112501</v>
      </c>
    </row>
    <row r="256" spans="1:20" x14ac:dyDescent="0.25">
      <c r="A256" s="2" t="s">
        <v>641</v>
      </c>
      <c r="B256" s="2">
        <v>255</v>
      </c>
      <c r="C256" s="2" t="s">
        <v>217</v>
      </c>
      <c r="D256" s="2" t="s">
        <v>642</v>
      </c>
      <c r="E256" s="2" t="s">
        <v>96</v>
      </c>
      <c r="F256" s="3">
        <v>7200</v>
      </c>
      <c r="G256" s="4">
        <f t="shared" si="9"/>
        <v>0.25</v>
      </c>
      <c r="H256" s="2">
        <v>1</v>
      </c>
      <c r="I256" s="2" t="s">
        <v>71</v>
      </c>
      <c r="J256" s="2" t="s">
        <v>56</v>
      </c>
      <c r="K256" s="2" t="s">
        <v>57</v>
      </c>
      <c r="L256" s="2" t="s">
        <v>636</v>
      </c>
      <c r="M256" s="2" t="s">
        <v>75</v>
      </c>
      <c r="N256" s="2" t="s">
        <v>76</v>
      </c>
      <c r="O256" s="3">
        <f>IFERROR(VLOOKUP(M256, '[1]08_CSDL_DAO_CU_VAT_LIEU'!$A$2:$F$64, 6, FALSE), 27500)</f>
        <v>42500</v>
      </c>
      <c r="P256" s="4">
        <v>3.36</v>
      </c>
      <c r="Q256" s="3">
        <f t="shared" si="10"/>
        <v>96250</v>
      </c>
      <c r="R256" s="3">
        <f>ROUND((F256/3600)*IFERROR(VLOOKUP(I256, '[1]02_DM_NHAN_SU_MAY'!$M$2:$Q$25, 5, FALSE), 39375), 0)</f>
        <v>53750</v>
      </c>
      <c r="S256" s="3">
        <v>0</v>
      </c>
      <c r="T256" s="3">
        <f t="shared" si="11"/>
        <v>150000</v>
      </c>
    </row>
    <row r="257" spans="1:20" x14ac:dyDescent="0.25">
      <c r="A257" s="5" t="s">
        <v>643</v>
      </c>
      <c r="B257" s="5">
        <v>256</v>
      </c>
      <c r="C257" s="5" t="s">
        <v>217</v>
      </c>
      <c r="D257" s="5" t="s">
        <v>642</v>
      </c>
      <c r="E257" s="5" t="s">
        <v>638</v>
      </c>
      <c r="F257" s="6">
        <v>3600</v>
      </c>
      <c r="G257" s="7">
        <f t="shared" si="9"/>
        <v>0.125</v>
      </c>
      <c r="H257" s="5">
        <v>2</v>
      </c>
      <c r="I257" s="5" t="s">
        <v>71</v>
      </c>
      <c r="J257" s="5" t="s">
        <v>56</v>
      </c>
      <c r="K257" s="5" t="s">
        <v>57</v>
      </c>
      <c r="L257" s="5" t="s">
        <v>58</v>
      </c>
      <c r="M257" s="5" t="s">
        <v>75</v>
      </c>
      <c r="N257" s="5" t="s">
        <v>76</v>
      </c>
      <c r="O257" s="6">
        <f>IFERROR(VLOOKUP(M257, '[1]08_CSDL_DAO_CU_VAT_LIEU'!$A$2:$F$64, 6, FALSE), 27500)</f>
        <v>42500</v>
      </c>
      <c r="P257" s="7">
        <v>1.68</v>
      </c>
      <c r="Q257" s="6">
        <f t="shared" si="10"/>
        <v>48125</v>
      </c>
      <c r="R257" s="6">
        <f>ROUND((F257/3600)*IFERROR(VLOOKUP(I257, '[1]02_DM_NHAN_SU_MAY'!$M$2:$Q$25, 5, FALSE), 39375), 0)</f>
        <v>26875</v>
      </c>
      <c r="S257" s="6">
        <v>0</v>
      </c>
      <c r="T257" s="6">
        <f t="shared" si="11"/>
        <v>75000</v>
      </c>
    </row>
    <row r="258" spans="1:20" x14ac:dyDescent="0.25">
      <c r="A258" s="2" t="s">
        <v>644</v>
      </c>
      <c r="B258" s="2">
        <v>257</v>
      </c>
      <c r="C258" s="2" t="s">
        <v>217</v>
      </c>
      <c r="D258" s="2" t="s">
        <v>642</v>
      </c>
      <c r="E258" s="2" t="s">
        <v>640</v>
      </c>
      <c r="F258" s="3">
        <v>5400</v>
      </c>
      <c r="G258" s="4">
        <f t="shared" ref="G258:G321" si="12">ROUND(F258/28800, 4)</f>
        <v>0.1875</v>
      </c>
      <c r="H258" s="2">
        <v>3</v>
      </c>
      <c r="I258" s="2" t="s">
        <v>71</v>
      </c>
      <c r="J258" s="2" t="s">
        <v>56</v>
      </c>
      <c r="K258" s="2" t="s">
        <v>57</v>
      </c>
      <c r="L258" s="2" t="s">
        <v>58</v>
      </c>
      <c r="M258" s="2" t="s">
        <v>583</v>
      </c>
      <c r="N258" s="2" t="s">
        <v>584</v>
      </c>
      <c r="O258" s="3">
        <f>IFERROR(VLOOKUP(M258, '[1]08_CSDL_DAO_CU_VAT_LIEU'!$A$2:$F$64, 6, FALSE), 27500)</f>
        <v>36250</v>
      </c>
      <c r="P258" s="4">
        <v>2.52</v>
      </c>
      <c r="Q258" s="3">
        <f t="shared" ref="Q258:Q321" si="13">ROUND(F258*(385000/28800), 0)</f>
        <v>72188</v>
      </c>
      <c r="R258" s="3">
        <f>ROUND((F258/3600)*IFERROR(VLOOKUP(I258, '[1]02_DM_NHAN_SU_MAY'!$M$2:$Q$25, 5, FALSE), 39375), 0)</f>
        <v>40313</v>
      </c>
      <c r="S258" s="3">
        <v>0</v>
      </c>
      <c r="T258" s="3">
        <f t="shared" ref="T258:T321" si="14">Q258+R258</f>
        <v>112501</v>
      </c>
    </row>
    <row r="259" spans="1:20" x14ac:dyDescent="0.25">
      <c r="A259" s="5" t="s">
        <v>645</v>
      </c>
      <c r="B259" s="5">
        <v>258</v>
      </c>
      <c r="C259" s="5" t="s">
        <v>68</v>
      </c>
      <c r="D259" s="5" t="s">
        <v>646</v>
      </c>
      <c r="E259" s="5" t="s">
        <v>647</v>
      </c>
      <c r="F259" s="5">
        <v>600</v>
      </c>
      <c r="G259" s="7">
        <f t="shared" si="12"/>
        <v>2.0799999999999999E-2</v>
      </c>
      <c r="H259" s="5" t="s">
        <v>34</v>
      </c>
      <c r="I259" s="5" t="s">
        <v>90</v>
      </c>
      <c r="J259" s="5" t="s">
        <v>97</v>
      </c>
      <c r="K259" s="5" t="s">
        <v>98</v>
      </c>
      <c r="L259" s="5" t="s">
        <v>143</v>
      </c>
      <c r="M259" s="5" t="s">
        <v>587</v>
      </c>
      <c r="N259" s="5" t="s">
        <v>588</v>
      </c>
      <c r="O259" s="6">
        <f>IFERROR(VLOOKUP(M259, '[1]08_CSDL_DAO_CU_VAT_LIEU'!$A$2:$F$64, 6, FALSE), 27500)</f>
        <v>240000</v>
      </c>
      <c r="P259" s="7">
        <v>0.23</v>
      </c>
      <c r="Q259" s="6">
        <f t="shared" si="13"/>
        <v>8021</v>
      </c>
      <c r="R259" s="6">
        <f>ROUND((F259/3600)*IFERROR(VLOOKUP(I259, '[1]02_DM_NHAN_SU_MAY'!$M$2:$Q$25, 5, FALSE), 39375), 0)</f>
        <v>4479</v>
      </c>
      <c r="S259" s="6">
        <v>0</v>
      </c>
      <c r="T259" s="6">
        <f t="shared" si="14"/>
        <v>12500</v>
      </c>
    </row>
    <row r="260" spans="1:20" x14ac:dyDescent="0.25">
      <c r="A260" s="2" t="s">
        <v>648</v>
      </c>
      <c r="B260" s="2">
        <v>259</v>
      </c>
      <c r="C260" s="2" t="s">
        <v>68</v>
      </c>
      <c r="D260" s="2" t="s">
        <v>649</v>
      </c>
      <c r="E260" s="2" t="s">
        <v>243</v>
      </c>
      <c r="F260" s="3">
        <v>21600</v>
      </c>
      <c r="G260" s="4">
        <f t="shared" si="12"/>
        <v>0.75</v>
      </c>
      <c r="H260" s="2">
        <v>1</v>
      </c>
      <c r="I260" s="2" t="s">
        <v>24</v>
      </c>
      <c r="J260" s="2" t="s">
        <v>72</v>
      </c>
      <c r="K260" s="2" t="s">
        <v>73</v>
      </c>
      <c r="L260" s="2" t="s">
        <v>508</v>
      </c>
      <c r="M260" s="2" t="s">
        <v>28</v>
      </c>
      <c r="N260" s="2" t="s">
        <v>29</v>
      </c>
      <c r="O260" s="3">
        <f>IFERROR(VLOOKUP(M260, '[1]08_CSDL_DAO_CU_VAT_LIEU'!$A$2:$F$64, 6, FALSE), 27500)</f>
        <v>27500</v>
      </c>
      <c r="P260" s="4">
        <v>8.4</v>
      </c>
      <c r="Q260" s="3">
        <f t="shared" si="13"/>
        <v>288750</v>
      </c>
      <c r="R260" s="3">
        <f>ROUND((F260/3600)*IFERROR(VLOOKUP(I260, '[1]02_DM_NHAN_SU_MAY'!$M$2:$Q$25, 5, FALSE), 39375), 0)</f>
        <v>236250</v>
      </c>
      <c r="S260" s="3">
        <v>0</v>
      </c>
      <c r="T260" s="3">
        <f t="shared" si="14"/>
        <v>525000</v>
      </c>
    </row>
    <row r="261" spans="1:20" x14ac:dyDescent="0.25">
      <c r="A261" s="5" t="s">
        <v>650</v>
      </c>
      <c r="B261" s="5">
        <v>260</v>
      </c>
      <c r="C261" s="5" t="s">
        <v>68</v>
      </c>
      <c r="D261" s="5" t="s">
        <v>651</v>
      </c>
      <c r="E261" s="5" t="s">
        <v>476</v>
      </c>
      <c r="F261" s="6">
        <v>1200</v>
      </c>
      <c r="G261" s="7">
        <f t="shared" si="12"/>
        <v>4.1700000000000001E-2</v>
      </c>
      <c r="H261" s="5">
        <v>2</v>
      </c>
      <c r="I261" s="5" t="s">
        <v>24</v>
      </c>
      <c r="J261" s="5" t="s">
        <v>97</v>
      </c>
      <c r="K261" s="5" t="s">
        <v>98</v>
      </c>
      <c r="L261" s="5" t="s">
        <v>109</v>
      </c>
      <c r="M261" s="5" t="s">
        <v>28</v>
      </c>
      <c r="N261" s="5" t="s">
        <v>29</v>
      </c>
      <c r="O261" s="6">
        <f>IFERROR(VLOOKUP(M261, '[1]08_CSDL_DAO_CU_VAT_LIEU'!$A$2:$F$64, 6, FALSE), 27500)</f>
        <v>27500</v>
      </c>
      <c r="P261" s="7">
        <v>0.47</v>
      </c>
      <c r="Q261" s="6">
        <f t="shared" si="13"/>
        <v>16042</v>
      </c>
      <c r="R261" s="6">
        <f>ROUND((F261/3600)*IFERROR(VLOOKUP(I261, '[1]02_DM_NHAN_SU_MAY'!$M$2:$Q$25, 5, FALSE), 39375), 0)</f>
        <v>13125</v>
      </c>
      <c r="S261" s="6">
        <v>0</v>
      </c>
      <c r="T261" s="6">
        <f t="shared" si="14"/>
        <v>29167</v>
      </c>
    </row>
    <row r="262" spans="1:20" x14ac:dyDescent="0.25">
      <c r="A262" s="2" t="s">
        <v>652</v>
      </c>
      <c r="B262" s="2">
        <v>261</v>
      </c>
      <c r="C262" s="2" t="s">
        <v>68</v>
      </c>
      <c r="D262" s="2" t="s">
        <v>651</v>
      </c>
      <c r="E262" s="2" t="s">
        <v>653</v>
      </c>
      <c r="F262" s="3">
        <v>2400</v>
      </c>
      <c r="G262" s="4">
        <f t="shared" si="12"/>
        <v>8.3299999999999999E-2</v>
      </c>
      <c r="H262" s="2" t="s">
        <v>34</v>
      </c>
      <c r="I262" s="2" t="s">
        <v>90</v>
      </c>
      <c r="J262" s="2" t="s">
        <v>97</v>
      </c>
      <c r="K262" s="2" t="s">
        <v>98</v>
      </c>
      <c r="L262" s="2" t="s">
        <v>143</v>
      </c>
      <c r="M262" s="2" t="s">
        <v>587</v>
      </c>
      <c r="N262" s="2" t="s">
        <v>588</v>
      </c>
      <c r="O262" s="3">
        <f>IFERROR(VLOOKUP(M262, '[1]08_CSDL_DAO_CU_VAT_LIEU'!$A$2:$F$64, 6, FALSE), 27500)</f>
        <v>240000</v>
      </c>
      <c r="P262" s="4">
        <v>0.93</v>
      </c>
      <c r="Q262" s="3">
        <f t="shared" si="13"/>
        <v>32083</v>
      </c>
      <c r="R262" s="3">
        <f>ROUND((F262/3600)*IFERROR(VLOOKUP(I262, '[1]02_DM_NHAN_SU_MAY'!$M$2:$Q$25, 5, FALSE), 39375), 0)</f>
        <v>17917</v>
      </c>
      <c r="S262" s="3">
        <v>0</v>
      </c>
      <c r="T262" s="3">
        <f t="shared" si="14"/>
        <v>50000</v>
      </c>
    </row>
    <row r="263" spans="1:20" x14ac:dyDescent="0.25">
      <c r="A263" s="5" t="s">
        <v>654</v>
      </c>
      <c r="B263" s="5">
        <v>262</v>
      </c>
      <c r="C263" s="5" t="s">
        <v>655</v>
      </c>
      <c r="D263" s="5" t="s">
        <v>656</v>
      </c>
      <c r="E263" s="5" t="s">
        <v>657</v>
      </c>
      <c r="F263" s="5">
        <v>600</v>
      </c>
      <c r="G263" s="7">
        <f t="shared" si="12"/>
        <v>2.0799999999999999E-2</v>
      </c>
      <c r="H263" s="5" t="s">
        <v>34</v>
      </c>
      <c r="I263" s="5" t="s">
        <v>90</v>
      </c>
      <c r="J263" s="5" t="s">
        <v>658</v>
      </c>
      <c r="K263" s="5" t="s">
        <v>659</v>
      </c>
      <c r="L263" s="5" t="s">
        <v>660</v>
      </c>
      <c r="M263" s="5" t="s">
        <v>661</v>
      </c>
      <c r="N263" s="5" t="s">
        <v>662</v>
      </c>
      <c r="O263" s="6">
        <f>IFERROR(VLOOKUP(M263, '[1]08_CSDL_DAO_CU_VAT_LIEU'!$A$2:$F$64, 6, FALSE), 27500)</f>
        <v>180000</v>
      </c>
      <c r="P263" s="7">
        <v>0.35</v>
      </c>
      <c r="Q263" s="6">
        <f t="shared" si="13"/>
        <v>8021</v>
      </c>
      <c r="R263" s="6">
        <f>ROUND((F263/3600)*IFERROR(VLOOKUP(I263, '[1]02_DM_NHAN_SU_MAY'!$M$2:$Q$25, 5, FALSE), 39375), 0)</f>
        <v>4479</v>
      </c>
      <c r="S263" s="6">
        <v>0</v>
      </c>
      <c r="T263" s="6">
        <f t="shared" si="14"/>
        <v>12500</v>
      </c>
    </row>
    <row r="264" spans="1:20" x14ac:dyDescent="0.25">
      <c r="A264" s="2" t="s">
        <v>663</v>
      </c>
      <c r="B264" s="2">
        <v>263</v>
      </c>
      <c r="C264" s="2" t="s">
        <v>217</v>
      </c>
      <c r="D264" s="2" t="s">
        <v>635</v>
      </c>
      <c r="E264" s="2" t="s">
        <v>664</v>
      </c>
      <c r="F264" s="3">
        <v>2700</v>
      </c>
      <c r="G264" s="4">
        <f t="shared" si="12"/>
        <v>9.3799999999999994E-2</v>
      </c>
      <c r="H264" s="2">
        <v>4</v>
      </c>
      <c r="I264" s="2" t="s">
        <v>71</v>
      </c>
      <c r="J264" s="2" t="s">
        <v>56</v>
      </c>
      <c r="K264" s="2" t="s">
        <v>57</v>
      </c>
      <c r="L264" s="2" t="s">
        <v>58</v>
      </c>
      <c r="M264" s="2" t="s">
        <v>75</v>
      </c>
      <c r="N264" s="2" t="s">
        <v>76</v>
      </c>
      <c r="O264" s="3">
        <f>IFERROR(VLOOKUP(M264, '[1]08_CSDL_DAO_CU_VAT_LIEU'!$A$2:$F$64, 6, FALSE), 27500)</f>
        <v>42500</v>
      </c>
      <c r="P264" s="4">
        <v>1.26</v>
      </c>
      <c r="Q264" s="3">
        <f t="shared" si="13"/>
        <v>36094</v>
      </c>
      <c r="R264" s="3">
        <f>ROUND((F264/3600)*IFERROR(VLOOKUP(I264, '[1]02_DM_NHAN_SU_MAY'!$M$2:$Q$25, 5, FALSE), 39375), 0)</f>
        <v>20156</v>
      </c>
      <c r="S264" s="3">
        <v>0</v>
      </c>
      <c r="T264" s="3">
        <f t="shared" si="14"/>
        <v>56250</v>
      </c>
    </row>
    <row r="265" spans="1:20" x14ac:dyDescent="0.25">
      <c r="A265" s="5" t="s">
        <v>665</v>
      </c>
      <c r="B265" s="5">
        <v>264</v>
      </c>
      <c r="C265" s="5" t="s">
        <v>217</v>
      </c>
      <c r="D265" s="5" t="s">
        <v>635</v>
      </c>
      <c r="E265" s="5" t="s">
        <v>666</v>
      </c>
      <c r="F265" s="6">
        <v>2700</v>
      </c>
      <c r="G265" s="7">
        <f t="shared" si="12"/>
        <v>9.3799999999999994E-2</v>
      </c>
      <c r="H265" s="5">
        <v>5</v>
      </c>
      <c r="I265" s="5" t="s">
        <v>71</v>
      </c>
      <c r="J265" s="5" t="s">
        <v>56</v>
      </c>
      <c r="K265" s="5" t="s">
        <v>57</v>
      </c>
      <c r="L265" s="5" t="s">
        <v>58</v>
      </c>
      <c r="M265" s="5" t="s">
        <v>75</v>
      </c>
      <c r="N265" s="5" t="s">
        <v>76</v>
      </c>
      <c r="O265" s="6">
        <f>IFERROR(VLOOKUP(M265, '[1]08_CSDL_DAO_CU_VAT_LIEU'!$A$2:$F$64, 6, FALSE), 27500)</f>
        <v>42500</v>
      </c>
      <c r="P265" s="7">
        <v>1.26</v>
      </c>
      <c r="Q265" s="6">
        <f t="shared" si="13"/>
        <v>36094</v>
      </c>
      <c r="R265" s="6">
        <f>ROUND((F265/3600)*IFERROR(VLOOKUP(I265, '[1]02_DM_NHAN_SU_MAY'!$M$2:$Q$25, 5, FALSE), 39375), 0)</f>
        <v>20156</v>
      </c>
      <c r="S265" s="6">
        <v>0</v>
      </c>
      <c r="T265" s="6">
        <f t="shared" si="14"/>
        <v>56250</v>
      </c>
    </row>
    <row r="266" spans="1:20" x14ac:dyDescent="0.25">
      <c r="A266" s="2" t="s">
        <v>667</v>
      </c>
      <c r="B266" s="2">
        <v>265</v>
      </c>
      <c r="C266" s="2" t="s">
        <v>217</v>
      </c>
      <c r="D266" s="2" t="s">
        <v>642</v>
      </c>
      <c r="E266" s="2" t="s">
        <v>668</v>
      </c>
      <c r="F266" s="3">
        <v>2700</v>
      </c>
      <c r="G266" s="4">
        <f t="shared" si="12"/>
        <v>9.3799999999999994E-2</v>
      </c>
      <c r="H266" s="2">
        <v>4</v>
      </c>
      <c r="I266" s="2" t="s">
        <v>71</v>
      </c>
      <c r="J266" s="2" t="s">
        <v>56</v>
      </c>
      <c r="K266" s="2" t="s">
        <v>57</v>
      </c>
      <c r="L266" s="2" t="s">
        <v>58</v>
      </c>
      <c r="M266" s="2" t="s">
        <v>75</v>
      </c>
      <c r="N266" s="2" t="s">
        <v>76</v>
      </c>
      <c r="O266" s="3">
        <f>IFERROR(VLOOKUP(M266, '[1]08_CSDL_DAO_CU_VAT_LIEU'!$A$2:$F$64, 6, FALSE), 27500)</f>
        <v>42500</v>
      </c>
      <c r="P266" s="4">
        <v>1.26</v>
      </c>
      <c r="Q266" s="3">
        <f t="shared" si="13"/>
        <v>36094</v>
      </c>
      <c r="R266" s="3">
        <f>ROUND((F266/3600)*IFERROR(VLOOKUP(I266, '[1]02_DM_NHAN_SU_MAY'!$M$2:$Q$25, 5, FALSE), 39375), 0)</f>
        <v>20156</v>
      </c>
      <c r="S266" s="3">
        <v>0</v>
      </c>
      <c r="T266" s="3">
        <f t="shared" si="14"/>
        <v>56250</v>
      </c>
    </row>
    <row r="267" spans="1:20" x14ac:dyDescent="0.25">
      <c r="A267" s="5" t="s">
        <v>669</v>
      </c>
      <c r="B267" s="5">
        <v>266</v>
      </c>
      <c r="C267" s="5" t="s">
        <v>217</v>
      </c>
      <c r="D267" s="5" t="s">
        <v>642</v>
      </c>
      <c r="E267" s="5" t="s">
        <v>670</v>
      </c>
      <c r="F267" s="6">
        <v>2700</v>
      </c>
      <c r="G267" s="7">
        <f t="shared" si="12"/>
        <v>9.3799999999999994E-2</v>
      </c>
      <c r="H267" s="5">
        <v>5</v>
      </c>
      <c r="I267" s="5" t="s">
        <v>71</v>
      </c>
      <c r="J267" s="5" t="s">
        <v>56</v>
      </c>
      <c r="K267" s="5" t="s">
        <v>57</v>
      </c>
      <c r="L267" s="5" t="s">
        <v>58</v>
      </c>
      <c r="M267" s="5" t="s">
        <v>75</v>
      </c>
      <c r="N267" s="5" t="s">
        <v>76</v>
      </c>
      <c r="O267" s="6">
        <f>IFERROR(VLOOKUP(M267, '[1]08_CSDL_DAO_CU_VAT_LIEU'!$A$2:$F$64, 6, FALSE), 27500)</f>
        <v>42500</v>
      </c>
      <c r="P267" s="7">
        <v>1.26</v>
      </c>
      <c r="Q267" s="6">
        <f t="shared" si="13"/>
        <v>36094</v>
      </c>
      <c r="R267" s="6">
        <f>ROUND((F267/3600)*IFERROR(VLOOKUP(I267, '[1]02_DM_NHAN_SU_MAY'!$M$2:$Q$25, 5, FALSE), 39375), 0)</f>
        <v>20156</v>
      </c>
      <c r="S267" s="6">
        <v>0</v>
      </c>
      <c r="T267" s="6">
        <f t="shared" si="14"/>
        <v>56250</v>
      </c>
    </row>
    <row r="268" spans="1:20" x14ac:dyDescent="0.25">
      <c r="A268" s="2" t="s">
        <v>671</v>
      </c>
      <c r="B268" s="2">
        <v>267</v>
      </c>
      <c r="C268" s="2" t="s">
        <v>68</v>
      </c>
      <c r="D268" s="2" t="s">
        <v>672</v>
      </c>
      <c r="E268" s="2" t="s">
        <v>469</v>
      </c>
      <c r="F268" s="2">
        <v>240</v>
      </c>
      <c r="G268" s="4">
        <f t="shared" si="12"/>
        <v>8.3000000000000001E-3</v>
      </c>
      <c r="H268" s="2" t="s">
        <v>34</v>
      </c>
      <c r="I268" s="2" t="s">
        <v>24</v>
      </c>
      <c r="J268" s="2" t="s">
        <v>238</v>
      </c>
      <c r="K268" s="2" t="s">
        <v>239</v>
      </c>
      <c r="L268" s="2" t="s">
        <v>285</v>
      </c>
      <c r="M268" s="2" t="s">
        <v>28</v>
      </c>
      <c r="N268" s="2" t="s">
        <v>29</v>
      </c>
      <c r="O268" s="3">
        <f>IFERROR(VLOOKUP(M268, '[1]08_CSDL_DAO_CU_VAT_LIEU'!$A$2:$F$64, 6, FALSE), 27500)</f>
        <v>27500</v>
      </c>
      <c r="P268" s="4">
        <v>0.09</v>
      </c>
      <c r="Q268" s="3">
        <f t="shared" si="13"/>
        <v>3208</v>
      </c>
      <c r="R268" s="3">
        <f>ROUND((F268/3600)*IFERROR(VLOOKUP(I268, '[1]02_DM_NHAN_SU_MAY'!$M$2:$Q$25, 5, FALSE), 39375), 0)</f>
        <v>2625</v>
      </c>
      <c r="S268" s="3">
        <v>0</v>
      </c>
      <c r="T268" s="3">
        <f t="shared" si="14"/>
        <v>5833</v>
      </c>
    </row>
    <row r="269" spans="1:20" x14ac:dyDescent="0.25">
      <c r="A269" s="5" t="s">
        <v>673</v>
      </c>
      <c r="B269" s="5">
        <v>268</v>
      </c>
      <c r="C269" s="5" t="s">
        <v>68</v>
      </c>
      <c r="D269" s="5" t="s">
        <v>674</v>
      </c>
      <c r="E269" s="5" t="s">
        <v>600</v>
      </c>
      <c r="F269" s="5">
        <v>360</v>
      </c>
      <c r="G269" s="7">
        <f t="shared" si="12"/>
        <v>1.2500000000000001E-2</v>
      </c>
      <c r="H269" s="5" t="s">
        <v>34</v>
      </c>
      <c r="I269" s="5" t="s">
        <v>90</v>
      </c>
      <c r="J269" s="5" t="s">
        <v>72</v>
      </c>
      <c r="K269" s="5" t="s">
        <v>73</v>
      </c>
      <c r="L269" s="5" t="s">
        <v>91</v>
      </c>
      <c r="M269" s="5" t="s">
        <v>565</v>
      </c>
      <c r="N269" s="5" t="s">
        <v>566</v>
      </c>
      <c r="O269" s="6">
        <f>IFERROR(VLOOKUP(M269, '[1]08_CSDL_DAO_CU_VAT_LIEU'!$A$2:$F$64, 6, FALSE), 27500)</f>
        <v>135000</v>
      </c>
      <c r="P269" s="7">
        <v>0.14000000000000001</v>
      </c>
      <c r="Q269" s="6">
        <f t="shared" si="13"/>
        <v>4813</v>
      </c>
      <c r="R269" s="6">
        <f>ROUND((F269/3600)*IFERROR(VLOOKUP(I269, '[1]02_DM_NHAN_SU_MAY'!$M$2:$Q$25, 5, FALSE), 39375), 0)</f>
        <v>2688</v>
      </c>
      <c r="S269" s="6">
        <v>0</v>
      </c>
      <c r="T269" s="6">
        <f t="shared" si="14"/>
        <v>7501</v>
      </c>
    </row>
    <row r="270" spans="1:20" x14ac:dyDescent="0.25">
      <c r="A270" s="2" t="s">
        <v>675</v>
      </c>
      <c r="B270" s="2">
        <v>269</v>
      </c>
      <c r="C270" s="2" t="s">
        <v>68</v>
      </c>
      <c r="D270" s="2" t="s">
        <v>676</v>
      </c>
      <c r="E270" s="2" t="s">
        <v>677</v>
      </c>
      <c r="F270" s="2">
        <v>900</v>
      </c>
      <c r="G270" s="4">
        <f t="shared" si="12"/>
        <v>3.1300000000000001E-2</v>
      </c>
      <c r="H270" s="2" t="s">
        <v>34</v>
      </c>
      <c r="I270" s="2" t="s">
        <v>24</v>
      </c>
      <c r="J270" s="2" t="s">
        <v>238</v>
      </c>
      <c r="K270" s="2" t="s">
        <v>239</v>
      </c>
      <c r="L270" s="2" t="s">
        <v>285</v>
      </c>
      <c r="M270" s="2" t="s">
        <v>565</v>
      </c>
      <c r="N270" s="2" t="s">
        <v>566</v>
      </c>
      <c r="O270" s="3">
        <f>IFERROR(VLOOKUP(M270, '[1]08_CSDL_DAO_CU_VAT_LIEU'!$A$2:$F$64, 6, FALSE), 27500)</f>
        <v>135000</v>
      </c>
      <c r="P270" s="4">
        <v>0.35</v>
      </c>
      <c r="Q270" s="3">
        <f t="shared" si="13"/>
        <v>12031</v>
      </c>
      <c r="R270" s="3">
        <f>ROUND((F270/3600)*IFERROR(VLOOKUP(I270, '[1]02_DM_NHAN_SU_MAY'!$M$2:$Q$25, 5, FALSE), 39375), 0)</f>
        <v>9844</v>
      </c>
      <c r="S270" s="3">
        <v>0</v>
      </c>
      <c r="T270" s="3">
        <f t="shared" si="14"/>
        <v>21875</v>
      </c>
    </row>
    <row r="271" spans="1:20" x14ac:dyDescent="0.25">
      <c r="A271" s="5" t="s">
        <v>678</v>
      </c>
      <c r="B271" s="5">
        <v>270</v>
      </c>
      <c r="C271" s="5" t="s">
        <v>149</v>
      </c>
      <c r="D271" s="5" t="s">
        <v>328</v>
      </c>
      <c r="E271" s="5" t="s">
        <v>679</v>
      </c>
      <c r="F271" s="6">
        <v>3600</v>
      </c>
      <c r="G271" s="7">
        <f t="shared" si="12"/>
        <v>0.125</v>
      </c>
      <c r="H271" s="5" t="s">
        <v>34</v>
      </c>
      <c r="I271" s="5" t="s">
        <v>176</v>
      </c>
      <c r="J271" s="5" t="s">
        <v>36</v>
      </c>
      <c r="K271" s="5" t="s">
        <v>37</v>
      </c>
      <c r="L271" s="5" t="s">
        <v>38</v>
      </c>
      <c r="M271" s="5" t="s">
        <v>49</v>
      </c>
      <c r="N271" s="5" t="s">
        <v>50</v>
      </c>
      <c r="O271" s="6">
        <f>IFERROR(VLOOKUP(M271, '[1]08_CSDL_DAO_CU_VAT_LIEU'!$A$2:$F$64, 6, FALSE), 27500)</f>
        <v>20833.330000000002</v>
      </c>
      <c r="P271" s="7">
        <v>1.68</v>
      </c>
      <c r="Q271" s="6">
        <f t="shared" si="13"/>
        <v>48125</v>
      </c>
      <c r="R271" s="6">
        <f>ROUND((F271/3600)*IFERROR(VLOOKUP(I271, '[1]02_DM_NHAN_SU_MAY'!$M$2:$Q$25, 5, FALSE), 39375), 0)</f>
        <v>14375</v>
      </c>
      <c r="S271" s="6">
        <v>0</v>
      </c>
      <c r="T271" s="6">
        <f t="shared" si="14"/>
        <v>62500</v>
      </c>
    </row>
    <row r="272" spans="1:20" x14ac:dyDescent="0.25">
      <c r="A272" s="2" t="s">
        <v>680</v>
      </c>
      <c r="B272" s="2">
        <v>271</v>
      </c>
      <c r="C272" s="2" t="s">
        <v>149</v>
      </c>
      <c r="D272" s="2" t="s">
        <v>203</v>
      </c>
      <c r="E272" s="2" t="s">
        <v>681</v>
      </c>
      <c r="F272" s="3">
        <v>3600</v>
      </c>
      <c r="G272" s="4">
        <f t="shared" si="12"/>
        <v>0.125</v>
      </c>
      <c r="H272" s="2" t="s">
        <v>34</v>
      </c>
      <c r="I272" s="2" t="s">
        <v>176</v>
      </c>
      <c r="J272" s="2" t="s">
        <v>36</v>
      </c>
      <c r="K272" s="2" t="s">
        <v>37</v>
      </c>
      <c r="L272" s="2" t="s">
        <v>38</v>
      </c>
      <c r="M272" s="2" t="s">
        <v>49</v>
      </c>
      <c r="N272" s="2" t="s">
        <v>50</v>
      </c>
      <c r="O272" s="3">
        <f>IFERROR(VLOOKUP(M272, '[1]08_CSDL_DAO_CU_VAT_LIEU'!$A$2:$F$64, 6, FALSE), 27500)</f>
        <v>20833.330000000002</v>
      </c>
      <c r="P272" s="4">
        <v>1.68</v>
      </c>
      <c r="Q272" s="3">
        <f t="shared" si="13"/>
        <v>48125</v>
      </c>
      <c r="R272" s="3">
        <f>ROUND((F272/3600)*IFERROR(VLOOKUP(I272, '[1]02_DM_NHAN_SU_MAY'!$M$2:$Q$25, 5, FALSE), 39375), 0)</f>
        <v>14375</v>
      </c>
      <c r="S272" s="3">
        <v>0</v>
      </c>
      <c r="T272" s="3">
        <f t="shared" si="14"/>
        <v>62500</v>
      </c>
    </row>
    <row r="273" spans="1:20" x14ac:dyDescent="0.25">
      <c r="A273" s="5" t="s">
        <v>682</v>
      </c>
      <c r="B273" s="5">
        <v>272</v>
      </c>
      <c r="C273" s="5" t="s">
        <v>149</v>
      </c>
      <c r="D273" s="5" t="s">
        <v>287</v>
      </c>
      <c r="E273" s="5" t="s">
        <v>681</v>
      </c>
      <c r="F273" s="6">
        <v>3600</v>
      </c>
      <c r="G273" s="7">
        <f t="shared" si="12"/>
        <v>0.125</v>
      </c>
      <c r="H273" s="5" t="s">
        <v>34</v>
      </c>
      <c r="I273" s="5" t="s">
        <v>176</v>
      </c>
      <c r="J273" s="5" t="s">
        <v>36</v>
      </c>
      <c r="K273" s="5" t="s">
        <v>37</v>
      </c>
      <c r="L273" s="5" t="s">
        <v>38</v>
      </c>
      <c r="M273" s="5" t="s">
        <v>49</v>
      </c>
      <c r="N273" s="5" t="s">
        <v>50</v>
      </c>
      <c r="O273" s="6">
        <f>IFERROR(VLOOKUP(M273, '[1]08_CSDL_DAO_CU_VAT_LIEU'!$A$2:$F$64, 6, FALSE), 27500)</f>
        <v>20833.330000000002</v>
      </c>
      <c r="P273" s="7">
        <v>1.68</v>
      </c>
      <c r="Q273" s="6">
        <f t="shared" si="13"/>
        <v>48125</v>
      </c>
      <c r="R273" s="6">
        <f>ROUND((F273/3600)*IFERROR(VLOOKUP(I273, '[1]02_DM_NHAN_SU_MAY'!$M$2:$Q$25, 5, FALSE), 39375), 0)</f>
        <v>14375</v>
      </c>
      <c r="S273" s="6">
        <v>0</v>
      </c>
      <c r="T273" s="6">
        <f t="shared" si="14"/>
        <v>62500</v>
      </c>
    </row>
    <row r="274" spans="1:20" x14ac:dyDescent="0.25">
      <c r="A274" s="2" t="s">
        <v>683</v>
      </c>
      <c r="B274" s="2">
        <v>273</v>
      </c>
      <c r="C274" s="2" t="s">
        <v>149</v>
      </c>
      <c r="D274" s="2" t="s">
        <v>289</v>
      </c>
      <c r="E274" s="2" t="s">
        <v>681</v>
      </c>
      <c r="F274" s="3">
        <v>3600</v>
      </c>
      <c r="G274" s="4">
        <f t="shared" si="12"/>
        <v>0.125</v>
      </c>
      <c r="H274" s="2" t="s">
        <v>34</v>
      </c>
      <c r="I274" s="2" t="s">
        <v>176</v>
      </c>
      <c r="J274" s="2" t="s">
        <v>36</v>
      </c>
      <c r="K274" s="2" t="s">
        <v>37</v>
      </c>
      <c r="L274" s="2" t="s">
        <v>38</v>
      </c>
      <c r="M274" s="2" t="s">
        <v>49</v>
      </c>
      <c r="N274" s="2" t="s">
        <v>50</v>
      </c>
      <c r="O274" s="3">
        <f>IFERROR(VLOOKUP(M274, '[1]08_CSDL_DAO_CU_VAT_LIEU'!$A$2:$F$64, 6, FALSE), 27500)</f>
        <v>20833.330000000002</v>
      </c>
      <c r="P274" s="4">
        <v>1.68</v>
      </c>
      <c r="Q274" s="3">
        <f t="shared" si="13"/>
        <v>48125</v>
      </c>
      <c r="R274" s="3">
        <f>ROUND((F274/3600)*IFERROR(VLOOKUP(I274, '[1]02_DM_NHAN_SU_MAY'!$M$2:$Q$25, 5, FALSE), 39375), 0)</f>
        <v>14375</v>
      </c>
      <c r="S274" s="3">
        <v>0</v>
      </c>
      <c r="T274" s="3">
        <f t="shared" si="14"/>
        <v>62500</v>
      </c>
    </row>
    <row r="275" spans="1:20" x14ac:dyDescent="0.25">
      <c r="A275" s="5" t="s">
        <v>684</v>
      </c>
      <c r="B275" s="5">
        <v>274</v>
      </c>
      <c r="C275" s="5" t="s">
        <v>149</v>
      </c>
      <c r="D275" s="5" t="s">
        <v>291</v>
      </c>
      <c r="E275" s="5" t="s">
        <v>681</v>
      </c>
      <c r="F275" s="6">
        <v>3600</v>
      </c>
      <c r="G275" s="7">
        <f t="shared" si="12"/>
        <v>0.125</v>
      </c>
      <c r="H275" s="5" t="s">
        <v>34</v>
      </c>
      <c r="I275" s="5" t="s">
        <v>176</v>
      </c>
      <c r="J275" s="5" t="s">
        <v>36</v>
      </c>
      <c r="K275" s="5" t="s">
        <v>37</v>
      </c>
      <c r="L275" s="5" t="s">
        <v>38</v>
      </c>
      <c r="M275" s="5" t="s">
        <v>49</v>
      </c>
      <c r="N275" s="5" t="s">
        <v>50</v>
      </c>
      <c r="O275" s="6">
        <f>IFERROR(VLOOKUP(M275, '[1]08_CSDL_DAO_CU_VAT_LIEU'!$A$2:$F$64, 6, FALSE), 27500)</f>
        <v>20833.330000000002</v>
      </c>
      <c r="P275" s="7">
        <v>1.68</v>
      </c>
      <c r="Q275" s="6">
        <f t="shared" si="13"/>
        <v>48125</v>
      </c>
      <c r="R275" s="6">
        <f>ROUND((F275/3600)*IFERROR(VLOOKUP(I275, '[1]02_DM_NHAN_SU_MAY'!$M$2:$Q$25, 5, FALSE), 39375), 0)</f>
        <v>14375</v>
      </c>
      <c r="S275" s="6">
        <v>0</v>
      </c>
      <c r="T275" s="6">
        <f t="shared" si="14"/>
        <v>62500</v>
      </c>
    </row>
    <row r="276" spans="1:20" x14ac:dyDescent="0.25">
      <c r="A276" s="2" t="s">
        <v>685</v>
      </c>
      <c r="B276" s="2">
        <v>275</v>
      </c>
      <c r="C276" s="2" t="s">
        <v>149</v>
      </c>
      <c r="D276" s="2" t="s">
        <v>201</v>
      </c>
      <c r="E276" s="2" t="s">
        <v>681</v>
      </c>
      <c r="F276" s="3">
        <v>3600</v>
      </c>
      <c r="G276" s="4">
        <f t="shared" si="12"/>
        <v>0.125</v>
      </c>
      <c r="H276" s="2" t="s">
        <v>34</v>
      </c>
      <c r="I276" s="2" t="s">
        <v>176</v>
      </c>
      <c r="J276" s="2" t="s">
        <v>36</v>
      </c>
      <c r="K276" s="2" t="s">
        <v>37</v>
      </c>
      <c r="L276" s="2" t="s">
        <v>38</v>
      </c>
      <c r="M276" s="2" t="s">
        <v>49</v>
      </c>
      <c r="N276" s="2" t="s">
        <v>50</v>
      </c>
      <c r="O276" s="3">
        <f>IFERROR(VLOOKUP(M276, '[1]08_CSDL_DAO_CU_VAT_LIEU'!$A$2:$F$64, 6, FALSE), 27500)</f>
        <v>20833.330000000002</v>
      </c>
      <c r="P276" s="4">
        <v>1.68</v>
      </c>
      <c r="Q276" s="3">
        <f t="shared" si="13"/>
        <v>48125</v>
      </c>
      <c r="R276" s="3">
        <f>ROUND((F276/3600)*IFERROR(VLOOKUP(I276, '[1]02_DM_NHAN_SU_MAY'!$M$2:$Q$25, 5, FALSE), 39375), 0)</f>
        <v>14375</v>
      </c>
      <c r="S276" s="3">
        <v>0</v>
      </c>
      <c r="T276" s="3">
        <f t="shared" si="14"/>
        <v>62500</v>
      </c>
    </row>
    <row r="277" spans="1:20" x14ac:dyDescent="0.25">
      <c r="A277" s="5" t="s">
        <v>686</v>
      </c>
      <c r="B277" s="5">
        <v>276</v>
      </c>
      <c r="C277" s="5" t="s">
        <v>149</v>
      </c>
      <c r="D277" s="5" t="s">
        <v>294</v>
      </c>
      <c r="E277" s="5" t="s">
        <v>681</v>
      </c>
      <c r="F277" s="6">
        <v>3600</v>
      </c>
      <c r="G277" s="7">
        <f t="shared" si="12"/>
        <v>0.125</v>
      </c>
      <c r="H277" s="5" t="s">
        <v>34</v>
      </c>
      <c r="I277" s="5" t="s">
        <v>176</v>
      </c>
      <c r="J277" s="5" t="s">
        <v>36</v>
      </c>
      <c r="K277" s="5" t="s">
        <v>37</v>
      </c>
      <c r="L277" s="5" t="s">
        <v>38</v>
      </c>
      <c r="M277" s="5" t="s">
        <v>49</v>
      </c>
      <c r="N277" s="5" t="s">
        <v>50</v>
      </c>
      <c r="O277" s="6">
        <f>IFERROR(VLOOKUP(M277, '[1]08_CSDL_DAO_CU_VAT_LIEU'!$A$2:$F$64, 6, FALSE), 27500)</f>
        <v>20833.330000000002</v>
      </c>
      <c r="P277" s="7">
        <v>1.68</v>
      </c>
      <c r="Q277" s="6">
        <f t="shared" si="13"/>
        <v>48125</v>
      </c>
      <c r="R277" s="6">
        <f>ROUND((F277/3600)*IFERROR(VLOOKUP(I277, '[1]02_DM_NHAN_SU_MAY'!$M$2:$Q$25, 5, FALSE), 39375), 0)</f>
        <v>14375</v>
      </c>
      <c r="S277" s="6">
        <v>0</v>
      </c>
      <c r="T277" s="6">
        <f t="shared" si="14"/>
        <v>62500</v>
      </c>
    </row>
    <row r="278" spans="1:20" x14ac:dyDescent="0.25">
      <c r="A278" s="2" t="s">
        <v>687</v>
      </c>
      <c r="B278" s="2">
        <v>277</v>
      </c>
      <c r="C278" s="2" t="s">
        <v>149</v>
      </c>
      <c r="D278" s="2" t="s">
        <v>296</v>
      </c>
      <c r="E278" s="2" t="s">
        <v>681</v>
      </c>
      <c r="F278" s="3">
        <v>3600</v>
      </c>
      <c r="G278" s="4">
        <f t="shared" si="12"/>
        <v>0.125</v>
      </c>
      <c r="H278" s="2" t="s">
        <v>34</v>
      </c>
      <c r="I278" s="2" t="s">
        <v>176</v>
      </c>
      <c r="J278" s="2" t="s">
        <v>36</v>
      </c>
      <c r="K278" s="2" t="s">
        <v>37</v>
      </c>
      <c r="L278" s="2" t="s">
        <v>38</v>
      </c>
      <c r="M278" s="2" t="s">
        <v>49</v>
      </c>
      <c r="N278" s="2" t="s">
        <v>50</v>
      </c>
      <c r="O278" s="3">
        <f>IFERROR(VLOOKUP(M278, '[1]08_CSDL_DAO_CU_VAT_LIEU'!$A$2:$F$64, 6, FALSE), 27500)</f>
        <v>20833.330000000002</v>
      </c>
      <c r="P278" s="4">
        <v>1.68</v>
      </c>
      <c r="Q278" s="3">
        <f t="shared" si="13"/>
        <v>48125</v>
      </c>
      <c r="R278" s="3">
        <f>ROUND((F278/3600)*IFERROR(VLOOKUP(I278, '[1]02_DM_NHAN_SU_MAY'!$M$2:$Q$25, 5, FALSE), 39375), 0)</f>
        <v>14375</v>
      </c>
      <c r="S278" s="3">
        <v>0</v>
      </c>
      <c r="T278" s="3">
        <f t="shared" si="14"/>
        <v>62500</v>
      </c>
    </row>
    <row r="279" spans="1:20" x14ac:dyDescent="0.25">
      <c r="A279" s="5" t="s">
        <v>688</v>
      </c>
      <c r="B279" s="5">
        <v>278</v>
      </c>
      <c r="C279" s="5" t="s">
        <v>149</v>
      </c>
      <c r="D279" s="5" t="s">
        <v>298</v>
      </c>
      <c r="E279" s="5" t="s">
        <v>681</v>
      </c>
      <c r="F279" s="6">
        <v>14400</v>
      </c>
      <c r="G279" s="7">
        <f t="shared" si="12"/>
        <v>0.5</v>
      </c>
      <c r="H279" s="5" t="s">
        <v>34</v>
      </c>
      <c r="I279" s="5" t="s">
        <v>176</v>
      </c>
      <c r="J279" s="5" t="s">
        <v>36</v>
      </c>
      <c r="K279" s="5" t="s">
        <v>37</v>
      </c>
      <c r="L279" s="5" t="s">
        <v>38</v>
      </c>
      <c r="M279" s="5" t="s">
        <v>49</v>
      </c>
      <c r="N279" s="5" t="s">
        <v>50</v>
      </c>
      <c r="O279" s="6">
        <f>IFERROR(VLOOKUP(M279, '[1]08_CSDL_DAO_CU_VAT_LIEU'!$A$2:$F$64, 6, FALSE), 27500)</f>
        <v>20833.330000000002</v>
      </c>
      <c r="P279" s="7">
        <v>6.72</v>
      </c>
      <c r="Q279" s="6">
        <f t="shared" si="13"/>
        <v>192500</v>
      </c>
      <c r="R279" s="6">
        <f>ROUND((F279/3600)*IFERROR(VLOOKUP(I279, '[1]02_DM_NHAN_SU_MAY'!$M$2:$Q$25, 5, FALSE), 39375), 0)</f>
        <v>57500</v>
      </c>
      <c r="S279" s="6">
        <v>0</v>
      </c>
      <c r="T279" s="6">
        <f t="shared" si="14"/>
        <v>250000</v>
      </c>
    </row>
    <row r="280" spans="1:20" x14ac:dyDescent="0.25">
      <c r="A280" s="2" t="s">
        <v>689</v>
      </c>
      <c r="B280" s="2">
        <v>279</v>
      </c>
      <c r="C280" s="2" t="s">
        <v>149</v>
      </c>
      <c r="D280" s="2" t="s">
        <v>300</v>
      </c>
      <c r="E280" s="2" t="s">
        <v>681</v>
      </c>
      <c r="F280" s="3">
        <v>14400</v>
      </c>
      <c r="G280" s="4">
        <f t="shared" si="12"/>
        <v>0.5</v>
      </c>
      <c r="H280" s="2" t="s">
        <v>34</v>
      </c>
      <c r="I280" s="2" t="s">
        <v>176</v>
      </c>
      <c r="J280" s="2" t="s">
        <v>36</v>
      </c>
      <c r="K280" s="2" t="s">
        <v>37</v>
      </c>
      <c r="L280" s="2" t="s">
        <v>38</v>
      </c>
      <c r="M280" s="2" t="s">
        <v>49</v>
      </c>
      <c r="N280" s="2" t="s">
        <v>50</v>
      </c>
      <c r="O280" s="3">
        <f>IFERROR(VLOOKUP(M280, '[1]08_CSDL_DAO_CU_VAT_LIEU'!$A$2:$F$64, 6, FALSE), 27500)</f>
        <v>20833.330000000002</v>
      </c>
      <c r="P280" s="4">
        <v>6.72</v>
      </c>
      <c r="Q280" s="3">
        <f t="shared" si="13"/>
        <v>192500</v>
      </c>
      <c r="R280" s="3">
        <f>ROUND((F280/3600)*IFERROR(VLOOKUP(I280, '[1]02_DM_NHAN_SU_MAY'!$M$2:$Q$25, 5, FALSE), 39375), 0)</f>
        <v>57500</v>
      </c>
      <c r="S280" s="3">
        <v>0</v>
      </c>
      <c r="T280" s="3">
        <f t="shared" si="14"/>
        <v>250000</v>
      </c>
    </row>
    <row r="281" spans="1:20" x14ac:dyDescent="0.25">
      <c r="A281" s="5" t="s">
        <v>690</v>
      </c>
      <c r="B281" s="5">
        <v>280</v>
      </c>
      <c r="C281" s="5" t="s">
        <v>149</v>
      </c>
      <c r="D281" s="5" t="s">
        <v>303</v>
      </c>
      <c r="E281" s="5" t="s">
        <v>681</v>
      </c>
      <c r="F281" s="6">
        <v>14400</v>
      </c>
      <c r="G281" s="7">
        <f t="shared" si="12"/>
        <v>0.5</v>
      </c>
      <c r="H281" s="5" t="s">
        <v>34</v>
      </c>
      <c r="I281" s="5" t="s">
        <v>176</v>
      </c>
      <c r="J281" s="5" t="s">
        <v>36</v>
      </c>
      <c r="K281" s="5" t="s">
        <v>37</v>
      </c>
      <c r="L281" s="5" t="s">
        <v>38</v>
      </c>
      <c r="M281" s="5" t="s">
        <v>49</v>
      </c>
      <c r="N281" s="5" t="s">
        <v>50</v>
      </c>
      <c r="O281" s="6">
        <f>IFERROR(VLOOKUP(M281, '[1]08_CSDL_DAO_CU_VAT_LIEU'!$A$2:$F$64, 6, FALSE), 27500)</f>
        <v>20833.330000000002</v>
      </c>
      <c r="P281" s="7">
        <v>6.72</v>
      </c>
      <c r="Q281" s="6">
        <f t="shared" si="13"/>
        <v>192500</v>
      </c>
      <c r="R281" s="6">
        <f>ROUND((F281/3600)*IFERROR(VLOOKUP(I281, '[1]02_DM_NHAN_SU_MAY'!$M$2:$Q$25, 5, FALSE), 39375), 0)</f>
        <v>57500</v>
      </c>
      <c r="S281" s="6">
        <v>0</v>
      </c>
      <c r="T281" s="6">
        <f t="shared" si="14"/>
        <v>250000</v>
      </c>
    </row>
    <row r="282" spans="1:20" x14ac:dyDescent="0.25">
      <c r="A282" s="2" t="s">
        <v>691</v>
      </c>
      <c r="B282" s="2">
        <v>281</v>
      </c>
      <c r="C282" s="2" t="s">
        <v>149</v>
      </c>
      <c r="D282" s="2" t="s">
        <v>305</v>
      </c>
      <c r="E282" s="2" t="s">
        <v>681</v>
      </c>
      <c r="F282" s="3">
        <v>14400</v>
      </c>
      <c r="G282" s="4">
        <f t="shared" si="12"/>
        <v>0.5</v>
      </c>
      <c r="H282" s="2" t="s">
        <v>34</v>
      </c>
      <c r="I282" s="2" t="s">
        <v>176</v>
      </c>
      <c r="J282" s="2" t="s">
        <v>36</v>
      </c>
      <c r="K282" s="2" t="s">
        <v>37</v>
      </c>
      <c r="L282" s="2" t="s">
        <v>38</v>
      </c>
      <c r="M282" s="2" t="s">
        <v>49</v>
      </c>
      <c r="N282" s="2" t="s">
        <v>50</v>
      </c>
      <c r="O282" s="3">
        <f>IFERROR(VLOOKUP(M282, '[1]08_CSDL_DAO_CU_VAT_LIEU'!$A$2:$F$64, 6, FALSE), 27500)</f>
        <v>20833.330000000002</v>
      </c>
      <c r="P282" s="4">
        <v>6.72</v>
      </c>
      <c r="Q282" s="3">
        <f t="shared" si="13"/>
        <v>192500</v>
      </c>
      <c r="R282" s="3">
        <f>ROUND((F282/3600)*IFERROR(VLOOKUP(I282, '[1]02_DM_NHAN_SU_MAY'!$M$2:$Q$25, 5, FALSE), 39375), 0)</f>
        <v>57500</v>
      </c>
      <c r="S282" s="3">
        <v>0</v>
      </c>
      <c r="T282" s="3">
        <f t="shared" si="14"/>
        <v>250000</v>
      </c>
    </row>
    <row r="283" spans="1:20" x14ac:dyDescent="0.25">
      <c r="A283" s="5" t="s">
        <v>692</v>
      </c>
      <c r="B283" s="5">
        <v>282</v>
      </c>
      <c r="C283" s="5" t="s">
        <v>149</v>
      </c>
      <c r="D283" s="5" t="s">
        <v>308</v>
      </c>
      <c r="E283" s="5" t="s">
        <v>693</v>
      </c>
      <c r="F283" s="6">
        <v>14400</v>
      </c>
      <c r="G283" s="7">
        <f t="shared" si="12"/>
        <v>0.5</v>
      </c>
      <c r="H283" s="5" t="s">
        <v>34</v>
      </c>
      <c r="I283" s="5" t="s">
        <v>176</v>
      </c>
      <c r="J283" s="5" t="s">
        <v>36</v>
      </c>
      <c r="K283" s="5" t="s">
        <v>37</v>
      </c>
      <c r="L283" s="5" t="s">
        <v>38</v>
      </c>
      <c r="M283" s="5" t="s">
        <v>49</v>
      </c>
      <c r="N283" s="5" t="s">
        <v>50</v>
      </c>
      <c r="O283" s="6">
        <f>IFERROR(VLOOKUP(M283, '[1]08_CSDL_DAO_CU_VAT_LIEU'!$A$2:$F$64, 6, FALSE), 27500)</f>
        <v>20833.330000000002</v>
      </c>
      <c r="P283" s="7">
        <v>6.72</v>
      </c>
      <c r="Q283" s="6">
        <f t="shared" si="13"/>
        <v>192500</v>
      </c>
      <c r="R283" s="6">
        <f>ROUND((F283/3600)*IFERROR(VLOOKUP(I283, '[1]02_DM_NHAN_SU_MAY'!$M$2:$Q$25, 5, FALSE), 39375), 0)</f>
        <v>57500</v>
      </c>
      <c r="S283" s="6">
        <v>0</v>
      </c>
      <c r="T283" s="6">
        <f t="shared" si="14"/>
        <v>250000</v>
      </c>
    </row>
    <row r="284" spans="1:20" x14ac:dyDescent="0.25">
      <c r="A284" s="2" t="s">
        <v>694</v>
      </c>
      <c r="B284" s="2">
        <v>283</v>
      </c>
      <c r="C284" s="2" t="s">
        <v>149</v>
      </c>
      <c r="D284" s="2" t="s">
        <v>168</v>
      </c>
      <c r="E284" s="2" t="s">
        <v>681</v>
      </c>
      <c r="F284" s="3">
        <v>14400</v>
      </c>
      <c r="G284" s="4">
        <f t="shared" si="12"/>
        <v>0.5</v>
      </c>
      <c r="H284" s="2" t="s">
        <v>34</v>
      </c>
      <c r="I284" s="2" t="s">
        <v>176</v>
      </c>
      <c r="J284" s="2" t="s">
        <v>36</v>
      </c>
      <c r="K284" s="2" t="s">
        <v>37</v>
      </c>
      <c r="L284" s="2" t="s">
        <v>38</v>
      </c>
      <c r="M284" s="2" t="s">
        <v>49</v>
      </c>
      <c r="N284" s="2" t="s">
        <v>50</v>
      </c>
      <c r="O284" s="3">
        <f>IFERROR(VLOOKUP(M284, '[1]08_CSDL_DAO_CU_VAT_LIEU'!$A$2:$F$64, 6, FALSE), 27500)</f>
        <v>20833.330000000002</v>
      </c>
      <c r="P284" s="4">
        <v>6.72</v>
      </c>
      <c r="Q284" s="3">
        <f t="shared" si="13"/>
        <v>192500</v>
      </c>
      <c r="R284" s="3">
        <f>ROUND((F284/3600)*IFERROR(VLOOKUP(I284, '[1]02_DM_NHAN_SU_MAY'!$M$2:$Q$25, 5, FALSE), 39375), 0)</f>
        <v>57500</v>
      </c>
      <c r="S284" s="3">
        <v>0</v>
      </c>
      <c r="T284" s="3">
        <f t="shared" si="14"/>
        <v>250000</v>
      </c>
    </row>
    <row r="285" spans="1:20" x14ac:dyDescent="0.25">
      <c r="A285" s="5" t="s">
        <v>695</v>
      </c>
      <c r="B285" s="5">
        <v>284</v>
      </c>
      <c r="C285" s="5" t="s">
        <v>149</v>
      </c>
      <c r="D285" s="5" t="s">
        <v>150</v>
      </c>
      <c r="E285" s="5" t="s">
        <v>681</v>
      </c>
      <c r="F285" s="6">
        <v>14400</v>
      </c>
      <c r="G285" s="7">
        <f t="shared" si="12"/>
        <v>0.5</v>
      </c>
      <c r="H285" s="5" t="s">
        <v>34</v>
      </c>
      <c r="I285" s="5" t="s">
        <v>176</v>
      </c>
      <c r="J285" s="5" t="s">
        <v>36</v>
      </c>
      <c r="K285" s="5" t="s">
        <v>37</v>
      </c>
      <c r="L285" s="5" t="s">
        <v>38</v>
      </c>
      <c r="M285" s="5" t="s">
        <v>49</v>
      </c>
      <c r="N285" s="5" t="s">
        <v>50</v>
      </c>
      <c r="O285" s="6">
        <f>IFERROR(VLOOKUP(M285, '[1]08_CSDL_DAO_CU_VAT_LIEU'!$A$2:$F$64, 6, FALSE), 27500)</f>
        <v>20833.330000000002</v>
      </c>
      <c r="P285" s="7">
        <v>6.72</v>
      </c>
      <c r="Q285" s="6">
        <f t="shared" si="13"/>
        <v>192500</v>
      </c>
      <c r="R285" s="6">
        <f>ROUND((F285/3600)*IFERROR(VLOOKUP(I285, '[1]02_DM_NHAN_SU_MAY'!$M$2:$Q$25, 5, FALSE), 39375), 0)</f>
        <v>57500</v>
      </c>
      <c r="S285" s="6">
        <v>0</v>
      </c>
      <c r="T285" s="6">
        <f t="shared" si="14"/>
        <v>250000</v>
      </c>
    </row>
    <row r="286" spans="1:20" x14ac:dyDescent="0.25">
      <c r="A286" s="2" t="s">
        <v>696</v>
      </c>
      <c r="B286" s="2">
        <v>285</v>
      </c>
      <c r="C286" s="2" t="s">
        <v>149</v>
      </c>
      <c r="D286" s="2" t="s">
        <v>310</v>
      </c>
      <c r="E286" s="2" t="s">
        <v>681</v>
      </c>
      <c r="F286" s="3">
        <v>28800</v>
      </c>
      <c r="G286" s="4">
        <f t="shared" si="12"/>
        <v>1</v>
      </c>
      <c r="H286" s="2" t="s">
        <v>34</v>
      </c>
      <c r="I286" s="2" t="s">
        <v>176</v>
      </c>
      <c r="J286" s="2" t="s">
        <v>36</v>
      </c>
      <c r="K286" s="2" t="s">
        <v>37</v>
      </c>
      <c r="L286" s="2" t="s">
        <v>38</v>
      </c>
      <c r="M286" s="2" t="s">
        <v>49</v>
      </c>
      <c r="N286" s="2" t="s">
        <v>50</v>
      </c>
      <c r="O286" s="3">
        <f>IFERROR(VLOOKUP(M286, '[1]08_CSDL_DAO_CU_VAT_LIEU'!$A$2:$F$64, 6, FALSE), 27500)</f>
        <v>20833.330000000002</v>
      </c>
      <c r="P286" s="4">
        <v>13.44</v>
      </c>
      <c r="Q286" s="3">
        <f t="shared" si="13"/>
        <v>385000</v>
      </c>
      <c r="R286" s="3">
        <f>ROUND((F286/3600)*IFERROR(VLOOKUP(I286, '[1]02_DM_NHAN_SU_MAY'!$M$2:$Q$25, 5, FALSE), 39375), 0)</f>
        <v>115000</v>
      </c>
      <c r="S286" s="3">
        <v>0</v>
      </c>
      <c r="T286" s="3">
        <f t="shared" si="14"/>
        <v>500000</v>
      </c>
    </row>
    <row r="287" spans="1:20" x14ac:dyDescent="0.25">
      <c r="A287" s="5" t="s">
        <v>697</v>
      </c>
      <c r="B287" s="5">
        <v>286</v>
      </c>
      <c r="C287" s="5" t="s">
        <v>149</v>
      </c>
      <c r="D287" s="5" t="s">
        <v>312</v>
      </c>
      <c r="E287" s="5" t="s">
        <v>681</v>
      </c>
      <c r="F287" s="6">
        <v>28800</v>
      </c>
      <c r="G287" s="7">
        <f t="shared" si="12"/>
        <v>1</v>
      </c>
      <c r="H287" s="5" t="s">
        <v>34</v>
      </c>
      <c r="I287" s="5" t="s">
        <v>176</v>
      </c>
      <c r="J287" s="5" t="s">
        <v>36</v>
      </c>
      <c r="K287" s="5" t="s">
        <v>37</v>
      </c>
      <c r="L287" s="5" t="s">
        <v>38</v>
      </c>
      <c r="M287" s="5" t="s">
        <v>49</v>
      </c>
      <c r="N287" s="5" t="s">
        <v>50</v>
      </c>
      <c r="O287" s="6">
        <f>IFERROR(VLOOKUP(M287, '[1]08_CSDL_DAO_CU_VAT_LIEU'!$A$2:$F$64, 6, FALSE), 27500)</f>
        <v>20833.330000000002</v>
      </c>
      <c r="P287" s="7">
        <v>13.44</v>
      </c>
      <c r="Q287" s="6">
        <f t="shared" si="13"/>
        <v>385000</v>
      </c>
      <c r="R287" s="6">
        <f>ROUND((F287/3600)*IFERROR(VLOOKUP(I287, '[1]02_DM_NHAN_SU_MAY'!$M$2:$Q$25, 5, FALSE), 39375), 0)</f>
        <v>115000</v>
      </c>
      <c r="S287" s="6">
        <v>0</v>
      </c>
      <c r="T287" s="6">
        <f t="shared" si="14"/>
        <v>500000</v>
      </c>
    </row>
    <row r="288" spans="1:20" x14ac:dyDescent="0.25">
      <c r="A288" s="2" t="s">
        <v>698</v>
      </c>
      <c r="B288" s="2">
        <v>287</v>
      </c>
      <c r="C288" s="2" t="s">
        <v>149</v>
      </c>
      <c r="D288" s="2" t="s">
        <v>207</v>
      </c>
      <c r="E288" s="2" t="s">
        <v>681</v>
      </c>
      <c r="F288" s="3">
        <v>28800</v>
      </c>
      <c r="G288" s="4">
        <f t="shared" si="12"/>
        <v>1</v>
      </c>
      <c r="H288" s="2" t="s">
        <v>34</v>
      </c>
      <c r="I288" s="2" t="s">
        <v>176</v>
      </c>
      <c r="J288" s="2" t="s">
        <v>36</v>
      </c>
      <c r="K288" s="2" t="s">
        <v>37</v>
      </c>
      <c r="L288" s="2" t="s">
        <v>38</v>
      </c>
      <c r="M288" s="2" t="s">
        <v>49</v>
      </c>
      <c r="N288" s="2" t="s">
        <v>50</v>
      </c>
      <c r="O288" s="3">
        <f>IFERROR(VLOOKUP(M288, '[1]08_CSDL_DAO_CU_VAT_LIEU'!$A$2:$F$64, 6, FALSE), 27500)</f>
        <v>20833.330000000002</v>
      </c>
      <c r="P288" s="4">
        <v>13.44</v>
      </c>
      <c r="Q288" s="3">
        <f t="shared" si="13"/>
        <v>385000</v>
      </c>
      <c r="R288" s="3">
        <f>ROUND((F288/3600)*IFERROR(VLOOKUP(I288, '[1]02_DM_NHAN_SU_MAY'!$M$2:$Q$25, 5, FALSE), 39375), 0)</f>
        <v>115000</v>
      </c>
      <c r="S288" s="3">
        <v>0</v>
      </c>
      <c r="T288" s="3">
        <f t="shared" si="14"/>
        <v>500000</v>
      </c>
    </row>
    <row r="289" spans="1:20" x14ac:dyDescent="0.25">
      <c r="A289" s="5" t="s">
        <v>699</v>
      </c>
      <c r="B289" s="5">
        <v>288</v>
      </c>
      <c r="C289" s="5" t="s">
        <v>149</v>
      </c>
      <c r="D289" s="5" t="s">
        <v>314</v>
      </c>
      <c r="E289" s="5" t="s">
        <v>681</v>
      </c>
      <c r="F289" s="6">
        <v>3600</v>
      </c>
      <c r="G289" s="7">
        <f t="shared" si="12"/>
        <v>0.125</v>
      </c>
      <c r="H289" s="5" t="s">
        <v>34</v>
      </c>
      <c r="I289" s="5" t="s">
        <v>176</v>
      </c>
      <c r="J289" s="5" t="s">
        <v>36</v>
      </c>
      <c r="K289" s="5" t="s">
        <v>37</v>
      </c>
      <c r="L289" s="5" t="s">
        <v>38</v>
      </c>
      <c r="M289" s="5" t="s">
        <v>49</v>
      </c>
      <c r="N289" s="5" t="s">
        <v>50</v>
      </c>
      <c r="O289" s="6">
        <f>IFERROR(VLOOKUP(M289, '[1]08_CSDL_DAO_CU_VAT_LIEU'!$A$2:$F$64, 6, FALSE), 27500)</f>
        <v>20833.330000000002</v>
      </c>
      <c r="P289" s="7">
        <v>1.68</v>
      </c>
      <c r="Q289" s="6">
        <f t="shared" si="13"/>
        <v>48125</v>
      </c>
      <c r="R289" s="6">
        <f>ROUND((F289/3600)*IFERROR(VLOOKUP(I289, '[1]02_DM_NHAN_SU_MAY'!$M$2:$Q$25, 5, FALSE), 39375), 0)</f>
        <v>14375</v>
      </c>
      <c r="S289" s="6">
        <v>0</v>
      </c>
      <c r="T289" s="6">
        <f t="shared" si="14"/>
        <v>62500</v>
      </c>
    </row>
    <row r="290" spans="1:20" x14ac:dyDescent="0.25">
      <c r="A290" s="2" t="s">
        <v>700</v>
      </c>
      <c r="B290" s="2">
        <v>289</v>
      </c>
      <c r="C290" s="2" t="s">
        <v>149</v>
      </c>
      <c r="D290" s="2" t="s">
        <v>316</v>
      </c>
      <c r="E290" s="2" t="s">
        <v>681</v>
      </c>
      <c r="F290" s="3">
        <v>3600</v>
      </c>
      <c r="G290" s="4">
        <f t="shared" si="12"/>
        <v>0.125</v>
      </c>
      <c r="H290" s="2" t="s">
        <v>34</v>
      </c>
      <c r="I290" s="2" t="s">
        <v>176</v>
      </c>
      <c r="J290" s="2" t="s">
        <v>36</v>
      </c>
      <c r="K290" s="2" t="s">
        <v>37</v>
      </c>
      <c r="L290" s="2" t="s">
        <v>38</v>
      </c>
      <c r="M290" s="2" t="s">
        <v>49</v>
      </c>
      <c r="N290" s="2" t="s">
        <v>50</v>
      </c>
      <c r="O290" s="3">
        <f>IFERROR(VLOOKUP(M290, '[1]08_CSDL_DAO_CU_VAT_LIEU'!$A$2:$F$64, 6, FALSE), 27500)</f>
        <v>20833.330000000002</v>
      </c>
      <c r="P290" s="4">
        <v>1.68</v>
      </c>
      <c r="Q290" s="3">
        <f t="shared" si="13"/>
        <v>48125</v>
      </c>
      <c r="R290" s="3">
        <f>ROUND((F290/3600)*IFERROR(VLOOKUP(I290, '[1]02_DM_NHAN_SU_MAY'!$M$2:$Q$25, 5, FALSE), 39375), 0)</f>
        <v>14375</v>
      </c>
      <c r="S290" s="3">
        <v>0</v>
      </c>
      <c r="T290" s="3">
        <f t="shared" si="14"/>
        <v>62500</v>
      </c>
    </row>
    <row r="291" spans="1:20" x14ac:dyDescent="0.25">
      <c r="A291" s="5" t="s">
        <v>701</v>
      </c>
      <c r="B291" s="5">
        <v>290</v>
      </c>
      <c r="C291" s="5" t="s">
        <v>149</v>
      </c>
      <c r="D291" s="5" t="s">
        <v>318</v>
      </c>
      <c r="E291" s="5" t="s">
        <v>681</v>
      </c>
      <c r="F291" s="6">
        <v>3600</v>
      </c>
      <c r="G291" s="7">
        <f t="shared" si="12"/>
        <v>0.125</v>
      </c>
      <c r="H291" s="5" t="s">
        <v>34</v>
      </c>
      <c r="I291" s="5" t="s">
        <v>176</v>
      </c>
      <c r="J291" s="5" t="s">
        <v>36</v>
      </c>
      <c r="K291" s="5" t="s">
        <v>37</v>
      </c>
      <c r="L291" s="5" t="s">
        <v>38</v>
      </c>
      <c r="M291" s="5" t="s">
        <v>49</v>
      </c>
      <c r="N291" s="5" t="s">
        <v>50</v>
      </c>
      <c r="O291" s="6">
        <f>IFERROR(VLOOKUP(M291, '[1]08_CSDL_DAO_CU_VAT_LIEU'!$A$2:$F$64, 6, FALSE), 27500)</f>
        <v>20833.330000000002</v>
      </c>
      <c r="P291" s="7">
        <v>1.68</v>
      </c>
      <c r="Q291" s="6">
        <f t="shared" si="13"/>
        <v>48125</v>
      </c>
      <c r="R291" s="6">
        <f>ROUND((F291/3600)*IFERROR(VLOOKUP(I291, '[1]02_DM_NHAN_SU_MAY'!$M$2:$Q$25, 5, FALSE), 39375), 0)</f>
        <v>14375</v>
      </c>
      <c r="S291" s="6">
        <v>0</v>
      </c>
      <c r="T291" s="6">
        <f t="shared" si="14"/>
        <v>62500</v>
      </c>
    </row>
    <row r="292" spans="1:20" x14ac:dyDescent="0.25">
      <c r="A292" s="2" t="s">
        <v>702</v>
      </c>
      <c r="B292" s="2">
        <v>291</v>
      </c>
      <c r="C292" s="2" t="s">
        <v>149</v>
      </c>
      <c r="D292" s="2" t="s">
        <v>320</v>
      </c>
      <c r="E292" s="2" t="s">
        <v>681</v>
      </c>
      <c r="F292" s="3">
        <v>3600</v>
      </c>
      <c r="G292" s="4">
        <f t="shared" si="12"/>
        <v>0.125</v>
      </c>
      <c r="H292" s="2" t="s">
        <v>34</v>
      </c>
      <c r="I292" s="2" t="s">
        <v>176</v>
      </c>
      <c r="J292" s="2" t="s">
        <v>36</v>
      </c>
      <c r="K292" s="2" t="s">
        <v>37</v>
      </c>
      <c r="L292" s="2" t="s">
        <v>38</v>
      </c>
      <c r="M292" s="2" t="s">
        <v>49</v>
      </c>
      <c r="N292" s="2" t="s">
        <v>50</v>
      </c>
      <c r="O292" s="3">
        <f>IFERROR(VLOOKUP(M292, '[1]08_CSDL_DAO_CU_VAT_LIEU'!$A$2:$F$64, 6, FALSE), 27500)</f>
        <v>20833.330000000002</v>
      </c>
      <c r="P292" s="4">
        <v>1.68</v>
      </c>
      <c r="Q292" s="3">
        <f t="shared" si="13"/>
        <v>48125</v>
      </c>
      <c r="R292" s="3">
        <f>ROUND((F292/3600)*IFERROR(VLOOKUP(I292, '[1]02_DM_NHAN_SU_MAY'!$M$2:$Q$25, 5, FALSE), 39375), 0)</f>
        <v>14375</v>
      </c>
      <c r="S292" s="3">
        <v>0</v>
      </c>
      <c r="T292" s="3">
        <f t="shared" si="14"/>
        <v>62500</v>
      </c>
    </row>
    <row r="293" spans="1:20" x14ac:dyDescent="0.25">
      <c r="A293" s="5" t="s">
        <v>703</v>
      </c>
      <c r="B293" s="5">
        <v>292</v>
      </c>
      <c r="C293" s="5" t="s">
        <v>149</v>
      </c>
      <c r="D293" s="5" t="s">
        <v>322</v>
      </c>
      <c r="E293" s="5" t="s">
        <v>681</v>
      </c>
      <c r="F293" s="6">
        <v>3600</v>
      </c>
      <c r="G293" s="7">
        <f t="shared" si="12"/>
        <v>0.125</v>
      </c>
      <c r="H293" s="5" t="s">
        <v>34</v>
      </c>
      <c r="I293" s="5" t="s">
        <v>176</v>
      </c>
      <c r="J293" s="5" t="s">
        <v>36</v>
      </c>
      <c r="K293" s="5" t="s">
        <v>37</v>
      </c>
      <c r="L293" s="5" t="s">
        <v>38</v>
      </c>
      <c r="M293" s="5" t="s">
        <v>49</v>
      </c>
      <c r="N293" s="5" t="s">
        <v>50</v>
      </c>
      <c r="O293" s="6">
        <f>IFERROR(VLOOKUP(M293, '[1]08_CSDL_DAO_CU_VAT_LIEU'!$A$2:$F$64, 6, FALSE), 27500)</f>
        <v>20833.330000000002</v>
      </c>
      <c r="P293" s="7">
        <v>1.68</v>
      </c>
      <c r="Q293" s="6">
        <f t="shared" si="13"/>
        <v>48125</v>
      </c>
      <c r="R293" s="6">
        <f>ROUND((F293/3600)*IFERROR(VLOOKUP(I293, '[1]02_DM_NHAN_SU_MAY'!$M$2:$Q$25, 5, FALSE), 39375), 0)</f>
        <v>14375</v>
      </c>
      <c r="S293" s="6">
        <v>0</v>
      </c>
      <c r="T293" s="6">
        <f t="shared" si="14"/>
        <v>62500</v>
      </c>
    </row>
    <row r="294" spans="1:20" x14ac:dyDescent="0.25">
      <c r="A294" s="2" t="s">
        <v>704</v>
      </c>
      <c r="B294" s="2">
        <v>293</v>
      </c>
      <c r="C294" s="2" t="s">
        <v>149</v>
      </c>
      <c r="D294" s="2" t="s">
        <v>324</v>
      </c>
      <c r="E294" s="2" t="s">
        <v>681</v>
      </c>
      <c r="F294" s="3">
        <v>28800</v>
      </c>
      <c r="G294" s="4">
        <f t="shared" si="12"/>
        <v>1</v>
      </c>
      <c r="H294" s="2" t="s">
        <v>34</v>
      </c>
      <c r="I294" s="2" t="s">
        <v>176</v>
      </c>
      <c r="J294" s="2" t="s">
        <v>36</v>
      </c>
      <c r="K294" s="2" t="s">
        <v>37</v>
      </c>
      <c r="L294" s="2" t="s">
        <v>38</v>
      </c>
      <c r="M294" s="2" t="s">
        <v>49</v>
      </c>
      <c r="N294" s="2" t="s">
        <v>50</v>
      </c>
      <c r="O294" s="3">
        <f>IFERROR(VLOOKUP(M294, '[1]08_CSDL_DAO_CU_VAT_LIEU'!$A$2:$F$64, 6, FALSE), 27500)</f>
        <v>20833.330000000002</v>
      </c>
      <c r="P294" s="4">
        <v>13.44</v>
      </c>
      <c r="Q294" s="3">
        <f t="shared" si="13"/>
        <v>385000</v>
      </c>
      <c r="R294" s="3">
        <f>ROUND((F294/3600)*IFERROR(VLOOKUP(I294, '[1]02_DM_NHAN_SU_MAY'!$M$2:$Q$25, 5, FALSE), 39375), 0)</f>
        <v>115000</v>
      </c>
      <c r="S294" s="3">
        <v>0</v>
      </c>
      <c r="T294" s="3">
        <f t="shared" si="14"/>
        <v>500000</v>
      </c>
    </row>
    <row r="295" spans="1:20" x14ac:dyDescent="0.25">
      <c r="A295" s="5" t="s">
        <v>705</v>
      </c>
      <c r="B295" s="5">
        <v>294</v>
      </c>
      <c r="C295" s="5" t="s">
        <v>149</v>
      </c>
      <c r="D295" s="5" t="s">
        <v>326</v>
      </c>
      <c r="E295" s="5" t="s">
        <v>681</v>
      </c>
      <c r="F295" s="6">
        <v>28800</v>
      </c>
      <c r="G295" s="7">
        <f t="shared" si="12"/>
        <v>1</v>
      </c>
      <c r="H295" s="5" t="s">
        <v>34</v>
      </c>
      <c r="I295" s="5" t="s">
        <v>176</v>
      </c>
      <c r="J295" s="5" t="s">
        <v>36</v>
      </c>
      <c r="K295" s="5" t="s">
        <v>37</v>
      </c>
      <c r="L295" s="5" t="s">
        <v>38</v>
      </c>
      <c r="M295" s="5" t="s">
        <v>49</v>
      </c>
      <c r="N295" s="5" t="s">
        <v>50</v>
      </c>
      <c r="O295" s="6">
        <f>IFERROR(VLOOKUP(M295, '[1]08_CSDL_DAO_CU_VAT_LIEU'!$A$2:$F$64, 6, FALSE), 27500)</f>
        <v>20833.330000000002</v>
      </c>
      <c r="P295" s="7">
        <v>13.44</v>
      </c>
      <c r="Q295" s="6">
        <f t="shared" si="13"/>
        <v>385000</v>
      </c>
      <c r="R295" s="6">
        <f>ROUND((F295/3600)*IFERROR(VLOOKUP(I295, '[1]02_DM_NHAN_SU_MAY'!$M$2:$Q$25, 5, FALSE), 39375), 0)</f>
        <v>115000</v>
      </c>
      <c r="S295" s="6">
        <v>0</v>
      </c>
      <c r="T295" s="6">
        <f t="shared" si="14"/>
        <v>500000</v>
      </c>
    </row>
    <row r="296" spans="1:20" x14ac:dyDescent="0.25">
      <c r="A296" s="2" t="s">
        <v>706</v>
      </c>
      <c r="B296" s="2">
        <v>295</v>
      </c>
      <c r="C296" s="2" t="s">
        <v>149</v>
      </c>
      <c r="D296" s="2" t="s">
        <v>160</v>
      </c>
      <c r="E296" s="2" t="s">
        <v>681</v>
      </c>
      <c r="F296" s="3">
        <v>28800</v>
      </c>
      <c r="G296" s="4">
        <f t="shared" si="12"/>
        <v>1</v>
      </c>
      <c r="H296" s="2" t="s">
        <v>34</v>
      </c>
      <c r="I296" s="2" t="s">
        <v>176</v>
      </c>
      <c r="J296" s="2" t="s">
        <v>36</v>
      </c>
      <c r="K296" s="2" t="s">
        <v>37</v>
      </c>
      <c r="L296" s="2" t="s">
        <v>38</v>
      </c>
      <c r="M296" s="2" t="s">
        <v>49</v>
      </c>
      <c r="N296" s="2" t="s">
        <v>50</v>
      </c>
      <c r="O296" s="3">
        <f>IFERROR(VLOOKUP(M296, '[1]08_CSDL_DAO_CU_VAT_LIEU'!$A$2:$F$64, 6, FALSE), 27500)</f>
        <v>20833.330000000002</v>
      </c>
      <c r="P296" s="4">
        <v>13.44</v>
      </c>
      <c r="Q296" s="3">
        <f t="shared" si="13"/>
        <v>385000</v>
      </c>
      <c r="R296" s="3">
        <f>ROUND((F296/3600)*IFERROR(VLOOKUP(I296, '[1]02_DM_NHAN_SU_MAY'!$M$2:$Q$25, 5, FALSE), 39375), 0)</f>
        <v>115000</v>
      </c>
      <c r="S296" s="3">
        <v>0</v>
      </c>
      <c r="T296" s="3">
        <f t="shared" si="14"/>
        <v>500000</v>
      </c>
    </row>
    <row r="297" spans="1:20" x14ac:dyDescent="0.25">
      <c r="A297" s="5" t="s">
        <v>707</v>
      </c>
      <c r="B297" s="5">
        <v>296</v>
      </c>
      <c r="C297" s="5" t="s">
        <v>149</v>
      </c>
      <c r="D297" s="5" t="s">
        <v>162</v>
      </c>
      <c r="E297" s="5" t="s">
        <v>681</v>
      </c>
      <c r="F297" s="6">
        <v>28800</v>
      </c>
      <c r="G297" s="7">
        <f t="shared" si="12"/>
        <v>1</v>
      </c>
      <c r="H297" s="5" t="s">
        <v>34</v>
      </c>
      <c r="I297" s="5" t="s">
        <v>176</v>
      </c>
      <c r="J297" s="5" t="s">
        <v>36</v>
      </c>
      <c r="K297" s="5" t="s">
        <v>37</v>
      </c>
      <c r="L297" s="5" t="s">
        <v>38</v>
      </c>
      <c r="M297" s="5" t="s">
        <v>49</v>
      </c>
      <c r="N297" s="5" t="s">
        <v>50</v>
      </c>
      <c r="O297" s="6">
        <f>IFERROR(VLOOKUP(M297, '[1]08_CSDL_DAO_CU_VAT_LIEU'!$A$2:$F$64, 6, FALSE), 27500)</f>
        <v>20833.330000000002</v>
      </c>
      <c r="P297" s="7">
        <v>13.44</v>
      </c>
      <c r="Q297" s="6">
        <f t="shared" si="13"/>
        <v>385000</v>
      </c>
      <c r="R297" s="6">
        <f>ROUND((F297/3600)*IFERROR(VLOOKUP(I297, '[1]02_DM_NHAN_SU_MAY'!$M$2:$Q$25, 5, FALSE), 39375), 0)</f>
        <v>115000</v>
      </c>
      <c r="S297" s="6">
        <v>0</v>
      </c>
      <c r="T297" s="6">
        <f t="shared" si="14"/>
        <v>500000</v>
      </c>
    </row>
    <row r="298" spans="1:20" x14ac:dyDescent="0.25">
      <c r="A298" s="2" t="s">
        <v>708</v>
      </c>
      <c r="B298" s="2">
        <v>297</v>
      </c>
      <c r="C298" s="2" t="s">
        <v>149</v>
      </c>
      <c r="D298" s="2" t="s">
        <v>164</v>
      </c>
      <c r="E298" s="2" t="s">
        <v>681</v>
      </c>
      <c r="F298" s="3">
        <v>28800</v>
      </c>
      <c r="G298" s="4">
        <f t="shared" si="12"/>
        <v>1</v>
      </c>
      <c r="H298" s="2" t="s">
        <v>34</v>
      </c>
      <c r="I298" s="2" t="s">
        <v>176</v>
      </c>
      <c r="J298" s="2" t="s">
        <v>36</v>
      </c>
      <c r="K298" s="2" t="s">
        <v>37</v>
      </c>
      <c r="L298" s="2" t="s">
        <v>38</v>
      </c>
      <c r="M298" s="2" t="s">
        <v>49</v>
      </c>
      <c r="N298" s="2" t="s">
        <v>50</v>
      </c>
      <c r="O298" s="3">
        <f>IFERROR(VLOOKUP(M298, '[1]08_CSDL_DAO_CU_VAT_LIEU'!$A$2:$F$64, 6, FALSE), 27500)</f>
        <v>20833.330000000002</v>
      </c>
      <c r="P298" s="4">
        <v>13.44</v>
      </c>
      <c r="Q298" s="3">
        <f t="shared" si="13"/>
        <v>385000</v>
      </c>
      <c r="R298" s="3">
        <f>ROUND((F298/3600)*IFERROR(VLOOKUP(I298, '[1]02_DM_NHAN_SU_MAY'!$M$2:$Q$25, 5, FALSE), 39375), 0)</f>
        <v>115000</v>
      </c>
      <c r="S298" s="3">
        <v>0</v>
      </c>
      <c r="T298" s="3">
        <f t="shared" si="14"/>
        <v>500000</v>
      </c>
    </row>
    <row r="299" spans="1:20" x14ac:dyDescent="0.25">
      <c r="A299" s="5" t="s">
        <v>709</v>
      </c>
      <c r="B299" s="5">
        <v>298</v>
      </c>
      <c r="C299" s="5" t="s">
        <v>149</v>
      </c>
      <c r="D299" s="5" t="s">
        <v>166</v>
      </c>
      <c r="E299" s="5" t="s">
        <v>681</v>
      </c>
      <c r="F299" s="6">
        <v>28800</v>
      </c>
      <c r="G299" s="7">
        <f t="shared" si="12"/>
        <v>1</v>
      </c>
      <c r="H299" s="5" t="s">
        <v>34</v>
      </c>
      <c r="I299" s="5" t="s">
        <v>176</v>
      </c>
      <c r="J299" s="5" t="s">
        <v>36</v>
      </c>
      <c r="K299" s="5" t="s">
        <v>37</v>
      </c>
      <c r="L299" s="5" t="s">
        <v>38</v>
      </c>
      <c r="M299" s="5" t="s">
        <v>49</v>
      </c>
      <c r="N299" s="5" t="s">
        <v>50</v>
      </c>
      <c r="O299" s="6">
        <f>IFERROR(VLOOKUP(M299, '[1]08_CSDL_DAO_CU_VAT_LIEU'!$A$2:$F$64, 6, FALSE), 27500)</f>
        <v>20833.330000000002</v>
      </c>
      <c r="P299" s="7">
        <v>13.44</v>
      </c>
      <c r="Q299" s="6">
        <f t="shared" si="13"/>
        <v>385000</v>
      </c>
      <c r="R299" s="6">
        <f>ROUND((F299/3600)*IFERROR(VLOOKUP(I299, '[1]02_DM_NHAN_SU_MAY'!$M$2:$Q$25, 5, FALSE), 39375), 0)</f>
        <v>115000</v>
      </c>
      <c r="S299" s="6">
        <v>0</v>
      </c>
      <c r="T299" s="6">
        <f t="shared" si="14"/>
        <v>500000</v>
      </c>
    </row>
    <row r="300" spans="1:20" x14ac:dyDescent="0.25">
      <c r="A300" s="2" t="s">
        <v>710</v>
      </c>
      <c r="B300" s="2">
        <v>299</v>
      </c>
      <c r="C300" s="2" t="s">
        <v>149</v>
      </c>
      <c r="D300" s="2" t="s">
        <v>158</v>
      </c>
      <c r="E300" s="2" t="s">
        <v>681</v>
      </c>
      <c r="F300" s="3">
        <v>28800</v>
      </c>
      <c r="G300" s="4">
        <f t="shared" si="12"/>
        <v>1</v>
      </c>
      <c r="H300" s="2" t="s">
        <v>34</v>
      </c>
      <c r="I300" s="2" t="s">
        <v>176</v>
      </c>
      <c r="J300" s="2" t="s">
        <v>36</v>
      </c>
      <c r="K300" s="2" t="s">
        <v>37</v>
      </c>
      <c r="L300" s="2" t="s">
        <v>38</v>
      </c>
      <c r="M300" s="2" t="s">
        <v>49</v>
      </c>
      <c r="N300" s="2" t="s">
        <v>50</v>
      </c>
      <c r="O300" s="3">
        <f>IFERROR(VLOOKUP(M300, '[1]08_CSDL_DAO_CU_VAT_LIEU'!$A$2:$F$64, 6, FALSE), 27500)</f>
        <v>20833.330000000002</v>
      </c>
      <c r="P300" s="4">
        <v>13.44</v>
      </c>
      <c r="Q300" s="3">
        <f t="shared" si="13"/>
        <v>385000</v>
      </c>
      <c r="R300" s="3">
        <f>ROUND((F300/3600)*IFERROR(VLOOKUP(I300, '[1]02_DM_NHAN_SU_MAY'!$M$2:$Q$25, 5, FALSE), 39375), 0)</f>
        <v>115000</v>
      </c>
      <c r="S300" s="3">
        <v>0</v>
      </c>
      <c r="T300" s="3">
        <f t="shared" si="14"/>
        <v>500000</v>
      </c>
    </row>
    <row r="301" spans="1:20" x14ac:dyDescent="0.25">
      <c r="A301" s="5" t="s">
        <v>711</v>
      </c>
      <c r="B301" s="5">
        <v>300</v>
      </c>
      <c r="C301" s="5" t="s">
        <v>149</v>
      </c>
      <c r="D301" s="5" t="s">
        <v>156</v>
      </c>
      <c r="E301" s="5" t="s">
        <v>679</v>
      </c>
      <c r="F301" s="6">
        <v>28800</v>
      </c>
      <c r="G301" s="7">
        <f t="shared" si="12"/>
        <v>1</v>
      </c>
      <c r="H301" s="5" t="s">
        <v>34</v>
      </c>
      <c r="I301" s="5" t="s">
        <v>176</v>
      </c>
      <c r="J301" s="5" t="s">
        <v>36</v>
      </c>
      <c r="K301" s="5" t="s">
        <v>37</v>
      </c>
      <c r="L301" s="5" t="s">
        <v>38</v>
      </c>
      <c r="M301" s="5" t="s">
        <v>49</v>
      </c>
      <c r="N301" s="5" t="s">
        <v>50</v>
      </c>
      <c r="O301" s="6">
        <f>IFERROR(VLOOKUP(M301, '[1]08_CSDL_DAO_CU_VAT_LIEU'!$A$2:$F$64, 6, FALSE), 27500)</f>
        <v>20833.330000000002</v>
      </c>
      <c r="P301" s="7">
        <v>13.44</v>
      </c>
      <c r="Q301" s="6">
        <f t="shared" si="13"/>
        <v>385000</v>
      </c>
      <c r="R301" s="6">
        <f>ROUND((F301/3600)*IFERROR(VLOOKUP(I301, '[1]02_DM_NHAN_SU_MAY'!$M$2:$Q$25, 5, FALSE), 39375), 0)</f>
        <v>115000</v>
      </c>
      <c r="S301" s="6">
        <v>0</v>
      </c>
      <c r="T301" s="6">
        <f t="shared" si="14"/>
        <v>500000</v>
      </c>
    </row>
    <row r="302" spans="1:20" x14ac:dyDescent="0.25">
      <c r="A302" s="2" t="s">
        <v>712</v>
      </c>
      <c r="B302" s="2">
        <v>301</v>
      </c>
      <c r="C302" s="2" t="s">
        <v>149</v>
      </c>
      <c r="D302" s="2" t="s">
        <v>197</v>
      </c>
      <c r="E302" s="2" t="s">
        <v>679</v>
      </c>
      <c r="F302" s="3">
        <v>28800</v>
      </c>
      <c r="G302" s="4">
        <f t="shared" si="12"/>
        <v>1</v>
      </c>
      <c r="H302" s="2" t="s">
        <v>34</v>
      </c>
      <c r="I302" s="2" t="s">
        <v>176</v>
      </c>
      <c r="J302" s="2" t="s">
        <v>36</v>
      </c>
      <c r="K302" s="2" t="s">
        <v>37</v>
      </c>
      <c r="L302" s="2" t="s">
        <v>38</v>
      </c>
      <c r="M302" s="2" t="s">
        <v>49</v>
      </c>
      <c r="N302" s="2" t="s">
        <v>50</v>
      </c>
      <c r="O302" s="3">
        <f>IFERROR(VLOOKUP(M302, '[1]08_CSDL_DAO_CU_VAT_LIEU'!$A$2:$F$64, 6, FALSE), 27500)</f>
        <v>20833.330000000002</v>
      </c>
      <c r="P302" s="4">
        <v>13.44</v>
      </c>
      <c r="Q302" s="3">
        <f t="shared" si="13"/>
        <v>385000</v>
      </c>
      <c r="R302" s="3">
        <f>ROUND((F302/3600)*IFERROR(VLOOKUP(I302, '[1]02_DM_NHAN_SU_MAY'!$M$2:$Q$25, 5, FALSE), 39375), 0)</f>
        <v>115000</v>
      </c>
      <c r="S302" s="3">
        <v>0</v>
      </c>
      <c r="T302" s="3">
        <f t="shared" si="14"/>
        <v>500000</v>
      </c>
    </row>
    <row r="303" spans="1:20" x14ac:dyDescent="0.25">
      <c r="A303" s="5" t="s">
        <v>713</v>
      </c>
      <c r="B303" s="5">
        <v>302</v>
      </c>
      <c r="C303" s="5" t="s">
        <v>149</v>
      </c>
      <c r="D303" s="5" t="s">
        <v>154</v>
      </c>
      <c r="E303" s="5" t="s">
        <v>681</v>
      </c>
      <c r="F303" s="6">
        <v>28800</v>
      </c>
      <c r="G303" s="7">
        <f t="shared" si="12"/>
        <v>1</v>
      </c>
      <c r="H303" s="5" t="s">
        <v>34</v>
      </c>
      <c r="I303" s="5" t="s">
        <v>176</v>
      </c>
      <c r="J303" s="5" t="s">
        <v>36</v>
      </c>
      <c r="K303" s="5" t="s">
        <v>37</v>
      </c>
      <c r="L303" s="5" t="s">
        <v>38</v>
      </c>
      <c r="M303" s="5" t="s">
        <v>49</v>
      </c>
      <c r="N303" s="5" t="s">
        <v>50</v>
      </c>
      <c r="O303" s="6">
        <f>IFERROR(VLOOKUP(M303, '[1]08_CSDL_DAO_CU_VAT_LIEU'!$A$2:$F$64, 6, FALSE), 27500)</f>
        <v>20833.330000000002</v>
      </c>
      <c r="P303" s="7">
        <v>13.44</v>
      </c>
      <c r="Q303" s="6">
        <f t="shared" si="13"/>
        <v>385000</v>
      </c>
      <c r="R303" s="6">
        <f>ROUND((F303/3600)*IFERROR(VLOOKUP(I303, '[1]02_DM_NHAN_SU_MAY'!$M$2:$Q$25, 5, FALSE), 39375), 0)</f>
        <v>115000</v>
      </c>
      <c r="S303" s="6">
        <v>0</v>
      </c>
      <c r="T303" s="6">
        <f t="shared" si="14"/>
        <v>500000</v>
      </c>
    </row>
    <row r="304" spans="1:20" x14ac:dyDescent="0.25">
      <c r="A304" s="2" t="s">
        <v>714</v>
      </c>
      <c r="B304" s="2">
        <v>303</v>
      </c>
      <c r="C304" s="2" t="s">
        <v>149</v>
      </c>
      <c r="D304" s="2" t="s">
        <v>195</v>
      </c>
      <c r="E304" s="2" t="s">
        <v>681</v>
      </c>
      <c r="F304" s="3">
        <v>28800</v>
      </c>
      <c r="G304" s="4">
        <f t="shared" si="12"/>
        <v>1</v>
      </c>
      <c r="H304" s="2" t="s">
        <v>34</v>
      </c>
      <c r="I304" s="2" t="s">
        <v>176</v>
      </c>
      <c r="J304" s="2" t="s">
        <v>36</v>
      </c>
      <c r="K304" s="2" t="s">
        <v>37</v>
      </c>
      <c r="L304" s="2" t="s">
        <v>38</v>
      </c>
      <c r="M304" s="2" t="s">
        <v>49</v>
      </c>
      <c r="N304" s="2" t="s">
        <v>50</v>
      </c>
      <c r="O304" s="3">
        <f>IFERROR(VLOOKUP(M304, '[1]08_CSDL_DAO_CU_VAT_LIEU'!$A$2:$F$64, 6, FALSE), 27500)</f>
        <v>20833.330000000002</v>
      </c>
      <c r="P304" s="4">
        <v>13.44</v>
      </c>
      <c r="Q304" s="3">
        <f t="shared" si="13"/>
        <v>385000</v>
      </c>
      <c r="R304" s="3">
        <f>ROUND((F304/3600)*IFERROR(VLOOKUP(I304, '[1]02_DM_NHAN_SU_MAY'!$M$2:$Q$25, 5, FALSE), 39375), 0)</f>
        <v>115000</v>
      </c>
      <c r="S304" s="3">
        <v>0</v>
      </c>
      <c r="T304" s="3">
        <f t="shared" si="14"/>
        <v>500000</v>
      </c>
    </row>
    <row r="305" spans="1:20" x14ac:dyDescent="0.25">
      <c r="A305" s="5" t="s">
        <v>715</v>
      </c>
      <c r="B305" s="5">
        <v>304</v>
      </c>
      <c r="C305" s="5" t="s">
        <v>149</v>
      </c>
      <c r="D305" s="5" t="s">
        <v>199</v>
      </c>
      <c r="E305" s="5" t="s">
        <v>681</v>
      </c>
      <c r="F305" s="6">
        <v>28800</v>
      </c>
      <c r="G305" s="7">
        <f t="shared" si="12"/>
        <v>1</v>
      </c>
      <c r="H305" s="5" t="s">
        <v>34</v>
      </c>
      <c r="I305" s="5" t="s">
        <v>176</v>
      </c>
      <c r="J305" s="5" t="s">
        <v>36</v>
      </c>
      <c r="K305" s="5" t="s">
        <v>37</v>
      </c>
      <c r="L305" s="5" t="s">
        <v>38</v>
      </c>
      <c r="M305" s="5" t="s">
        <v>49</v>
      </c>
      <c r="N305" s="5" t="s">
        <v>50</v>
      </c>
      <c r="O305" s="6">
        <f>IFERROR(VLOOKUP(M305, '[1]08_CSDL_DAO_CU_VAT_LIEU'!$A$2:$F$64, 6, FALSE), 27500)</f>
        <v>20833.330000000002</v>
      </c>
      <c r="P305" s="7">
        <v>13.44</v>
      </c>
      <c r="Q305" s="6">
        <f t="shared" si="13"/>
        <v>385000</v>
      </c>
      <c r="R305" s="6">
        <f>ROUND((F305/3600)*IFERROR(VLOOKUP(I305, '[1]02_DM_NHAN_SU_MAY'!$M$2:$Q$25, 5, FALSE), 39375), 0)</f>
        <v>115000</v>
      </c>
      <c r="S305" s="6">
        <v>0</v>
      </c>
      <c r="T305" s="6">
        <f t="shared" si="14"/>
        <v>500000</v>
      </c>
    </row>
    <row r="306" spans="1:20" x14ac:dyDescent="0.25">
      <c r="A306" s="2" t="s">
        <v>716</v>
      </c>
      <c r="B306" s="2">
        <v>305</v>
      </c>
      <c r="C306" s="2" t="s">
        <v>68</v>
      </c>
      <c r="D306" s="2" t="s">
        <v>717</v>
      </c>
      <c r="E306" s="2" t="s">
        <v>718</v>
      </c>
      <c r="F306" s="3">
        <v>28800</v>
      </c>
      <c r="G306" s="4">
        <f t="shared" si="12"/>
        <v>1</v>
      </c>
      <c r="H306" s="2">
        <v>1</v>
      </c>
      <c r="I306" s="2" t="s">
        <v>71</v>
      </c>
      <c r="J306" s="2" t="s">
        <v>97</v>
      </c>
      <c r="K306" s="2" t="s">
        <v>98</v>
      </c>
      <c r="L306" s="2" t="s">
        <v>99</v>
      </c>
      <c r="M306" s="2" t="s">
        <v>75</v>
      </c>
      <c r="N306" s="2" t="s">
        <v>76</v>
      </c>
      <c r="O306" s="3">
        <f>IFERROR(VLOOKUP(M306, '[1]08_CSDL_DAO_CU_VAT_LIEU'!$A$2:$F$64, 6, FALSE), 27500)</f>
        <v>42500</v>
      </c>
      <c r="P306" s="4">
        <v>11.2</v>
      </c>
      <c r="Q306" s="3">
        <f t="shared" si="13"/>
        <v>385000</v>
      </c>
      <c r="R306" s="3">
        <f>ROUND((F306/3600)*IFERROR(VLOOKUP(I306, '[1]02_DM_NHAN_SU_MAY'!$M$2:$Q$25, 5, FALSE), 39375), 0)</f>
        <v>215000</v>
      </c>
      <c r="S306" s="3">
        <v>0</v>
      </c>
      <c r="T306" s="3">
        <f t="shared" si="14"/>
        <v>600000</v>
      </c>
    </row>
    <row r="307" spans="1:20" x14ac:dyDescent="0.25">
      <c r="A307" s="5" t="s">
        <v>719</v>
      </c>
      <c r="B307" s="5">
        <v>306</v>
      </c>
      <c r="C307" s="5" t="s">
        <v>68</v>
      </c>
      <c r="D307" s="5" t="s">
        <v>717</v>
      </c>
      <c r="E307" s="5" t="s">
        <v>720</v>
      </c>
      <c r="F307" s="6">
        <v>57600</v>
      </c>
      <c r="G307" s="7">
        <f t="shared" si="12"/>
        <v>2</v>
      </c>
      <c r="H307" s="5">
        <v>2</v>
      </c>
      <c r="I307" s="5" t="s">
        <v>71</v>
      </c>
      <c r="J307" s="5" t="s">
        <v>97</v>
      </c>
      <c r="K307" s="5" t="s">
        <v>98</v>
      </c>
      <c r="L307" s="5" t="s">
        <v>99</v>
      </c>
      <c r="M307" s="5" t="s">
        <v>75</v>
      </c>
      <c r="N307" s="5" t="s">
        <v>76</v>
      </c>
      <c r="O307" s="6">
        <f>IFERROR(VLOOKUP(M307, '[1]08_CSDL_DAO_CU_VAT_LIEU'!$A$2:$F$64, 6, FALSE), 27500)</f>
        <v>42500</v>
      </c>
      <c r="P307" s="7">
        <v>22.4</v>
      </c>
      <c r="Q307" s="6">
        <f t="shared" si="13"/>
        <v>770000</v>
      </c>
      <c r="R307" s="6">
        <f>ROUND((F307/3600)*IFERROR(VLOOKUP(I307, '[1]02_DM_NHAN_SU_MAY'!$M$2:$Q$25, 5, FALSE), 39375), 0)</f>
        <v>430000</v>
      </c>
      <c r="S307" s="6">
        <v>0</v>
      </c>
      <c r="T307" s="6">
        <f t="shared" si="14"/>
        <v>1200000</v>
      </c>
    </row>
    <row r="308" spans="1:20" x14ac:dyDescent="0.25">
      <c r="A308" s="2" t="s">
        <v>721</v>
      </c>
      <c r="B308" s="2">
        <v>307</v>
      </c>
      <c r="C308" s="2" t="s">
        <v>68</v>
      </c>
      <c r="D308" s="2" t="s">
        <v>717</v>
      </c>
      <c r="E308" s="2" t="s">
        <v>722</v>
      </c>
      <c r="F308" s="3">
        <v>28800</v>
      </c>
      <c r="G308" s="4">
        <f t="shared" si="12"/>
        <v>1</v>
      </c>
      <c r="H308" s="2" t="s">
        <v>34</v>
      </c>
      <c r="I308" s="2" t="s">
        <v>71</v>
      </c>
      <c r="J308" s="2" t="s">
        <v>97</v>
      </c>
      <c r="K308" s="2" t="s">
        <v>98</v>
      </c>
      <c r="L308" s="2" t="s">
        <v>99</v>
      </c>
      <c r="M308" s="2" t="s">
        <v>75</v>
      </c>
      <c r="N308" s="2" t="s">
        <v>76</v>
      </c>
      <c r="O308" s="3">
        <f>IFERROR(VLOOKUP(M308, '[1]08_CSDL_DAO_CU_VAT_LIEU'!$A$2:$F$64, 6, FALSE), 27500)</f>
        <v>42500</v>
      </c>
      <c r="P308" s="4">
        <v>11.2</v>
      </c>
      <c r="Q308" s="3">
        <f t="shared" si="13"/>
        <v>385000</v>
      </c>
      <c r="R308" s="3">
        <f>ROUND((F308/3600)*IFERROR(VLOOKUP(I308, '[1]02_DM_NHAN_SU_MAY'!$M$2:$Q$25, 5, FALSE), 39375), 0)</f>
        <v>215000</v>
      </c>
      <c r="S308" s="3">
        <v>0</v>
      </c>
      <c r="T308" s="3">
        <f t="shared" si="14"/>
        <v>600000</v>
      </c>
    </row>
    <row r="309" spans="1:20" x14ac:dyDescent="0.25">
      <c r="A309" s="5" t="s">
        <v>723</v>
      </c>
      <c r="B309" s="5">
        <v>308</v>
      </c>
      <c r="C309" s="5" t="s">
        <v>68</v>
      </c>
      <c r="D309" s="5" t="s">
        <v>724</v>
      </c>
      <c r="E309" s="5" t="s">
        <v>725</v>
      </c>
      <c r="F309" s="5">
        <v>420</v>
      </c>
      <c r="G309" s="7">
        <f t="shared" si="12"/>
        <v>1.46E-2</v>
      </c>
      <c r="H309" s="5">
        <v>1</v>
      </c>
      <c r="I309" s="5" t="s">
        <v>71</v>
      </c>
      <c r="J309" s="5" t="s">
        <v>97</v>
      </c>
      <c r="K309" s="5" t="s">
        <v>98</v>
      </c>
      <c r="L309" s="5" t="s">
        <v>109</v>
      </c>
      <c r="M309" s="5" t="s">
        <v>583</v>
      </c>
      <c r="N309" s="5" t="s">
        <v>584</v>
      </c>
      <c r="O309" s="6">
        <f>IFERROR(VLOOKUP(M309, '[1]08_CSDL_DAO_CU_VAT_LIEU'!$A$2:$F$64, 6, FALSE), 27500)</f>
        <v>36250</v>
      </c>
      <c r="P309" s="7">
        <v>0.16</v>
      </c>
      <c r="Q309" s="6">
        <f t="shared" si="13"/>
        <v>5615</v>
      </c>
      <c r="R309" s="6">
        <f>ROUND((F309/3600)*IFERROR(VLOOKUP(I309, '[1]02_DM_NHAN_SU_MAY'!$M$2:$Q$25, 5, FALSE), 39375), 0)</f>
        <v>3135</v>
      </c>
      <c r="S309" s="6">
        <v>0</v>
      </c>
      <c r="T309" s="6">
        <f t="shared" si="14"/>
        <v>8750</v>
      </c>
    </row>
    <row r="310" spans="1:20" x14ac:dyDescent="0.25">
      <c r="A310" s="2" t="s">
        <v>726</v>
      </c>
      <c r="B310" s="2">
        <v>309</v>
      </c>
      <c r="C310" s="2" t="s">
        <v>68</v>
      </c>
      <c r="D310" s="2" t="s">
        <v>724</v>
      </c>
      <c r="E310" s="2" t="s">
        <v>727</v>
      </c>
      <c r="F310" s="2">
        <v>600</v>
      </c>
      <c r="G310" s="4">
        <f t="shared" si="12"/>
        <v>2.0799999999999999E-2</v>
      </c>
      <c r="H310" s="2">
        <v>2</v>
      </c>
      <c r="I310" s="2" t="s">
        <v>90</v>
      </c>
      <c r="J310" s="2" t="s">
        <v>97</v>
      </c>
      <c r="K310" s="2" t="s">
        <v>98</v>
      </c>
      <c r="L310" s="2" t="s">
        <v>143</v>
      </c>
      <c r="M310" s="2" t="s">
        <v>728</v>
      </c>
      <c r="N310" s="2" t="s">
        <v>729</v>
      </c>
      <c r="O310" s="3">
        <f>IFERROR(VLOOKUP(M310, '[1]08_CSDL_DAO_CU_VAT_LIEU'!$A$2:$F$64, 6, FALSE), 27500)</f>
        <v>31000</v>
      </c>
      <c r="P310" s="4">
        <v>0.23</v>
      </c>
      <c r="Q310" s="3">
        <f t="shared" si="13"/>
        <v>8021</v>
      </c>
      <c r="R310" s="3">
        <f>ROUND((F310/3600)*IFERROR(VLOOKUP(I310, '[1]02_DM_NHAN_SU_MAY'!$M$2:$Q$25, 5, FALSE), 39375), 0)</f>
        <v>4479</v>
      </c>
      <c r="S310" s="3">
        <v>0</v>
      </c>
      <c r="T310" s="3">
        <f t="shared" si="14"/>
        <v>12500</v>
      </c>
    </row>
    <row r="311" spans="1:20" x14ac:dyDescent="0.25">
      <c r="A311" s="5" t="s">
        <v>730</v>
      </c>
      <c r="B311" s="5">
        <v>310</v>
      </c>
      <c r="C311" s="5" t="s">
        <v>68</v>
      </c>
      <c r="D311" s="5" t="s">
        <v>724</v>
      </c>
      <c r="E311" s="5" t="s">
        <v>476</v>
      </c>
      <c r="F311" s="5">
        <v>780</v>
      </c>
      <c r="G311" s="7">
        <f t="shared" si="12"/>
        <v>2.7099999999999999E-2</v>
      </c>
      <c r="H311" s="5" t="s">
        <v>34</v>
      </c>
      <c r="I311" s="5" t="s">
        <v>24</v>
      </c>
      <c r="J311" s="5" t="s">
        <v>97</v>
      </c>
      <c r="K311" s="5" t="s">
        <v>98</v>
      </c>
      <c r="L311" s="5" t="s">
        <v>109</v>
      </c>
      <c r="M311" s="5" t="s">
        <v>28</v>
      </c>
      <c r="N311" s="5" t="s">
        <v>29</v>
      </c>
      <c r="O311" s="6">
        <f>IFERROR(VLOOKUP(M311, '[1]08_CSDL_DAO_CU_VAT_LIEU'!$A$2:$F$64, 6, FALSE), 27500)</f>
        <v>27500</v>
      </c>
      <c r="P311" s="7">
        <v>0.3</v>
      </c>
      <c r="Q311" s="6">
        <f t="shared" si="13"/>
        <v>10427</v>
      </c>
      <c r="R311" s="6">
        <f>ROUND((F311/3600)*IFERROR(VLOOKUP(I311, '[1]02_DM_NHAN_SU_MAY'!$M$2:$Q$25, 5, FALSE), 39375), 0)</f>
        <v>8531</v>
      </c>
      <c r="S311" s="6">
        <v>0</v>
      </c>
      <c r="T311" s="6">
        <f t="shared" si="14"/>
        <v>18958</v>
      </c>
    </row>
    <row r="312" spans="1:20" x14ac:dyDescent="0.25">
      <c r="A312" s="2" t="s">
        <v>731</v>
      </c>
      <c r="B312" s="2">
        <v>311</v>
      </c>
      <c r="C312" s="2" t="s">
        <v>68</v>
      </c>
      <c r="D312" s="2" t="s">
        <v>732</v>
      </c>
      <c r="E312" s="2" t="s">
        <v>733</v>
      </c>
      <c r="F312" s="3">
        <v>28000</v>
      </c>
      <c r="G312" s="4">
        <f t="shared" si="12"/>
        <v>0.97219999999999995</v>
      </c>
      <c r="H312" s="2">
        <v>1</v>
      </c>
      <c r="I312" s="2" t="s">
        <v>35</v>
      </c>
      <c r="J312" s="2" t="s">
        <v>97</v>
      </c>
      <c r="K312" s="2" t="s">
        <v>98</v>
      </c>
      <c r="L312" s="2" t="s">
        <v>109</v>
      </c>
      <c r="M312" s="2" t="s">
        <v>28</v>
      </c>
      <c r="N312" s="2" t="s">
        <v>29</v>
      </c>
      <c r="O312" s="3">
        <f>IFERROR(VLOOKUP(M312, '[1]08_CSDL_DAO_CU_VAT_LIEU'!$A$2:$F$64, 6, FALSE), 27500)</f>
        <v>27500</v>
      </c>
      <c r="P312" s="4">
        <v>10.89</v>
      </c>
      <c r="Q312" s="3">
        <f t="shared" si="13"/>
        <v>374306</v>
      </c>
      <c r="R312" s="3">
        <f>ROUND((F312/3600)*IFERROR(VLOOKUP(I312, '[1]02_DM_NHAN_SU_MAY'!$M$2:$Q$25, 5, FALSE), 39375), 0)</f>
        <v>306250</v>
      </c>
      <c r="S312" s="3">
        <v>0</v>
      </c>
      <c r="T312" s="3">
        <f t="shared" si="14"/>
        <v>680556</v>
      </c>
    </row>
    <row r="313" spans="1:20" x14ac:dyDescent="0.25">
      <c r="A313" s="5" t="s">
        <v>734</v>
      </c>
      <c r="B313" s="5">
        <v>312</v>
      </c>
      <c r="C313" s="5" t="s">
        <v>68</v>
      </c>
      <c r="D313" s="5" t="s">
        <v>732</v>
      </c>
      <c r="E313" s="5" t="s">
        <v>735</v>
      </c>
      <c r="F313" s="6">
        <v>28000</v>
      </c>
      <c r="G313" s="7">
        <f t="shared" si="12"/>
        <v>0.97219999999999995</v>
      </c>
      <c r="H313" s="5">
        <v>2</v>
      </c>
      <c r="I313" s="5" t="s">
        <v>71</v>
      </c>
      <c r="J313" s="5" t="s">
        <v>97</v>
      </c>
      <c r="K313" s="5" t="s">
        <v>98</v>
      </c>
      <c r="L313" s="5" t="s">
        <v>109</v>
      </c>
      <c r="M313" s="5" t="s">
        <v>583</v>
      </c>
      <c r="N313" s="5" t="s">
        <v>584</v>
      </c>
      <c r="O313" s="6">
        <f>IFERROR(VLOOKUP(M313, '[1]08_CSDL_DAO_CU_VAT_LIEU'!$A$2:$F$64, 6, FALSE), 27500)</f>
        <v>36250</v>
      </c>
      <c r="P313" s="7">
        <v>10.89</v>
      </c>
      <c r="Q313" s="6">
        <f t="shared" si="13"/>
        <v>374306</v>
      </c>
      <c r="R313" s="6">
        <f>ROUND((F313/3600)*IFERROR(VLOOKUP(I313, '[1]02_DM_NHAN_SU_MAY'!$M$2:$Q$25, 5, FALSE), 39375), 0)</f>
        <v>209028</v>
      </c>
      <c r="S313" s="6">
        <v>0</v>
      </c>
      <c r="T313" s="6">
        <f t="shared" si="14"/>
        <v>583334</v>
      </c>
    </row>
    <row r="314" spans="1:20" x14ac:dyDescent="0.25">
      <c r="A314" s="2" t="s">
        <v>736</v>
      </c>
      <c r="B314" s="2">
        <v>313</v>
      </c>
      <c r="C314" s="2" t="s">
        <v>68</v>
      </c>
      <c r="D314" s="2" t="s">
        <v>732</v>
      </c>
      <c r="E314" s="2" t="s">
        <v>737</v>
      </c>
      <c r="F314" s="3">
        <v>28000</v>
      </c>
      <c r="G314" s="4">
        <f t="shared" si="12"/>
        <v>0.97219999999999995</v>
      </c>
      <c r="H314" s="2" t="s">
        <v>34</v>
      </c>
      <c r="I314" s="2" t="s">
        <v>90</v>
      </c>
      <c r="J314" s="2" t="s">
        <v>97</v>
      </c>
      <c r="K314" s="2" t="s">
        <v>98</v>
      </c>
      <c r="L314" s="2" t="s">
        <v>143</v>
      </c>
      <c r="M314" s="2" t="s">
        <v>661</v>
      </c>
      <c r="N314" s="2" t="s">
        <v>662</v>
      </c>
      <c r="O314" s="3">
        <f>IFERROR(VLOOKUP(M314, '[1]08_CSDL_DAO_CU_VAT_LIEU'!$A$2:$F$64, 6, FALSE), 27500)</f>
        <v>180000</v>
      </c>
      <c r="P314" s="4">
        <v>10.89</v>
      </c>
      <c r="Q314" s="3">
        <f t="shared" si="13"/>
        <v>374306</v>
      </c>
      <c r="R314" s="3">
        <f>ROUND((F314/3600)*IFERROR(VLOOKUP(I314, '[1]02_DM_NHAN_SU_MAY'!$M$2:$Q$25, 5, FALSE), 39375), 0)</f>
        <v>209028</v>
      </c>
      <c r="S314" s="3">
        <v>0</v>
      </c>
      <c r="T314" s="3">
        <f t="shared" si="14"/>
        <v>583334</v>
      </c>
    </row>
    <row r="315" spans="1:20" x14ac:dyDescent="0.25">
      <c r="A315" s="5" t="s">
        <v>738</v>
      </c>
      <c r="B315" s="5">
        <v>314</v>
      </c>
      <c r="C315" s="5" t="s">
        <v>68</v>
      </c>
      <c r="D315" s="5" t="s">
        <v>739</v>
      </c>
      <c r="E315" s="5" t="s">
        <v>740</v>
      </c>
      <c r="F315" s="6">
        <v>3600</v>
      </c>
      <c r="G315" s="7">
        <f t="shared" si="12"/>
        <v>0.125</v>
      </c>
      <c r="H315" s="5">
        <v>1</v>
      </c>
      <c r="I315" s="5" t="s">
        <v>24</v>
      </c>
      <c r="J315" s="5" t="s">
        <v>97</v>
      </c>
      <c r="K315" s="5" t="s">
        <v>98</v>
      </c>
      <c r="L315" s="5" t="s">
        <v>109</v>
      </c>
      <c r="M315" s="5" t="s">
        <v>28</v>
      </c>
      <c r="N315" s="5" t="s">
        <v>29</v>
      </c>
      <c r="O315" s="6">
        <f>IFERROR(VLOOKUP(M315, '[1]08_CSDL_DAO_CU_VAT_LIEU'!$A$2:$F$64, 6, FALSE), 27500)</f>
        <v>27500</v>
      </c>
      <c r="P315" s="7">
        <v>1.4</v>
      </c>
      <c r="Q315" s="6">
        <f t="shared" si="13"/>
        <v>48125</v>
      </c>
      <c r="R315" s="6">
        <f>ROUND((F315/3600)*IFERROR(VLOOKUP(I315, '[1]02_DM_NHAN_SU_MAY'!$M$2:$Q$25, 5, FALSE), 39375), 0)</f>
        <v>39375</v>
      </c>
      <c r="S315" s="6">
        <v>0</v>
      </c>
      <c r="T315" s="6">
        <f t="shared" si="14"/>
        <v>87500</v>
      </c>
    </row>
    <row r="316" spans="1:20" x14ac:dyDescent="0.25">
      <c r="A316" s="2" t="s">
        <v>741</v>
      </c>
      <c r="B316" s="2">
        <v>315</v>
      </c>
      <c r="C316" s="2" t="s">
        <v>68</v>
      </c>
      <c r="D316" s="2" t="s">
        <v>739</v>
      </c>
      <c r="E316" s="2" t="s">
        <v>742</v>
      </c>
      <c r="F316" s="3">
        <v>3600</v>
      </c>
      <c r="G316" s="4">
        <f t="shared" si="12"/>
        <v>0.125</v>
      </c>
      <c r="H316" s="2">
        <v>2</v>
      </c>
      <c r="I316" s="2" t="s">
        <v>24</v>
      </c>
      <c r="J316" s="2" t="s">
        <v>97</v>
      </c>
      <c r="K316" s="2" t="s">
        <v>98</v>
      </c>
      <c r="L316" s="2" t="s">
        <v>109</v>
      </c>
      <c r="M316" s="2" t="s">
        <v>28</v>
      </c>
      <c r="N316" s="2" t="s">
        <v>29</v>
      </c>
      <c r="O316" s="3">
        <f>IFERROR(VLOOKUP(M316, '[1]08_CSDL_DAO_CU_VAT_LIEU'!$A$2:$F$64, 6, FALSE), 27500)</f>
        <v>27500</v>
      </c>
      <c r="P316" s="4">
        <v>1.4</v>
      </c>
      <c r="Q316" s="3">
        <f t="shared" si="13"/>
        <v>48125</v>
      </c>
      <c r="R316" s="3">
        <f>ROUND((F316/3600)*IFERROR(VLOOKUP(I316, '[1]02_DM_NHAN_SU_MAY'!$M$2:$Q$25, 5, FALSE), 39375), 0)</f>
        <v>39375</v>
      </c>
      <c r="S316" s="3">
        <v>0</v>
      </c>
      <c r="T316" s="3">
        <f t="shared" si="14"/>
        <v>87500</v>
      </c>
    </row>
    <row r="317" spans="1:20" x14ac:dyDescent="0.25">
      <c r="A317" s="5" t="s">
        <v>743</v>
      </c>
      <c r="B317" s="5">
        <v>316</v>
      </c>
      <c r="C317" s="5" t="s">
        <v>68</v>
      </c>
      <c r="D317" s="5" t="s">
        <v>739</v>
      </c>
      <c r="E317" s="5" t="s">
        <v>744</v>
      </c>
      <c r="F317" s="6">
        <v>3600</v>
      </c>
      <c r="G317" s="7">
        <f t="shared" si="12"/>
        <v>0.125</v>
      </c>
      <c r="H317" s="5">
        <v>3</v>
      </c>
      <c r="I317" s="5" t="s">
        <v>90</v>
      </c>
      <c r="J317" s="5" t="s">
        <v>97</v>
      </c>
      <c r="K317" s="5" t="s">
        <v>98</v>
      </c>
      <c r="L317" s="5" t="s">
        <v>143</v>
      </c>
      <c r="M317" s="5" t="s">
        <v>92</v>
      </c>
      <c r="N317" s="5" t="s">
        <v>93</v>
      </c>
      <c r="O317" s="6">
        <f>IFERROR(VLOOKUP(M317, '[1]08_CSDL_DAO_CU_VAT_LIEU'!$A$2:$F$64, 6, FALSE), 27500)</f>
        <v>74000</v>
      </c>
      <c r="P317" s="7">
        <v>1.4</v>
      </c>
      <c r="Q317" s="6">
        <f t="shared" si="13"/>
        <v>48125</v>
      </c>
      <c r="R317" s="6">
        <f>ROUND((F317/3600)*IFERROR(VLOOKUP(I317, '[1]02_DM_NHAN_SU_MAY'!$M$2:$Q$25, 5, FALSE), 39375), 0)</f>
        <v>26875</v>
      </c>
      <c r="S317" s="6">
        <v>0</v>
      </c>
      <c r="T317" s="6">
        <f t="shared" si="14"/>
        <v>75000</v>
      </c>
    </row>
    <row r="318" spans="1:20" x14ac:dyDescent="0.25">
      <c r="A318" s="2" t="s">
        <v>745</v>
      </c>
      <c r="B318" s="2">
        <v>317</v>
      </c>
      <c r="C318" s="2" t="s">
        <v>68</v>
      </c>
      <c r="D318" s="2" t="s">
        <v>739</v>
      </c>
      <c r="E318" s="2" t="s">
        <v>746</v>
      </c>
      <c r="F318" s="2">
        <v>180</v>
      </c>
      <c r="G318" s="4">
        <f t="shared" si="12"/>
        <v>6.3E-3</v>
      </c>
      <c r="H318" s="2" t="s">
        <v>34</v>
      </c>
      <c r="I318" s="2" t="s">
        <v>55</v>
      </c>
      <c r="J318" s="2" t="s">
        <v>97</v>
      </c>
      <c r="K318" s="2" t="s">
        <v>98</v>
      </c>
      <c r="L318" s="2" t="s">
        <v>109</v>
      </c>
      <c r="M318" s="2" t="s">
        <v>49</v>
      </c>
      <c r="N318" s="2" t="s">
        <v>50</v>
      </c>
      <c r="O318" s="3">
        <f>IFERROR(VLOOKUP(M318, '[1]08_CSDL_DAO_CU_VAT_LIEU'!$A$2:$F$64, 6, FALSE), 27500)</f>
        <v>20833.330000000002</v>
      </c>
      <c r="P318" s="4">
        <v>7.0000000000000007E-2</v>
      </c>
      <c r="Q318" s="3">
        <f t="shared" si="13"/>
        <v>2406</v>
      </c>
      <c r="R318" s="3">
        <f>ROUND((F318/3600)*IFERROR(VLOOKUP(I318, '[1]02_DM_NHAN_SU_MAY'!$M$2:$Q$25, 5, FALSE), 39375), 0)</f>
        <v>719</v>
      </c>
      <c r="S318" s="3">
        <v>0</v>
      </c>
      <c r="T318" s="3">
        <f t="shared" si="14"/>
        <v>3125</v>
      </c>
    </row>
    <row r="319" spans="1:20" x14ac:dyDescent="0.25">
      <c r="A319" s="5" t="s">
        <v>747</v>
      </c>
      <c r="B319" s="5">
        <v>318</v>
      </c>
      <c r="C319" s="5" t="s">
        <v>31</v>
      </c>
      <c r="D319" s="5" t="s">
        <v>748</v>
      </c>
      <c r="E319" s="5" t="s">
        <v>147</v>
      </c>
      <c r="F319" s="6">
        <v>3600</v>
      </c>
      <c r="G319" s="7">
        <f t="shared" si="12"/>
        <v>0.125</v>
      </c>
      <c r="H319" s="5" t="s">
        <v>34</v>
      </c>
      <c r="I319" s="5" t="s">
        <v>24</v>
      </c>
      <c r="J319" s="5" t="s">
        <v>36</v>
      </c>
      <c r="K319" s="5" t="s">
        <v>37</v>
      </c>
      <c r="L319" s="5" t="s">
        <v>38</v>
      </c>
      <c r="M319" s="5" t="s">
        <v>28</v>
      </c>
      <c r="N319" s="5" t="s">
        <v>29</v>
      </c>
      <c r="O319" s="6">
        <f>IFERROR(VLOOKUP(M319, '[1]08_CSDL_DAO_CU_VAT_LIEU'!$A$2:$F$64, 6, FALSE), 27500)</f>
        <v>27500</v>
      </c>
      <c r="P319" s="7">
        <v>1.68</v>
      </c>
      <c r="Q319" s="6">
        <f t="shared" si="13"/>
        <v>48125</v>
      </c>
      <c r="R319" s="6">
        <f>ROUND((F319/3600)*IFERROR(VLOOKUP(I319, '[1]02_DM_NHAN_SU_MAY'!$M$2:$Q$25, 5, FALSE), 39375), 0)</f>
        <v>39375</v>
      </c>
      <c r="S319" s="6">
        <v>0</v>
      </c>
      <c r="T319" s="6">
        <f t="shared" si="14"/>
        <v>87500</v>
      </c>
    </row>
    <row r="320" spans="1:20" x14ac:dyDescent="0.25">
      <c r="A320" s="2" t="s">
        <v>749</v>
      </c>
      <c r="B320" s="2">
        <v>319</v>
      </c>
      <c r="C320" s="2" t="s">
        <v>31</v>
      </c>
      <c r="D320" s="2" t="s">
        <v>750</v>
      </c>
      <c r="E320" s="2" t="s">
        <v>147</v>
      </c>
      <c r="F320" s="3">
        <v>3600</v>
      </c>
      <c r="G320" s="4">
        <f t="shared" si="12"/>
        <v>0.125</v>
      </c>
      <c r="H320" s="2" t="s">
        <v>34</v>
      </c>
      <c r="I320" s="2" t="s">
        <v>24</v>
      </c>
      <c r="J320" s="2" t="s">
        <v>36</v>
      </c>
      <c r="K320" s="2" t="s">
        <v>37</v>
      </c>
      <c r="L320" s="2" t="s">
        <v>38</v>
      </c>
      <c r="M320" s="2" t="s">
        <v>28</v>
      </c>
      <c r="N320" s="2" t="s">
        <v>29</v>
      </c>
      <c r="O320" s="3">
        <f>IFERROR(VLOOKUP(M320, '[1]08_CSDL_DAO_CU_VAT_LIEU'!$A$2:$F$64, 6, FALSE), 27500)</f>
        <v>27500</v>
      </c>
      <c r="P320" s="4">
        <v>1.68</v>
      </c>
      <c r="Q320" s="3">
        <f t="shared" si="13"/>
        <v>48125</v>
      </c>
      <c r="R320" s="3">
        <f>ROUND((F320/3600)*IFERROR(VLOOKUP(I320, '[1]02_DM_NHAN_SU_MAY'!$M$2:$Q$25, 5, FALSE), 39375), 0)</f>
        <v>39375</v>
      </c>
      <c r="S320" s="3">
        <v>0</v>
      </c>
      <c r="T320" s="3">
        <f t="shared" si="14"/>
        <v>87500</v>
      </c>
    </row>
    <row r="321" spans="1:20" x14ac:dyDescent="0.25">
      <c r="A321" s="5" t="s">
        <v>751</v>
      </c>
      <c r="B321" s="5">
        <v>320</v>
      </c>
      <c r="C321" s="5" t="s">
        <v>31</v>
      </c>
      <c r="D321" s="5" t="s">
        <v>752</v>
      </c>
      <c r="E321" s="5" t="s">
        <v>476</v>
      </c>
      <c r="F321" s="6">
        <v>3600</v>
      </c>
      <c r="G321" s="7">
        <f t="shared" si="12"/>
        <v>0.125</v>
      </c>
      <c r="H321" s="5" t="s">
        <v>34</v>
      </c>
      <c r="I321" s="5" t="s">
        <v>35</v>
      </c>
      <c r="J321" s="5" t="s">
        <v>36</v>
      </c>
      <c r="K321" s="5" t="s">
        <v>37</v>
      </c>
      <c r="L321" s="5" t="s">
        <v>38</v>
      </c>
      <c r="M321" s="5" t="s">
        <v>28</v>
      </c>
      <c r="N321" s="5" t="s">
        <v>29</v>
      </c>
      <c r="O321" s="6">
        <f>IFERROR(VLOOKUP(M321, '[1]08_CSDL_DAO_CU_VAT_LIEU'!$A$2:$F$64, 6, FALSE), 27500)</f>
        <v>27500</v>
      </c>
      <c r="P321" s="7">
        <v>1.68</v>
      </c>
      <c r="Q321" s="6">
        <f t="shared" si="13"/>
        <v>48125</v>
      </c>
      <c r="R321" s="6">
        <f>ROUND((F321/3600)*IFERROR(VLOOKUP(I321, '[1]02_DM_NHAN_SU_MAY'!$M$2:$Q$25, 5, FALSE), 39375), 0)</f>
        <v>39375</v>
      </c>
      <c r="S321" s="6">
        <v>0</v>
      </c>
      <c r="T321" s="6">
        <f t="shared" si="14"/>
        <v>87500</v>
      </c>
    </row>
    <row r="322" spans="1:20" x14ac:dyDescent="0.25">
      <c r="A322" s="2" t="s">
        <v>753</v>
      </c>
      <c r="B322" s="2">
        <v>321</v>
      </c>
      <c r="C322" s="2" t="s">
        <v>68</v>
      </c>
      <c r="D322" s="2" t="s">
        <v>754</v>
      </c>
      <c r="E322" s="2" t="s">
        <v>755</v>
      </c>
      <c r="F322" s="3">
        <v>10800</v>
      </c>
      <c r="G322" s="4">
        <f t="shared" ref="G322:G385" si="15">ROUND(F322/28800, 4)</f>
        <v>0.375</v>
      </c>
      <c r="H322" s="2">
        <v>1</v>
      </c>
      <c r="I322" s="2" t="s">
        <v>71</v>
      </c>
      <c r="J322" s="2" t="s">
        <v>72</v>
      </c>
      <c r="K322" s="2" t="s">
        <v>73</v>
      </c>
      <c r="L322" s="2" t="s">
        <v>508</v>
      </c>
      <c r="M322" s="2" t="s">
        <v>583</v>
      </c>
      <c r="N322" s="2" t="s">
        <v>584</v>
      </c>
      <c r="O322" s="3">
        <f>IFERROR(VLOOKUP(M322, '[1]08_CSDL_DAO_CU_VAT_LIEU'!$A$2:$F$64, 6, FALSE), 27500)</f>
        <v>36250</v>
      </c>
      <c r="P322" s="4">
        <v>4.2</v>
      </c>
      <c r="Q322" s="3">
        <f t="shared" ref="Q322:Q385" si="16">ROUND(F322*(385000/28800), 0)</f>
        <v>144375</v>
      </c>
      <c r="R322" s="3">
        <f>ROUND((F322/3600)*IFERROR(VLOOKUP(I322, '[1]02_DM_NHAN_SU_MAY'!$M$2:$Q$25, 5, FALSE), 39375), 0)</f>
        <v>80625</v>
      </c>
      <c r="S322" s="3">
        <v>0</v>
      </c>
      <c r="T322" s="3">
        <f t="shared" ref="T322:T385" si="17">Q322+R322</f>
        <v>225000</v>
      </c>
    </row>
    <row r="323" spans="1:20" x14ac:dyDescent="0.25">
      <c r="A323" s="5" t="s">
        <v>756</v>
      </c>
      <c r="B323" s="5">
        <v>322</v>
      </c>
      <c r="C323" s="5" t="s">
        <v>68</v>
      </c>
      <c r="D323" s="5" t="s">
        <v>754</v>
      </c>
      <c r="E323" s="5" t="s">
        <v>757</v>
      </c>
      <c r="F323" s="5">
        <v>900</v>
      </c>
      <c r="G323" s="7">
        <f t="shared" si="15"/>
        <v>3.1300000000000001E-2</v>
      </c>
      <c r="H323" s="5">
        <v>2</v>
      </c>
      <c r="I323" s="5" t="s">
        <v>24</v>
      </c>
      <c r="J323" s="5" t="s">
        <v>72</v>
      </c>
      <c r="K323" s="5" t="s">
        <v>73</v>
      </c>
      <c r="L323" s="5" t="s">
        <v>508</v>
      </c>
      <c r="M323" s="5" t="s">
        <v>28</v>
      </c>
      <c r="N323" s="5" t="s">
        <v>29</v>
      </c>
      <c r="O323" s="6">
        <f>IFERROR(VLOOKUP(M323, '[1]08_CSDL_DAO_CU_VAT_LIEU'!$A$2:$F$64, 6, FALSE), 27500)</f>
        <v>27500</v>
      </c>
      <c r="P323" s="7">
        <v>0.35</v>
      </c>
      <c r="Q323" s="6">
        <f t="shared" si="16"/>
        <v>12031</v>
      </c>
      <c r="R323" s="6">
        <f>ROUND((F323/3600)*IFERROR(VLOOKUP(I323, '[1]02_DM_NHAN_SU_MAY'!$M$2:$Q$25, 5, FALSE), 39375), 0)</f>
        <v>9844</v>
      </c>
      <c r="S323" s="6">
        <v>0</v>
      </c>
      <c r="T323" s="6">
        <f t="shared" si="17"/>
        <v>21875</v>
      </c>
    </row>
    <row r="324" spans="1:20" x14ac:dyDescent="0.25">
      <c r="A324" s="2" t="s">
        <v>758</v>
      </c>
      <c r="B324" s="2">
        <v>323</v>
      </c>
      <c r="C324" s="2" t="s">
        <v>68</v>
      </c>
      <c r="D324" s="2" t="s">
        <v>754</v>
      </c>
      <c r="E324" s="2" t="s">
        <v>572</v>
      </c>
      <c r="F324" s="3">
        <v>7200</v>
      </c>
      <c r="G324" s="4">
        <f t="shared" si="15"/>
        <v>0.25</v>
      </c>
      <c r="H324" s="2" t="s">
        <v>34</v>
      </c>
      <c r="I324" s="2" t="s">
        <v>55</v>
      </c>
      <c r="J324" s="2" t="s">
        <v>72</v>
      </c>
      <c r="K324" s="2" t="s">
        <v>73</v>
      </c>
      <c r="L324" s="2" t="s">
        <v>508</v>
      </c>
      <c r="M324" s="2" t="s">
        <v>49</v>
      </c>
      <c r="N324" s="2" t="s">
        <v>50</v>
      </c>
      <c r="O324" s="3">
        <f>IFERROR(VLOOKUP(M324, '[1]08_CSDL_DAO_CU_VAT_LIEU'!$A$2:$F$64, 6, FALSE), 27500)</f>
        <v>20833.330000000002</v>
      </c>
      <c r="P324" s="4">
        <v>2.8</v>
      </c>
      <c r="Q324" s="3">
        <f t="shared" si="16"/>
        <v>96250</v>
      </c>
      <c r="R324" s="3">
        <f>ROUND((F324/3600)*IFERROR(VLOOKUP(I324, '[1]02_DM_NHAN_SU_MAY'!$M$2:$Q$25, 5, FALSE), 39375), 0)</f>
        <v>28750</v>
      </c>
      <c r="S324" s="3">
        <v>0</v>
      </c>
      <c r="T324" s="3">
        <f t="shared" si="17"/>
        <v>125000</v>
      </c>
    </row>
    <row r="325" spans="1:20" x14ac:dyDescent="0.25">
      <c r="A325" s="5" t="s">
        <v>759</v>
      </c>
      <c r="B325" s="5">
        <v>324</v>
      </c>
      <c r="C325" s="5" t="s">
        <v>68</v>
      </c>
      <c r="D325" s="5" t="s">
        <v>760</v>
      </c>
      <c r="E325" s="5" t="s">
        <v>761</v>
      </c>
      <c r="F325" s="6">
        <v>3600</v>
      </c>
      <c r="G325" s="7">
        <f t="shared" si="15"/>
        <v>0.125</v>
      </c>
      <c r="H325" s="5">
        <v>1</v>
      </c>
      <c r="I325" s="5" t="s">
        <v>90</v>
      </c>
      <c r="J325" s="5" t="s">
        <v>72</v>
      </c>
      <c r="K325" s="5" t="s">
        <v>73</v>
      </c>
      <c r="L325" s="5" t="s">
        <v>91</v>
      </c>
      <c r="M325" s="5" t="s">
        <v>587</v>
      </c>
      <c r="N325" s="5" t="s">
        <v>588</v>
      </c>
      <c r="O325" s="6">
        <f>IFERROR(VLOOKUP(M325, '[1]08_CSDL_DAO_CU_VAT_LIEU'!$A$2:$F$64, 6, FALSE), 27500)</f>
        <v>240000</v>
      </c>
      <c r="P325" s="7">
        <v>1.4</v>
      </c>
      <c r="Q325" s="6">
        <f t="shared" si="16"/>
        <v>48125</v>
      </c>
      <c r="R325" s="6">
        <f>ROUND((F325/3600)*IFERROR(VLOOKUP(I325, '[1]02_DM_NHAN_SU_MAY'!$M$2:$Q$25, 5, FALSE), 39375), 0)</f>
        <v>26875</v>
      </c>
      <c r="S325" s="6">
        <v>0</v>
      </c>
      <c r="T325" s="6">
        <f t="shared" si="17"/>
        <v>75000</v>
      </c>
    </row>
    <row r="326" spans="1:20" x14ac:dyDescent="0.25">
      <c r="A326" s="2" t="s">
        <v>762</v>
      </c>
      <c r="B326" s="2">
        <v>325</v>
      </c>
      <c r="C326" s="2" t="s">
        <v>68</v>
      </c>
      <c r="D326" s="2" t="s">
        <v>760</v>
      </c>
      <c r="E326" s="2" t="s">
        <v>763</v>
      </c>
      <c r="F326" s="3">
        <v>7200</v>
      </c>
      <c r="G326" s="4">
        <f t="shared" si="15"/>
        <v>0.25</v>
      </c>
      <c r="H326" s="2">
        <v>2</v>
      </c>
      <c r="I326" s="2" t="s">
        <v>24</v>
      </c>
      <c r="J326" s="2" t="s">
        <v>72</v>
      </c>
      <c r="K326" s="2" t="s">
        <v>73</v>
      </c>
      <c r="L326" s="2" t="s">
        <v>508</v>
      </c>
      <c r="M326" s="2" t="s">
        <v>28</v>
      </c>
      <c r="N326" s="2" t="s">
        <v>29</v>
      </c>
      <c r="O326" s="3">
        <f>IFERROR(VLOOKUP(M326, '[1]08_CSDL_DAO_CU_VAT_LIEU'!$A$2:$F$64, 6, FALSE), 27500)</f>
        <v>27500</v>
      </c>
      <c r="P326" s="4">
        <v>2.8</v>
      </c>
      <c r="Q326" s="3">
        <f t="shared" si="16"/>
        <v>96250</v>
      </c>
      <c r="R326" s="3">
        <f>ROUND((F326/3600)*IFERROR(VLOOKUP(I326, '[1]02_DM_NHAN_SU_MAY'!$M$2:$Q$25, 5, FALSE), 39375), 0)</f>
        <v>78750</v>
      </c>
      <c r="S326" s="3">
        <v>0</v>
      </c>
      <c r="T326" s="3">
        <f t="shared" si="17"/>
        <v>175000</v>
      </c>
    </row>
    <row r="327" spans="1:20" x14ac:dyDescent="0.25">
      <c r="A327" s="5" t="s">
        <v>764</v>
      </c>
      <c r="B327" s="5">
        <v>326</v>
      </c>
      <c r="C327" s="5" t="s">
        <v>68</v>
      </c>
      <c r="D327" s="5" t="s">
        <v>760</v>
      </c>
      <c r="E327" s="5" t="s">
        <v>765</v>
      </c>
      <c r="F327" s="6">
        <v>7200</v>
      </c>
      <c r="G327" s="7">
        <f t="shared" si="15"/>
        <v>0.25</v>
      </c>
      <c r="H327" s="5" t="s">
        <v>34</v>
      </c>
      <c r="I327" s="5" t="s">
        <v>55</v>
      </c>
      <c r="J327" s="5" t="s">
        <v>72</v>
      </c>
      <c r="K327" s="5" t="s">
        <v>73</v>
      </c>
      <c r="L327" s="5" t="s">
        <v>508</v>
      </c>
      <c r="M327" s="5" t="s">
        <v>49</v>
      </c>
      <c r="N327" s="5" t="s">
        <v>50</v>
      </c>
      <c r="O327" s="6">
        <f>IFERROR(VLOOKUP(M327, '[1]08_CSDL_DAO_CU_VAT_LIEU'!$A$2:$F$64, 6, FALSE), 27500)</f>
        <v>20833.330000000002</v>
      </c>
      <c r="P327" s="7">
        <v>2.8</v>
      </c>
      <c r="Q327" s="6">
        <f t="shared" si="16"/>
        <v>96250</v>
      </c>
      <c r="R327" s="6">
        <f>ROUND((F327/3600)*IFERROR(VLOOKUP(I327, '[1]02_DM_NHAN_SU_MAY'!$M$2:$Q$25, 5, FALSE), 39375), 0)</f>
        <v>28750</v>
      </c>
      <c r="S327" s="6">
        <v>0</v>
      </c>
      <c r="T327" s="6">
        <f t="shared" si="17"/>
        <v>125000</v>
      </c>
    </row>
    <row r="328" spans="1:20" x14ac:dyDescent="0.25">
      <c r="A328" s="2" t="s">
        <v>766</v>
      </c>
      <c r="B328" s="2">
        <v>327</v>
      </c>
      <c r="C328" s="2" t="s">
        <v>68</v>
      </c>
      <c r="D328" s="2" t="s">
        <v>767</v>
      </c>
      <c r="E328" s="2" t="s">
        <v>768</v>
      </c>
      <c r="F328" s="3">
        <v>7200</v>
      </c>
      <c r="G328" s="4">
        <f t="shared" si="15"/>
        <v>0.25</v>
      </c>
      <c r="H328" s="2">
        <v>1</v>
      </c>
      <c r="I328" s="2" t="s">
        <v>71</v>
      </c>
      <c r="J328" s="2" t="s">
        <v>72</v>
      </c>
      <c r="K328" s="2" t="s">
        <v>73</v>
      </c>
      <c r="L328" s="2" t="s">
        <v>508</v>
      </c>
      <c r="M328" s="2" t="s">
        <v>583</v>
      </c>
      <c r="N328" s="2" t="s">
        <v>584</v>
      </c>
      <c r="O328" s="3">
        <f>IFERROR(VLOOKUP(M328, '[1]08_CSDL_DAO_CU_VAT_LIEU'!$A$2:$F$64, 6, FALSE), 27500)</f>
        <v>36250</v>
      </c>
      <c r="P328" s="4">
        <v>2.8</v>
      </c>
      <c r="Q328" s="3">
        <f t="shared" si="16"/>
        <v>96250</v>
      </c>
      <c r="R328" s="3">
        <f>ROUND((F328/3600)*IFERROR(VLOOKUP(I328, '[1]02_DM_NHAN_SU_MAY'!$M$2:$Q$25, 5, FALSE), 39375), 0)</f>
        <v>53750</v>
      </c>
      <c r="S328" s="3">
        <v>0</v>
      </c>
      <c r="T328" s="3">
        <f t="shared" si="17"/>
        <v>150000</v>
      </c>
    </row>
    <row r="329" spans="1:20" x14ac:dyDescent="0.25">
      <c r="A329" s="5" t="s">
        <v>769</v>
      </c>
      <c r="B329" s="5">
        <v>328</v>
      </c>
      <c r="C329" s="5" t="s">
        <v>68</v>
      </c>
      <c r="D329" s="5" t="s">
        <v>767</v>
      </c>
      <c r="E329" s="5" t="s">
        <v>770</v>
      </c>
      <c r="F329" s="5">
        <v>120</v>
      </c>
      <c r="G329" s="7">
        <f t="shared" si="15"/>
        <v>4.1999999999999997E-3</v>
      </c>
      <c r="H329" s="5">
        <v>2</v>
      </c>
      <c r="I329" s="5" t="s">
        <v>90</v>
      </c>
      <c r="J329" s="5" t="s">
        <v>72</v>
      </c>
      <c r="K329" s="5" t="s">
        <v>73</v>
      </c>
      <c r="L329" s="5" t="s">
        <v>91</v>
      </c>
      <c r="M329" s="5" t="s">
        <v>587</v>
      </c>
      <c r="N329" s="5" t="s">
        <v>588</v>
      </c>
      <c r="O329" s="6">
        <f>IFERROR(VLOOKUP(M329, '[1]08_CSDL_DAO_CU_VAT_LIEU'!$A$2:$F$64, 6, FALSE), 27500)</f>
        <v>240000</v>
      </c>
      <c r="P329" s="7">
        <v>0.05</v>
      </c>
      <c r="Q329" s="6">
        <f t="shared" si="16"/>
        <v>1604</v>
      </c>
      <c r="R329" s="6">
        <f>ROUND((F329/3600)*IFERROR(VLOOKUP(I329, '[1]02_DM_NHAN_SU_MAY'!$M$2:$Q$25, 5, FALSE), 39375), 0)</f>
        <v>896</v>
      </c>
      <c r="S329" s="6">
        <v>0</v>
      </c>
      <c r="T329" s="6">
        <f t="shared" si="17"/>
        <v>2500</v>
      </c>
    </row>
    <row r="330" spans="1:20" x14ac:dyDescent="0.25">
      <c r="A330" s="2" t="s">
        <v>771</v>
      </c>
      <c r="B330" s="2">
        <v>329</v>
      </c>
      <c r="C330" s="2" t="s">
        <v>68</v>
      </c>
      <c r="D330" s="2" t="s">
        <v>767</v>
      </c>
      <c r="E330" s="2" t="s">
        <v>772</v>
      </c>
      <c r="F330" s="3">
        <v>3600</v>
      </c>
      <c r="G330" s="4">
        <f t="shared" si="15"/>
        <v>0.125</v>
      </c>
      <c r="H330" s="2" t="s">
        <v>34</v>
      </c>
      <c r="I330" s="2" t="s">
        <v>24</v>
      </c>
      <c r="J330" s="2" t="s">
        <v>72</v>
      </c>
      <c r="K330" s="2" t="s">
        <v>73</v>
      </c>
      <c r="L330" s="2" t="s">
        <v>508</v>
      </c>
      <c r="M330" s="2" t="s">
        <v>28</v>
      </c>
      <c r="N330" s="2" t="s">
        <v>29</v>
      </c>
      <c r="O330" s="3">
        <f>IFERROR(VLOOKUP(M330, '[1]08_CSDL_DAO_CU_VAT_LIEU'!$A$2:$F$64, 6, FALSE), 27500)</f>
        <v>27500</v>
      </c>
      <c r="P330" s="4">
        <v>1.4</v>
      </c>
      <c r="Q330" s="3">
        <f t="shared" si="16"/>
        <v>48125</v>
      </c>
      <c r="R330" s="3">
        <f>ROUND((F330/3600)*IFERROR(VLOOKUP(I330, '[1]02_DM_NHAN_SU_MAY'!$M$2:$Q$25, 5, FALSE), 39375), 0)</f>
        <v>39375</v>
      </c>
      <c r="S330" s="3">
        <v>0</v>
      </c>
      <c r="T330" s="3">
        <f t="shared" si="17"/>
        <v>87500</v>
      </c>
    </row>
    <row r="331" spans="1:20" x14ac:dyDescent="0.25">
      <c r="A331" s="5" t="s">
        <v>773</v>
      </c>
      <c r="B331" s="5">
        <v>330</v>
      </c>
      <c r="C331" s="5" t="s">
        <v>68</v>
      </c>
      <c r="D331" s="5" t="s">
        <v>774</v>
      </c>
      <c r="E331" s="5" t="s">
        <v>476</v>
      </c>
      <c r="F331" s="6">
        <v>5400</v>
      </c>
      <c r="G331" s="7">
        <f t="shared" si="15"/>
        <v>0.1875</v>
      </c>
      <c r="H331" s="5" t="s">
        <v>34</v>
      </c>
      <c r="I331" s="5" t="s">
        <v>24</v>
      </c>
      <c r="J331" s="5" t="s">
        <v>97</v>
      </c>
      <c r="K331" s="5" t="s">
        <v>98</v>
      </c>
      <c r="L331" s="5" t="s">
        <v>109</v>
      </c>
      <c r="M331" s="5" t="s">
        <v>28</v>
      </c>
      <c r="N331" s="5" t="s">
        <v>29</v>
      </c>
      <c r="O331" s="6">
        <f>IFERROR(VLOOKUP(M331, '[1]08_CSDL_DAO_CU_VAT_LIEU'!$A$2:$F$64, 6, FALSE), 27500)</f>
        <v>27500</v>
      </c>
      <c r="P331" s="7">
        <v>2.1</v>
      </c>
      <c r="Q331" s="6">
        <f t="shared" si="16"/>
        <v>72188</v>
      </c>
      <c r="R331" s="6">
        <f>ROUND((F331/3600)*IFERROR(VLOOKUP(I331, '[1]02_DM_NHAN_SU_MAY'!$M$2:$Q$25, 5, FALSE), 39375), 0)</f>
        <v>59063</v>
      </c>
      <c r="S331" s="6">
        <v>0</v>
      </c>
      <c r="T331" s="6">
        <f t="shared" si="17"/>
        <v>131251</v>
      </c>
    </row>
    <row r="332" spans="1:20" x14ac:dyDescent="0.25">
      <c r="A332" s="2" t="s">
        <v>775</v>
      </c>
      <c r="B332" s="2">
        <v>331</v>
      </c>
      <c r="C332" s="2" t="s">
        <v>68</v>
      </c>
      <c r="D332" s="2" t="s">
        <v>581</v>
      </c>
      <c r="E332" s="2" t="s">
        <v>776</v>
      </c>
      <c r="F332" s="3">
        <v>3600</v>
      </c>
      <c r="G332" s="4">
        <f t="shared" si="15"/>
        <v>0.125</v>
      </c>
      <c r="H332" s="2" t="s">
        <v>34</v>
      </c>
      <c r="I332" s="2" t="s">
        <v>55</v>
      </c>
      <c r="J332" s="2" t="s">
        <v>72</v>
      </c>
      <c r="K332" s="2" t="s">
        <v>73</v>
      </c>
      <c r="L332" s="2" t="s">
        <v>508</v>
      </c>
      <c r="M332" s="2" t="s">
        <v>583</v>
      </c>
      <c r="N332" s="2" t="s">
        <v>584</v>
      </c>
      <c r="O332" s="3">
        <f>IFERROR(VLOOKUP(M332, '[1]08_CSDL_DAO_CU_VAT_LIEU'!$A$2:$F$64, 6, FALSE), 27500)</f>
        <v>36250</v>
      </c>
      <c r="P332" s="4">
        <v>1.4</v>
      </c>
      <c r="Q332" s="3">
        <f t="shared" si="16"/>
        <v>48125</v>
      </c>
      <c r="R332" s="3">
        <f>ROUND((F332/3600)*IFERROR(VLOOKUP(I332, '[1]02_DM_NHAN_SU_MAY'!$M$2:$Q$25, 5, FALSE), 39375), 0)</f>
        <v>14375</v>
      </c>
      <c r="S332" s="3">
        <v>0</v>
      </c>
      <c r="T332" s="3">
        <f t="shared" si="17"/>
        <v>62500</v>
      </c>
    </row>
    <row r="333" spans="1:20" x14ac:dyDescent="0.25">
      <c r="A333" s="5" t="s">
        <v>777</v>
      </c>
      <c r="B333" s="5">
        <v>332</v>
      </c>
      <c r="C333" s="5" t="s">
        <v>21</v>
      </c>
      <c r="D333" s="5" t="s">
        <v>778</v>
      </c>
      <c r="E333" s="5" t="s">
        <v>779</v>
      </c>
      <c r="F333" s="6">
        <v>10800</v>
      </c>
      <c r="G333" s="7">
        <f t="shared" si="15"/>
        <v>0.375</v>
      </c>
      <c r="H333" s="5">
        <v>1</v>
      </c>
      <c r="I333" s="5" t="s">
        <v>24</v>
      </c>
      <c r="J333" s="5" t="s">
        <v>25</v>
      </c>
      <c r="K333" s="5" t="s">
        <v>26</v>
      </c>
      <c r="L333" s="5" t="s">
        <v>27</v>
      </c>
      <c r="M333" s="5" t="s">
        <v>28</v>
      </c>
      <c r="N333" s="5" t="s">
        <v>29</v>
      </c>
      <c r="O333" s="6">
        <f>IFERROR(VLOOKUP(M333, '[1]08_CSDL_DAO_CU_VAT_LIEU'!$A$2:$F$64, 6, FALSE), 27500)</f>
        <v>27500</v>
      </c>
      <c r="P333" s="7">
        <v>6.3</v>
      </c>
      <c r="Q333" s="6">
        <f t="shared" si="16"/>
        <v>144375</v>
      </c>
      <c r="R333" s="6">
        <f>ROUND((F333/3600)*IFERROR(VLOOKUP(I333, '[1]02_DM_NHAN_SU_MAY'!$M$2:$Q$25, 5, FALSE), 39375), 0)</f>
        <v>118125</v>
      </c>
      <c r="S333" s="6">
        <v>0</v>
      </c>
      <c r="T333" s="6">
        <f t="shared" si="17"/>
        <v>262500</v>
      </c>
    </row>
    <row r="334" spans="1:20" x14ac:dyDescent="0.25">
      <c r="A334" s="2" t="s">
        <v>780</v>
      </c>
      <c r="B334" s="2">
        <v>333</v>
      </c>
      <c r="C334" s="2" t="s">
        <v>21</v>
      </c>
      <c r="D334" s="2" t="s">
        <v>778</v>
      </c>
      <c r="E334" s="2" t="s">
        <v>781</v>
      </c>
      <c r="F334" s="3">
        <v>3600</v>
      </c>
      <c r="G334" s="4">
        <f t="shared" si="15"/>
        <v>0.125</v>
      </c>
      <c r="H334" s="2" t="s">
        <v>34</v>
      </c>
      <c r="I334" s="2" t="s">
        <v>90</v>
      </c>
      <c r="J334" s="2" t="s">
        <v>25</v>
      </c>
      <c r="K334" s="2" t="s">
        <v>26</v>
      </c>
      <c r="L334" s="2" t="s">
        <v>782</v>
      </c>
      <c r="M334" s="2" t="s">
        <v>92</v>
      </c>
      <c r="N334" s="2" t="s">
        <v>93</v>
      </c>
      <c r="O334" s="3">
        <f>IFERROR(VLOOKUP(M334, '[1]08_CSDL_DAO_CU_VAT_LIEU'!$A$2:$F$64, 6, FALSE), 27500)</f>
        <v>74000</v>
      </c>
      <c r="P334" s="4">
        <v>2.1</v>
      </c>
      <c r="Q334" s="3">
        <f t="shared" si="16"/>
        <v>48125</v>
      </c>
      <c r="R334" s="3">
        <f>ROUND((F334/3600)*IFERROR(VLOOKUP(I334, '[1]02_DM_NHAN_SU_MAY'!$M$2:$Q$25, 5, FALSE), 39375), 0)</f>
        <v>26875</v>
      </c>
      <c r="S334" s="3">
        <v>0</v>
      </c>
      <c r="T334" s="3">
        <f t="shared" si="17"/>
        <v>75000</v>
      </c>
    </row>
    <row r="335" spans="1:20" x14ac:dyDescent="0.25">
      <c r="A335" s="5" t="s">
        <v>783</v>
      </c>
      <c r="B335" s="5">
        <v>334</v>
      </c>
      <c r="C335" s="5" t="s">
        <v>21</v>
      </c>
      <c r="D335" s="5" t="s">
        <v>784</v>
      </c>
      <c r="E335" s="5" t="s">
        <v>785</v>
      </c>
      <c r="F335" s="6">
        <v>10800</v>
      </c>
      <c r="G335" s="7">
        <f t="shared" si="15"/>
        <v>0.375</v>
      </c>
      <c r="H335" s="5">
        <v>1</v>
      </c>
      <c r="I335" s="5" t="s">
        <v>24</v>
      </c>
      <c r="J335" s="5" t="s">
        <v>25</v>
      </c>
      <c r="K335" s="5" t="s">
        <v>26</v>
      </c>
      <c r="L335" s="5" t="s">
        <v>27</v>
      </c>
      <c r="M335" s="5" t="s">
        <v>28</v>
      </c>
      <c r="N335" s="5" t="s">
        <v>29</v>
      </c>
      <c r="O335" s="6">
        <f>IFERROR(VLOOKUP(M335, '[1]08_CSDL_DAO_CU_VAT_LIEU'!$A$2:$F$64, 6, FALSE), 27500)</f>
        <v>27500</v>
      </c>
      <c r="P335" s="7">
        <v>6.3</v>
      </c>
      <c r="Q335" s="6">
        <f t="shared" si="16"/>
        <v>144375</v>
      </c>
      <c r="R335" s="6">
        <f>ROUND((F335/3600)*IFERROR(VLOOKUP(I335, '[1]02_DM_NHAN_SU_MAY'!$M$2:$Q$25, 5, FALSE), 39375), 0)</f>
        <v>118125</v>
      </c>
      <c r="S335" s="6">
        <v>0</v>
      </c>
      <c r="T335" s="6">
        <f t="shared" si="17"/>
        <v>262500</v>
      </c>
    </row>
    <row r="336" spans="1:20" x14ac:dyDescent="0.25">
      <c r="A336" s="2" t="s">
        <v>786</v>
      </c>
      <c r="B336" s="2">
        <v>335</v>
      </c>
      <c r="C336" s="2" t="s">
        <v>21</v>
      </c>
      <c r="D336" s="2" t="s">
        <v>784</v>
      </c>
      <c r="E336" s="2" t="s">
        <v>787</v>
      </c>
      <c r="F336" s="3">
        <v>3600</v>
      </c>
      <c r="G336" s="4">
        <f t="shared" si="15"/>
        <v>0.125</v>
      </c>
      <c r="H336" s="2" t="s">
        <v>34</v>
      </c>
      <c r="I336" s="2" t="s">
        <v>90</v>
      </c>
      <c r="J336" s="2" t="s">
        <v>25</v>
      </c>
      <c r="K336" s="2" t="s">
        <v>26</v>
      </c>
      <c r="L336" s="2" t="s">
        <v>782</v>
      </c>
      <c r="M336" s="2" t="s">
        <v>92</v>
      </c>
      <c r="N336" s="2" t="s">
        <v>93</v>
      </c>
      <c r="O336" s="3">
        <f>IFERROR(VLOOKUP(M336, '[1]08_CSDL_DAO_CU_VAT_LIEU'!$A$2:$F$64, 6, FALSE), 27500)</f>
        <v>74000</v>
      </c>
      <c r="P336" s="4">
        <v>2.1</v>
      </c>
      <c r="Q336" s="3">
        <f t="shared" si="16"/>
        <v>48125</v>
      </c>
      <c r="R336" s="3">
        <f>ROUND((F336/3600)*IFERROR(VLOOKUP(I336, '[1]02_DM_NHAN_SU_MAY'!$M$2:$Q$25, 5, FALSE), 39375), 0)</f>
        <v>26875</v>
      </c>
      <c r="S336" s="3">
        <v>0</v>
      </c>
      <c r="T336" s="3">
        <f t="shared" si="17"/>
        <v>75000</v>
      </c>
    </row>
    <row r="337" spans="1:20" x14ac:dyDescent="0.25">
      <c r="A337" s="5" t="s">
        <v>788</v>
      </c>
      <c r="B337" s="5">
        <v>336</v>
      </c>
      <c r="C337" s="5" t="s">
        <v>68</v>
      </c>
      <c r="D337" s="5" t="s">
        <v>789</v>
      </c>
      <c r="E337" s="5" t="s">
        <v>790</v>
      </c>
      <c r="F337" s="6">
        <v>172800</v>
      </c>
      <c r="G337" s="7">
        <f t="shared" si="15"/>
        <v>6</v>
      </c>
      <c r="H337" s="5" t="s">
        <v>34</v>
      </c>
      <c r="I337" s="5" t="s">
        <v>24</v>
      </c>
      <c r="J337" s="5" t="s">
        <v>56</v>
      </c>
      <c r="K337" s="5" t="s">
        <v>57</v>
      </c>
      <c r="L337" s="5" t="s">
        <v>58</v>
      </c>
      <c r="M337" s="5" t="s">
        <v>28</v>
      </c>
      <c r="N337" s="5" t="s">
        <v>29</v>
      </c>
      <c r="O337" s="6">
        <f>IFERROR(VLOOKUP(M337, '[1]08_CSDL_DAO_CU_VAT_LIEU'!$A$2:$F$64, 6, FALSE), 27500)</f>
        <v>27500</v>
      </c>
      <c r="P337" s="7">
        <v>80.64</v>
      </c>
      <c r="Q337" s="6">
        <f t="shared" si="16"/>
        <v>2310000</v>
      </c>
      <c r="R337" s="6">
        <f>ROUND((F337/3600)*IFERROR(VLOOKUP(I337, '[1]02_DM_NHAN_SU_MAY'!$M$2:$Q$25, 5, FALSE), 39375), 0)</f>
        <v>1890000</v>
      </c>
      <c r="S337" s="6">
        <v>0</v>
      </c>
      <c r="T337" s="6">
        <f t="shared" si="17"/>
        <v>4200000</v>
      </c>
    </row>
    <row r="338" spans="1:20" x14ac:dyDescent="0.25">
      <c r="A338" s="2" t="s">
        <v>791</v>
      </c>
      <c r="B338" s="2">
        <v>337</v>
      </c>
      <c r="C338" s="2" t="s">
        <v>68</v>
      </c>
      <c r="D338" s="2" t="s">
        <v>792</v>
      </c>
      <c r="E338" s="2" t="s">
        <v>790</v>
      </c>
      <c r="F338" s="3">
        <v>172800</v>
      </c>
      <c r="G338" s="4">
        <f t="shared" si="15"/>
        <v>6</v>
      </c>
      <c r="H338" s="2" t="s">
        <v>34</v>
      </c>
      <c r="I338" s="2" t="s">
        <v>24</v>
      </c>
      <c r="J338" s="2" t="s">
        <v>56</v>
      </c>
      <c r="K338" s="2" t="s">
        <v>57</v>
      </c>
      <c r="L338" s="2" t="s">
        <v>58</v>
      </c>
      <c r="M338" s="2" t="s">
        <v>28</v>
      </c>
      <c r="N338" s="2" t="s">
        <v>29</v>
      </c>
      <c r="O338" s="3">
        <f>IFERROR(VLOOKUP(M338, '[1]08_CSDL_DAO_CU_VAT_LIEU'!$A$2:$F$64, 6, FALSE), 27500)</f>
        <v>27500</v>
      </c>
      <c r="P338" s="4">
        <v>80.64</v>
      </c>
      <c r="Q338" s="3">
        <f t="shared" si="16"/>
        <v>2310000</v>
      </c>
      <c r="R338" s="3">
        <f>ROUND((F338/3600)*IFERROR(VLOOKUP(I338, '[1]02_DM_NHAN_SU_MAY'!$M$2:$Q$25, 5, FALSE), 39375), 0)</f>
        <v>1890000</v>
      </c>
      <c r="S338" s="3">
        <v>0</v>
      </c>
      <c r="T338" s="3">
        <f t="shared" si="17"/>
        <v>4200000</v>
      </c>
    </row>
    <row r="339" spans="1:20" x14ac:dyDescent="0.25">
      <c r="A339" s="5" t="s">
        <v>793</v>
      </c>
      <c r="B339" s="5">
        <v>338</v>
      </c>
      <c r="C339" s="5" t="s">
        <v>68</v>
      </c>
      <c r="D339" s="5" t="s">
        <v>794</v>
      </c>
      <c r="E339" s="5" t="s">
        <v>795</v>
      </c>
      <c r="F339" s="6">
        <v>28800</v>
      </c>
      <c r="G339" s="7">
        <f t="shared" si="15"/>
        <v>1</v>
      </c>
      <c r="H339" s="5">
        <v>1</v>
      </c>
      <c r="I339" s="5" t="s">
        <v>24</v>
      </c>
      <c r="J339" s="5" t="s">
        <v>97</v>
      </c>
      <c r="K339" s="5" t="s">
        <v>98</v>
      </c>
      <c r="L339" s="5" t="s">
        <v>109</v>
      </c>
      <c r="M339" s="5" t="s">
        <v>28</v>
      </c>
      <c r="N339" s="5" t="s">
        <v>29</v>
      </c>
      <c r="O339" s="6">
        <f>IFERROR(VLOOKUP(M339, '[1]08_CSDL_DAO_CU_VAT_LIEU'!$A$2:$F$64, 6, FALSE), 27500)</f>
        <v>27500</v>
      </c>
      <c r="P339" s="7">
        <v>11.2</v>
      </c>
      <c r="Q339" s="6">
        <f t="shared" si="16"/>
        <v>385000</v>
      </c>
      <c r="R339" s="6">
        <f>ROUND((F339/3600)*IFERROR(VLOOKUP(I339, '[1]02_DM_NHAN_SU_MAY'!$M$2:$Q$25, 5, FALSE), 39375), 0)</f>
        <v>315000</v>
      </c>
      <c r="S339" s="6">
        <v>0</v>
      </c>
      <c r="T339" s="6">
        <f t="shared" si="17"/>
        <v>700000</v>
      </c>
    </row>
    <row r="340" spans="1:20" x14ac:dyDescent="0.25">
      <c r="A340" s="2" t="s">
        <v>796</v>
      </c>
      <c r="B340" s="2">
        <v>339</v>
      </c>
      <c r="C340" s="2" t="s">
        <v>68</v>
      </c>
      <c r="D340" s="2" t="s">
        <v>794</v>
      </c>
      <c r="E340" s="2" t="s">
        <v>797</v>
      </c>
      <c r="F340" s="3">
        <v>28800</v>
      </c>
      <c r="G340" s="4">
        <f t="shared" si="15"/>
        <v>1</v>
      </c>
      <c r="H340" s="2">
        <v>2</v>
      </c>
      <c r="I340" s="2" t="s">
        <v>24</v>
      </c>
      <c r="J340" s="2" t="s">
        <v>97</v>
      </c>
      <c r="K340" s="2" t="s">
        <v>98</v>
      </c>
      <c r="L340" s="2" t="s">
        <v>109</v>
      </c>
      <c r="M340" s="2" t="s">
        <v>28</v>
      </c>
      <c r="N340" s="2" t="s">
        <v>29</v>
      </c>
      <c r="O340" s="3">
        <f>IFERROR(VLOOKUP(M340, '[1]08_CSDL_DAO_CU_VAT_LIEU'!$A$2:$F$64, 6, FALSE), 27500)</f>
        <v>27500</v>
      </c>
      <c r="P340" s="4">
        <v>11.2</v>
      </c>
      <c r="Q340" s="3">
        <f t="shared" si="16"/>
        <v>385000</v>
      </c>
      <c r="R340" s="3">
        <f>ROUND((F340/3600)*IFERROR(VLOOKUP(I340, '[1]02_DM_NHAN_SU_MAY'!$M$2:$Q$25, 5, FALSE), 39375), 0)</f>
        <v>315000</v>
      </c>
      <c r="S340" s="3">
        <v>0</v>
      </c>
      <c r="T340" s="3">
        <f t="shared" si="17"/>
        <v>700000</v>
      </c>
    </row>
    <row r="341" spans="1:20" x14ac:dyDescent="0.25">
      <c r="A341" s="5" t="s">
        <v>798</v>
      </c>
      <c r="B341" s="5">
        <v>340</v>
      </c>
      <c r="C341" s="5" t="s">
        <v>68</v>
      </c>
      <c r="D341" s="5" t="s">
        <v>794</v>
      </c>
      <c r="E341" s="5" t="s">
        <v>799</v>
      </c>
      <c r="F341" s="6">
        <v>28800</v>
      </c>
      <c r="G341" s="7">
        <f t="shared" si="15"/>
        <v>1</v>
      </c>
      <c r="H341" s="5" t="s">
        <v>34</v>
      </c>
      <c r="I341" s="5" t="s">
        <v>24</v>
      </c>
      <c r="J341" s="5" t="s">
        <v>97</v>
      </c>
      <c r="K341" s="5" t="s">
        <v>98</v>
      </c>
      <c r="L341" s="5" t="s">
        <v>109</v>
      </c>
      <c r="M341" s="5" t="s">
        <v>28</v>
      </c>
      <c r="N341" s="5" t="s">
        <v>29</v>
      </c>
      <c r="O341" s="6">
        <f>IFERROR(VLOOKUP(M341, '[1]08_CSDL_DAO_CU_VAT_LIEU'!$A$2:$F$64, 6, FALSE), 27500)</f>
        <v>27500</v>
      </c>
      <c r="P341" s="7">
        <v>11.2</v>
      </c>
      <c r="Q341" s="6">
        <f t="shared" si="16"/>
        <v>385000</v>
      </c>
      <c r="R341" s="6">
        <f>ROUND((F341/3600)*IFERROR(VLOOKUP(I341, '[1]02_DM_NHAN_SU_MAY'!$M$2:$Q$25, 5, FALSE), 39375), 0)</f>
        <v>315000</v>
      </c>
      <c r="S341" s="6">
        <v>0</v>
      </c>
      <c r="T341" s="6">
        <f t="shared" si="17"/>
        <v>700000</v>
      </c>
    </row>
    <row r="342" spans="1:20" x14ac:dyDescent="0.25">
      <c r="A342" s="2" t="s">
        <v>800</v>
      </c>
      <c r="B342" s="2">
        <v>341</v>
      </c>
      <c r="C342" s="2" t="s">
        <v>68</v>
      </c>
      <c r="D342" s="2" t="s">
        <v>801</v>
      </c>
      <c r="E342" s="2" t="s">
        <v>802</v>
      </c>
      <c r="F342" s="3">
        <v>3600</v>
      </c>
      <c r="G342" s="4">
        <f t="shared" si="15"/>
        <v>0.125</v>
      </c>
      <c r="H342" s="2">
        <v>1</v>
      </c>
      <c r="I342" s="2" t="s">
        <v>90</v>
      </c>
      <c r="J342" s="2" t="s">
        <v>97</v>
      </c>
      <c r="K342" s="2" t="s">
        <v>98</v>
      </c>
      <c r="L342" s="2" t="s">
        <v>143</v>
      </c>
      <c r="M342" s="2" t="s">
        <v>803</v>
      </c>
      <c r="N342" s="2" t="s">
        <v>804</v>
      </c>
      <c r="O342" s="3">
        <f>IFERROR(VLOOKUP(M342, '[1]08_CSDL_DAO_CU_VAT_LIEU'!$A$2:$F$64, 6, FALSE), 27500)</f>
        <v>540000</v>
      </c>
      <c r="P342" s="4">
        <v>1.4</v>
      </c>
      <c r="Q342" s="3">
        <f t="shared" si="16"/>
        <v>48125</v>
      </c>
      <c r="R342" s="3">
        <f>ROUND((F342/3600)*IFERROR(VLOOKUP(I342, '[1]02_DM_NHAN_SU_MAY'!$M$2:$Q$25, 5, FALSE), 39375), 0)</f>
        <v>26875</v>
      </c>
      <c r="S342" s="3">
        <v>0</v>
      </c>
      <c r="T342" s="3">
        <f t="shared" si="17"/>
        <v>75000</v>
      </c>
    </row>
    <row r="343" spans="1:20" x14ac:dyDescent="0.25">
      <c r="A343" s="5" t="s">
        <v>805</v>
      </c>
      <c r="B343" s="5">
        <v>342</v>
      </c>
      <c r="C343" s="5" t="s">
        <v>68</v>
      </c>
      <c r="D343" s="5" t="s">
        <v>801</v>
      </c>
      <c r="E343" s="5" t="s">
        <v>806</v>
      </c>
      <c r="F343" s="6">
        <v>18000</v>
      </c>
      <c r="G343" s="7">
        <f t="shared" si="15"/>
        <v>0.625</v>
      </c>
      <c r="H343" s="5">
        <v>2</v>
      </c>
      <c r="I343" s="5" t="s">
        <v>24</v>
      </c>
      <c r="J343" s="5" t="s">
        <v>97</v>
      </c>
      <c r="K343" s="5" t="s">
        <v>98</v>
      </c>
      <c r="L343" s="5" t="s">
        <v>109</v>
      </c>
      <c r="M343" s="5" t="s">
        <v>28</v>
      </c>
      <c r="N343" s="5" t="s">
        <v>29</v>
      </c>
      <c r="O343" s="6">
        <f>IFERROR(VLOOKUP(M343, '[1]08_CSDL_DAO_CU_VAT_LIEU'!$A$2:$F$64, 6, FALSE), 27500)</f>
        <v>27500</v>
      </c>
      <c r="P343" s="7">
        <v>7</v>
      </c>
      <c r="Q343" s="6">
        <f t="shared" si="16"/>
        <v>240625</v>
      </c>
      <c r="R343" s="6">
        <f>ROUND((F343/3600)*IFERROR(VLOOKUP(I343, '[1]02_DM_NHAN_SU_MAY'!$M$2:$Q$25, 5, FALSE), 39375), 0)</f>
        <v>196875</v>
      </c>
      <c r="S343" s="6">
        <v>0</v>
      </c>
      <c r="T343" s="6">
        <f t="shared" si="17"/>
        <v>437500</v>
      </c>
    </row>
    <row r="344" spans="1:20" x14ac:dyDescent="0.25">
      <c r="A344" s="2" t="s">
        <v>807</v>
      </c>
      <c r="B344" s="2">
        <v>343</v>
      </c>
      <c r="C344" s="2" t="s">
        <v>68</v>
      </c>
      <c r="D344" s="2" t="s">
        <v>801</v>
      </c>
      <c r="E344" s="2" t="s">
        <v>808</v>
      </c>
      <c r="F344" s="3">
        <v>5400</v>
      </c>
      <c r="G344" s="4">
        <f t="shared" si="15"/>
        <v>0.1875</v>
      </c>
      <c r="H344" s="2">
        <v>3</v>
      </c>
      <c r="I344" s="2" t="s">
        <v>24</v>
      </c>
      <c r="J344" s="2" t="s">
        <v>97</v>
      </c>
      <c r="K344" s="2" t="s">
        <v>98</v>
      </c>
      <c r="L344" s="2" t="s">
        <v>109</v>
      </c>
      <c r="M344" s="2" t="s">
        <v>28</v>
      </c>
      <c r="N344" s="2" t="s">
        <v>29</v>
      </c>
      <c r="O344" s="3">
        <f>IFERROR(VLOOKUP(M344, '[1]08_CSDL_DAO_CU_VAT_LIEU'!$A$2:$F$64, 6, FALSE), 27500)</f>
        <v>27500</v>
      </c>
      <c r="P344" s="4">
        <v>2.1</v>
      </c>
      <c r="Q344" s="3">
        <f t="shared" si="16"/>
        <v>72188</v>
      </c>
      <c r="R344" s="3">
        <f>ROUND((F344/3600)*IFERROR(VLOOKUP(I344, '[1]02_DM_NHAN_SU_MAY'!$M$2:$Q$25, 5, FALSE), 39375), 0)</f>
        <v>59063</v>
      </c>
      <c r="S344" s="3">
        <v>0</v>
      </c>
      <c r="T344" s="3">
        <f t="shared" si="17"/>
        <v>131251</v>
      </c>
    </row>
    <row r="345" spans="1:20" x14ac:dyDescent="0.25">
      <c r="A345" s="5" t="s">
        <v>809</v>
      </c>
      <c r="B345" s="5">
        <v>344</v>
      </c>
      <c r="C345" s="5" t="s">
        <v>68</v>
      </c>
      <c r="D345" s="5" t="s">
        <v>801</v>
      </c>
      <c r="E345" s="5" t="s">
        <v>810</v>
      </c>
      <c r="F345" s="6">
        <v>3600</v>
      </c>
      <c r="G345" s="7">
        <f t="shared" si="15"/>
        <v>0.125</v>
      </c>
      <c r="H345" s="5" t="s">
        <v>34</v>
      </c>
      <c r="I345" s="5" t="s">
        <v>90</v>
      </c>
      <c r="J345" s="5" t="s">
        <v>97</v>
      </c>
      <c r="K345" s="5" t="s">
        <v>98</v>
      </c>
      <c r="L345" s="5" t="s">
        <v>143</v>
      </c>
      <c r="M345" s="5" t="s">
        <v>92</v>
      </c>
      <c r="N345" s="5" t="s">
        <v>93</v>
      </c>
      <c r="O345" s="6">
        <f>IFERROR(VLOOKUP(M345, '[1]08_CSDL_DAO_CU_VAT_LIEU'!$A$2:$F$64, 6, FALSE), 27500)</f>
        <v>74000</v>
      </c>
      <c r="P345" s="7">
        <v>1.4</v>
      </c>
      <c r="Q345" s="6">
        <f t="shared" si="16"/>
        <v>48125</v>
      </c>
      <c r="R345" s="6">
        <f>ROUND((F345/3600)*IFERROR(VLOOKUP(I345, '[1]02_DM_NHAN_SU_MAY'!$M$2:$Q$25, 5, FALSE), 39375), 0)</f>
        <v>26875</v>
      </c>
      <c r="S345" s="6">
        <v>0</v>
      </c>
      <c r="T345" s="6">
        <f t="shared" si="17"/>
        <v>75000</v>
      </c>
    </row>
    <row r="346" spans="1:20" x14ac:dyDescent="0.25">
      <c r="A346" s="2" t="s">
        <v>811</v>
      </c>
      <c r="B346" s="2">
        <v>345</v>
      </c>
      <c r="C346" s="2" t="s">
        <v>68</v>
      </c>
      <c r="D346" s="2" t="s">
        <v>812</v>
      </c>
      <c r="E346" s="2" t="s">
        <v>813</v>
      </c>
      <c r="F346" s="3">
        <v>18000</v>
      </c>
      <c r="G346" s="4">
        <f t="shared" si="15"/>
        <v>0.625</v>
      </c>
      <c r="H346" s="2">
        <v>1</v>
      </c>
      <c r="I346" s="2" t="s">
        <v>24</v>
      </c>
      <c r="J346" s="2" t="s">
        <v>72</v>
      </c>
      <c r="K346" s="2" t="s">
        <v>73</v>
      </c>
      <c r="L346" s="2" t="s">
        <v>508</v>
      </c>
      <c r="M346" s="2" t="s">
        <v>28</v>
      </c>
      <c r="N346" s="2" t="s">
        <v>29</v>
      </c>
      <c r="O346" s="3">
        <f>IFERROR(VLOOKUP(M346, '[1]08_CSDL_DAO_CU_VAT_LIEU'!$A$2:$F$64, 6, FALSE), 27500)</f>
        <v>27500</v>
      </c>
      <c r="P346" s="4">
        <v>7</v>
      </c>
      <c r="Q346" s="3">
        <f t="shared" si="16"/>
        <v>240625</v>
      </c>
      <c r="R346" s="3">
        <f>ROUND((F346/3600)*IFERROR(VLOOKUP(I346, '[1]02_DM_NHAN_SU_MAY'!$M$2:$Q$25, 5, FALSE), 39375), 0)</f>
        <v>196875</v>
      </c>
      <c r="S346" s="3">
        <v>0</v>
      </c>
      <c r="T346" s="3">
        <f t="shared" si="17"/>
        <v>437500</v>
      </c>
    </row>
    <row r="347" spans="1:20" x14ac:dyDescent="0.25">
      <c r="A347" s="5" t="s">
        <v>814</v>
      </c>
      <c r="B347" s="5">
        <v>346</v>
      </c>
      <c r="C347" s="5" t="s">
        <v>68</v>
      </c>
      <c r="D347" s="5" t="s">
        <v>812</v>
      </c>
      <c r="E347" s="5" t="s">
        <v>815</v>
      </c>
      <c r="F347" s="6">
        <v>7200</v>
      </c>
      <c r="G347" s="7">
        <f t="shared" si="15"/>
        <v>0.25</v>
      </c>
      <c r="H347" s="5">
        <v>2</v>
      </c>
      <c r="I347" s="5" t="s">
        <v>71</v>
      </c>
      <c r="J347" s="5" t="s">
        <v>72</v>
      </c>
      <c r="K347" s="5" t="s">
        <v>73</v>
      </c>
      <c r="L347" s="5" t="s">
        <v>508</v>
      </c>
      <c r="M347" s="5" t="s">
        <v>583</v>
      </c>
      <c r="N347" s="5" t="s">
        <v>584</v>
      </c>
      <c r="O347" s="6">
        <f>IFERROR(VLOOKUP(M347, '[1]08_CSDL_DAO_CU_VAT_LIEU'!$A$2:$F$64, 6, FALSE), 27500)</f>
        <v>36250</v>
      </c>
      <c r="P347" s="7">
        <v>2.8</v>
      </c>
      <c r="Q347" s="6">
        <f t="shared" si="16"/>
        <v>96250</v>
      </c>
      <c r="R347" s="6">
        <f>ROUND((F347/3600)*IFERROR(VLOOKUP(I347, '[1]02_DM_NHAN_SU_MAY'!$M$2:$Q$25, 5, FALSE), 39375), 0)</f>
        <v>53750</v>
      </c>
      <c r="S347" s="6">
        <v>0</v>
      </c>
      <c r="T347" s="6">
        <f t="shared" si="17"/>
        <v>150000</v>
      </c>
    </row>
    <row r="348" spans="1:20" x14ac:dyDescent="0.25">
      <c r="A348" s="2" t="s">
        <v>816</v>
      </c>
      <c r="B348" s="2">
        <v>347</v>
      </c>
      <c r="C348" s="2" t="s">
        <v>68</v>
      </c>
      <c r="D348" s="2" t="s">
        <v>812</v>
      </c>
      <c r="E348" s="2" t="s">
        <v>817</v>
      </c>
      <c r="F348" s="3">
        <v>3600</v>
      </c>
      <c r="G348" s="4">
        <f t="shared" si="15"/>
        <v>0.125</v>
      </c>
      <c r="H348" s="2">
        <v>3</v>
      </c>
      <c r="I348" s="2" t="s">
        <v>71</v>
      </c>
      <c r="J348" s="2" t="s">
        <v>72</v>
      </c>
      <c r="K348" s="2" t="s">
        <v>73</v>
      </c>
      <c r="L348" s="2" t="s">
        <v>508</v>
      </c>
      <c r="M348" s="2" t="s">
        <v>583</v>
      </c>
      <c r="N348" s="2" t="s">
        <v>584</v>
      </c>
      <c r="O348" s="3">
        <f>IFERROR(VLOOKUP(M348, '[1]08_CSDL_DAO_CU_VAT_LIEU'!$A$2:$F$64, 6, FALSE), 27500)</f>
        <v>36250</v>
      </c>
      <c r="P348" s="4">
        <v>1.4</v>
      </c>
      <c r="Q348" s="3">
        <f t="shared" si="16"/>
        <v>48125</v>
      </c>
      <c r="R348" s="3">
        <f>ROUND((F348/3600)*IFERROR(VLOOKUP(I348, '[1]02_DM_NHAN_SU_MAY'!$M$2:$Q$25, 5, FALSE), 39375), 0)</f>
        <v>26875</v>
      </c>
      <c r="S348" s="3">
        <v>0</v>
      </c>
      <c r="T348" s="3">
        <f t="shared" si="17"/>
        <v>75000</v>
      </c>
    </row>
    <row r="349" spans="1:20" x14ac:dyDescent="0.25">
      <c r="A349" s="5" t="s">
        <v>818</v>
      </c>
      <c r="B349" s="5">
        <v>348</v>
      </c>
      <c r="C349" s="5" t="s">
        <v>68</v>
      </c>
      <c r="D349" s="5" t="s">
        <v>812</v>
      </c>
      <c r="E349" s="5" t="s">
        <v>89</v>
      </c>
      <c r="F349" s="6">
        <v>3600</v>
      </c>
      <c r="G349" s="7">
        <f t="shared" si="15"/>
        <v>0.125</v>
      </c>
      <c r="H349" s="5" t="s">
        <v>34</v>
      </c>
      <c r="I349" s="5" t="s">
        <v>90</v>
      </c>
      <c r="J349" s="5" t="s">
        <v>72</v>
      </c>
      <c r="K349" s="5" t="s">
        <v>73</v>
      </c>
      <c r="L349" s="5" t="s">
        <v>91</v>
      </c>
      <c r="M349" s="5" t="s">
        <v>92</v>
      </c>
      <c r="N349" s="5" t="s">
        <v>93</v>
      </c>
      <c r="O349" s="6">
        <f>IFERROR(VLOOKUP(M349, '[1]08_CSDL_DAO_CU_VAT_LIEU'!$A$2:$F$64, 6, FALSE), 27500)</f>
        <v>74000</v>
      </c>
      <c r="P349" s="7">
        <v>1.4</v>
      </c>
      <c r="Q349" s="6">
        <f t="shared" si="16"/>
        <v>48125</v>
      </c>
      <c r="R349" s="6">
        <f>ROUND((F349/3600)*IFERROR(VLOOKUP(I349, '[1]02_DM_NHAN_SU_MAY'!$M$2:$Q$25, 5, FALSE), 39375), 0)</f>
        <v>26875</v>
      </c>
      <c r="S349" s="6">
        <v>0</v>
      </c>
      <c r="T349" s="6">
        <f t="shared" si="17"/>
        <v>75000</v>
      </c>
    </row>
    <row r="350" spans="1:20" x14ac:dyDescent="0.25">
      <c r="A350" s="2" t="s">
        <v>819</v>
      </c>
      <c r="B350" s="2">
        <v>349</v>
      </c>
      <c r="C350" s="2" t="s">
        <v>68</v>
      </c>
      <c r="D350" s="2" t="s">
        <v>820</v>
      </c>
      <c r="E350" s="2" t="s">
        <v>821</v>
      </c>
      <c r="F350" s="3">
        <v>3600</v>
      </c>
      <c r="G350" s="4">
        <f t="shared" si="15"/>
        <v>0.125</v>
      </c>
      <c r="H350" s="2" t="s">
        <v>34</v>
      </c>
      <c r="I350" s="2" t="s">
        <v>71</v>
      </c>
      <c r="J350" s="2" t="s">
        <v>97</v>
      </c>
      <c r="K350" s="2" t="s">
        <v>98</v>
      </c>
      <c r="L350" s="2" t="s">
        <v>99</v>
      </c>
      <c r="M350" s="2" t="s">
        <v>75</v>
      </c>
      <c r="N350" s="2" t="s">
        <v>76</v>
      </c>
      <c r="O350" s="3">
        <f>IFERROR(VLOOKUP(M350, '[1]08_CSDL_DAO_CU_VAT_LIEU'!$A$2:$F$64, 6, FALSE), 27500)</f>
        <v>42500</v>
      </c>
      <c r="P350" s="4">
        <v>1.4</v>
      </c>
      <c r="Q350" s="3">
        <f t="shared" si="16"/>
        <v>48125</v>
      </c>
      <c r="R350" s="3">
        <f>ROUND((F350/3600)*IFERROR(VLOOKUP(I350, '[1]02_DM_NHAN_SU_MAY'!$M$2:$Q$25, 5, FALSE), 39375), 0)</f>
        <v>26875</v>
      </c>
      <c r="S350" s="3">
        <v>0</v>
      </c>
      <c r="T350" s="3">
        <f t="shared" si="17"/>
        <v>75000</v>
      </c>
    </row>
    <row r="351" spans="1:20" x14ac:dyDescent="0.25">
      <c r="A351" s="5" t="s">
        <v>822</v>
      </c>
      <c r="B351" s="5">
        <v>350</v>
      </c>
      <c r="C351" s="5" t="s">
        <v>68</v>
      </c>
      <c r="D351" s="5" t="s">
        <v>823</v>
      </c>
      <c r="E351" s="5" t="s">
        <v>824</v>
      </c>
      <c r="F351" s="6">
        <v>56600</v>
      </c>
      <c r="G351" s="7">
        <f t="shared" si="15"/>
        <v>1.9653</v>
      </c>
      <c r="H351" s="5" t="s">
        <v>34</v>
      </c>
      <c r="I351" s="5" t="s">
        <v>55</v>
      </c>
      <c r="J351" s="5" t="s">
        <v>97</v>
      </c>
      <c r="K351" s="5" t="s">
        <v>98</v>
      </c>
      <c r="L351" s="5" t="s">
        <v>109</v>
      </c>
      <c r="M351" s="5" t="s">
        <v>28</v>
      </c>
      <c r="N351" s="5" t="s">
        <v>29</v>
      </c>
      <c r="O351" s="6">
        <f>IFERROR(VLOOKUP(M351, '[1]08_CSDL_DAO_CU_VAT_LIEU'!$A$2:$F$64, 6, FALSE), 27500)</f>
        <v>27500</v>
      </c>
      <c r="P351" s="7">
        <v>22.01</v>
      </c>
      <c r="Q351" s="6">
        <f t="shared" si="16"/>
        <v>756632</v>
      </c>
      <c r="R351" s="6">
        <f>ROUND((F351/3600)*IFERROR(VLOOKUP(I351, '[1]02_DM_NHAN_SU_MAY'!$M$2:$Q$25, 5, FALSE), 39375), 0)</f>
        <v>226007</v>
      </c>
      <c r="S351" s="6">
        <v>0</v>
      </c>
      <c r="T351" s="6">
        <f t="shared" si="17"/>
        <v>982639</v>
      </c>
    </row>
    <row r="352" spans="1:20" x14ac:dyDescent="0.25">
      <c r="A352" s="2" t="s">
        <v>825</v>
      </c>
      <c r="B352" s="2">
        <v>351</v>
      </c>
      <c r="C352" s="2" t="s">
        <v>31</v>
      </c>
      <c r="D352" s="2" t="s">
        <v>826</v>
      </c>
      <c r="E352" s="2" t="s">
        <v>527</v>
      </c>
      <c r="F352" s="3">
        <v>3600</v>
      </c>
      <c r="G352" s="4">
        <f t="shared" si="15"/>
        <v>0.125</v>
      </c>
      <c r="H352" s="2" t="s">
        <v>34</v>
      </c>
      <c r="I352" s="2" t="s">
        <v>35</v>
      </c>
      <c r="J352" s="2" t="s">
        <v>36</v>
      </c>
      <c r="K352" s="2" t="s">
        <v>37</v>
      </c>
      <c r="L352" s="2" t="s">
        <v>38</v>
      </c>
      <c r="M352" s="2" t="s">
        <v>28</v>
      </c>
      <c r="N352" s="2" t="s">
        <v>29</v>
      </c>
      <c r="O352" s="3">
        <f>IFERROR(VLOOKUP(M352, '[1]08_CSDL_DAO_CU_VAT_LIEU'!$A$2:$F$64, 6, FALSE), 27500)</f>
        <v>27500</v>
      </c>
      <c r="P352" s="4">
        <v>1.68</v>
      </c>
      <c r="Q352" s="3">
        <f t="shared" si="16"/>
        <v>48125</v>
      </c>
      <c r="R352" s="3">
        <f>ROUND((F352/3600)*IFERROR(VLOOKUP(I352, '[1]02_DM_NHAN_SU_MAY'!$M$2:$Q$25, 5, FALSE), 39375), 0)</f>
        <v>39375</v>
      </c>
      <c r="S352" s="3">
        <v>0</v>
      </c>
      <c r="T352" s="3">
        <f t="shared" si="17"/>
        <v>87500</v>
      </c>
    </row>
    <row r="353" spans="1:20" x14ac:dyDescent="0.25">
      <c r="A353" s="5" t="s">
        <v>827</v>
      </c>
      <c r="B353" s="5">
        <v>352</v>
      </c>
      <c r="C353" s="5" t="s">
        <v>31</v>
      </c>
      <c r="D353" s="5" t="s">
        <v>828</v>
      </c>
      <c r="E353" s="5" t="s">
        <v>476</v>
      </c>
      <c r="F353" s="6">
        <v>3600</v>
      </c>
      <c r="G353" s="7">
        <f t="shared" si="15"/>
        <v>0.125</v>
      </c>
      <c r="H353" s="5" t="s">
        <v>34</v>
      </c>
      <c r="I353" s="5" t="s">
        <v>35</v>
      </c>
      <c r="J353" s="5" t="s">
        <v>36</v>
      </c>
      <c r="K353" s="5" t="s">
        <v>37</v>
      </c>
      <c r="L353" s="5" t="s">
        <v>38</v>
      </c>
      <c r="M353" s="5" t="s">
        <v>28</v>
      </c>
      <c r="N353" s="5" t="s">
        <v>29</v>
      </c>
      <c r="O353" s="6">
        <f>IFERROR(VLOOKUP(M353, '[1]08_CSDL_DAO_CU_VAT_LIEU'!$A$2:$F$64, 6, FALSE), 27500)</f>
        <v>27500</v>
      </c>
      <c r="P353" s="7">
        <v>1.68</v>
      </c>
      <c r="Q353" s="6">
        <f t="shared" si="16"/>
        <v>48125</v>
      </c>
      <c r="R353" s="6">
        <f>ROUND((F353/3600)*IFERROR(VLOOKUP(I353, '[1]02_DM_NHAN_SU_MAY'!$M$2:$Q$25, 5, FALSE), 39375), 0)</f>
        <v>39375</v>
      </c>
      <c r="S353" s="6">
        <v>0</v>
      </c>
      <c r="T353" s="6">
        <f t="shared" si="17"/>
        <v>87500</v>
      </c>
    </row>
    <row r="354" spans="1:20" x14ac:dyDescent="0.25">
      <c r="A354" s="2" t="s">
        <v>829</v>
      </c>
      <c r="B354" s="2">
        <v>353</v>
      </c>
      <c r="C354" s="2" t="s">
        <v>68</v>
      </c>
      <c r="D354" s="2" t="s">
        <v>516</v>
      </c>
      <c r="E354" s="2" t="s">
        <v>830</v>
      </c>
      <c r="F354" s="3">
        <v>3600</v>
      </c>
      <c r="G354" s="4">
        <f t="shared" si="15"/>
        <v>0.125</v>
      </c>
      <c r="H354" s="2">
        <v>3</v>
      </c>
      <c r="I354" s="2" t="s">
        <v>90</v>
      </c>
      <c r="J354" s="2" t="s">
        <v>72</v>
      </c>
      <c r="K354" s="2" t="s">
        <v>73</v>
      </c>
      <c r="L354" s="2" t="s">
        <v>91</v>
      </c>
      <c r="M354" s="2" t="s">
        <v>831</v>
      </c>
      <c r="N354" s="2" t="s">
        <v>832</v>
      </c>
      <c r="O354" s="3">
        <f>IFERROR(VLOOKUP(M354, '[1]08_CSDL_DAO_CU_VAT_LIEU'!$A$2:$F$64, 6, FALSE), 27500)</f>
        <v>390000</v>
      </c>
      <c r="P354" s="4">
        <v>1.4</v>
      </c>
      <c r="Q354" s="3">
        <f t="shared" si="16"/>
        <v>48125</v>
      </c>
      <c r="R354" s="3">
        <f>ROUND((F354/3600)*IFERROR(VLOOKUP(I354, '[1]02_DM_NHAN_SU_MAY'!$M$2:$Q$25, 5, FALSE), 39375), 0)</f>
        <v>26875</v>
      </c>
      <c r="S354" s="3">
        <v>0</v>
      </c>
      <c r="T354" s="3">
        <f t="shared" si="17"/>
        <v>75000</v>
      </c>
    </row>
    <row r="355" spans="1:20" x14ac:dyDescent="0.25">
      <c r="A355" s="5" t="s">
        <v>833</v>
      </c>
      <c r="B355" s="5">
        <v>354</v>
      </c>
      <c r="C355" s="5" t="s">
        <v>68</v>
      </c>
      <c r="D355" s="5" t="s">
        <v>834</v>
      </c>
      <c r="E355" s="5" t="s">
        <v>835</v>
      </c>
      <c r="F355" s="6">
        <v>5400</v>
      </c>
      <c r="G355" s="7">
        <f t="shared" si="15"/>
        <v>0.1875</v>
      </c>
      <c r="H355" s="5">
        <v>1</v>
      </c>
      <c r="I355" s="5" t="s">
        <v>55</v>
      </c>
      <c r="J355" s="5" t="s">
        <v>72</v>
      </c>
      <c r="K355" s="5" t="s">
        <v>73</v>
      </c>
      <c r="L355" s="5" t="s">
        <v>508</v>
      </c>
      <c r="M355" s="5" t="s">
        <v>28</v>
      </c>
      <c r="N355" s="5" t="s">
        <v>29</v>
      </c>
      <c r="O355" s="6">
        <f>IFERROR(VLOOKUP(M355, '[1]08_CSDL_DAO_CU_VAT_LIEU'!$A$2:$F$64, 6, FALSE), 27500)</f>
        <v>27500</v>
      </c>
      <c r="P355" s="7">
        <v>2.1</v>
      </c>
      <c r="Q355" s="6">
        <f t="shared" si="16"/>
        <v>72188</v>
      </c>
      <c r="R355" s="6">
        <f>ROUND((F355/3600)*IFERROR(VLOOKUP(I355, '[1]02_DM_NHAN_SU_MAY'!$M$2:$Q$25, 5, FALSE), 39375), 0)</f>
        <v>21563</v>
      </c>
      <c r="S355" s="6">
        <v>0</v>
      </c>
      <c r="T355" s="6">
        <f t="shared" si="17"/>
        <v>93751</v>
      </c>
    </row>
    <row r="356" spans="1:20" x14ac:dyDescent="0.25">
      <c r="A356" s="2" t="s">
        <v>836</v>
      </c>
      <c r="B356" s="2">
        <v>355</v>
      </c>
      <c r="C356" s="2" t="s">
        <v>68</v>
      </c>
      <c r="D356" s="2" t="s">
        <v>834</v>
      </c>
      <c r="E356" s="2" t="s">
        <v>837</v>
      </c>
      <c r="F356" s="2">
        <v>900</v>
      </c>
      <c r="G356" s="4">
        <f t="shared" si="15"/>
        <v>3.1300000000000001E-2</v>
      </c>
      <c r="H356" s="2" t="s">
        <v>34</v>
      </c>
      <c r="I356" s="2" t="s">
        <v>90</v>
      </c>
      <c r="J356" s="2" t="s">
        <v>72</v>
      </c>
      <c r="K356" s="2" t="s">
        <v>73</v>
      </c>
      <c r="L356" s="2" t="s">
        <v>91</v>
      </c>
      <c r="M356" s="2" t="s">
        <v>838</v>
      </c>
      <c r="N356" s="2" t="s">
        <v>839</v>
      </c>
      <c r="O356" s="3">
        <f>IFERROR(VLOOKUP(M356, '[1]08_CSDL_DAO_CU_VAT_LIEU'!$A$2:$F$64, 6, FALSE), 27500)</f>
        <v>95000</v>
      </c>
      <c r="P356" s="4">
        <v>0.35</v>
      </c>
      <c r="Q356" s="3">
        <f t="shared" si="16"/>
        <v>12031</v>
      </c>
      <c r="R356" s="3">
        <f>ROUND((F356/3600)*IFERROR(VLOOKUP(I356, '[1]02_DM_NHAN_SU_MAY'!$M$2:$Q$25, 5, FALSE), 39375), 0)</f>
        <v>6719</v>
      </c>
      <c r="S356" s="3">
        <v>0</v>
      </c>
      <c r="T356" s="3">
        <f t="shared" si="17"/>
        <v>18750</v>
      </c>
    </row>
    <row r="357" spans="1:20" x14ac:dyDescent="0.25">
      <c r="A357" s="5" t="s">
        <v>840</v>
      </c>
      <c r="B357" s="5">
        <v>356</v>
      </c>
      <c r="C357" s="5" t="s">
        <v>145</v>
      </c>
      <c r="D357" s="5" t="s">
        <v>841</v>
      </c>
      <c r="E357" s="5" t="s">
        <v>842</v>
      </c>
      <c r="F357" s="6">
        <v>43200</v>
      </c>
      <c r="G357" s="7">
        <f t="shared" si="15"/>
        <v>1.5</v>
      </c>
      <c r="H357" s="5">
        <v>1</v>
      </c>
      <c r="I357" s="5" t="s">
        <v>35</v>
      </c>
      <c r="J357" s="5" t="s">
        <v>36</v>
      </c>
      <c r="K357" s="5" t="s">
        <v>37</v>
      </c>
      <c r="L357" s="5" t="s">
        <v>38</v>
      </c>
      <c r="M357" s="5" t="s">
        <v>28</v>
      </c>
      <c r="N357" s="5" t="s">
        <v>29</v>
      </c>
      <c r="O357" s="6">
        <f>IFERROR(VLOOKUP(M357, '[1]08_CSDL_DAO_CU_VAT_LIEU'!$A$2:$F$64, 6, FALSE), 27500)</f>
        <v>27500</v>
      </c>
      <c r="P357" s="7">
        <v>20.16</v>
      </c>
      <c r="Q357" s="6">
        <f t="shared" si="16"/>
        <v>577500</v>
      </c>
      <c r="R357" s="6">
        <f>ROUND((F357/3600)*IFERROR(VLOOKUP(I357, '[1]02_DM_NHAN_SU_MAY'!$M$2:$Q$25, 5, FALSE), 39375), 0)</f>
        <v>472500</v>
      </c>
      <c r="S357" s="6">
        <v>0</v>
      </c>
      <c r="T357" s="6">
        <f t="shared" si="17"/>
        <v>1050000</v>
      </c>
    </row>
    <row r="358" spans="1:20" x14ac:dyDescent="0.25">
      <c r="A358" s="2" t="s">
        <v>843</v>
      </c>
      <c r="B358" s="2">
        <v>357</v>
      </c>
      <c r="C358" s="2" t="s">
        <v>145</v>
      </c>
      <c r="D358" s="2" t="s">
        <v>841</v>
      </c>
      <c r="E358" s="2" t="s">
        <v>844</v>
      </c>
      <c r="F358" s="3">
        <v>12600</v>
      </c>
      <c r="G358" s="4">
        <f t="shared" si="15"/>
        <v>0.4375</v>
      </c>
      <c r="H358" s="2">
        <v>2</v>
      </c>
      <c r="I358" s="2" t="s">
        <v>24</v>
      </c>
      <c r="J358" s="2" t="s">
        <v>36</v>
      </c>
      <c r="K358" s="2" t="s">
        <v>37</v>
      </c>
      <c r="L358" s="2" t="s">
        <v>38</v>
      </c>
      <c r="M358" s="2" t="s">
        <v>28</v>
      </c>
      <c r="N358" s="2" t="s">
        <v>29</v>
      </c>
      <c r="O358" s="3">
        <f>IFERROR(VLOOKUP(M358, '[1]08_CSDL_DAO_CU_VAT_LIEU'!$A$2:$F$64, 6, FALSE), 27500)</f>
        <v>27500</v>
      </c>
      <c r="P358" s="4">
        <v>5.88</v>
      </c>
      <c r="Q358" s="3">
        <f t="shared" si="16"/>
        <v>168438</v>
      </c>
      <c r="R358" s="3">
        <f>ROUND((F358/3600)*IFERROR(VLOOKUP(I358, '[1]02_DM_NHAN_SU_MAY'!$M$2:$Q$25, 5, FALSE), 39375), 0)</f>
        <v>137813</v>
      </c>
      <c r="S358" s="3">
        <v>0</v>
      </c>
      <c r="T358" s="3">
        <f t="shared" si="17"/>
        <v>306251</v>
      </c>
    </row>
    <row r="359" spans="1:20" x14ac:dyDescent="0.25">
      <c r="A359" s="5" t="s">
        <v>845</v>
      </c>
      <c r="B359" s="5">
        <v>358</v>
      </c>
      <c r="C359" s="5" t="s">
        <v>145</v>
      </c>
      <c r="D359" s="5" t="s">
        <v>841</v>
      </c>
      <c r="E359" s="5" t="s">
        <v>846</v>
      </c>
      <c r="F359" s="6">
        <v>28800</v>
      </c>
      <c r="G359" s="7">
        <f t="shared" si="15"/>
        <v>1</v>
      </c>
      <c r="H359" s="5" t="s">
        <v>34</v>
      </c>
      <c r="I359" s="5" t="s">
        <v>90</v>
      </c>
      <c r="J359" s="5" t="s">
        <v>36</v>
      </c>
      <c r="K359" s="5" t="s">
        <v>37</v>
      </c>
      <c r="L359" s="5" t="s">
        <v>268</v>
      </c>
      <c r="M359" s="5" t="s">
        <v>92</v>
      </c>
      <c r="N359" s="5" t="s">
        <v>93</v>
      </c>
      <c r="O359" s="6">
        <f>IFERROR(VLOOKUP(M359, '[1]08_CSDL_DAO_CU_VAT_LIEU'!$A$2:$F$64, 6, FALSE), 27500)</f>
        <v>74000</v>
      </c>
      <c r="P359" s="7">
        <v>13.44</v>
      </c>
      <c r="Q359" s="6">
        <f t="shared" si="16"/>
        <v>385000</v>
      </c>
      <c r="R359" s="6">
        <f>ROUND((F359/3600)*IFERROR(VLOOKUP(I359, '[1]02_DM_NHAN_SU_MAY'!$M$2:$Q$25, 5, FALSE), 39375), 0)</f>
        <v>215000</v>
      </c>
      <c r="S359" s="6">
        <v>0</v>
      </c>
      <c r="T359" s="6">
        <f t="shared" si="17"/>
        <v>600000</v>
      </c>
    </row>
    <row r="360" spans="1:20" x14ac:dyDescent="0.25">
      <c r="A360" s="2" t="s">
        <v>847</v>
      </c>
      <c r="B360" s="2">
        <v>359</v>
      </c>
      <c r="C360" s="2" t="s">
        <v>68</v>
      </c>
      <c r="D360" s="2" t="s">
        <v>848</v>
      </c>
      <c r="E360" s="2" t="s">
        <v>785</v>
      </c>
      <c r="F360" s="3">
        <v>14400</v>
      </c>
      <c r="G360" s="4">
        <f t="shared" si="15"/>
        <v>0.5</v>
      </c>
      <c r="H360" s="2">
        <v>1</v>
      </c>
      <c r="I360" s="2" t="s">
        <v>24</v>
      </c>
      <c r="J360" s="2" t="s">
        <v>72</v>
      </c>
      <c r="K360" s="2" t="s">
        <v>73</v>
      </c>
      <c r="L360" s="2" t="s">
        <v>508</v>
      </c>
      <c r="M360" s="2" t="s">
        <v>28</v>
      </c>
      <c r="N360" s="2" t="s">
        <v>29</v>
      </c>
      <c r="O360" s="3">
        <f>IFERROR(VLOOKUP(M360, '[1]08_CSDL_DAO_CU_VAT_LIEU'!$A$2:$F$64, 6, FALSE), 27500)</f>
        <v>27500</v>
      </c>
      <c r="P360" s="4">
        <v>5.6</v>
      </c>
      <c r="Q360" s="3">
        <f t="shared" si="16"/>
        <v>192500</v>
      </c>
      <c r="R360" s="3">
        <f>ROUND((F360/3600)*IFERROR(VLOOKUP(I360, '[1]02_DM_NHAN_SU_MAY'!$M$2:$Q$25, 5, FALSE), 39375), 0)</f>
        <v>157500</v>
      </c>
      <c r="S360" s="3">
        <v>0</v>
      </c>
      <c r="T360" s="3">
        <f t="shared" si="17"/>
        <v>350000</v>
      </c>
    </row>
    <row r="361" spans="1:20" x14ac:dyDescent="0.25">
      <c r="A361" s="5" t="s">
        <v>849</v>
      </c>
      <c r="B361" s="5">
        <v>360</v>
      </c>
      <c r="C361" s="5" t="s">
        <v>68</v>
      </c>
      <c r="D361" s="5" t="s">
        <v>848</v>
      </c>
      <c r="E361" s="5" t="s">
        <v>850</v>
      </c>
      <c r="F361" s="6">
        <v>14400</v>
      </c>
      <c r="G361" s="7">
        <f t="shared" si="15"/>
        <v>0.5</v>
      </c>
      <c r="H361" s="5">
        <v>2</v>
      </c>
      <c r="I361" s="5" t="s">
        <v>24</v>
      </c>
      <c r="J361" s="5" t="s">
        <v>72</v>
      </c>
      <c r="K361" s="5" t="s">
        <v>73</v>
      </c>
      <c r="L361" s="5" t="s">
        <v>508</v>
      </c>
      <c r="M361" s="5" t="s">
        <v>28</v>
      </c>
      <c r="N361" s="5" t="s">
        <v>29</v>
      </c>
      <c r="O361" s="6">
        <f>IFERROR(VLOOKUP(M361, '[1]08_CSDL_DAO_CU_VAT_LIEU'!$A$2:$F$64, 6, FALSE), 27500)</f>
        <v>27500</v>
      </c>
      <c r="P361" s="7">
        <v>5.6</v>
      </c>
      <c r="Q361" s="6">
        <f t="shared" si="16"/>
        <v>192500</v>
      </c>
      <c r="R361" s="6">
        <f>ROUND((F361/3600)*IFERROR(VLOOKUP(I361, '[1]02_DM_NHAN_SU_MAY'!$M$2:$Q$25, 5, FALSE), 39375), 0)</f>
        <v>157500</v>
      </c>
      <c r="S361" s="6">
        <v>0</v>
      </c>
      <c r="T361" s="6">
        <f t="shared" si="17"/>
        <v>350000</v>
      </c>
    </row>
    <row r="362" spans="1:20" x14ac:dyDescent="0.25">
      <c r="A362" s="2" t="s">
        <v>851</v>
      </c>
      <c r="B362" s="2">
        <v>361</v>
      </c>
      <c r="C362" s="2" t="s">
        <v>68</v>
      </c>
      <c r="D362" s="2" t="s">
        <v>848</v>
      </c>
      <c r="E362" s="2" t="s">
        <v>846</v>
      </c>
      <c r="F362" s="2">
        <v>600</v>
      </c>
      <c r="G362" s="4">
        <f t="shared" si="15"/>
        <v>2.0799999999999999E-2</v>
      </c>
      <c r="H362" s="2">
        <v>3</v>
      </c>
      <c r="I362" s="2" t="s">
        <v>90</v>
      </c>
      <c r="J362" s="2" t="s">
        <v>72</v>
      </c>
      <c r="K362" s="2" t="s">
        <v>73</v>
      </c>
      <c r="L362" s="2" t="s">
        <v>91</v>
      </c>
      <c r="M362" s="2" t="s">
        <v>92</v>
      </c>
      <c r="N362" s="2" t="s">
        <v>93</v>
      </c>
      <c r="O362" s="3">
        <f>IFERROR(VLOOKUP(M362, '[1]08_CSDL_DAO_CU_VAT_LIEU'!$A$2:$F$64, 6, FALSE), 27500)</f>
        <v>74000</v>
      </c>
      <c r="P362" s="4">
        <v>0.23</v>
      </c>
      <c r="Q362" s="3">
        <f t="shared" si="16"/>
        <v>8021</v>
      </c>
      <c r="R362" s="3">
        <f>ROUND((F362/3600)*IFERROR(VLOOKUP(I362, '[1]02_DM_NHAN_SU_MAY'!$M$2:$Q$25, 5, FALSE), 39375), 0)</f>
        <v>4479</v>
      </c>
      <c r="S362" s="3">
        <v>0</v>
      </c>
      <c r="T362" s="3">
        <f t="shared" si="17"/>
        <v>12500</v>
      </c>
    </row>
    <row r="363" spans="1:20" x14ac:dyDescent="0.25">
      <c r="A363" s="5" t="s">
        <v>852</v>
      </c>
      <c r="B363" s="5">
        <v>362</v>
      </c>
      <c r="C363" s="5" t="s">
        <v>68</v>
      </c>
      <c r="D363" s="5" t="s">
        <v>848</v>
      </c>
      <c r="E363" s="5" t="s">
        <v>853</v>
      </c>
      <c r="F363" s="6">
        <v>3600</v>
      </c>
      <c r="G363" s="7">
        <f t="shared" si="15"/>
        <v>0.125</v>
      </c>
      <c r="H363" s="5" t="s">
        <v>34</v>
      </c>
      <c r="I363" s="5" t="s">
        <v>55</v>
      </c>
      <c r="J363" s="5" t="s">
        <v>72</v>
      </c>
      <c r="K363" s="5" t="s">
        <v>73</v>
      </c>
      <c r="L363" s="5" t="s">
        <v>508</v>
      </c>
      <c r="M363" s="5" t="s">
        <v>49</v>
      </c>
      <c r="N363" s="5" t="s">
        <v>50</v>
      </c>
      <c r="O363" s="6">
        <f>IFERROR(VLOOKUP(M363, '[1]08_CSDL_DAO_CU_VAT_LIEU'!$A$2:$F$64, 6, FALSE), 27500)</f>
        <v>20833.330000000002</v>
      </c>
      <c r="P363" s="7">
        <v>1.4</v>
      </c>
      <c r="Q363" s="6">
        <f t="shared" si="16"/>
        <v>48125</v>
      </c>
      <c r="R363" s="6">
        <f>ROUND((F363/3600)*IFERROR(VLOOKUP(I363, '[1]02_DM_NHAN_SU_MAY'!$M$2:$Q$25, 5, FALSE), 39375), 0)</f>
        <v>14375</v>
      </c>
      <c r="S363" s="6">
        <v>0</v>
      </c>
      <c r="T363" s="6">
        <f t="shared" si="17"/>
        <v>62500</v>
      </c>
    </row>
    <row r="364" spans="1:20" x14ac:dyDescent="0.25">
      <c r="A364" s="2" t="s">
        <v>854</v>
      </c>
      <c r="B364" s="2">
        <v>363</v>
      </c>
      <c r="C364" s="2" t="s">
        <v>68</v>
      </c>
      <c r="D364" s="2" t="s">
        <v>855</v>
      </c>
      <c r="E364" s="2" t="s">
        <v>522</v>
      </c>
      <c r="F364" s="3">
        <v>14400</v>
      </c>
      <c r="G364" s="4">
        <f t="shared" si="15"/>
        <v>0.5</v>
      </c>
      <c r="H364" s="2">
        <v>1</v>
      </c>
      <c r="I364" s="2" t="s">
        <v>24</v>
      </c>
      <c r="J364" s="2" t="s">
        <v>72</v>
      </c>
      <c r="K364" s="2" t="s">
        <v>73</v>
      </c>
      <c r="L364" s="2" t="s">
        <v>508</v>
      </c>
      <c r="M364" s="2" t="s">
        <v>28</v>
      </c>
      <c r="N364" s="2" t="s">
        <v>29</v>
      </c>
      <c r="O364" s="3">
        <f>IFERROR(VLOOKUP(M364, '[1]08_CSDL_DAO_CU_VAT_LIEU'!$A$2:$F$64, 6, FALSE), 27500)</f>
        <v>27500</v>
      </c>
      <c r="P364" s="4">
        <v>5.6</v>
      </c>
      <c r="Q364" s="3">
        <f t="shared" si="16"/>
        <v>192500</v>
      </c>
      <c r="R364" s="3">
        <f>ROUND((F364/3600)*IFERROR(VLOOKUP(I364, '[1]02_DM_NHAN_SU_MAY'!$M$2:$Q$25, 5, FALSE), 39375), 0)</f>
        <v>157500</v>
      </c>
      <c r="S364" s="3">
        <v>0</v>
      </c>
      <c r="T364" s="3">
        <f t="shared" si="17"/>
        <v>350000</v>
      </c>
    </row>
    <row r="365" spans="1:20" x14ac:dyDescent="0.25">
      <c r="A365" s="5" t="s">
        <v>856</v>
      </c>
      <c r="B365" s="5">
        <v>364</v>
      </c>
      <c r="C365" s="5" t="s">
        <v>68</v>
      </c>
      <c r="D365" s="5" t="s">
        <v>855</v>
      </c>
      <c r="E365" s="5" t="s">
        <v>857</v>
      </c>
      <c r="F365" s="6">
        <v>14400</v>
      </c>
      <c r="G365" s="7">
        <f t="shared" si="15"/>
        <v>0.5</v>
      </c>
      <c r="H365" s="5">
        <v>2</v>
      </c>
      <c r="I365" s="5" t="s">
        <v>24</v>
      </c>
      <c r="J365" s="5" t="s">
        <v>72</v>
      </c>
      <c r="K365" s="5" t="s">
        <v>73</v>
      </c>
      <c r="L365" s="5" t="s">
        <v>508</v>
      </c>
      <c r="M365" s="5" t="s">
        <v>28</v>
      </c>
      <c r="N365" s="5" t="s">
        <v>29</v>
      </c>
      <c r="O365" s="6">
        <f>IFERROR(VLOOKUP(M365, '[1]08_CSDL_DAO_CU_VAT_LIEU'!$A$2:$F$64, 6, FALSE), 27500)</f>
        <v>27500</v>
      </c>
      <c r="P365" s="7">
        <v>5.6</v>
      </c>
      <c r="Q365" s="6">
        <f t="shared" si="16"/>
        <v>192500</v>
      </c>
      <c r="R365" s="6">
        <f>ROUND((F365/3600)*IFERROR(VLOOKUP(I365, '[1]02_DM_NHAN_SU_MAY'!$M$2:$Q$25, 5, FALSE), 39375), 0)</f>
        <v>157500</v>
      </c>
      <c r="S365" s="6">
        <v>0</v>
      </c>
      <c r="T365" s="6">
        <f t="shared" si="17"/>
        <v>350000</v>
      </c>
    </row>
    <row r="366" spans="1:20" x14ac:dyDescent="0.25">
      <c r="A366" s="2" t="s">
        <v>858</v>
      </c>
      <c r="B366" s="2">
        <v>365</v>
      </c>
      <c r="C366" s="2" t="s">
        <v>68</v>
      </c>
      <c r="D366" s="2" t="s">
        <v>855</v>
      </c>
      <c r="E366" s="2" t="s">
        <v>859</v>
      </c>
      <c r="F366" s="2">
        <v>600</v>
      </c>
      <c r="G366" s="4">
        <f t="shared" si="15"/>
        <v>2.0799999999999999E-2</v>
      </c>
      <c r="H366" s="2">
        <v>3</v>
      </c>
      <c r="I366" s="2" t="s">
        <v>90</v>
      </c>
      <c r="J366" s="2" t="s">
        <v>72</v>
      </c>
      <c r="K366" s="2" t="s">
        <v>73</v>
      </c>
      <c r="L366" s="2" t="s">
        <v>91</v>
      </c>
      <c r="M366" s="2" t="s">
        <v>92</v>
      </c>
      <c r="N366" s="2" t="s">
        <v>93</v>
      </c>
      <c r="O366" s="3">
        <f>IFERROR(VLOOKUP(M366, '[1]08_CSDL_DAO_CU_VAT_LIEU'!$A$2:$F$64, 6, FALSE), 27500)</f>
        <v>74000</v>
      </c>
      <c r="P366" s="4">
        <v>0.23</v>
      </c>
      <c r="Q366" s="3">
        <f t="shared" si="16"/>
        <v>8021</v>
      </c>
      <c r="R366" s="3">
        <f>ROUND((F366/3600)*IFERROR(VLOOKUP(I366, '[1]02_DM_NHAN_SU_MAY'!$M$2:$Q$25, 5, FALSE), 39375), 0)</f>
        <v>4479</v>
      </c>
      <c r="S366" s="3">
        <v>0</v>
      </c>
      <c r="T366" s="3">
        <f t="shared" si="17"/>
        <v>12500</v>
      </c>
    </row>
    <row r="367" spans="1:20" x14ac:dyDescent="0.25">
      <c r="A367" s="5" t="s">
        <v>860</v>
      </c>
      <c r="B367" s="5">
        <v>366</v>
      </c>
      <c r="C367" s="5" t="s">
        <v>68</v>
      </c>
      <c r="D367" s="5" t="s">
        <v>855</v>
      </c>
      <c r="E367" s="5" t="s">
        <v>861</v>
      </c>
      <c r="F367" s="6">
        <v>3600</v>
      </c>
      <c r="G367" s="7">
        <f t="shared" si="15"/>
        <v>0.125</v>
      </c>
      <c r="H367" s="5" t="s">
        <v>34</v>
      </c>
      <c r="I367" s="5" t="s">
        <v>55</v>
      </c>
      <c r="J367" s="5" t="s">
        <v>72</v>
      </c>
      <c r="K367" s="5" t="s">
        <v>73</v>
      </c>
      <c r="L367" s="5" t="s">
        <v>508</v>
      </c>
      <c r="M367" s="5" t="s">
        <v>49</v>
      </c>
      <c r="N367" s="5" t="s">
        <v>50</v>
      </c>
      <c r="O367" s="6">
        <f>IFERROR(VLOOKUP(M367, '[1]08_CSDL_DAO_CU_VAT_LIEU'!$A$2:$F$64, 6, FALSE), 27500)</f>
        <v>20833.330000000002</v>
      </c>
      <c r="P367" s="7">
        <v>1.4</v>
      </c>
      <c r="Q367" s="6">
        <f t="shared" si="16"/>
        <v>48125</v>
      </c>
      <c r="R367" s="6">
        <f>ROUND((F367/3600)*IFERROR(VLOOKUP(I367, '[1]02_DM_NHAN_SU_MAY'!$M$2:$Q$25, 5, FALSE), 39375), 0)</f>
        <v>14375</v>
      </c>
      <c r="S367" s="6">
        <v>0</v>
      </c>
      <c r="T367" s="6">
        <f t="shared" si="17"/>
        <v>62500</v>
      </c>
    </row>
    <row r="368" spans="1:20" x14ac:dyDescent="0.25">
      <c r="A368" s="2" t="s">
        <v>862</v>
      </c>
      <c r="B368" s="2">
        <v>367</v>
      </c>
      <c r="C368" s="2" t="s">
        <v>68</v>
      </c>
      <c r="D368" s="2" t="s">
        <v>863</v>
      </c>
      <c r="E368" s="2" t="s">
        <v>864</v>
      </c>
      <c r="F368" s="3">
        <v>7200</v>
      </c>
      <c r="G368" s="4">
        <f t="shared" si="15"/>
        <v>0.25</v>
      </c>
      <c r="H368" s="2">
        <v>1</v>
      </c>
      <c r="I368" s="2" t="s">
        <v>71</v>
      </c>
      <c r="J368" s="2" t="s">
        <v>72</v>
      </c>
      <c r="K368" s="2" t="s">
        <v>73</v>
      </c>
      <c r="L368" s="2" t="s">
        <v>508</v>
      </c>
      <c r="M368" s="2" t="s">
        <v>583</v>
      </c>
      <c r="N368" s="2" t="s">
        <v>584</v>
      </c>
      <c r="O368" s="3">
        <f>IFERROR(VLOOKUP(M368, '[1]08_CSDL_DAO_CU_VAT_LIEU'!$A$2:$F$64, 6, FALSE), 27500)</f>
        <v>36250</v>
      </c>
      <c r="P368" s="4">
        <v>2.8</v>
      </c>
      <c r="Q368" s="3">
        <f t="shared" si="16"/>
        <v>96250</v>
      </c>
      <c r="R368" s="3">
        <f>ROUND((F368/3600)*IFERROR(VLOOKUP(I368, '[1]02_DM_NHAN_SU_MAY'!$M$2:$Q$25, 5, FALSE), 39375), 0)</f>
        <v>53750</v>
      </c>
      <c r="S368" s="3">
        <v>0</v>
      </c>
      <c r="T368" s="3">
        <f t="shared" si="17"/>
        <v>150000</v>
      </c>
    </row>
    <row r="369" spans="1:20" x14ac:dyDescent="0.25">
      <c r="A369" s="5" t="s">
        <v>865</v>
      </c>
      <c r="B369" s="5">
        <v>368</v>
      </c>
      <c r="C369" s="5" t="s">
        <v>68</v>
      </c>
      <c r="D369" s="5" t="s">
        <v>863</v>
      </c>
      <c r="E369" s="5" t="s">
        <v>866</v>
      </c>
      <c r="F369" s="6">
        <v>1200</v>
      </c>
      <c r="G369" s="7">
        <f t="shared" si="15"/>
        <v>4.1700000000000001E-2</v>
      </c>
      <c r="H369" s="5">
        <v>2</v>
      </c>
      <c r="I369" s="5" t="s">
        <v>24</v>
      </c>
      <c r="J369" s="5" t="s">
        <v>72</v>
      </c>
      <c r="K369" s="5" t="s">
        <v>73</v>
      </c>
      <c r="L369" s="5" t="s">
        <v>508</v>
      </c>
      <c r="M369" s="5" t="s">
        <v>28</v>
      </c>
      <c r="N369" s="5" t="s">
        <v>29</v>
      </c>
      <c r="O369" s="6">
        <f>IFERROR(VLOOKUP(M369, '[1]08_CSDL_DAO_CU_VAT_LIEU'!$A$2:$F$64, 6, FALSE), 27500)</f>
        <v>27500</v>
      </c>
      <c r="P369" s="7">
        <v>0.47</v>
      </c>
      <c r="Q369" s="6">
        <f t="shared" si="16"/>
        <v>16042</v>
      </c>
      <c r="R369" s="6">
        <f>ROUND((F369/3600)*IFERROR(VLOOKUP(I369, '[1]02_DM_NHAN_SU_MAY'!$M$2:$Q$25, 5, FALSE), 39375), 0)</f>
        <v>13125</v>
      </c>
      <c r="S369" s="6">
        <v>0</v>
      </c>
      <c r="T369" s="6">
        <f t="shared" si="17"/>
        <v>29167</v>
      </c>
    </row>
    <row r="370" spans="1:20" x14ac:dyDescent="0.25">
      <c r="A370" s="2" t="s">
        <v>867</v>
      </c>
      <c r="B370" s="2">
        <v>369</v>
      </c>
      <c r="C370" s="2" t="s">
        <v>68</v>
      </c>
      <c r="D370" s="2" t="s">
        <v>863</v>
      </c>
      <c r="E370" s="2" t="s">
        <v>868</v>
      </c>
      <c r="F370" s="3">
        <v>2400</v>
      </c>
      <c r="G370" s="4">
        <f t="shared" si="15"/>
        <v>8.3299999999999999E-2</v>
      </c>
      <c r="H370" s="2" t="s">
        <v>34</v>
      </c>
      <c r="I370" s="2" t="s">
        <v>55</v>
      </c>
      <c r="J370" s="2" t="s">
        <v>72</v>
      </c>
      <c r="K370" s="2" t="s">
        <v>73</v>
      </c>
      <c r="L370" s="2" t="s">
        <v>508</v>
      </c>
      <c r="M370" s="2" t="s">
        <v>49</v>
      </c>
      <c r="N370" s="2" t="s">
        <v>50</v>
      </c>
      <c r="O370" s="3">
        <f>IFERROR(VLOOKUP(M370, '[1]08_CSDL_DAO_CU_VAT_LIEU'!$A$2:$F$64, 6, FALSE), 27500)</f>
        <v>20833.330000000002</v>
      </c>
      <c r="P370" s="4">
        <v>0.93</v>
      </c>
      <c r="Q370" s="3">
        <f t="shared" si="16"/>
        <v>32083</v>
      </c>
      <c r="R370" s="3">
        <f>ROUND((F370/3600)*IFERROR(VLOOKUP(I370, '[1]02_DM_NHAN_SU_MAY'!$M$2:$Q$25, 5, FALSE), 39375), 0)</f>
        <v>9583</v>
      </c>
      <c r="S370" s="3">
        <v>0</v>
      </c>
      <c r="T370" s="3">
        <f t="shared" si="17"/>
        <v>41666</v>
      </c>
    </row>
    <row r="371" spans="1:20" x14ac:dyDescent="0.25">
      <c r="A371" s="5" t="s">
        <v>869</v>
      </c>
      <c r="B371" s="5">
        <v>370</v>
      </c>
      <c r="C371" s="5" t="s">
        <v>68</v>
      </c>
      <c r="D371" s="5" t="s">
        <v>870</v>
      </c>
      <c r="E371" s="5" t="s">
        <v>871</v>
      </c>
      <c r="F371" s="6">
        <v>3600</v>
      </c>
      <c r="G371" s="7">
        <f t="shared" si="15"/>
        <v>0.125</v>
      </c>
      <c r="H371" s="5">
        <v>1</v>
      </c>
      <c r="I371" s="5" t="s">
        <v>55</v>
      </c>
      <c r="J371" s="5" t="s">
        <v>72</v>
      </c>
      <c r="K371" s="5" t="s">
        <v>73</v>
      </c>
      <c r="L371" s="5" t="s">
        <v>508</v>
      </c>
      <c r="M371" s="5" t="s">
        <v>49</v>
      </c>
      <c r="N371" s="5" t="s">
        <v>50</v>
      </c>
      <c r="O371" s="6">
        <f>IFERROR(VLOOKUP(M371, '[1]08_CSDL_DAO_CU_VAT_LIEU'!$A$2:$F$64, 6, FALSE), 27500)</f>
        <v>20833.330000000002</v>
      </c>
      <c r="P371" s="7">
        <v>1.4</v>
      </c>
      <c r="Q371" s="6">
        <f t="shared" si="16"/>
        <v>48125</v>
      </c>
      <c r="R371" s="6">
        <f>ROUND((F371/3600)*IFERROR(VLOOKUP(I371, '[1]02_DM_NHAN_SU_MAY'!$M$2:$Q$25, 5, FALSE), 39375), 0)</f>
        <v>14375</v>
      </c>
      <c r="S371" s="6">
        <v>0</v>
      </c>
      <c r="T371" s="6">
        <f t="shared" si="17"/>
        <v>62500</v>
      </c>
    </row>
    <row r="372" spans="1:20" x14ac:dyDescent="0.25">
      <c r="A372" s="2" t="s">
        <v>872</v>
      </c>
      <c r="B372" s="2">
        <v>371</v>
      </c>
      <c r="C372" s="2" t="s">
        <v>68</v>
      </c>
      <c r="D372" s="2" t="s">
        <v>870</v>
      </c>
      <c r="E372" s="2" t="s">
        <v>873</v>
      </c>
      <c r="F372" s="2">
        <v>900</v>
      </c>
      <c r="G372" s="4">
        <f t="shared" si="15"/>
        <v>3.1300000000000001E-2</v>
      </c>
      <c r="H372" s="2" t="s">
        <v>34</v>
      </c>
      <c r="I372" s="2" t="s">
        <v>90</v>
      </c>
      <c r="J372" s="2" t="s">
        <v>72</v>
      </c>
      <c r="K372" s="2" t="s">
        <v>73</v>
      </c>
      <c r="L372" s="2" t="s">
        <v>91</v>
      </c>
      <c r="M372" s="2" t="s">
        <v>838</v>
      </c>
      <c r="N372" s="2" t="s">
        <v>839</v>
      </c>
      <c r="O372" s="3">
        <f>IFERROR(VLOOKUP(M372, '[1]08_CSDL_DAO_CU_VAT_LIEU'!$A$2:$F$64, 6, FALSE), 27500)</f>
        <v>95000</v>
      </c>
      <c r="P372" s="4">
        <v>0.35</v>
      </c>
      <c r="Q372" s="3">
        <f t="shared" si="16"/>
        <v>12031</v>
      </c>
      <c r="R372" s="3">
        <f>ROUND((F372/3600)*IFERROR(VLOOKUP(I372, '[1]02_DM_NHAN_SU_MAY'!$M$2:$Q$25, 5, FALSE), 39375), 0)</f>
        <v>6719</v>
      </c>
      <c r="S372" s="3">
        <v>0</v>
      </c>
      <c r="T372" s="3">
        <f t="shared" si="17"/>
        <v>18750</v>
      </c>
    </row>
    <row r="373" spans="1:20" x14ac:dyDescent="0.25">
      <c r="A373" s="5" t="s">
        <v>874</v>
      </c>
      <c r="B373" s="5">
        <v>372</v>
      </c>
      <c r="C373" s="5" t="s">
        <v>68</v>
      </c>
      <c r="D373" s="5" t="s">
        <v>875</v>
      </c>
      <c r="E373" s="5" t="s">
        <v>147</v>
      </c>
      <c r="F373" s="6">
        <v>3600</v>
      </c>
      <c r="G373" s="7">
        <f t="shared" si="15"/>
        <v>0.125</v>
      </c>
      <c r="H373" s="5" t="s">
        <v>34</v>
      </c>
      <c r="I373" s="5" t="s">
        <v>24</v>
      </c>
      <c r="J373" s="5" t="s">
        <v>97</v>
      </c>
      <c r="K373" s="5" t="s">
        <v>98</v>
      </c>
      <c r="L373" s="5" t="s">
        <v>109</v>
      </c>
      <c r="M373" s="5" t="s">
        <v>28</v>
      </c>
      <c r="N373" s="5" t="s">
        <v>29</v>
      </c>
      <c r="O373" s="6">
        <f>IFERROR(VLOOKUP(M373, '[1]08_CSDL_DAO_CU_VAT_LIEU'!$A$2:$F$64, 6, FALSE), 27500)</f>
        <v>27500</v>
      </c>
      <c r="P373" s="7">
        <v>1.4</v>
      </c>
      <c r="Q373" s="6">
        <f t="shared" si="16"/>
        <v>48125</v>
      </c>
      <c r="R373" s="6">
        <f>ROUND((F373/3600)*IFERROR(VLOOKUP(I373, '[1]02_DM_NHAN_SU_MAY'!$M$2:$Q$25, 5, FALSE), 39375), 0)</f>
        <v>39375</v>
      </c>
      <c r="S373" s="6">
        <v>0</v>
      </c>
      <c r="T373" s="6">
        <f t="shared" si="17"/>
        <v>87500</v>
      </c>
    </row>
    <row r="374" spans="1:20" x14ac:dyDescent="0.25">
      <c r="A374" s="2" t="s">
        <v>876</v>
      </c>
      <c r="B374" s="2">
        <v>373</v>
      </c>
      <c r="C374" s="2" t="s">
        <v>68</v>
      </c>
      <c r="D374" s="2" t="s">
        <v>877</v>
      </c>
      <c r="E374" s="2" t="s">
        <v>469</v>
      </c>
      <c r="F374" s="2">
        <v>240</v>
      </c>
      <c r="G374" s="4">
        <f t="shared" si="15"/>
        <v>8.3000000000000001E-3</v>
      </c>
      <c r="H374" s="2" t="s">
        <v>34</v>
      </c>
      <c r="I374" s="2" t="s">
        <v>24</v>
      </c>
      <c r="J374" s="2" t="s">
        <v>238</v>
      </c>
      <c r="K374" s="2" t="s">
        <v>239</v>
      </c>
      <c r="L374" s="2" t="s">
        <v>285</v>
      </c>
      <c r="M374" s="2" t="s">
        <v>28</v>
      </c>
      <c r="N374" s="2" t="s">
        <v>29</v>
      </c>
      <c r="O374" s="3">
        <f>IFERROR(VLOOKUP(M374, '[1]08_CSDL_DAO_CU_VAT_LIEU'!$A$2:$F$64, 6, FALSE), 27500)</f>
        <v>27500</v>
      </c>
      <c r="P374" s="4">
        <v>0.09</v>
      </c>
      <c r="Q374" s="3">
        <f t="shared" si="16"/>
        <v>3208</v>
      </c>
      <c r="R374" s="3">
        <f>ROUND((F374/3600)*IFERROR(VLOOKUP(I374, '[1]02_DM_NHAN_SU_MAY'!$M$2:$Q$25, 5, FALSE), 39375), 0)</f>
        <v>2625</v>
      </c>
      <c r="S374" s="3">
        <v>0</v>
      </c>
      <c r="T374" s="3">
        <f t="shared" si="17"/>
        <v>5833</v>
      </c>
    </row>
    <row r="375" spans="1:20" x14ac:dyDescent="0.25">
      <c r="A375" s="5" t="s">
        <v>878</v>
      </c>
      <c r="B375" s="5">
        <v>374</v>
      </c>
      <c r="C375" s="5" t="s">
        <v>68</v>
      </c>
      <c r="D375" s="5" t="s">
        <v>879</v>
      </c>
      <c r="E375" s="5" t="s">
        <v>880</v>
      </c>
      <c r="F375" s="6">
        <v>460800</v>
      </c>
      <c r="G375" s="7">
        <f t="shared" si="15"/>
        <v>16</v>
      </c>
      <c r="H375" s="5" t="s">
        <v>34</v>
      </c>
      <c r="I375" s="5" t="s">
        <v>24</v>
      </c>
      <c r="J375" s="5" t="s">
        <v>97</v>
      </c>
      <c r="K375" s="5" t="s">
        <v>98</v>
      </c>
      <c r="L375" s="5" t="s">
        <v>109</v>
      </c>
      <c r="M375" s="5" t="s">
        <v>28</v>
      </c>
      <c r="N375" s="5" t="s">
        <v>29</v>
      </c>
      <c r="O375" s="6">
        <f>IFERROR(VLOOKUP(M375, '[1]08_CSDL_DAO_CU_VAT_LIEU'!$A$2:$F$64, 6, FALSE), 27500)</f>
        <v>27500</v>
      </c>
      <c r="P375" s="7">
        <v>179.2</v>
      </c>
      <c r="Q375" s="6">
        <f t="shared" si="16"/>
        <v>6160000</v>
      </c>
      <c r="R375" s="6">
        <f>ROUND((F375/3600)*IFERROR(VLOOKUP(I375, '[1]02_DM_NHAN_SU_MAY'!$M$2:$Q$25, 5, FALSE), 39375), 0)</f>
        <v>5040000</v>
      </c>
      <c r="S375" s="6">
        <v>0</v>
      </c>
      <c r="T375" s="6">
        <f t="shared" si="17"/>
        <v>11200000</v>
      </c>
    </row>
    <row r="376" spans="1:20" x14ac:dyDescent="0.25">
      <c r="A376" s="2" t="s">
        <v>881</v>
      </c>
      <c r="B376" s="2">
        <v>375</v>
      </c>
      <c r="C376" s="2" t="s">
        <v>68</v>
      </c>
      <c r="D376" s="2" t="s">
        <v>882</v>
      </c>
      <c r="E376" s="2" t="s">
        <v>883</v>
      </c>
      <c r="F376" s="3">
        <v>230400</v>
      </c>
      <c r="G376" s="4">
        <f t="shared" si="15"/>
        <v>8</v>
      </c>
      <c r="H376" s="2" t="s">
        <v>34</v>
      </c>
      <c r="I376" s="2" t="s">
        <v>24</v>
      </c>
      <c r="J376" s="2" t="s">
        <v>97</v>
      </c>
      <c r="K376" s="2" t="s">
        <v>98</v>
      </c>
      <c r="L376" s="2" t="s">
        <v>109</v>
      </c>
      <c r="M376" s="2" t="s">
        <v>28</v>
      </c>
      <c r="N376" s="2" t="s">
        <v>29</v>
      </c>
      <c r="O376" s="3">
        <f>IFERROR(VLOOKUP(M376, '[1]08_CSDL_DAO_CU_VAT_LIEU'!$A$2:$F$64, 6, FALSE), 27500)</f>
        <v>27500</v>
      </c>
      <c r="P376" s="4">
        <v>89.6</v>
      </c>
      <c r="Q376" s="3">
        <f t="shared" si="16"/>
        <v>3080000</v>
      </c>
      <c r="R376" s="3">
        <f>ROUND((F376/3600)*IFERROR(VLOOKUP(I376, '[1]02_DM_NHAN_SU_MAY'!$M$2:$Q$25, 5, FALSE), 39375), 0)</f>
        <v>2520000</v>
      </c>
      <c r="S376" s="3">
        <v>0</v>
      </c>
      <c r="T376" s="3">
        <f t="shared" si="17"/>
        <v>5600000</v>
      </c>
    </row>
    <row r="377" spans="1:20" x14ac:dyDescent="0.25">
      <c r="A377" s="5" t="s">
        <v>884</v>
      </c>
      <c r="B377" s="5">
        <v>376</v>
      </c>
      <c r="C377" s="5" t="s">
        <v>68</v>
      </c>
      <c r="D377" s="5" t="s">
        <v>885</v>
      </c>
      <c r="E377" s="5" t="s">
        <v>886</v>
      </c>
      <c r="F377" s="6">
        <v>86400</v>
      </c>
      <c r="G377" s="7">
        <f t="shared" si="15"/>
        <v>3</v>
      </c>
      <c r="H377" s="5" t="s">
        <v>34</v>
      </c>
      <c r="I377" s="5" t="s">
        <v>24</v>
      </c>
      <c r="J377" s="5" t="s">
        <v>97</v>
      </c>
      <c r="K377" s="5" t="s">
        <v>98</v>
      </c>
      <c r="L377" s="5" t="s">
        <v>109</v>
      </c>
      <c r="M377" s="5" t="s">
        <v>49</v>
      </c>
      <c r="N377" s="5" t="s">
        <v>50</v>
      </c>
      <c r="O377" s="6">
        <f>IFERROR(VLOOKUP(M377, '[1]08_CSDL_DAO_CU_VAT_LIEU'!$A$2:$F$64, 6, FALSE), 27500)</f>
        <v>20833.330000000002</v>
      </c>
      <c r="P377" s="7">
        <v>33.6</v>
      </c>
      <c r="Q377" s="6">
        <f t="shared" si="16"/>
        <v>1155000</v>
      </c>
      <c r="R377" s="6">
        <f>ROUND((F377/3600)*IFERROR(VLOOKUP(I377, '[1]02_DM_NHAN_SU_MAY'!$M$2:$Q$25, 5, FALSE), 39375), 0)</f>
        <v>945000</v>
      </c>
      <c r="S377" s="6">
        <v>0</v>
      </c>
      <c r="T377" s="6">
        <f t="shared" si="17"/>
        <v>2100000</v>
      </c>
    </row>
    <row r="378" spans="1:20" x14ac:dyDescent="0.25">
      <c r="A378" s="2" t="s">
        <v>887</v>
      </c>
      <c r="B378" s="2">
        <v>377</v>
      </c>
      <c r="C378" s="2" t="s">
        <v>68</v>
      </c>
      <c r="D378" s="2" t="s">
        <v>888</v>
      </c>
      <c r="E378" s="2" t="s">
        <v>476</v>
      </c>
      <c r="F378" s="2">
        <v>720</v>
      </c>
      <c r="G378" s="4">
        <f t="shared" si="15"/>
        <v>2.5000000000000001E-2</v>
      </c>
      <c r="H378" s="2" t="s">
        <v>34</v>
      </c>
      <c r="I378" s="2" t="s">
        <v>24</v>
      </c>
      <c r="J378" s="2" t="s">
        <v>238</v>
      </c>
      <c r="K378" s="2" t="s">
        <v>239</v>
      </c>
      <c r="L378" s="2" t="s">
        <v>285</v>
      </c>
      <c r="M378" s="2" t="s">
        <v>28</v>
      </c>
      <c r="N378" s="2" t="s">
        <v>29</v>
      </c>
      <c r="O378" s="3">
        <f>IFERROR(VLOOKUP(M378, '[1]08_CSDL_DAO_CU_VAT_LIEU'!$A$2:$F$64, 6, FALSE), 27500)</f>
        <v>27500</v>
      </c>
      <c r="P378" s="4">
        <v>0.28000000000000003</v>
      </c>
      <c r="Q378" s="3">
        <f t="shared" si="16"/>
        <v>9625</v>
      </c>
      <c r="R378" s="3">
        <f>ROUND((F378/3600)*IFERROR(VLOOKUP(I378, '[1]02_DM_NHAN_SU_MAY'!$M$2:$Q$25, 5, FALSE), 39375), 0)</f>
        <v>7875</v>
      </c>
      <c r="S378" s="3">
        <v>0</v>
      </c>
      <c r="T378" s="3">
        <f t="shared" si="17"/>
        <v>17500</v>
      </c>
    </row>
    <row r="379" spans="1:20" x14ac:dyDescent="0.25">
      <c r="A379" s="5" t="s">
        <v>889</v>
      </c>
      <c r="B379" s="5">
        <v>378</v>
      </c>
      <c r="C379" s="5" t="s">
        <v>68</v>
      </c>
      <c r="D379" s="5" t="s">
        <v>890</v>
      </c>
      <c r="E379" s="5" t="s">
        <v>147</v>
      </c>
      <c r="F379" s="5">
        <v>720</v>
      </c>
      <c r="G379" s="7">
        <f t="shared" si="15"/>
        <v>2.5000000000000001E-2</v>
      </c>
      <c r="H379" s="5" t="s">
        <v>34</v>
      </c>
      <c r="I379" s="5" t="s">
        <v>24</v>
      </c>
      <c r="J379" s="5" t="s">
        <v>238</v>
      </c>
      <c r="K379" s="5" t="s">
        <v>239</v>
      </c>
      <c r="L379" s="5" t="s">
        <v>285</v>
      </c>
      <c r="M379" s="5" t="s">
        <v>28</v>
      </c>
      <c r="N379" s="5" t="s">
        <v>29</v>
      </c>
      <c r="O379" s="6">
        <f>IFERROR(VLOOKUP(M379, '[1]08_CSDL_DAO_CU_VAT_LIEU'!$A$2:$F$64, 6, FALSE), 27500)</f>
        <v>27500</v>
      </c>
      <c r="P379" s="7">
        <v>0.28000000000000003</v>
      </c>
      <c r="Q379" s="6">
        <f t="shared" si="16"/>
        <v>9625</v>
      </c>
      <c r="R379" s="6">
        <f>ROUND((F379/3600)*IFERROR(VLOOKUP(I379, '[1]02_DM_NHAN_SU_MAY'!$M$2:$Q$25, 5, FALSE), 39375), 0)</f>
        <v>7875</v>
      </c>
      <c r="S379" s="6">
        <v>0</v>
      </c>
      <c r="T379" s="6">
        <f t="shared" si="17"/>
        <v>17500</v>
      </c>
    </row>
    <row r="380" spans="1:20" x14ac:dyDescent="0.25">
      <c r="A380" s="2" t="s">
        <v>891</v>
      </c>
      <c r="B380" s="2">
        <v>379</v>
      </c>
      <c r="C380" s="2" t="s">
        <v>52</v>
      </c>
      <c r="D380" s="2" t="s">
        <v>892</v>
      </c>
      <c r="E380" s="2" t="s">
        <v>476</v>
      </c>
      <c r="F380" s="3">
        <v>1200</v>
      </c>
      <c r="G380" s="4">
        <f t="shared" si="15"/>
        <v>4.1700000000000001E-2</v>
      </c>
      <c r="H380" s="2" t="s">
        <v>34</v>
      </c>
      <c r="I380" s="2" t="s">
        <v>24</v>
      </c>
      <c r="J380" s="2" t="s">
        <v>56</v>
      </c>
      <c r="K380" s="2" t="s">
        <v>57</v>
      </c>
      <c r="L380" s="2" t="s">
        <v>58</v>
      </c>
      <c r="M380" s="2" t="s">
        <v>28</v>
      </c>
      <c r="N380" s="2" t="s">
        <v>29</v>
      </c>
      <c r="O380" s="3">
        <f>IFERROR(VLOOKUP(M380, '[1]08_CSDL_DAO_CU_VAT_LIEU'!$A$2:$F$64, 6, FALSE), 27500)</f>
        <v>27500</v>
      </c>
      <c r="P380" s="4">
        <v>0.56000000000000005</v>
      </c>
      <c r="Q380" s="3">
        <f t="shared" si="16"/>
        <v>16042</v>
      </c>
      <c r="R380" s="3">
        <f>ROUND((F380/3600)*IFERROR(VLOOKUP(I380, '[1]02_DM_NHAN_SU_MAY'!$M$2:$Q$25, 5, FALSE), 39375), 0)</f>
        <v>13125</v>
      </c>
      <c r="S380" s="3">
        <v>0</v>
      </c>
      <c r="T380" s="3">
        <f t="shared" si="17"/>
        <v>29167</v>
      </c>
    </row>
    <row r="381" spans="1:20" x14ac:dyDescent="0.25">
      <c r="A381" s="5" t="s">
        <v>893</v>
      </c>
      <c r="B381" s="5">
        <v>380</v>
      </c>
      <c r="C381" s="5" t="s">
        <v>68</v>
      </c>
      <c r="D381" s="5" t="s">
        <v>894</v>
      </c>
      <c r="E381" s="5" t="s">
        <v>147</v>
      </c>
      <c r="F381" s="6">
        <v>1200</v>
      </c>
      <c r="G381" s="7">
        <f t="shared" si="15"/>
        <v>4.1700000000000001E-2</v>
      </c>
      <c r="H381" s="5" t="s">
        <v>34</v>
      </c>
      <c r="I381" s="5" t="s">
        <v>24</v>
      </c>
      <c r="J381" s="5" t="s">
        <v>97</v>
      </c>
      <c r="K381" s="5" t="s">
        <v>98</v>
      </c>
      <c r="L381" s="5" t="s">
        <v>109</v>
      </c>
      <c r="M381" s="5" t="s">
        <v>28</v>
      </c>
      <c r="N381" s="5" t="s">
        <v>29</v>
      </c>
      <c r="O381" s="6">
        <f>IFERROR(VLOOKUP(M381, '[1]08_CSDL_DAO_CU_VAT_LIEU'!$A$2:$F$64, 6, FALSE), 27500)</f>
        <v>27500</v>
      </c>
      <c r="P381" s="7">
        <v>0.47</v>
      </c>
      <c r="Q381" s="6">
        <f t="shared" si="16"/>
        <v>16042</v>
      </c>
      <c r="R381" s="6">
        <f>ROUND((F381/3600)*IFERROR(VLOOKUP(I381, '[1]02_DM_NHAN_SU_MAY'!$M$2:$Q$25, 5, FALSE), 39375), 0)</f>
        <v>13125</v>
      </c>
      <c r="S381" s="6">
        <v>0</v>
      </c>
      <c r="T381" s="6">
        <f t="shared" si="17"/>
        <v>29167</v>
      </c>
    </row>
    <row r="382" spans="1:20" x14ac:dyDescent="0.25">
      <c r="A382" s="2" t="s">
        <v>895</v>
      </c>
      <c r="B382" s="2">
        <v>381</v>
      </c>
      <c r="C382" s="2" t="s">
        <v>68</v>
      </c>
      <c r="D382" s="2" t="s">
        <v>896</v>
      </c>
      <c r="E382" s="2" t="s">
        <v>147</v>
      </c>
      <c r="F382" s="3">
        <v>1200</v>
      </c>
      <c r="G382" s="4">
        <f t="shared" si="15"/>
        <v>4.1700000000000001E-2</v>
      </c>
      <c r="H382" s="2" t="s">
        <v>34</v>
      </c>
      <c r="I382" s="2" t="s">
        <v>24</v>
      </c>
      <c r="J382" s="2" t="s">
        <v>97</v>
      </c>
      <c r="K382" s="2" t="s">
        <v>98</v>
      </c>
      <c r="L382" s="2" t="s">
        <v>109</v>
      </c>
      <c r="M382" s="2" t="s">
        <v>28</v>
      </c>
      <c r="N382" s="2" t="s">
        <v>29</v>
      </c>
      <c r="O382" s="3">
        <f>IFERROR(VLOOKUP(M382, '[1]08_CSDL_DAO_CU_VAT_LIEU'!$A$2:$F$64, 6, FALSE), 27500)</f>
        <v>27500</v>
      </c>
      <c r="P382" s="4">
        <v>0.47</v>
      </c>
      <c r="Q382" s="3">
        <f t="shared" si="16"/>
        <v>16042</v>
      </c>
      <c r="R382" s="3">
        <f>ROUND((F382/3600)*IFERROR(VLOOKUP(I382, '[1]02_DM_NHAN_SU_MAY'!$M$2:$Q$25, 5, FALSE), 39375), 0)</f>
        <v>13125</v>
      </c>
      <c r="S382" s="3">
        <v>0</v>
      </c>
      <c r="T382" s="3">
        <f t="shared" si="17"/>
        <v>29167</v>
      </c>
    </row>
    <row r="383" spans="1:20" x14ac:dyDescent="0.25">
      <c r="A383" s="5" t="s">
        <v>897</v>
      </c>
      <c r="B383" s="5">
        <v>382</v>
      </c>
      <c r="C383" s="5" t="s">
        <v>68</v>
      </c>
      <c r="D383" s="5" t="s">
        <v>898</v>
      </c>
      <c r="E383" s="5" t="s">
        <v>147</v>
      </c>
      <c r="F383" s="6">
        <v>1200</v>
      </c>
      <c r="G383" s="7">
        <f t="shared" si="15"/>
        <v>4.1700000000000001E-2</v>
      </c>
      <c r="H383" s="5" t="s">
        <v>34</v>
      </c>
      <c r="I383" s="5" t="s">
        <v>24</v>
      </c>
      <c r="J383" s="5" t="s">
        <v>97</v>
      </c>
      <c r="K383" s="5" t="s">
        <v>98</v>
      </c>
      <c r="L383" s="5" t="s">
        <v>109</v>
      </c>
      <c r="M383" s="5" t="s">
        <v>28</v>
      </c>
      <c r="N383" s="5" t="s">
        <v>29</v>
      </c>
      <c r="O383" s="6">
        <f>IFERROR(VLOOKUP(M383, '[1]08_CSDL_DAO_CU_VAT_LIEU'!$A$2:$F$64, 6, FALSE), 27500)</f>
        <v>27500</v>
      </c>
      <c r="P383" s="7">
        <v>0.47</v>
      </c>
      <c r="Q383" s="6">
        <f t="shared" si="16"/>
        <v>16042</v>
      </c>
      <c r="R383" s="6">
        <f>ROUND((F383/3600)*IFERROR(VLOOKUP(I383, '[1]02_DM_NHAN_SU_MAY'!$M$2:$Q$25, 5, FALSE), 39375), 0)</f>
        <v>13125</v>
      </c>
      <c r="S383" s="6">
        <v>0</v>
      </c>
      <c r="T383" s="6">
        <f t="shared" si="17"/>
        <v>29167</v>
      </c>
    </row>
    <row r="384" spans="1:20" x14ac:dyDescent="0.25">
      <c r="A384" s="2" t="s">
        <v>899</v>
      </c>
      <c r="B384" s="2">
        <v>383</v>
      </c>
      <c r="C384" s="2" t="s">
        <v>68</v>
      </c>
      <c r="D384" s="2" t="s">
        <v>900</v>
      </c>
      <c r="E384" s="2" t="s">
        <v>147</v>
      </c>
      <c r="F384" s="3">
        <v>3600</v>
      </c>
      <c r="G384" s="4">
        <f t="shared" si="15"/>
        <v>0.125</v>
      </c>
      <c r="H384" s="2" t="s">
        <v>34</v>
      </c>
      <c r="I384" s="2" t="s">
        <v>24</v>
      </c>
      <c r="J384" s="2" t="s">
        <v>97</v>
      </c>
      <c r="K384" s="2" t="s">
        <v>98</v>
      </c>
      <c r="L384" s="2" t="s">
        <v>109</v>
      </c>
      <c r="M384" s="2" t="s">
        <v>28</v>
      </c>
      <c r="N384" s="2" t="s">
        <v>29</v>
      </c>
      <c r="O384" s="3">
        <f>IFERROR(VLOOKUP(M384, '[1]08_CSDL_DAO_CU_VAT_LIEU'!$A$2:$F$64, 6, FALSE), 27500)</f>
        <v>27500</v>
      </c>
      <c r="P384" s="4">
        <v>1.4</v>
      </c>
      <c r="Q384" s="3">
        <f t="shared" si="16"/>
        <v>48125</v>
      </c>
      <c r="R384" s="3">
        <f>ROUND((F384/3600)*IFERROR(VLOOKUP(I384, '[1]02_DM_NHAN_SU_MAY'!$M$2:$Q$25, 5, FALSE), 39375), 0)</f>
        <v>39375</v>
      </c>
      <c r="S384" s="3">
        <v>0</v>
      </c>
      <c r="T384" s="3">
        <f t="shared" si="17"/>
        <v>87500</v>
      </c>
    </row>
    <row r="385" spans="1:20" x14ac:dyDescent="0.25">
      <c r="A385" s="5" t="s">
        <v>901</v>
      </c>
      <c r="B385" s="5">
        <v>384</v>
      </c>
      <c r="C385" s="5" t="s">
        <v>68</v>
      </c>
      <c r="D385" s="5" t="s">
        <v>902</v>
      </c>
      <c r="E385" s="5" t="s">
        <v>476</v>
      </c>
      <c r="F385" s="6">
        <v>5400</v>
      </c>
      <c r="G385" s="7">
        <f t="shared" si="15"/>
        <v>0.1875</v>
      </c>
      <c r="H385" s="5" t="s">
        <v>34</v>
      </c>
      <c r="I385" s="5" t="s">
        <v>24</v>
      </c>
      <c r="J385" s="5" t="s">
        <v>97</v>
      </c>
      <c r="K385" s="5" t="s">
        <v>98</v>
      </c>
      <c r="L385" s="5" t="s">
        <v>109</v>
      </c>
      <c r="M385" s="5" t="s">
        <v>28</v>
      </c>
      <c r="N385" s="5" t="s">
        <v>29</v>
      </c>
      <c r="O385" s="6">
        <f>IFERROR(VLOOKUP(M385, '[1]08_CSDL_DAO_CU_VAT_LIEU'!$A$2:$F$64, 6, FALSE), 27500)</f>
        <v>27500</v>
      </c>
      <c r="P385" s="7">
        <v>2.1</v>
      </c>
      <c r="Q385" s="6">
        <f t="shared" si="16"/>
        <v>72188</v>
      </c>
      <c r="R385" s="6">
        <f>ROUND((F385/3600)*IFERROR(VLOOKUP(I385, '[1]02_DM_NHAN_SU_MAY'!$M$2:$Q$25, 5, FALSE), 39375), 0)</f>
        <v>59063</v>
      </c>
      <c r="S385" s="6">
        <v>0</v>
      </c>
      <c r="T385" s="6">
        <f t="shared" si="17"/>
        <v>131251</v>
      </c>
    </row>
    <row r="386" spans="1:20" x14ac:dyDescent="0.25">
      <c r="A386" s="2" t="s">
        <v>903</v>
      </c>
      <c r="B386" s="2">
        <v>385</v>
      </c>
      <c r="C386" s="2" t="s">
        <v>68</v>
      </c>
      <c r="D386" s="2" t="s">
        <v>904</v>
      </c>
      <c r="E386" s="2" t="s">
        <v>905</v>
      </c>
      <c r="F386" s="3">
        <v>14400</v>
      </c>
      <c r="G386" s="4">
        <f t="shared" ref="G386:G449" si="18">ROUND(F386/28800, 4)</f>
        <v>0.5</v>
      </c>
      <c r="H386" s="2">
        <v>1</v>
      </c>
      <c r="I386" s="2" t="s">
        <v>71</v>
      </c>
      <c r="J386" s="2" t="s">
        <v>72</v>
      </c>
      <c r="K386" s="2" t="s">
        <v>73</v>
      </c>
      <c r="L386" s="2" t="s">
        <v>74</v>
      </c>
      <c r="M386" s="2" t="s">
        <v>75</v>
      </c>
      <c r="N386" s="2" t="s">
        <v>76</v>
      </c>
      <c r="O386" s="3">
        <f>IFERROR(VLOOKUP(M386, '[1]08_CSDL_DAO_CU_VAT_LIEU'!$A$2:$F$64, 6, FALSE), 27500)</f>
        <v>42500</v>
      </c>
      <c r="P386" s="4">
        <v>5.6</v>
      </c>
      <c r="Q386" s="3">
        <f t="shared" ref="Q386:Q449" si="19">ROUND(F386*(385000/28800), 0)</f>
        <v>192500</v>
      </c>
      <c r="R386" s="3">
        <f>ROUND((F386/3600)*IFERROR(VLOOKUP(I386, '[1]02_DM_NHAN_SU_MAY'!$M$2:$Q$25, 5, FALSE), 39375), 0)</f>
        <v>107500</v>
      </c>
      <c r="S386" s="3">
        <v>0</v>
      </c>
      <c r="T386" s="3">
        <f t="shared" ref="T386:T449" si="20">Q386+R386</f>
        <v>300000</v>
      </c>
    </row>
    <row r="387" spans="1:20" x14ac:dyDescent="0.25">
      <c r="A387" s="5" t="s">
        <v>906</v>
      </c>
      <c r="B387" s="5">
        <v>386</v>
      </c>
      <c r="C387" s="5" t="s">
        <v>68</v>
      </c>
      <c r="D387" s="5" t="s">
        <v>904</v>
      </c>
      <c r="E387" s="5" t="s">
        <v>907</v>
      </c>
      <c r="F387" s="6">
        <v>14400</v>
      </c>
      <c r="G387" s="7">
        <f t="shared" si="18"/>
        <v>0.5</v>
      </c>
      <c r="H387" s="5">
        <v>2</v>
      </c>
      <c r="I387" s="5" t="s">
        <v>71</v>
      </c>
      <c r="J387" s="5" t="s">
        <v>72</v>
      </c>
      <c r="K387" s="5" t="s">
        <v>73</v>
      </c>
      <c r="L387" s="5" t="s">
        <v>74</v>
      </c>
      <c r="M387" s="5" t="s">
        <v>75</v>
      </c>
      <c r="N387" s="5" t="s">
        <v>76</v>
      </c>
      <c r="O387" s="6">
        <f>IFERROR(VLOOKUP(M387, '[1]08_CSDL_DAO_CU_VAT_LIEU'!$A$2:$F$64, 6, FALSE), 27500)</f>
        <v>42500</v>
      </c>
      <c r="P387" s="7">
        <v>5.6</v>
      </c>
      <c r="Q387" s="6">
        <f t="shared" si="19"/>
        <v>192500</v>
      </c>
      <c r="R387" s="6">
        <f>ROUND((F387/3600)*IFERROR(VLOOKUP(I387, '[1]02_DM_NHAN_SU_MAY'!$M$2:$Q$25, 5, FALSE), 39375), 0)</f>
        <v>107500</v>
      </c>
      <c r="S387" s="6">
        <v>0</v>
      </c>
      <c r="T387" s="6">
        <f t="shared" si="20"/>
        <v>300000</v>
      </c>
    </row>
    <row r="388" spans="1:20" x14ac:dyDescent="0.25">
      <c r="A388" s="2" t="s">
        <v>908</v>
      </c>
      <c r="B388" s="2">
        <v>387</v>
      </c>
      <c r="C388" s="2" t="s">
        <v>68</v>
      </c>
      <c r="D388" s="2" t="s">
        <v>904</v>
      </c>
      <c r="E388" s="2" t="s">
        <v>909</v>
      </c>
      <c r="F388" s="3">
        <v>43200</v>
      </c>
      <c r="G388" s="4">
        <f t="shared" si="18"/>
        <v>1.5</v>
      </c>
      <c r="H388" s="2">
        <v>3</v>
      </c>
      <c r="I388" s="2" t="s">
        <v>35</v>
      </c>
      <c r="J388" s="2" t="s">
        <v>72</v>
      </c>
      <c r="K388" s="2" t="s">
        <v>73</v>
      </c>
      <c r="L388" s="2" t="s">
        <v>508</v>
      </c>
      <c r="M388" s="2" t="s">
        <v>28</v>
      </c>
      <c r="N388" s="2" t="s">
        <v>29</v>
      </c>
      <c r="O388" s="3">
        <f>IFERROR(VLOOKUP(M388, '[1]08_CSDL_DAO_CU_VAT_LIEU'!$A$2:$F$64, 6, FALSE), 27500)</f>
        <v>27500</v>
      </c>
      <c r="P388" s="4">
        <v>16.8</v>
      </c>
      <c r="Q388" s="3">
        <f t="shared" si="19"/>
        <v>577500</v>
      </c>
      <c r="R388" s="3">
        <f>ROUND((F388/3600)*IFERROR(VLOOKUP(I388, '[1]02_DM_NHAN_SU_MAY'!$M$2:$Q$25, 5, FALSE), 39375), 0)</f>
        <v>472500</v>
      </c>
      <c r="S388" s="3">
        <v>0</v>
      </c>
      <c r="T388" s="3">
        <f t="shared" si="20"/>
        <v>1050000</v>
      </c>
    </row>
    <row r="389" spans="1:20" x14ac:dyDescent="0.25">
      <c r="A389" s="5" t="s">
        <v>910</v>
      </c>
      <c r="B389" s="5">
        <v>388</v>
      </c>
      <c r="C389" s="5" t="s">
        <v>68</v>
      </c>
      <c r="D389" s="5" t="s">
        <v>904</v>
      </c>
      <c r="E389" s="5" t="s">
        <v>911</v>
      </c>
      <c r="F389" s="6">
        <v>5400</v>
      </c>
      <c r="G389" s="7">
        <f t="shared" si="18"/>
        <v>0.1875</v>
      </c>
      <c r="H389" s="5">
        <v>4</v>
      </c>
      <c r="I389" s="5" t="s">
        <v>71</v>
      </c>
      <c r="J389" s="5" t="s">
        <v>72</v>
      </c>
      <c r="K389" s="5" t="s">
        <v>73</v>
      </c>
      <c r="L389" s="5" t="s">
        <v>74</v>
      </c>
      <c r="M389" s="5" t="s">
        <v>75</v>
      </c>
      <c r="N389" s="5" t="s">
        <v>76</v>
      </c>
      <c r="O389" s="6">
        <f>IFERROR(VLOOKUP(M389, '[1]08_CSDL_DAO_CU_VAT_LIEU'!$A$2:$F$64, 6, FALSE), 27500)</f>
        <v>42500</v>
      </c>
      <c r="P389" s="7">
        <v>2.1</v>
      </c>
      <c r="Q389" s="6">
        <f t="shared" si="19"/>
        <v>72188</v>
      </c>
      <c r="R389" s="6">
        <f>ROUND((F389/3600)*IFERROR(VLOOKUP(I389, '[1]02_DM_NHAN_SU_MAY'!$M$2:$Q$25, 5, FALSE), 39375), 0)</f>
        <v>40313</v>
      </c>
      <c r="S389" s="6">
        <v>0</v>
      </c>
      <c r="T389" s="6">
        <f t="shared" si="20"/>
        <v>112501</v>
      </c>
    </row>
    <row r="390" spans="1:20" x14ac:dyDescent="0.25">
      <c r="A390" s="2" t="s">
        <v>912</v>
      </c>
      <c r="B390" s="2">
        <v>389</v>
      </c>
      <c r="C390" s="2" t="s">
        <v>68</v>
      </c>
      <c r="D390" s="2" t="s">
        <v>904</v>
      </c>
      <c r="E390" s="2" t="s">
        <v>913</v>
      </c>
      <c r="F390" s="3">
        <v>3600</v>
      </c>
      <c r="G390" s="4">
        <f t="shared" si="18"/>
        <v>0.125</v>
      </c>
      <c r="H390" s="2">
        <v>5</v>
      </c>
      <c r="I390" s="2" t="s">
        <v>90</v>
      </c>
      <c r="J390" s="2" t="s">
        <v>72</v>
      </c>
      <c r="K390" s="2" t="s">
        <v>73</v>
      </c>
      <c r="L390" s="2" t="s">
        <v>91</v>
      </c>
      <c r="M390" s="2" t="s">
        <v>92</v>
      </c>
      <c r="N390" s="2" t="s">
        <v>93</v>
      </c>
      <c r="O390" s="3">
        <f>IFERROR(VLOOKUP(M390, '[1]08_CSDL_DAO_CU_VAT_LIEU'!$A$2:$F$64, 6, FALSE), 27500)</f>
        <v>74000</v>
      </c>
      <c r="P390" s="4">
        <v>1.4</v>
      </c>
      <c r="Q390" s="3">
        <f t="shared" si="19"/>
        <v>48125</v>
      </c>
      <c r="R390" s="3">
        <f>ROUND((F390/3600)*IFERROR(VLOOKUP(I390, '[1]02_DM_NHAN_SU_MAY'!$M$2:$Q$25, 5, FALSE), 39375), 0)</f>
        <v>26875</v>
      </c>
      <c r="S390" s="3">
        <v>0</v>
      </c>
      <c r="T390" s="3">
        <f t="shared" si="20"/>
        <v>75000</v>
      </c>
    </row>
    <row r="391" spans="1:20" x14ac:dyDescent="0.25">
      <c r="A391" s="5" t="s">
        <v>914</v>
      </c>
      <c r="B391" s="5">
        <v>390</v>
      </c>
      <c r="C391" s="5" t="s">
        <v>68</v>
      </c>
      <c r="D391" s="5" t="s">
        <v>904</v>
      </c>
      <c r="E391" s="5" t="s">
        <v>915</v>
      </c>
      <c r="F391" s="6">
        <v>3600</v>
      </c>
      <c r="G391" s="7">
        <f t="shared" si="18"/>
        <v>0.125</v>
      </c>
      <c r="H391" s="5">
        <v>6</v>
      </c>
      <c r="I391" s="5" t="s">
        <v>90</v>
      </c>
      <c r="J391" s="5" t="s">
        <v>72</v>
      </c>
      <c r="K391" s="5" t="s">
        <v>73</v>
      </c>
      <c r="L391" s="5" t="s">
        <v>91</v>
      </c>
      <c r="M391" s="5" t="s">
        <v>92</v>
      </c>
      <c r="N391" s="5" t="s">
        <v>93</v>
      </c>
      <c r="O391" s="6">
        <f>IFERROR(VLOOKUP(M391, '[1]08_CSDL_DAO_CU_VAT_LIEU'!$A$2:$F$64, 6, FALSE), 27500)</f>
        <v>74000</v>
      </c>
      <c r="P391" s="7">
        <v>1.4</v>
      </c>
      <c r="Q391" s="6">
        <f t="shared" si="19"/>
        <v>48125</v>
      </c>
      <c r="R391" s="6">
        <f>ROUND((F391/3600)*IFERROR(VLOOKUP(I391, '[1]02_DM_NHAN_SU_MAY'!$M$2:$Q$25, 5, FALSE), 39375), 0)</f>
        <v>26875</v>
      </c>
      <c r="S391" s="6">
        <v>0</v>
      </c>
      <c r="T391" s="6">
        <f t="shared" si="20"/>
        <v>75000</v>
      </c>
    </row>
    <row r="392" spans="1:20" x14ac:dyDescent="0.25">
      <c r="A392" s="2" t="s">
        <v>916</v>
      </c>
      <c r="B392" s="2">
        <v>391</v>
      </c>
      <c r="C392" s="2" t="s">
        <v>68</v>
      </c>
      <c r="D392" s="2" t="s">
        <v>904</v>
      </c>
      <c r="E392" s="2" t="s">
        <v>917</v>
      </c>
      <c r="F392" s="3">
        <v>3600</v>
      </c>
      <c r="G392" s="4">
        <f t="shared" si="18"/>
        <v>0.125</v>
      </c>
      <c r="H392" s="2" t="s">
        <v>34</v>
      </c>
      <c r="I392" s="2" t="s">
        <v>90</v>
      </c>
      <c r="J392" s="2" t="s">
        <v>72</v>
      </c>
      <c r="K392" s="2" t="s">
        <v>73</v>
      </c>
      <c r="L392" s="2" t="s">
        <v>91</v>
      </c>
      <c r="M392" s="2" t="s">
        <v>92</v>
      </c>
      <c r="N392" s="2" t="s">
        <v>93</v>
      </c>
      <c r="O392" s="3">
        <f>IFERROR(VLOOKUP(M392, '[1]08_CSDL_DAO_CU_VAT_LIEU'!$A$2:$F$64, 6, FALSE), 27500)</f>
        <v>74000</v>
      </c>
      <c r="P392" s="4">
        <v>1.4</v>
      </c>
      <c r="Q392" s="3">
        <f t="shared" si="19"/>
        <v>48125</v>
      </c>
      <c r="R392" s="3">
        <f>ROUND((F392/3600)*IFERROR(VLOOKUP(I392, '[1]02_DM_NHAN_SU_MAY'!$M$2:$Q$25, 5, FALSE), 39375), 0)</f>
        <v>26875</v>
      </c>
      <c r="S392" s="3">
        <v>0</v>
      </c>
      <c r="T392" s="3">
        <f t="shared" si="20"/>
        <v>75000</v>
      </c>
    </row>
    <row r="393" spans="1:20" x14ac:dyDescent="0.25">
      <c r="A393" s="5" t="s">
        <v>918</v>
      </c>
      <c r="B393" s="5">
        <v>392</v>
      </c>
      <c r="C393" s="5" t="s">
        <v>68</v>
      </c>
      <c r="D393" s="5" t="s">
        <v>919</v>
      </c>
      <c r="E393" s="5" t="s">
        <v>920</v>
      </c>
      <c r="F393" s="6">
        <v>14400</v>
      </c>
      <c r="G393" s="7">
        <f t="shared" si="18"/>
        <v>0.5</v>
      </c>
      <c r="H393" s="5">
        <v>1</v>
      </c>
      <c r="I393" s="5" t="s">
        <v>24</v>
      </c>
      <c r="J393" s="5" t="s">
        <v>72</v>
      </c>
      <c r="K393" s="5" t="s">
        <v>73</v>
      </c>
      <c r="L393" s="5" t="s">
        <v>508</v>
      </c>
      <c r="M393" s="5" t="s">
        <v>28</v>
      </c>
      <c r="N393" s="5" t="s">
        <v>29</v>
      </c>
      <c r="O393" s="6">
        <f>IFERROR(VLOOKUP(M393, '[1]08_CSDL_DAO_CU_VAT_LIEU'!$A$2:$F$64, 6, FALSE), 27500)</f>
        <v>27500</v>
      </c>
      <c r="P393" s="7">
        <v>5.6</v>
      </c>
      <c r="Q393" s="6">
        <f t="shared" si="19"/>
        <v>192500</v>
      </c>
      <c r="R393" s="6">
        <f>ROUND((F393/3600)*IFERROR(VLOOKUP(I393, '[1]02_DM_NHAN_SU_MAY'!$M$2:$Q$25, 5, FALSE), 39375), 0)</f>
        <v>157500</v>
      </c>
      <c r="S393" s="6">
        <v>0</v>
      </c>
      <c r="T393" s="6">
        <f t="shared" si="20"/>
        <v>350000</v>
      </c>
    </row>
    <row r="394" spans="1:20" x14ac:dyDescent="0.25">
      <c r="A394" s="2" t="s">
        <v>921</v>
      </c>
      <c r="B394" s="2">
        <v>393</v>
      </c>
      <c r="C394" s="2" t="s">
        <v>68</v>
      </c>
      <c r="D394" s="2" t="s">
        <v>919</v>
      </c>
      <c r="E394" s="2" t="s">
        <v>922</v>
      </c>
      <c r="F394" s="3">
        <v>7200</v>
      </c>
      <c r="G394" s="4">
        <f t="shared" si="18"/>
        <v>0.25</v>
      </c>
      <c r="H394" s="2">
        <v>2</v>
      </c>
      <c r="I394" s="2" t="s">
        <v>24</v>
      </c>
      <c r="J394" s="2" t="s">
        <v>72</v>
      </c>
      <c r="K394" s="2" t="s">
        <v>73</v>
      </c>
      <c r="L394" s="2" t="s">
        <v>508</v>
      </c>
      <c r="M394" s="2" t="s">
        <v>28</v>
      </c>
      <c r="N394" s="2" t="s">
        <v>29</v>
      </c>
      <c r="O394" s="3">
        <f>IFERROR(VLOOKUP(M394, '[1]08_CSDL_DAO_CU_VAT_LIEU'!$A$2:$F$64, 6, FALSE), 27500)</f>
        <v>27500</v>
      </c>
      <c r="P394" s="4">
        <v>2.8</v>
      </c>
      <c r="Q394" s="3">
        <f t="shared" si="19"/>
        <v>96250</v>
      </c>
      <c r="R394" s="3">
        <f>ROUND((F394/3600)*IFERROR(VLOOKUP(I394, '[1]02_DM_NHAN_SU_MAY'!$M$2:$Q$25, 5, FALSE), 39375), 0)</f>
        <v>78750</v>
      </c>
      <c r="S394" s="3">
        <v>0</v>
      </c>
      <c r="T394" s="3">
        <f t="shared" si="20"/>
        <v>175000</v>
      </c>
    </row>
    <row r="395" spans="1:20" x14ac:dyDescent="0.25">
      <c r="A395" s="5" t="s">
        <v>923</v>
      </c>
      <c r="B395" s="5">
        <v>394</v>
      </c>
      <c r="C395" s="5" t="s">
        <v>68</v>
      </c>
      <c r="D395" s="5" t="s">
        <v>919</v>
      </c>
      <c r="E395" s="5" t="s">
        <v>924</v>
      </c>
      <c r="F395" s="6">
        <v>3600</v>
      </c>
      <c r="G395" s="7">
        <f t="shared" si="18"/>
        <v>0.125</v>
      </c>
      <c r="H395" s="5" t="s">
        <v>34</v>
      </c>
      <c r="I395" s="5" t="s">
        <v>90</v>
      </c>
      <c r="J395" s="5" t="s">
        <v>72</v>
      </c>
      <c r="K395" s="5" t="s">
        <v>73</v>
      </c>
      <c r="L395" s="5" t="s">
        <v>91</v>
      </c>
      <c r="M395" s="5" t="s">
        <v>92</v>
      </c>
      <c r="N395" s="5" t="s">
        <v>93</v>
      </c>
      <c r="O395" s="6">
        <f>IFERROR(VLOOKUP(M395, '[1]08_CSDL_DAO_CU_VAT_LIEU'!$A$2:$F$64, 6, FALSE), 27500)</f>
        <v>74000</v>
      </c>
      <c r="P395" s="7">
        <v>1.4</v>
      </c>
      <c r="Q395" s="6">
        <f t="shared" si="19"/>
        <v>48125</v>
      </c>
      <c r="R395" s="6">
        <f>ROUND((F395/3600)*IFERROR(VLOOKUP(I395, '[1]02_DM_NHAN_SU_MAY'!$M$2:$Q$25, 5, FALSE), 39375), 0)</f>
        <v>26875</v>
      </c>
      <c r="S395" s="6">
        <v>0</v>
      </c>
      <c r="T395" s="6">
        <f t="shared" si="20"/>
        <v>75000</v>
      </c>
    </row>
    <row r="396" spans="1:20" x14ac:dyDescent="0.25">
      <c r="A396" s="2" t="s">
        <v>925</v>
      </c>
      <c r="B396" s="2">
        <v>395</v>
      </c>
      <c r="C396" s="2" t="s">
        <v>68</v>
      </c>
      <c r="D396" s="2" t="s">
        <v>926</v>
      </c>
      <c r="E396" s="2" t="s">
        <v>927</v>
      </c>
      <c r="F396" s="3">
        <v>14400</v>
      </c>
      <c r="G396" s="4">
        <f t="shared" si="18"/>
        <v>0.5</v>
      </c>
      <c r="H396" s="2">
        <v>1</v>
      </c>
      <c r="I396" s="2" t="s">
        <v>24</v>
      </c>
      <c r="J396" s="2" t="s">
        <v>72</v>
      </c>
      <c r="K396" s="2" t="s">
        <v>73</v>
      </c>
      <c r="L396" s="2" t="s">
        <v>508</v>
      </c>
      <c r="M396" s="2" t="s">
        <v>28</v>
      </c>
      <c r="N396" s="2" t="s">
        <v>29</v>
      </c>
      <c r="O396" s="3">
        <f>IFERROR(VLOOKUP(M396, '[1]08_CSDL_DAO_CU_VAT_LIEU'!$A$2:$F$64, 6, FALSE), 27500)</f>
        <v>27500</v>
      </c>
      <c r="P396" s="4">
        <v>5.6</v>
      </c>
      <c r="Q396" s="3">
        <f t="shared" si="19"/>
        <v>192500</v>
      </c>
      <c r="R396" s="3">
        <f>ROUND((F396/3600)*IFERROR(VLOOKUP(I396, '[1]02_DM_NHAN_SU_MAY'!$M$2:$Q$25, 5, FALSE), 39375), 0)</f>
        <v>157500</v>
      </c>
      <c r="S396" s="3">
        <v>0</v>
      </c>
      <c r="T396" s="3">
        <f t="shared" si="20"/>
        <v>350000</v>
      </c>
    </row>
    <row r="397" spans="1:20" x14ac:dyDescent="0.25">
      <c r="A397" s="5" t="s">
        <v>928</v>
      </c>
      <c r="B397" s="5">
        <v>396</v>
      </c>
      <c r="C397" s="5" t="s">
        <v>68</v>
      </c>
      <c r="D397" s="5" t="s">
        <v>926</v>
      </c>
      <c r="E397" s="5" t="s">
        <v>929</v>
      </c>
      <c r="F397" s="6">
        <v>7200</v>
      </c>
      <c r="G397" s="7">
        <f t="shared" si="18"/>
        <v>0.25</v>
      </c>
      <c r="H397" s="5">
        <v>2</v>
      </c>
      <c r="I397" s="5" t="s">
        <v>24</v>
      </c>
      <c r="J397" s="5" t="s">
        <v>72</v>
      </c>
      <c r="K397" s="5" t="s">
        <v>73</v>
      </c>
      <c r="L397" s="5" t="s">
        <v>508</v>
      </c>
      <c r="M397" s="5" t="s">
        <v>28</v>
      </c>
      <c r="N397" s="5" t="s">
        <v>29</v>
      </c>
      <c r="O397" s="6">
        <f>IFERROR(VLOOKUP(M397, '[1]08_CSDL_DAO_CU_VAT_LIEU'!$A$2:$F$64, 6, FALSE), 27500)</f>
        <v>27500</v>
      </c>
      <c r="P397" s="7">
        <v>2.8</v>
      </c>
      <c r="Q397" s="6">
        <f t="shared" si="19"/>
        <v>96250</v>
      </c>
      <c r="R397" s="6">
        <f>ROUND((F397/3600)*IFERROR(VLOOKUP(I397, '[1]02_DM_NHAN_SU_MAY'!$M$2:$Q$25, 5, FALSE), 39375), 0)</f>
        <v>78750</v>
      </c>
      <c r="S397" s="6">
        <v>0</v>
      </c>
      <c r="T397" s="6">
        <f t="shared" si="20"/>
        <v>175000</v>
      </c>
    </row>
    <row r="398" spans="1:20" x14ac:dyDescent="0.25">
      <c r="A398" s="2" t="s">
        <v>930</v>
      </c>
      <c r="B398" s="2">
        <v>397</v>
      </c>
      <c r="C398" s="2" t="s">
        <v>68</v>
      </c>
      <c r="D398" s="2" t="s">
        <v>926</v>
      </c>
      <c r="E398" s="2" t="s">
        <v>931</v>
      </c>
      <c r="F398" s="3">
        <v>3600</v>
      </c>
      <c r="G398" s="4">
        <f t="shared" si="18"/>
        <v>0.125</v>
      </c>
      <c r="H398" s="2" t="s">
        <v>34</v>
      </c>
      <c r="I398" s="2" t="s">
        <v>90</v>
      </c>
      <c r="J398" s="2" t="s">
        <v>72</v>
      </c>
      <c r="K398" s="2" t="s">
        <v>73</v>
      </c>
      <c r="L398" s="2" t="s">
        <v>91</v>
      </c>
      <c r="M398" s="2" t="s">
        <v>92</v>
      </c>
      <c r="N398" s="2" t="s">
        <v>93</v>
      </c>
      <c r="O398" s="3">
        <f>IFERROR(VLOOKUP(M398, '[1]08_CSDL_DAO_CU_VAT_LIEU'!$A$2:$F$64, 6, FALSE), 27500)</f>
        <v>74000</v>
      </c>
      <c r="P398" s="4">
        <v>1.4</v>
      </c>
      <c r="Q398" s="3">
        <f t="shared" si="19"/>
        <v>48125</v>
      </c>
      <c r="R398" s="3">
        <f>ROUND((F398/3600)*IFERROR(VLOOKUP(I398, '[1]02_DM_NHAN_SU_MAY'!$M$2:$Q$25, 5, FALSE), 39375), 0)</f>
        <v>26875</v>
      </c>
      <c r="S398" s="3">
        <v>0</v>
      </c>
      <c r="T398" s="3">
        <f t="shared" si="20"/>
        <v>75000</v>
      </c>
    </row>
    <row r="399" spans="1:20" x14ac:dyDescent="0.25">
      <c r="A399" s="5" t="s">
        <v>932</v>
      </c>
      <c r="B399" s="5">
        <v>398</v>
      </c>
      <c r="C399" s="5" t="s">
        <v>68</v>
      </c>
      <c r="D399" s="5" t="s">
        <v>933</v>
      </c>
      <c r="E399" s="5" t="s">
        <v>522</v>
      </c>
      <c r="F399" s="6">
        <v>14400</v>
      </c>
      <c r="G399" s="7">
        <f t="shared" si="18"/>
        <v>0.5</v>
      </c>
      <c r="H399" s="5">
        <v>1</v>
      </c>
      <c r="I399" s="5" t="s">
        <v>24</v>
      </c>
      <c r="J399" s="5" t="s">
        <v>72</v>
      </c>
      <c r="K399" s="5" t="s">
        <v>73</v>
      </c>
      <c r="L399" s="5" t="s">
        <v>508</v>
      </c>
      <c r="M399" s="5" t="s">
        <v>28</v>
      </c>
      <c r="N399" s="5" t="s">
        <v>29</v>
      </c>
      <c r="O399" s="6">
        <f>IFERROR(VLOOKUP(M399, '[1]08_CSDL_DAO_CU_VAT_LIEU'!$A$2:$F$64, 6, FALSE), 27500)</f>
        <v>27500</v>
      </c>
      <c r="P399" s="7">
        <v>5.6</v>
      </c>
      <c r="Q399" s="6">
        <f t="shared" si="19"/>
        <v>192500</v>
      </c>
      <c r="R399" s="6">
        <f>ROUND((F399/3600)*IFERROR(VLOOKUP(I399, '[1]02_DM_NHAN_SU_MAY'!$M$2:$Q$25, 5, FALSE), 39375), 0)</f>
        <v>157500</v>
      </c>
      <c r="S399" s="6">
        <v>0</v>
      </c>
      <c r="T399" s="6">
        <f t="shared" si="20"/>
        <v>350000</v>
      </c>
    </row>
    <row r="400" spans="1:20" x14ac:dyDescent="0.25">
      <c r="A400" s="2" t="s">
        <v>934</v>
      </c>
      <c r="B400" s="2">
        <v>399</v>
      </c>
      <c r="C400" s="2" t="s">
        <v>68</v>
      </c>
      <c r="D400" s="2" t="s">
        <v>933</v>
      </c>
      <c r="E400" s="2" t="s">
        <v>935</v>
      </c>
      <c r="F400" s="3">
        <v>14400</v>
      </c>
      <c r="G400" s="4">
        <f t="shared" si="18"/>
        <v>0.5</v>
      </c>
      <c r="H400" s="2">
        <v>2</v>
      </c>
      <c r="I400" s="2" t="s">
        <v>24</v>
      </c>
      <c r="J400" s="2" t="s">
        <v>72</v>
      </c>
      <c r="K400" s="2" t="s">
        <v>73</v>
      </c>
      <c r="L400" s="2" t="s">
        <v>508</v>
      </c>
      <c r="M400" s="2" t="s">
        <v>28</v>
      </c>
      <c r="N400" s="2" t="s">
        <v>29</v>
      </c>
      <c r="O400" s="3">
        <f>IFERROR(VLOOKUP(M400, '[1]08_CSDL_DAO_CU_VAT_LIEU'!$A$2:$F$64, 6, FALSE), 27500)</f>
        <v>27500</v>
      </c>
      <c r="P400" s="4">
        <v>5.6</v>
      </c>
      <c r="Q400" s="3">
        <f t="shared" si="19"/>
        <v>192500</v>
      </c>
      <c r="R400" s="3">
        <f>ROUND((F400/3600)*IFERROR(VLOOKUP(I400, '[1]02_DM_NHAN_SU_MAY'!$M$2:$Q$25, 5, FALSE), 39375), 0)</f>
        <v>157500</v>
      </c>
      <c r="S400" s="3">
        <v>0</v>
      </c>
      <c r="T400" s="3">
        <f t="shared" si="20"/>
        <v>350000</v>
      </c>
    </row>
    <row r="401" spans="1:20" x14ac:dyDescent="0.25">
      <c r="A401" s="5" t="s">
        <v>936</v>
      </c>
      <c r="B401" s="5">
        <v>400</v>
      </c>
      <c r="C401" s="5" t="s">
        <v>68</v>
      </c>
      <c r="D401" s="5" t="s">
        <v>933</v>
      </c>
      <c r="E401" s="5" t="s">
        <v>937</v>
      </c>
      <c r="F401" s="6">
        <v>3600</v>
      </c>
      <c r="G401" s="7">
        <f t="shared" si="18"/>
        <v>0.125</v>
      </c>
      <c r="H401" s="5" t="s">
        <v>34</v>
      </c>
      <c r="I401" s="5" t="s">
        <v>90</v>
      </c>
      <c r="J401" s="5" t="s">
        <v>72</v>
      </c>
      <c r="K401" s="5" t="s">
        <v>73</v>
      </c>
      <c r="L401" s="5" t="s">
        <v>91</v>
      </c>
      <c r="M401" s="5" t="s">
        <v>92</v>
      </c>
      <c r="N401" s="5" t="s">
        <v>93</v>
      </c>
      <c r="O401" s="6">
        <f>IFERROR(VLOOKUP(M401, '[1]08_CSDL_DAO_CU_VAT_LIEU'!$A$2:$F$64, 6, FALSE), 27500)</f>
        <v>74000</v>
      </c>
      <c r="P401" s="7">
        <v>1.4</v>
      </c>
      <c r="Q401" s="6">
        <f t="shared" si="19"/>
        <v>48125</v>
      </c>
      <c r="R401" s="6">
        <f>ROUND((F401/3600)*IFERROR(VLOOKUP(I401, '[1]02_DM_NHAN_SU_MAY'!$M$2:$Q$25, 5, FALSE), 39375), 0)</f>
        <v>26875</v>
      </c>
      <c r="S401" s="6">
        <v>0</v>
      </c>
      <c r="T401" s="6">
        <f t="shared" si="20"/>
        <v>75000</v>
      </c>
    </row>
    <row r="402" spans="1:20" x14ac:dyDescent="0.25">
      <c r="A402" s="2" t="s">
        <v>938</v>
      </c>
      <c r="B402" s="2">
        <v>401</v>
      </c>
      <c r="C402" s="2" t="s">
        <v>68</v>
      </c>
      <c r="D402" s="2" t="s">
        <v>939</v>
      </c>
      <c r="E402" s="2" t="s">
        <v>940</v>
      </c>
      <c r="F402" s="3">
        <v>1800</v>
      </c>
      <c r="G402" s="4">
        <f t="shared" si="18"/>
        <v>6.25E-2</v>
      </c>
      <c r="H402" s="2" t="s">
        <v>34</v>
      </c>
      <c r="I402" s="2" t="s">
        <v>90</v>
      </c>
      <c r="J402" s="2" t="s">
        <v>238</v>
      </c>
      <c r="K402" s="2" t="s">
        <v>239</v>
      </c>
      <c r="L402" s="2" t="s">
        <v>401</v>
      </c>
      <c r="M402" s="2" t="s">
        <v>92</v>
      </c>
      <c r="N402" s="2" t="s">
        <v>93</v>
      </c>
      <c r="O402" s="3">
        <f>IFERROR(VLOOKUP(M402, '[1]08_CSDL_DAO_CU_VAT_LIEU'!$A$2:$F$64, 6, FALSE), 27500)</f>
        <v>74000</v>
      </c>
      <c r="P402" s="4">
        <v>0.7</v>
      </c>
      <c r="Q402" s="3">
        <f t="shared" si="19"/>
        <v>24063</v>
      </c>
      <c r="R402" s="3">
        <f>ROUND((F402/3600)*IFERROR(VLOOKUP(I402, '[1]02_DM_NHAN_SU_MAY'!$M$2:$Q$25, 5, FALSE), 39375), 0)</f>
        <v>13438</v>
      </c>
      <c r="S402" s="3">
        <v>0</v>
      </c>
      <c r="T402" s="3">
        <f t="shared" si="20"/>
        <v>37501</v>
      </c>
    </row>
    <row r="403" spans="1:20" x14ac:dyDescent="0.25">
      <c r="A403" s="5" t="s">
        <v>941</v>
      </c>
      <c r="B403" s="5">
        <v>402</v>
      </c>
      <c r="C403" s="5" t="s">
        <v>68</v>
      </c>
      <c r="D403" s="5" t="s">
        <v>942</v>
      </c>
      <c r="E403" s="5" t="s">
        <v>943</v>
      </c>
      <c r="F403" s="6">
        <v>7200</v>
      </c>
      <c r="G403" s="7">
        <f t="shared" si="18"/>
        <v>0.25</v>
      </c>
      <c r="H403" s="5">
        <v>1</v>
      </c>
      <c r="I403" s="5" t="s">
        <v>71</v>
      </c>
      <c r="J403" s="5" t="s">
        <v>72</v>
      </c>
      <c r="K403" s="5" t="s">
        <v>73</v>
      </c>
      <c r="L403" s="5" t="s">
        <v>74</v>
      </c>
      <c r="M403" s="5" t="s">
        <v>75</v>
      </c>
      <c r="N403" s="5" t="s">
        <v>76</v>
      </c>
      <c r="O403" s="6">
        <f>IFERROR(VLOOKUP(M403, '[1]08_CSDL_DAO_CU_VAT_LIEU'!$A$2:$F$64, 6, FALSE), 27500)</f>
        <v>42500</v>
      </c>
      <c r="P403" s="7">
        <v>2.8</v>
      </c>
      <c r="Q403" s="6">
        <f t="shared" si="19"/>
        <v>96250</v>
      </c>
      <c r="R403" s="6">
        <f>ROUND((F403/3600)*IFERROR(VLOOKUP(I403, '[1]02_DM_NHAN_SU_MAY'!$M$2:$Q$25, 5, FALSE), 39375), 0)</f>
        <v>53750</v>
      </c>
      <c r="S403" s="6">
        <v>0</v>
      </c>
      <c r="T403" s="6">
        <f t="shared" si="20"/>
        <v>150000</v>
      </c>
    </row>
    <row r="404" spans="1:20" x14ac:dyDescent="0.25">
      <c r="A404" s="2" t="s">
        <v>944</v>
      </c>
      <c r="B404" s="2">
        <v>403</v>
      </c>
      <c r="C404" s="2" t="s">
        <v>68</v>
      </c>
      <c r="D404" s="2" t="s">
        <v>942</v>
      </c>
      <c r="E404" s="2" t="s">
        <v>945</v>
      </c>
      <c r="F404" s="3">
        <v>7200</v>
      </c>
      <c r="G404" s="4">
        <f t="shared" si="18"/>
        <v>0.25</v>
      </c>
      <c r="H404" s="2">
        <v>2</v>
      </c>
      <c r="I404" s="2" t="s">
        <v>71</v>
      </c>
      <c r="J404" s="2" t="s">
        <v>72</v>
      </c>
      <c r="K404" s="2" t="s">
        <v>73</v>
      </c>
      <c r="L404" s="2" t="s">
        <v>74</v>
      </c>
      <c r="M404" s="2" t="s">
        <v>75</v>
      </c>
      <c r="N404" s="2" t="s">
        <v>76</v>
      </c>
      <c r="O404" s="3">
        <f>IFERROR(VLOOKUP(M404, '[1]08_CSDL_DAO_CU_VAT_LIEU'!$A$2:$F$64, 6, FALSE), 27500)</f>
        <v>42500</v>
      </c>
      <c r="P404" s="4">
        <v>2.8</v>
      </c>
      <c r="Q404" s="3">
        <f t="shared" si="19"/>
        <v>96250</v>
      </c>
      <c r="R404" s="3">
        <f>ROUND((F404/3600)*IFERROR(VLOOKUP(I404, '[1]02_DM_NHAN_SU_MAY'!$M$2:$Q$25, 5, FALSE), 39375), 0)</f>
        <v>53750</v>
      </c>
      <c r="S404" s="3">
        <v>0</v>
      </c>
      <c r="T404" s="3">
        <f t="shared" si="20"/>
        <v>150000</v>
      </c>
    </row>
    <row r="405" spans="1:20" x14ac:dyDescent="0.25">
      <c r="A405" s="5" t="s">
        <v>946</v>
      </c>
      <c r="B405" s="5">
        <v>404</v>
      </c>
      <c r="C405" s="5" t="s">
        <v>68</v>
      </c>
      <c r="D405" s="5" t="s">
        <v>942</v>
      </c>
      <c r="E405" s="5" t="s">
        <v>947</v>
      </c>
      <c r="F405" s="6">
        <v>14400</v>
      </c>
      <c r="G405" s="7">
        <f t="shared" si="18"/>
        <v>0.5</v>
      </c>
      <c r="H405" s="5">
        <v>3</v>
      </c>
      <c r="I405" s="5" t="s">
        <v>90</v>
      </c>
      <c r="J405" s="5" t="s">
        <v>72</v>
      </c>
      <c r="K405" s="5" t="s">
        <v>73</v>
      </c>
      <c r="L405" s="5" t="s">
        <v>91</v>
      </c>
      <c r="M405" s="5" t="s">
        <v>92</v>
      </c>
      <c r="N405" s="5" t="s">
        <v>93</v>
      </c>
      <c r="O405" s="6">
        <f>IFERROR(VLOOKUP(M405, '[1]08_CSDL_DAO_CU_VAT_LIEU'!$A$2:$F$64, 6, FALSE), 27500)</f>
        <v>74000</v>
      </c>
      <c r="P405" s="7">
        <v>5.6</v>
      </c>
      <c r="Q405" s="6">
        <f t="shared" si="19"/>
        <v>192500</v>
      </c>
      <c r="R405" s="6">
        <f>ROUND((F405/3600)*IFERROR(VLOOKUP(I405, '[1]02_DM_NHAN_SU_MAY'!$M$2:$Q$25, 5, FALSE), 39375), 0)</f>
        <v>107500</v>
      </c>
      <c r="S405" s="6">
        <v>0</v>
      </c>
      <c r="T405" s="6">
        <f t="shared" si="20"/>
        <v>300000</v>
      </c>
    </row>
    <row r="406" spans="1:20" x14ac:dyDescent="0.25">
      <c r="A406" s="2" t="s">
        <v>948</v>
      </c>
      <c r="B406" s="2">
        <v>405</v>
      </c>
      <c r="C406" s="2" t="s">
        <v>68</v>
      </c>
      <c r="D406" s="2" t="s">
        <v>942</v>
      </c>
      <c r="E406" s="2" t="s">
        <v>949</v>
      </c>
      <c r="F406" s="3">
        <v>7200</v>
      </c>
      <c r="G406" s="4">
        <f t="shared" si="18"/>
        <v>0.25</v>
      </c>
      <c r="H406" s="2">
        <v>4</v>
      </c>
      <c r="I406" s="2" t="s">
        <v>90</v>
      </c>
      <c r="J406" s="2" t="s">
        <v>72</v>
      </c>
      <c r="K406" s="2" t="s">
        <v>73</v>
      </c>
      <c r="L406" s="2" t="s">
        <v>91</v>
      </c>
      <c r="M406" s="2" t="s">
        <v>92</v>
      </c>
      <c r="N406" s="2" t="s">
        <v>93</v>
      </c>
      <c r="O406" s="3">
        <f>IFERROR(VLOOKUP(M406, '[1]08_CSDL_DAO_CU_VAT_LIEU'!$A$2:$F$64, 6, FALSE), 27500)</f>
        <v>74000</v>
      </c>
      <c r="P406" s="4">
        <v>2.8</v>
      </c>
      <c r="Q406" s="3">
        <f t="shared" si="19"/>
        <v>96250</v>
      </c>
      <c r="R406" s="3">
        <f>ROUND((F406/3600)*IFERROR(VLOOKUP(I406, '[1]02_DM_NHAN_SU_MAY'!$M$2:$Q$25, 5, FALSE), 39375), 0)</f>
        <v>53750</v>
      </c>
      <c r="S406" s="3">
        <v>0</v>
      </c>
      <c r="T406" s="3">
        <f t="shared" si="20"/>
        <v>150000</v>
      </c>
    </row>
    <row r="407" spans="1:20" x14ac:dyDescent="0.25">
      <c r="A407" s="5" t="s">
        <v>950</v>
      </c>
      <c r="B407" s="5">
        <v>406</v>
      </c>
      <c r="C407" s="5" t="s">
        <v>68</v>
      </c>
      <c r="D407" s="5" t="s">
        <v>942</v>
      </c>
      <c r="E407" s="5" t="s">
        <v>951</v>
      </c>
      <c r="F407" s="6">
        <v>7200</v>
      </c>
      <c r="G407" s="7">
        <f t="shared" si="18"/>
        <v>0.25</v>
      </c>
      <c r="H407" s="5" t="s">
        <v>34</v>
      </c>
      <c r="I407" s="5" t="s">
        <v>90</v>
      </c>
      <c r="J407" s="5" t="s">
        <v>72</v>
      </c>
      <c r="K407" s="5" t="s">
        <v>73</v>
      </c>
      <c r="L407" s="5" t="s">
        <v>91</v>
      </c>
      <c r="M407" s="5" t="s">
        <v>92</v>
      </c>
      <c r="N407" s="5" t="s">
        <v>93</v>
      </c>
      <c r="O407" s="6">
        <f>IFERROR(VLOOKUP(M407, '[1]08_CSDL_DAO_CU_VAT_LIEU'!$A$2:$F$64, 6, FALSE), 27500)</f>
        <v>74000</v>
      </c>
      <c r="P407" s="7">
        <v>2.8</v>
      </c>
      <c r="Q407" s="6">
        <f t="shared" si="19"/>
        <v>96250</v>
      </c>
      <c r="R407" s="6">
        <f>ROUND((F407/3600)*IFERROR(VLOOKUP(I407, '[1]02_DM_NHAN_SU_MAY'!$M$2:$Q$25, 5, FALSE), 39375), 0)</f>
        <v>53750</v>
      </c>
      <c r="S407" s="6">
        <v>0</v>
      </c>
      <c r="T407" s="6">
        <f t="shared" si="20"/>
        <v>150000</v>
      </c>
    </row>
    <row r="408" spans="1:20" x14ac:dyDescent="0.25">
      <c r="A408" s="2" t="s">
        <v>952</v>
      </c>
      <c r="B408" s="2">
        <v>407</v>
      </c>
      <c r="C408" s="2" t="s">
        <v>52</v>
      </c>
      <c r="D408" s="2" t="s">
        <v>953</v>
      </c>
      <c r="E408" s="2" t="s">
        <v>954</v>
      </c>
      <c r="F408" s="3">
        <v>7200</v>
      </c>
      <c r="G408" s="4">
        <f t="shared" si="18"/>
        <v>0.25</v>
      </c>
      <c r="H408" s="2">
        <v>1</v>
      </c>
      <c r="I408" s="2" t="s">
        <v>55</v>
      </c>
      <c r="J408" s="2" t="s">
        <v>56</v>
      </c>
      <c r="K408" s="2" t="s">
        <v>57</v>
      </c>
      <c r="L408" s="2" t="s">
        <v>58</v>
      </c>
      <c r="M408" s="2" t="s">
        <v>28</v>
      </c>
      <c r="N408" s="2" t="s">
        <v>29</v>
      </c>
      <c r="O408" s="3">
        <f>IFERROR(VLOOKUP(M408, '[1]08_CSDL_DAO_CU_VAT_LIEU'!$A$2:$F$64, 6, FALSE), 27500)</f>
        <v>27500</v>
      </c>
      <c r="P408" s="4">
        <v>3.36</v>
      </c>
      <c r="Q408" s="3">
        <f t="shared" si="19"/>
        <v>96250</v>
      </c>
      <c r="R408" s="3">
        <f>ROUND((F408/3600)*IFERROR(VLOOKUP(I408, '[1]02_DM_NHAN_SU_MAY'!$M$2:$Q$25, 5, FALSE), 39375), 0)</f>
        <v>28750</v>
      </c>
      <c r="S408" s="3">
        <v>0</v>
      </c>
      <c r="T408" s="3">
        <f t="shared" si="20"/>
        <v>125000</v>
      </c>
    </row>
    <row r="409" spans="1:20" x14ac:dyDescent="0.25">
      <c r="A409" s="5" t="s">
        <v>955</v>
      </c>
      <c r="B409" s="5">
        <v>408</v>
      </c>
      <c r="C409" s="5" t="s">
        <v>52</v>
      </c>
      <c r="D409" s="5" t="s">
        <v>953</v>
      </c>
      <c r="E409" s="5" t="s">
        <v>956</v>
      </c>
      <c r="F409" s="6">
        <v>7200</v>
      </c>
      <c r="G409" s="7">
        <f t="shared" si="18"/>
        <v>0.25</v>
      </c>
      <c r="H409" s="5" t="s">
        <v>34</v>
      </c>
      <c r="I409" s="5" t="s">
        <v>55</v>
      </c>
      <c r="J409" s="5" t="s">
        <v>56</v>
      </c>
      <c r="K409" s="5" t="s">
        <v>57</v>
      </c>
      <c r="L409" s="5" t="s">
        <v>58</v>
      </c>
      <c r="M409" s="5" t="s">
        <v>28</v>
      </c>
      <c r="N409" s="5" t="s">
        <v>29</v>
      </c>
      <c r="O409" s="6">
        <f>IFERROR(VLOOKUP(M409, '[1]08_CSDL_DAO_CU_VAT_LIEU'!$A$2:$F$64, 6, FALSE), 27500)</f>
        <v>27500</v>
      </c>
      <c r="P409" s="7">
        <v>3.36</v>
      </c>
      <c r="Q409" s="6">
        <f t="shared" si="19"/>
        <v>96250</v>
      </c>
      <c r="R409" s="6">
        <f>ROUND((F409/3600)*IFERROR(VLOOKUP(I409, '[1]02_DM_NHAN_SU_MAY'!$M$2:$Q$25, 5, FALSE), 39375), 0)</f>
        <v>28750</v>
      </c>
      <c r="S409" s="6">
        <v>0</v>
      </c>
      <c r="T409" s="6">
        <f t="shared" si="20"/>
        <v>125000</v>
      </c>
    </row>
    <row r="410" spans="1:20" x14ac:dyDescent="0.25">
      <c r="A410" s="2" t="s">
        <v>957</v>
      </c>
      <c r="B410" s="2">
        <v>409</v>
      </c>
      <c r="C410" s="2" t="s">
        <v>68</v>
      </c>
      <c r="D410" s="2" t="s">
        <v>958</v>
      </c>
      <c r="E410" s="2" t="s">
        <v>959</v>
      </c>
      <c r="F410" s="2">
        <v>240</v>
      </c>
      <c r="G410" s="4">
        <f t="shared" si="18"/>
        <v>8.3000000000000001E-3</v>
      </c>
      <c r="H410" s="2">
        <v>1</v>
      </c>
      <c r="I410" s="2" t="s">
        <v>90</v>
      </c>
      <c r="J410" s="2" t="s">
        <v>97</v>
      </c>
      <c r="K410" s="2" t="s">
        <v>98</v>
      </c>
      <c r="L410" s="2" t="s">
        <v>143</v>
      </c>
      <c r="M410" s="2" t="s">
        <v>92</v>
      </c>
      <c r="N410" s="2" t="s">
        <v>93</v>
      </c>
      <c r="O410" s="3">
        <f>IFERROR(VLOOKUP(M410, '[1]08_CSDL_DAO_CU_VAT_LIEU'!$A$2:$F$64, 6, FALSE), 27500)</f>
        <v>74000</v>
      </c>
      <c r="P410" s="4">
        <v>0.09</v>
      </c>
      <c r="Q410" s="3">
        <f t="shared" si="19"/>
        <v>3208</v>
      </c>
      <c r="R410" s="3">
        <f>ROUND((F410/3600)*IFERROR(VLOOKUP(I410, '[1]02_DM_NHAN_SU_MAY'!$M$2:$Q$25, 5, FALSE), 39375), 0)</f>
        <v>1792</v>
      </c>
      <c r="S410" s="3">
        <v>0</v>
      </c>
      <c r="T410" s="3">
        <f t="shared" si="20"/>
        <v>5000</v>
      </c>
    </row>
    <row r="411" spans="1:20" x14ac:dyDescent="0.25">
      <c r="A411" s="5" t="s">
        <v>960</v>
      </c>
      <c r="B411" s="5">
        <v>410</v>
      </c>
      <c r="C411" s="5" t="s">
        <v>68</v>
      </c>
      <c r="D411" s="5" t="s">
        <v>958</v>
      </c>
      <c r="E411" s="5" t="s">
        <v>850</v>
      </c>
      <c r="F411" s="5">
        <v>240</v>
      </c>
      <c r="G411" s="7">
        <f t="shared" si="18"/>
        <v>8.3000000000000001E-3</v>
      </c>
      <c r="H411" s="5">
        <v>2</v>
      </c>
      <c r="I411" s="5" t="s">
        <v>24</v>
      </c>
      <c r="J411" s="5" t="s">
        <v>97</v>
      </c>
      <c r="K411" s="5" t="s">
        <v>98</v>
      </c>
      <c r="L411" s="5" t="s">
        <v>109</v>
      </c>
      <c r="M411" s="5" t="s">
        <v>28</v>
      </c>
      <c r="N411" s="5" t="s">
        <v>29</v>
      </c>
      <c r="O411" s="6">
        <f>IFERROR(VLOOKUP(M411, '[1]08_CSDL_DAO_CU_VAT_LIEU'!$A$2:$F$64, 6, FALSE), 27500)</f>
        <v>27500</v>
      </c>
      <c r="P411" s="7">
        <v>0.09</v>
      </c>
      <c r="Q411" s="6">
        <f t="shared" si="19"/>
        <v>3208</v>
      </c>
      <c r="R411" s="6">
        <f>ROUND((F411/3600)*IFERROR(VLOOKUP(I411, '[1]02_DM_NHAN_SU_MAY'!$M$2:$Q$25, 5, FALSE), 39375), 0)</f>
        <v>2625</v>
      </c>
      <c r="S411" s="6">
        <v>0</v>
      </c>
      <c r="T411" s="6">
        <f t="shared" si="20"/>
        <v>5833</v>
      </c>
    </row>
    <row r="412" spans="1:20" x14ac:dyDescent="0.25">
      <c r="A412" s="2" t="s">
        <v>961</v>
      </c>
      <c r="B412" s="2">
        <v>411</v>
      </c>
      <c r="C412" s="2" t="s">
        <v>68</v>
      </c>
      <c r="D412" s="2" t="s">
        <v>958</v>
      </c>
      <c r="E412" s="2" t="s">
        <v>962</v>
      </c>
      <c r="F412" s="3">
        <v>3600</v>
      </c>
      <c r="G412" s="4">
        <f t="shared" si="18"/>
        <v>0.125</v>
      </c>
      <c r="H412" s="2" t="s">
        <v>34</v>
      </c>
      <c r="I412" s="2" t="s">
        <v>90</v>
      </c>
      <c r="J412" s="2" t="s">
        <v>97</v>
      </c>
      <c r="K412" s="2" t="s">
        <v>98</v>
      </c>
      <c r="L412" s="2" t="s">
        <v>143</v>
      </c>
      <c r="M412" s="2" t="s">
        <v>92</v>
      </c>
      <c r="N412" s="2" t="s">
        <v>93</v>
      </c>
      <c r="O412" s="3">
        <f>IFERROR(VLOOKUP(M412, '[1]08_CSDL_DAO_CU_VAT_LIEU'!$A$2:$F$64, 6, FALSE), 27500)</f>
        <v>74000</v>
      </c>
      <c r="P412" s="4">
        <v>1.4</v>
      </c>
      <c r="Q412" s="3">
        <f t="shared" si="19"/>
        <v>48125</v>
      </c>
      <c r="R412" s="3">
        <f>ROUND((F412/3600)*IFERROR(VLOOKUP(I412, '[1]02_DM_NHAN_SU_MAY'!$M$2:$Q$25, 5, FALSE), 39375), 0)</f>
        <v>26875</v>
      </c>
      <c r="S412" s="3">
        <v>0</v>
      </c>
      <c r="T412" s="3">
        <f t="shared" si="20"/>
        <v>75000</v>
      </c>
    </row>
    <row r="413" spans="1:20" x14ac:dyDescent="0.25">
      <c r="A413" s="5" t="s">
        <v>963</v>
      </c>
      <c r="B413" s="5">
        <v>412</v>
      </c>
      <c r="C413" s="5" t="s">
        <v>68</v>
      </c>
      <c r="D413" s="5" t="s">
        <v>964</v>
      </c>
      <c r="E413" s="5" t="s">
        <v>965</v>
      </c>
      <c r="F413" s="6">
        <v>3600</v>
      </c>
      <c r="G413" s="7">
        <f t="shared" si="18"/>
        <v>0.125</v>
      </c>
      <c r="H413" s="5">
        <v>1</v>
      </c>
      <c r="I413" s="5" t="s">
        <v>71</v>
      </c>
      <c r="J413" s="5" t="s">
        <v>97</v>
      </c>
      <c r="K413" s="5" t="s">
        <v>98</v>
      </c>
      <c r="L413" s="5" t="s">
        <v>99</v>
      </c>
      <c r="M413" s="5" t="s">
        <v>75</v>
      </c>
      <c r="N413" s="5" t="s">
        <v>76</v>
      </c>
      <c r="O413" s="6">
        <f>IFERROR(VLOOKUP(M413, '[1]08_CSDL_DAO_CU_VAT_LIEU'!$A$2:$F$64, 6, FALSE), 27500)</f>
        <v>42500</v>
      </c>
      <c r="P413" s="7">
        <v>1.4</v>
      </c>
      <c r="Q413" s="6">
        <f t="shared" si="19"/>
        <v>48125</v>
      </c>
      <c r="R413" s="6">
        <f>ROUND((F413/3600)*IFERROR(VLOOKUP(I413, '[1]02_DM_NHAN_SU_MAY'!$M$2:$Q$25, 5, FALSE), 39375), 0)</f>
        <v>26875</v>
      </c>
      <c r="S413" s="6">
        <v>0</v>
      </c>
      <c r="T413" s="6">
        <f t="shared" si="20"/>
        <v>75000</v>
      </c>
    </row>
    <row r="414" spans="1:20" x14ac:dyDescent="0.25">
      <c r="A414" s="2" t="s">
        <v>966</v>
      </c>
      <c r="B414" s="2">
        <v>413</v>
      </c>
      <c r="C414" s="2" t="s">
        <v>68</v>
      </c>
      <c r="D414" s="2" t="s">
        <v>964</v>
      </c>
      <c r="E414" s="2" t="s">
        <v>967</v>
      </c>
      <c r="F414" s="3">
        <v>1200</v>
      </c>
      <c r="G414" s="4">
        <f t="shared" si="18"/>
        <v>4.1700000000000001E-2</v>
      </c>
      <c r="H414" s="2">
        <v>2</v>
      </c>
      <c r="I414" s="2" t="s">
        <v>71</v>
      </c>
      <c r="J414" s="2" t="s">
        <v>97</v>
      </c>
      <c r="K414" s="2" t="s">
        <v>98</v>
      </c>
      <c r="L414" s="2" t="s">
        <v>99</v>
      </c>
      <c r="M414" s="2" t="s">
        <v>75</v>
      </c>
      <c r="N414" s="2" t="s">
        <v>76</v>
      </c>
      <c r="O414" s="3">
        <f>IFERROR(VLOOKUP(M414, '[1]08_CSDL_DAO_CU_VAT_LIEU'!$A$2:$F$64, 6, FALSE), 27500)</f>
        <v>42500</v>
      </c>
      <c r="P414" s="4">
        <v>0.47</v>
      </c>
      <c r="Q414" s="3">
        <f t="shared" si="19"/>
        <v>16042</v>
      </c>
      <c r="R414" s="3">
        <f>ROUND((F414/3600)*IFERROR(VLOOKUP(I414, '[1]02_DM_NHAN_SU_MAY'!$M$2:$Q$25, 5, FALSE), 39375), 0)</f>
        <v>8958</v>
      </c>
      <c r="S414" s="3">
        <v>0</v>
      </c>
      <c r="T414" s="3">
        <f t="shared" si="20"/>
        <v>25000</v>
      </c>
    </row>
    <row r="415" spans="1:20" x14ac:dyDescent="0.25">
      <c r="A415" s="5" t="s">
        <v>968</v>
      </c>
      <c r="B415" s="5">
        <v>414</v>
      </c>
      <c r="C415" s="5" t="s">
        <v>68</v>
      </c>
      <c r="D415" s="5" t="s">
        <v>964</v>
      </c>
      <c r="E415" s="5" t="s">
        <v>969</v>
      </c>
      <c r="F415" s="6">
        <v>3600</v>
      </c>
      <c r="G415" s="7">
        <f t="shared" si="18"/>
        <v>0.125</v>
      </c>
      <c r="H415" s="5">
        <v>3</v>
      </c>
      <c r="I415" s="5" t="s">
        <v>71</v>
      </c>
      <c r="J415" s="5" t="s">
        <v>97</v>
      </c>
      <c r="K415" s="5" t="s">
        <v>98</v>
      </c>
      <c r="L415" s="5" t="s">
        <v>99</v>
      </c>
      <c r="M415" s="5" t="s">
        <v>75</v>
      </c>
      <c r="N415" s="5" t="s">
        <v>76</v>
      </c>
      <c r="O415" s="6">
        <f>IFERROR(VLOOKUP(M415, '[1]08_CSDL_DAO_CU_VAT_LIEU'!$A$2:$F$64, 6, FALSE), 27500)</f>
        <v>42500</v>
      </c>
      <c r="P415" s="7">
        <v>1.4</v>
      </c>
      <c r="Q415" s="6">
        <f t="shared" si="19"/>
        <v>48125</v>
      </c>
      <c r="R415" s="6">
        <f>ROUND((F415/3600)*IFERROR(VLOOKUP(I415, '[1]02_DM_NHAN_SU_MAY'!$M$2:$Q$25, 5, FALSE), 39375), 0)</f>
        <v>26875</v>
      </c>
      <c r="S415" s="6">
        <v>0</v>
      </c>
      <c r="T415" s="6">
        <f t="shared" si="20"/>
        <v>75000</v>
      </c>
    </row>
    <row r="416" spans="1:20" x14ac:dyDescent="0.25">
      <c r="A416" s="2" t="s">
        <v>970</v>
      </c>
      <c r="B416" s="2">
        <v>415</v>
      </c>
      <c r="C416" s="2" t="s">
        <v>68</v>
      </c>
      <c r="D416" s="2" t="s">
        <v>964</v>
      </c>
      <c r="E416" s="2" t="s">
        <v>971</v>
      </c>
      <c r="F416" s="3">
        <v>3600</v>
      </c>
      <c r="G416" s="4">
        <f t="shared" si="18"/>
        <v>0.125</v>
      </c>
      <c r="H416" s="2">
        <v>4</v>
      </c>
      <c r="I416" s="2" t="s">
        <v>71</v>
      </c>
      <c r="J416" s="2" t="s">
        <v>97</v>
      </c>
      <c r="K416" s="2" t="s">
        <v>98</v>
      </c>
      <c r="L416" s="2" t="s">
        <v>99</v>
      </c>
      <c r="M416" s="2" t="s">
        <v>75</v>
      </c>
      <c r="N416" s="2" t="s">
        <v>76</v>
      </c>
      <c r="O416" s="3">
        <f>IFERROR(VLOOKUP(M416, '[1]08_CSDL_DAO_CU_VAT_LIEU'!$A$2:$F$64, 6, FALSE), 27500)</f>
        <v>42500</v>
      </c>
      <c r="P416" s="4">
        <v>1.4</v>
      </c>
      <c r="Q416" s="3">
        <f t="shared" si="19"/>
        <v>48125</v>
      </c>
      <c r="R416" s="3">
        <f>ROUND((F416/3600)*IFERROR(VLOOKUP(I416, '[1]02_DM_NHAN_SU_MAY'!$M$2:$Q$25, 5, FALSE), 39375), 0)</f>
        <v>26875</v>
      </c>
      <c r="S416" s="3">
        <v>0</v>
      </c>
      <c r="T416" s="3">
        <f t="shared" si="20"/>
        <v>75000</v>
      </c>
    </row>
    <row r="417" spans="1:20" x14ac:dyDescent="0.25">
      <c r="A417" s="5" t="s">
        <v>972</v>
      </c>
      <c r="B417" s="5">
        <v>416</v>
      </c>
      <c r="C417" s="5" t="s">
        <v>68</v>
      </c>
      <c r="D417" s="5" t="s">
        <v>964</v>
      </c>
      <c r="E417" s="5" t="s">
        <v>973</v>
      </c>
      <c r="F417" s="6">
        <v>1800</v>
      </c>
      <c r="G417" s="7">
        <f t="shared" si="18"/>
        <v>6.25E-2</v>
      </c>
      <c r="H417" s="5" t="s">
        <v>34</v>
      </c>
      <c r="I417" s="5" t="s">
        <v>90</v>
      </c>
      <c r="J417" s="5" t="s">
        <v>97</v>
      </c>
      <c r="K417" s="5" t="s">
        <v>98</v>
      </c>
      <c r="L417" s="5" t="s">
        <v>143</v>
      </c>
      <c r="M417" s="5" t="s">
        <v>92</v>
      </c>
      <c r="N417" s="5" t="s">
        <v>93</v>
      </c>
      <c r="O417" s="6">
        <f>IFERROR(VLOOKUP(M417, '[1]08_CSDL_DAO_CU_VAT_LIEU'!$A$2:$F$64, 6, FALSE), 27500)</f>
        <v>74000</v>
      </c>
      <c r="P417" s="7">
        <v>0.7</v>
      </c>
      <c r="Q417" s="6">
        <f t="shared" si="19"/>
        <v>24063</v>
      </c>
      <c r="R417" s="6">
        <f>ROUND((F417/3600)*IFERROR(VLOOKUP(I417, '[1]02_DM_NHAN_SU_MAY'!$M$2:$Q$25, 5, FALSE), 39375), 0)</f>
        <v>13438</v>
      </c>
      <c r="S417" s="6">
        <v>0</v>
      </c>
      <c r="T417" s="6">
        <f t="shared" si="20"/>
        <v>37501</v>
      </c>
    </row>
    <row r="418" spans="1:20" x14ac:dyDescent="0.25">
      <c r="A418" s="2" t="s">
        <v>974</v>
      </c>
      <c r="B418" s="2">
        <v>417</v>
      </c>
      <c r="C418" s="2" t="s">
        <v>52</v>
      </c>
      <c r="D418" s="2" t="s">
        <v>975</v>
      </c>
      <c r="E418" s="2" t="s">
        <v>976</v>
      </c>
      <c r="F418" s="3">
        <v>7200</v>
      </c>
      <c r="G418" s="4">
        <f t="shared" si="18"/>
        <v>0.25</v>
      </c>
      <c r="H418" s="2">
        <v>1</v>
      </c>
      <c r="I418" s="2" t="s">
        <v>24</v>
      </c>
      <c r="J418" s="2" t="s">
        <v>56</v>
      </c>
      <c r="K418" s="2" t="s">
        <v>57</v>
      </c>
      <c r="L418" s="2" t="s">
        <v>58</v>
      </c>
      <c r="M418" s="2" t="s">
        <v>28</v>
      </c>
      <c r="N418" s="2" t="s">
        <v>29</v>
      </c>
      <c r="O418" s="3">
        <f>IFERROR(VLOOKUP(M418, '[1]08_CSDL_DAO_CU_VAT_LIEU'!$A$2:$F$64, 6, FALSE), 27500)</f>
        <v>27500</v>
      </c>
      <c r="P418" s="4">
        <v>3.36</v>
      </c>
      <c r="Q418" s="3">
        <f t="shared" si="19"/>
        <v>96250</v>
      </c>
      <c r="R418" s="3">
        <f>ROUND((F418/3600)*IFERROR(VLOOKUP(I418, '[1]02_DM_NHAN_SU_MAY'!$M$2:$Q$25, 5, FALSE), 39375), 0)</f>
        <v>78750</v>
      </c>
      <c r="S418" s="3">
        <v>0</v>
      </c>
      <c r="T418" s="3">
        <f t="shared" si="20"/>
        <v>175000</v>
      </c>
    </row>
    <row r="419" spans="1:20" x14ac:dyDescent="0.25">
      <c r="A419" s="5" t="s">
        <v>977</v>
      </c>
      <c r="B419" s="5">
        <v>418</v>
      </c>
      <c r="C419" s="5" t="s">
        <v>52</v>
      </c>
      <c r="D419" s="5" t="s">
        <v>975</v>
      </c>
      <c r="E419" s="5" t="s">
        <v>978</v>
      </c>
      <c r="F419" s="6">
        <v>7200</v>
      </c>
      <c r="G419" s="7">
        <f t="shared" si="18"/>
        <v>0.25</v>
      </c>
      <c r="H419" s="5">
        <v>2</v>
      </c>
      <c r="I419" s="5" t="s">
        <v>24</v>
      </c>
      <c r="J419" s="5" t="s">
        <v>56</v>
      </c>
      <c r="K419" s="5" t="s">
        <v>57</v>
      </c>
      <c r="L419" s="5" t="s">
        <v>58</v>
      </c>
      <c r="M419" s="5" t="s">
        <v>28</v>
      </c>
      <c r="N419" s="5" t="s">
        <v>29</v>
      </c>
      <c r="O419" s="6">
        <f>IFERROR(VLOOKUP(M419, '[1]08_CSDL_DAO_CU_VAT_LIEU'!$A$2:$F$64, 6, FALSE), 27500)</f>
        <v>27500</v>
      </c>
      <c r="P419" s="7">
        <v>3.36</v>
      </c>
      <c r="Q419" s="6">
        <f t="shared" si="19"/>
        <v>96250</v>
      </c>
      <c r="R419" s="6">
        <f>ROUND((F419/3600)*IFERROR(VLOOKUP(I419, '[1]02_DM_NHAN_SU_MAY'!$M$2:$Q$25, 5, FALSE), 39375), 0)</f>
        <v>78750</v>
      </c>
      <c r="S419" s="6">
        <v>0</v>
      </c>
      <c r="T419" s="6">
        <f t="shared" si="20"/>
        <v>175000</v>
      </c>
    </row>
    <row r="420" spans="1:20" x14ac:dyDescent="0.25">
      <c r="A420" s="2" t="s">
        <v>979</v>
      </c>
      <c r="B420" s="2">
        <v>419</v>
      </c>
      <c r="C420" s="2" t="s">
        <v>52</v>
      </c>
      <c r="D420" s="2" t="s">
        <v>975</v>
      </c>
      <c r="E420" s="2" t="s">
        <v>980</v>
      </c>
      <c r="F420" s="3">
        <v>3600</v>
      </c>
      <c r="G420" s="4">
        <f t="shared" si="18"/>
        <v>0.125</v>
      </c>
      <c r="H420" s="2" t="s">
        <v>34</v>
      </c>
      <c r="I420" s="2" t="s">
        <v>90</v>
      </c>
      <c r="J420" s="2" t="s">
        <v>56</v>
      </c>
      <c r="K420" s="2" t="s">
        <v>57</v>
      </c>
      <c r="L420" s="2" t="s">
        <v>358</v>
      </c>
      <c r="M420" s="2" t="s">
        <v>92</v>
      </c>
      <c r="N420" s="2" t="s">
        <v>93</v>
      </c>
      <c r="O420" s="3">
        <f>IFERROR(VLOOKUP(M420, '[1]08_CSDL_DAO_CU_VAT_LIEU'!$A$2:$F$64, 6, FALSE), 27500)</f>
        <v>74000</v>
      </c>
      <c r="P420" s="4">
        <v>1.68</v>
      </c>
      <c r="Q420" s="3">
        <f t="shared" si="19"/>
        <v>48125</v>
      </c>
      <c r="R420" s="3">
        <f>ROUND((F420/3600)*IFERROR(VLOOKUP(I420, '[1]02_DM_NHAN_SU_MAY'!$M$2:$Q$25, 5, FALSE), 39375), 0)</f>
        <v>26875</v>
      </c>
      <c r="S420" s="3">
        <v>0</v>
      </c>
      <c r="T420" s="3">
        <f t="shared" si="20"/>
        <v>75000</v>
      </c>
    </row>
    <row r="421" spans="1:20" x14ac:dyDescent="0.25">
      <c r="A421" s="5" t="s">
        <v>981</v>
      </c>
      <c r="B421" s="5">
        <v>420</v>
      </c>
      <c r="C421" s="5" t="s">
        <v>52</v>
      </c>
      <c r="D421" s="5" t="s">
        <v>982</v>
      </c>
      <c r="E421" s="5" t="s">
        <v>983</v>
      </c>
      <c r="F421" s="6">
        <v>7200</v>
      </c>
      <c r="G421" s="7">
        <f t="shared" si="18"/>
        <v>0.25</v>
      </c>
      <c r="H421" s="5">
        <v>1</v>
      </c>
      <c r="I421" s="5" t="s">
        <v>24</v>
      </c>
      <c r="J421" s="5" t="s">
        <v>56</v>
      </c>
      <c r="K421" s="5" t="s">
        <v>57</v>
      </c>
      <c r="L421" s="5" t="s">
        <v>58</v>
      </c>
      <c r="M421" s="5" t="s">
        <v>28</v>
      </c>
      <c r="N421" s="5" t="s">
        <v>29</v>
      </c>
      <c r="O421" s="6">
        <f>IFERROR(VLOOKUP(M421, '[1]08_CSDL_DAO_CU_VAT_LIEU'!$A$2:$F$64, 6, FALSE), 27500)</f>
        <v>27500</v>
      </c>
      <c r="P421" s="7">
        <v>3.36</v>
      </c>
      <c r="Q421" s="6">
        <f t="shared" si="19"/>
        <v>96250</v>
      </c>
      <c r="R421" s="6">
        <f>ROUND((F421/3600)*IFERROR(VLOOKUP(I421, '[1]02_DM_NHAN_SU_MAY'!$M$2:$Q$25, 5, FALSE), 39375), 0)</f>
        <v>78750</v>
      </c>
      <c r="S421" s="6">
        <v>0</v>
      </c>
      <c r="T421" s="6">
        <f t="shared" si="20"/>
        <v>175000</v>
      </c>
    </row>
    <row r="422" spans="1:20" x14ac:dyDescent="0.25">
      <c r="A422" s="2" t="s">
        <v>984</v>
      </c>
      <c r="B422" s="2">
        <v>421</v>
      </c>
      <c r="C422" s="2" t="s">
        <v>52</v>
      </c>
      <c r="D422" s="2" t="s">
        <v>982</v>
      </c>
      <c r="E422" s="2" t="s">
        <v>985</v>
      </c>
      <c r="F422" s="3">
        <v>7200</v>
      </c>
      <c r="G422" s="4">
        <f t="shared" si="18"/>
        <v>0.25</v>
      </c>
      <c r="H422" s="2">
        <v>2</v>
      </c>
      <c r="I422" s="2" t="s">
        <v>24</v>
      </c>
      <c r="J422" s="2" t="s">
        <v>56</v>
      </c>
      <c r="K422" s="2" t="s">
        <v>57</v>
      </c>
      <c r="L422" s="2" t="s">
        <v>58</v>
      </c>
      <c r="M422" s="2" t="s">
        <v>28</v>
      </c>
      <c r="N422" s="2" t="s">
        <v>29</v>
      </c>
      <c r="O422" s="3">
        <f>IFERROR(VLOOKUP(M422, '[1]08_CSDL_DAO_CU_VAT_LIEU'!$A$2:$F$64, 6, FALSE), 27500)</f>
        <v>27500</v>
      </c>
      <c r="P422" s="4">
        <v>3.36</v>
      </c>
      <c r="Q422" s="3">
        <f t="shared" si="19"/>
        <v>96250</v>
      </c>
      <c r="R422" s="3">
        <f>ROUND((F422/3600)*IFERROR(VLOOKUP(I422, '[1]02_DM_NHAN_SU_MAY'!$M$2:$Q$25, 5, FALSE), 39375), 0)</f>
        <v>78750</v>
      </c>
      <c r="S422" s="3">
        <v>0</v>
      </c>
      <c r="T422" s="3">
        <f t="shared" si="20"/>
        <v>175000</v>
      </c>
    </row>
    <row r="423" spans="1:20" x14ac:dyDescent="0.25">
      <c r="A423" s="5" t="s">
        <v>986</v>
      </c>
      <c r="B423" s="5">
        <v>422</v>
      </c>
      <c r="C423" s="5" t="s">
        <v>52</v>
      </c>
      <c r="D423" s="5" t="s">
        <v>982</v>
      </c>
      <c r="E423" s="5" t="s">
        <v>987</v>
      </c>
      <c r="F423" s="6">
        <v>3600</v>
      </c>
      <c r="G423" s="7">
        <f t="shared" si="18"/>
        <v>0.125</v>
      </c>
      <c r="H423" s="5" t="s">
        <v>34</v>
      </c>
      <c r="I423" s="5" t="s">
        <v>90</v>
      </c>
      <c r="J423" s="5" t="s">
        <v>56</v>
      </c>
      <c r="K423" s="5" t="s">
        <v>57</v>
      </c>
      <c r="L423" s="5" t="s">
        <v>358</v>
      </c>
      <c r="M423" s="5" t="s">
        <v>92</v>
      </c>
      <c r="N423" s="5" t="s">
        <v>93</v>
      </c>
      <c r="O423" s="6">
        <f>IFERROR(VLOOKUP(M423, '[1]08_CSDL_DAO_CU_VAT_LIEU'!$A$2:$F$64, 6, FALSE), 27500)</f>
        <v>74000</v>
      </c>
      <c r="P423" s="7">
        <v>1.68</v>
      </c>
      <c r="Q423" s="6">
        <f t="shared" si="19"/>
        <v>48125</v>
      </c>
      <c r="R423" s="6">
        <f>ROUND((F423/3600)*IFERROR(VLOOKUP(I423, '[1]02_DM_NHAN_SU_MAY'!$M$2:$Q$25, 5, FALSE), 39375), 0)</f>
        <v>26875</v>
      </c>
      <c r="S423" s="6">
        <v>0</v>
      </c>
      <c r="T423" s="6">
        <f t="shared" si="20"/>
        <v>75000</v>
      </c>
    </row>
    <row r="424" spans="1:20" x14ac:dyDescent="0.25">
      <c r="A424" s="2" t="s">
        <v>988</v>
      </c>
      <c r="B424" s="2">
        <v>423</v>
      </c>
      <c r="C424" s="2" t="s">
        <v>68</v>
      </c>
      <c r="D424" s="2" t="s">
        <v>989</v>
      </c>
      <c r="E424" s="2" t="s">
        <v>990</v>
      </c>
      <c r="F424" s="3">
        <v>18000</v>
      </c>
      <c r="G424" s="4">
        <f t="shared" si="18"/>
        <v>0.625</v>
      </c>
      <c r="H424" s="2">
        <v>1</v>
      </c>
      <c r="I424" s="2" t="s">
        <v>24</v>
      </c>
      <c r="J424" s="2" t="s">
        <v>97</v>
      </c>
      <c r="K424" s="2" t="s">
        <v>98</v>
      </c>
      <c r="L424" s="2" t="s">
        <v>109</v>
      </c>
      <c r="M424" s="2" t="s">
        <v>28</v>
      </c>
      <c r="N424" s="2" t="s">
        <v>29</v>
      </c>
      <c r="O424" s="3">
        <f>IFERROR(VLOOKUP(M424, '[1]08_CSDL_DAO_CU_VAT_LIEU'!$A$2:$F$64, 6, FALSE), 27500)</f>
        <v>27500</v>
      </c>
      <c r="P424" s="4">
        <v>7</v>
      </c>
      <c r="Q424" s="3">
        <f t="shared" si="19"/>
        <v>240625</v>
      </c>
      <c r="R424" s="3">
        <f>ROUND((F424/3600)*IFERROR(VLOOKUP(I424, '[1]02_DM_NHAN_SU_MAY'!$M$2:$Q$25, 5, FALSE), 39375), 0)</f>
        <v>196875</v>
      </c>
      <c r="S424" s="3">
        <v>0</v>
      </c>
      <c r="T424" s="3">
        <f t="shared" si="20"/>
        <v>437500</v>
      </c>
    </row>
    <row r="425" spans="1:20" x14ac:dyDescent="0.25">
      <c r="A425" s="5" t="s">
        <v>991</v>
      </c>
      <c r="B425" s="5">
        <v>424</v>
      </c>
      <c r="C425" s="5" t="s">
        <v>68</v>
      </c>
      <c r="D425" s="5" t="s">
        <v>989</v>
      </c>
      <c r="E425" s="5" t="s">
        <v>992</v>
      </c>
      <c r="F425" s="6">
        <v>18000</v>
      </c>
      <c r="G425" s="7">
        <f t="shared" si="18"/>
        <v>0.625</v>
      </c>
      <c r="H425" s="5">
        <v>2</v>
      </c>
      <c r="I425" s="5" t="s">
        <v>24</v>
      </c>
      <c r="J425" s="5" t="s">
        <v>97</v>
      </c>
      <c r="K425" s="5" t="s">
        <v>98</v>
      </c>
      <c r="L425" s="5" t="s">
        <v>109</v>
      </c>
      <c r="M425" s="5" t="s">
        <v>28</v>
      </c>
      <c r="N425" s="5" t="s">
        <v>29</v>
      </c>
      <c r="O425" s="6">
        <f>IFERROR(VLOOKUP(M425, '[1]08_CSDL_DAO_CU_VAT_LIEU'!$A$2:$F$64, 6, FALSE), 27500)</f>
        <v>27500</v>
      </c>
      <c r="P425" s="7">
        <v>7</v>
      </c>
      <c r="Q425" s="6">
        <f t="shared" si="19"/>
        <v>240625</v>
      </c>
      <c r="R425" s="6">
        <f>ROUND((F425/3600)*IFERROR(VLOOKUP(I425, '[1]02_DM_NHAN_SU_MAY'!$M$2:$Q$25, 5, FALSE), 39375), 0)</f>
        <v>196875</v>
      </c>
      <c r="S425" s="6">
        <v>0</v>
      </c>
      <c r="T425" s="6">
        <f t="shared" si="20"/>
        <v>437500</v>
      </c>
    </row>
    <row r="426" spans="1:20" x14ac:dyDescent="0.25">
      <c r="A426" s="2" t="s">
        <v>993</v>
      </c>
      <c r="B426" s="2">
        <v>425</v>
      </c>
      <c r="C426" s="2" t="s">
        <v>68</v>
      </c>
      <c r="D426" s="2" t="s">
        <v>989</v>
      </c>
      <c r="E426" s="2" t="s">
        <v>994</v>
      </c>
      <c r="F426" s="3">
        <v>3600</v>
      </c>
      <c r="G426" s="4">
        <f t="shared" si="18"/>
        <v>0.125</v>
      </c>
      <c r="H426" s="2">
        <v>3</v>
      </c>
      <c r="I426" s="2" t="s">
        <v>55</v>
      </c>
      <c r="J426" s="2" t="s">
        <v>97</v>
      </c>
      <c r="K426" s="2" t="s">
        <v>98</v>
      </c>
      <c r="L426" s="2" t="s">
        <v>109</v>
      </c>
      <c r="M426" s="2" t="s">
        <v>49</v>
      </c>
      <c r="N426" s="2" t="s">
        <v>50</v>
      </c>
      <c r="O426" s="3">
        <f>IFERROR(VLOOKUP(M426, '[1]08_CSDL_DAO_CU_VAT_LIEU'!$A$2:$F$64, 6, FALSE), 27500)</f>
        <v>20833.330000000002</v>
      </c>
      <c r="P426" s="4">
        <v>1.4</v>
      </c>
      <c r="Q426" s="3">
        <f t="shared" si="19"/>
        <v>48125</v>
      </c>
      <c r="R426" s="3">
        <f>ROUND((F426/3600)*IFERROR(VLOOKUP(I426, '[1]02_DM_NHAN_SU_MAY'!$M$2:$Q$25, 5, FALSE), 39375), 0)</f>
        <v>14375</v>
      </c>
      <c r="S426" s="3">
        <v>0</v>
      </c>
      <c r="T426" s="3">
        <f t="shared" si="20"/>
        <v>62500</v>
      </c>
    </row>
    <row r="427" spans="1:20" x14ac:dyDescent="0.25">
      <c r="A427" s="5" t="s">
        <v>995</v>
      </c>
      <c r="B427" s="5">
        <v>426</v>
      </c>
      <c r="C427" s="5" t="s">
        <v>68</v>
      </c>
      <c r="D427" s="5" t="s">
        <v>989</v>
      </c>
      <c r="E427" s="5" t="s">
        <v>996</v>
      </c>
      <c r="F427" s="6">
        <v>28800</v>
      </c>
      <c r="G427" s="7">
        <f t="shared" si="18"/>
        <v>1</v>
      </c>
      <c r="H427" s="5" t="s">
        <v>34</v>
      </c>
      <c r="I427" s="5" t="s">
        <v>71</v>
      </c>
      <c r="J427" s="5" t="s">
        <v>97</v>
      </c>
      <c r="K427" s="5" t="s">
        <v>98</v>
      </c>
      <c r="L427" s="5" t="s">
        <v>99</v>
      </c>
      <c r="M427" s="5" t="s">
        <v>75</v>
      </c>
      <c r="N427" s="5" t="s">
        <v>76</v>
      </c>
      <c r="O427" s="6">
        <f>IFERROR(VLOOKUP(M427, '[1]08_CSDL_DAO_CU_VAT_LIEU'!$A$2:$F$64, 6, FALSE), 27500)</f>
        <v>42500</v>
      </c>
      <c r="P427" s="7">
        <v>11.2</v>
      </c>
      <c r="Q427" s="6">
        <f t="shared" si="19"/>
        <v>385000</v>
      </c>
      <c r="R427" s="6">
        <f>ROUND((F427/3600)*IFERROR(VLOOKUP(I427, '[1]02_DM_NHAN_SU_MAY'!$M$2:$Q$25, 5, FALSE), 39375), 0)</f>
        <v>215000</v>
      </c>
      <c r="S427" s="6">
        <v>0</v>
      </c>
      <c r="T427" s="6">
        <f t="shared" si="20"/>
        <v>600000</v>
      </c>
    </row>
    <row r="428" spans="1:20" x14ac:dyDescent="0.25">
      <c r="A428" s="2" t="s">
        <v>997</v>
      </c>
      <c r="B428" s="2">
        <v>427</v>
      </c>
      <c r="C428" s="2" t="s">
        <v>68</v>
      </c>
      <c r="D428" s="2" t="s">
        <v>998</v>
      </c>
      <c r="E428" s="2" t="s">
        <v>976</v>
      </c>
      <c r="F428" s="3">
        <v>18000</v>
      </c>
      <c r="G428" s="4">
        <f t="shared" si="18"/>
        <v>0.625</v>
      </c>
      <c r="H428" s="2">
        <v>1</v>
      </c>
      <c r="I428" s="2" t="s">
        <v>24</v>
      </c>
      <c r="J428" s="2" t="s">
        <v>97</v>
      </c>
      <c r="K428" s="2" t="s">
        <v>98</v>
      </c>
      <c r="L428" s="2" t="s">
        <v>109</v>
      </c>
      <c r="M428" s="2" t="s">
        <v>28</v>
      </c>
      <c r="N428" s="2" t="s">
        <v>29</v>
      </c>
      <c r="O428" s="3">
        <f>IFERROR(VLOOKUP(M428, '[1]08_CSDL_DAO_CU_VAT_LIEU'!$A$2:$F$64, 6, FALSE), 27500)</f>
        <v>27500</v>
      </c>
      <c r="P428" s="4">
        <v>7</v>
      </c>
      <c r="Q428" s="3">
        <f t="shared" si="19"/>
        <v>240625</v>
      </c>
      <c r="R428" s="3">
        <f>ROUND((F428/3600)*IFERROR(VLOOKUP(I428, '[1]02_DM_NHAN_SU_MAY'!$M$2:$Q$25, 5, FALSE), 39375), 0)</f>
        <v>196875</v>
      </c>
      <c r="S428" s="3">
        <v>0</v>
      </c>
      <c r="T428" s="3">
        <f t="shared" si="20"/>
        <v>437500</v>
      </c>
    </row>
    <row r="429" spans="1:20" x14ac:dyDescent="0.25">
      <c r="A429" s="5" t="s">
        <v>999</v>
      </c>
      <c r="B429" s="5">
        <v>428</v>
      </c>
      <c r="C429" s="5" t="s">
        <v>68</v>
      </c>
      <c r="D429" s="5" t="s">
        <v>998</v>
      </c>
      <c r="E429" s="5" t="s">
        <v>978</v>
      </c>
      <c r="F429" s="6">
        <v>18000</v>
      </c>
      <c r="G429" s="7">
        <f t="shared" si="18"/>
        <v>0.625</v>
      </c>
      <c r="H429" s="5">
        <v>2</v>
      </c>
      <c r="I429" s="5" t="s">
        <v>24</v>
      </c>
      <c r="J429" s="5" t="s">
        <v>97</v>
      </c>
      <c r="K429" s="5" t="s">
        <v>98</v>
      </c>
      <c r="L429" s="5" t="s">
        <v>109</v>
      </c>
      <c r="M429" s="5" t="s">
        <v>28</v>
      </c>
      <c r="N429" s="5" t="s">
        <v>29</v>
      </c>
      <c r="O429" s="6">
        <f>IFERROR(VLOOKUP(M429, '[1]08_CSDL_DAO_CU_VAT_LIEU'!$A$2:$F$64, 6, FALSE), 27500)</f>
        <v>27500</v>
      </c>
      <c r="P429" s="7">
        <v>7</v>
      </c>
      <c r="Q429" s="6">
        <f t="shared" si="19"/>
        <v>240625</v>
      </c>
      <c r="R429" s="6">
        <f>ROUND((F429/3600)*IFERROR(VLOOKUP(I429, '[1]02_DM_NHAN_SU_MAY'!$M$2:$Q$25, 5, FALSE), 39375), 0)</f>
        <v>196875</v>
      </c>
      <c r="S429" s="6">
        <v>0</v>
      </c>
      <c r="T429" s="6">
        <f t="shared" si="20"/>
        <v>437500</v>
      </c>
    </row>
    <row r="430" spans="1:20" x14ac:dyDescent="0.25">
      <c r="A430" s="2" t="s">
        <v>1000</v>
      </c>
      <c r="B430" s="2">
        <v>429</v>
      </c>
      <c r="C430" s="2" t="s">
        <v>68</v>
      </c>
      <c r="D430" s="2" t="s">
        <v>998</v>
      </c>
      <c r="E430" s="2" t="s">
        <v>1001</v>
      </c>
      <c r="F430" s="3">
        <v>3600</v>
      </c>
      <c r="G430" s="4">
        <f t="shared" si="18"/>
        <v>0.125</v>
      </c>
      <c r="H430" s="2">
        <v>3</v>
      </c>
      <c r="I430" s="2" t="s">
        <v>55</v>
      </c>
      <c r="J430" s="2" t="s">
        <v>97</v>
      </c>
      <c r="K430" s="2" t="s">
        <v>98</v>
      </c>
      <c r="L430" s="2" t="s">
        <v>109</v>
      </c>
      <c r="M430" s="2" t="s">
        <v>49</v>
      </c>
      <c r="N430" s="2" t="s">
        <v>50</v>
      </c>
      <c r="O430" s="3">
        <f>IFERROR(VLOOKUP(M430, '[1]08_CSDL_DAO_CU_VAT_LIEU'!$A$2:$F$64, 6, FALSE), 27500)</f>
        <v>20833.330000000002</v>
      </c>
      <c r="P430" s="4">
        <v>1.4</v>
      </c>
      <c r="Q430" s="3">
        <f t="shared" si="19"/>
        <v>48125</v>
      </c>
      <c r="R430" s="3">
        <f>ROUND((F430/3600)*IFERROR(VLOOKUP(I430, '[1]02_DM_NHAN_SU_MAY'!$M$2:$Q$25, 5, FALSE), 39375), 0)</f>
        <v>14375</v>
      </c>
      <c r="S430" s="3">
        <v>0</v>
      </c>
      <c r="T430" s="3">
        <f t="shared" si="20"/>
        <v>62500</v>
      </c>
    </row>
    <row r="431" spans="1:20" x14ac:dyDescent="0.25">
      <c r="A431" s="5" t="s">
        <v>1002</v>
      </c>
      <c r="B431" s="5">
        <v>430</v>
      </c>
      <c r="C431" s="5" t="s">
        <v>68</v>
      </c>
      <c r="D431" s="5" t="s">
        <v>998</v>
      </c>
      <c r="E431" s="5" t="s">
        <v>1003</v>
      </c>
      <c r="F431" s="6">
        <v>28800</v>
      </c>
      <c r="G431" s="7">
        <f t="shared" si="18"/>
        <v>1</v>
      </c>
      <c r="H431" s="5" t="s">
        <v>34</v>
      </c>
      <c r="I431" s="5" t="s">
        <v>24</v>
      </c>
      <c r="J431" s="5" t="s">
        <v>97</v>
      </c>
      <c r="K431" s="5" t="s">
        <v>98</v>
      </c>
      <c r="L431" s="5" t="s">
        <v>109</v>
      </c>
      <c r="M431" s="5" t="s">
        <v>49</v>
      </c>
      <c r="N431" s="5" t="s">
        <v>50</v>
      </c>
      <c r="O431" s="6">
        <f>IFERROR(VLOOKUP(M431, '[1]08_CSDL_DAO_CU_VAT_LIEU'!$A$2:$F$64, 6, FALSE), 27500)</f>
        <v>20833.330000000002</v>
      </c>
      <c r="P431" s="7">
        <v>11.2</v>
      </c>
      <c r="Q431" s="6">
        <f t="shared" si="19"/>
        <v>385000</v>
      </c>
      <c r="R431" s="6">
        <f>ROUND((F431/3600)*IFERROR(VLOOKUP(I431, '[1]02_DM_NHAN_SU_MAY'!$M$2:$Q$25, 5, FALSE), 39375), 0)</f>
        <v>315000</v>
      </c>
      <c r="S431" s="6">
        <v>0</v>
      </c>
      <c r="T431" s="6">
        <f t="shared" si="20"/>
        <v>700000</v>
      </c>
    </row>
    <row r="432" spans="1:20" x14ac:dyDescent="0.25">
      <c r="A432" s="2" t="s">
        <v>1004</v>
      </c>
      <c r="B432" s="2">
        <v>431</v>
      </c>
      <c r="C432" s="2" t="s">
        <v>52</v>
      </c>
      <c r="D432" s="2" t="s">
        <v>1005</v>
      </c>
      <c r="E432" s="2" t="s">
        <v>1006</v>
      </c>
      <c r="F432" s="3">
        <v>1800</v>
      </c>
      <c r="G432" s="4">
        <f t="shared" si="18"/>
        <v>6.25E-2</v>
      </c>
      <c r="H432" s="2">
        <v>1</v>
      </c>
      <c r="I432" s="2" t="s">
        <v>71</v>
      </c>
      <c r="J432" s="2" t="s">
        <v>56</v>
      </c>
      <c r="K432" s="2" t="s">
        <v>57</v>
      </c>
      <c r="L432" s="2" t="s">
        <v>636</v>
      </c>
      <c r="M432" s="2" t="s">
        <v>75</v>
      </c>
      <c r="N432" s="2" t="s">
        <v>76</v>
      </c>
      <c r="O432" s="3">
        <f>IFERROR(VLOOKUP(M432, '[1]08_CSDL_DAO_CU_VAT_LIEU'!$A$2:$F$64, 6, FALSE), 27500)</f>
        <v>42500</v>
      </c>
      <c r="P432" s="4">
        <v>0.84</v>
      </c>
      <c r="Q432" s="3">
        <f t="shared" si="19"/>
        <v>24063</v>
      </c>
      <c r="R432" s="3">
        <f>ROUND((F432/3600)*IFERROR(VLOOKUP(I432, '[1]02_DM_NHAN_SU_MAY'!$M$2:$Q$25, 5, FALSE), 39375), 0)</f>
        <v>13438</v>
      </c>
      <c r="S432" s="3">
        <v>0</v>
      </c>
      <c r="T432" s="3">
        <f t="shared" si="20"/>
        <v>37501</v>
      </c>
    </row>
    <row r="433" spans="1:20" x14ac:dyDescent="0.25">
      <c r="A433" s="5" t="s">
        <v>1007</v>
      </c>
      <c r="B433" s="5">
        <v>432</v>
      </c>
      <c r="C433" s="5" t="s">
        <v>52</v>
      </c>
      <c r="D433" s="5" t="s">
        <v>1005</v>
      </c>
      <c r="E433" s="5" t="s">
        <v>985</v>
      </c>
      <c r="F433" s="6">
        <v>5400</v>
      </c>
      <c r="G433" s="7">
        <f t="shared" si="18"/>
        <v>0.1875</v>
      </c>
      <c r="H433" s="5">
        <v>2</v>
      </c>
      <c r="I433" s="5" t="s">
        <v>24</v>
      </c>
      <c r="J433" s="5" t="s">
        <v>56</v>
      </c>
      <c r="K433" s="5" t="s">
        <v>57</v>
      </c>
      <c r="L433" s="5" t="s">
        <v>58</v>
      </c>
      <c r="M433" s="5" t="s">
        <v>28</v>
      </c>
      <c r="N433" s="5" t="s">
        <v>29</v>
      </c>
      <c r="O433" s="6">
        <f>IFERROR(VLOOKUP(M433, '[1]08_CSDL_DAO_CU_VAT_LIEU'!$A$2:$F$64, 6, FALSE), 27500)</f>
        <v>27500</v>
      </c>
      <c r="P433" s="7">
        <v>2.52</v>
      </c>
      <c r="Q433" s="6">
        <f t="shared" si="19"/>
        <v>72188</v>
      </c>
      <c r="R433" s="6">
        <f>ROUND((F433/3600)*IFERROR(VLOOKUP(I433, '[1]02_DM_NHAN_SU_MAY'!$M$2:$Q$25, 5, FALSE), 39375), 0)</f>
        <v>59063</v>
      </c>
      <c r="S433" s="6">
        <v>0</v>
      </c>
      <c r="T433" s="6">
        <f t="shared" si="20"/>
        <v>131251</v>
      </c>
    </row>
    <row r="434" spans="1:20" x14ac:dyDescent="0.25">
      <c r="A434" s="2" t="s">
        <v>1008</v>
      </c>
      <c r="B434" s="2">
        <v>433</v>
      </c>
      <c r="C434" s="2" t="s">
        <v>52</v>
      </c>
      <c r="D434" s="2" t="s">
        <v>1005</v>
      </c>
      <c r="E434" s="2" t="s">
        <v>1009</v>
      </c>
      <c r="F434" s="3">
        <v>3600</v>
      </c>
      <c r="G434" s="4">
        <f t="shared" si="18"/>
        <v>0.125</v>
      </c>
      <c r="H434" s="2" t="s">
        <v>34</v>
      </c>
      <c r="I434" s="2" t="s">
        <v>90</v>
      </c>
      <c r="J434" s="2" t="s">
        <v>56</v>
      </c>
      <c r="K434" s="2" t="s">
        <v>57</v>
      </c>
      <c r="L434" s="2" t="s">
        <v>358</v>
      </c>
      <c r="M434" s="2" t="s">
        <v>92</v>
      </c>
      <c r="N434" s="2" t="s">
        <v>93</v>
      </c>
      <c r="O434" s="3">
        <f>IFERROR(VLOOKUP(M434, '[1]08_CSDL_DAO_CU_VAT_LIEU'!$A$2:$F$64, 6, FALSE), 27500)</f>
        <v>74000</v>
      </c>
      <c r="P434" s="4">
        <v>1.68</v>
      </c>
      <c r="Q434" s="3">
        <f t="shared" si="19"/>
        <v>48125</v>
      </c>
      <c r="R434" s="3">
        <f>ROUND((F434/3600)*IFERROR(VLOOKUP(I434, '[1]02_DM_NHAN_SU_MAY'!$M$2:$Q$25, 5, FALSE), 39375), 0)</f>
        <v>26875</v>
      </c>
      <c r="S434" s="3">
        <v>0</v>
      </c>
      <c r="T434" s="3">
        <f t="shared" si="20"/>
        <v>75000</v>
      </c>
    </row>
    <row r="435" spans="1:20" x14ac:dyDescent="0.25">
      <c r="A435" s="5" t="s">
        <v>1010</v>
      </c>
      <c r="B435" s="5">
        <v>434</v>
      </c>
      <c r="C435" s="5" t="s">
        <v>68</v>
      </c>
      <c r="D435" s="5" t="s">
        <v>1011</v>
      </c>
      <c r="E435" s="5" t="s">
        <v>463</v>
      </c>
      <c r="F435" s="6">
        <v>86400</v>
      </c>
      <c r="G435" s="7">
        <f t="shared" si="18"/>
        <v>3</v>
      </c>
      <c r="H435" s="5" t="s">
        <v>34</v>
      </c>
      <c r="I435" s="5" t="s">
        <v>71</v>
      </c>
      <c r="J435" s="5" t="s">
        <v>56</v>
      </c>
      <c r="K435" s="5" t="s">
        <v>57</v>
      </c>
      <c r="L435" s="5" t="s">
        <v>636</v>
      </c>
      <c r="M435" s="5" t="s">
        <v>75</v>
      </c>
      <c r="N435" s="5" t="s">
        <v>76</v>
      </c>
      <c r="O435" s="6">
        <f>IFERROR(VLOOKUP(M435, '[1]08_CSDL_DAO_CU_VAT_LIEU'!$A$2:$F$64, 6, FALSE), 27500)</f>
        <v>42500</v>
      </c>
      <c r="P435" s="7">
        <v>40.32</v>
      </c>
      <c r="Q435" s="6">
        <f t="shared" si="19"/>
        <v>1155000</v>
      </c>
      <c r="R435" s="6">
        <f>ROUND((F435/3600)*IFERROR(VLOOKUP(I435, '[1]02_DM_NHAN_SU_MAY'!$M$2:$Q$25, 5, FALSE), 39375), 0)</f>
        <v>645000</v>
      </c>
      <c r="S435" s="6">
        <v>0</v>
      </c>
      <c r="T435" s="6">
        <f t="shared" si="20"/>
        <v>1800000</v>
      </c>
    </row>
    <row r="436" spans="1:20" x14ac:dyDescent="0.25">
      <c r="A436" s="2" t="s">
        <v>1012</v>
      </c>
      <c r="B436" s="2">
        <v>435</v>
      </c>
      <c r="C436" s="2" t="s">
        <v>68</v>
      </c>
      <c r="D436" s="2" t="s">
        <v>1013</v>
      </c>
      <c r="E436" s="2" t="s">
        <v>1014</v>
      </c>
      <c r="F436" s="3">
        <v>5400</v>
      </c>
      <c r="G436" s="4">
        <f t="shared" si="18"/>
        <v>0.1875</v>
      </c>
      <c r="H436" s="2" t="s">
        <v>34</v>
      </c>
      <c r="I436" s="2" t="s">
        <v>71</v>
      </c>
      <c r="J436" s="2" t="s">
        <v>97</v>
      </c>
      <c r="K436" s="2" t="s">
        <v>98</v>
      </c>
      <c r="L436" s="2" t="s">
        <v>99</v>
      </c>
      <c r="M436" s="2" t="s">
        <v>583</v>
      </c>
      <c r="N436" s="2" t="s">
        <v>584</v>
      </c>
      <c r="O436" s="3">
        <f>IFERROR(VLOOKUP(M436, '[1]08_CSDL_DAO_CU_VAT_LIEU'!$A$2:$F$64, 6, FALSE), 27500)</f>
        <v>36250</v>
      </c>
      <c r="P436" s="4">
        <v>2.1</v>
      </c>
      <c r="Q436" s="3">
        <f t="shared" si="19"/>
        <v>72188</v>
      </c>
      <c r="R436" s="3">
        <f>ROUND((F436/3600)*IFERROR(VLOOKUP(I436, '[1]02_DM_NHAN_SU_MAY'!$M$2:$Q$25, 5, FALSE), 39375), 0)</f>
        <v>40313</v>
      </c>
      <c r="S436" s="3">
        <v>0</v>
      </c>
      <c r="T436" s="3">
        <f t="shared" si="20"/>
        <v>112501</v>
      </c>
    </row>
    <row r="437" spans="1:20" x14ac:dyDescent="0.25">
      <c r="A437" s="5" t="s">
        <v>1015</v>
      </c>
      <c r="B437" s="5">
        <v>436</v>
      </c>
      <c r="C437" s="5" t="s">
        <v>68</v>
      </c>
      <c r="D437" s="5" t="s">
        <v>1016</v>
      </c>
      <c r="E437" s="5" t="s">
        <v>284</v>
      </c>
      <c r="F437" s="6">
        <v>5400</v>
      </c>
      <c r="G437" s="7">
        <f t="shared" si="18"/>
        <v>0.1875</v>
      </c>
      <c r="H437" s="5" t="s">
        <v>34</v>
      </c>
      <c r="I437" s="5" t="s">
        <v>90</v>
      </c>
      <c r="J437" s="5" t="s">
        <v>97</v>
      </c>
      <c r="K437" s="5" t="s">
        <v>98</v>
      </c>
      <c r="L437" s="5" t="s">
        <v>109</v>
      </c>
      <c r="M437" s="5" t="s">
        <v>92</v>
      </c>
      <c r="N437" s="5" t="s">
        <v>93</v>
      </c>
      <c r="O437" s="6">
        <f>IFERROR(VLOOKUP(M437, '[1]08_CSDL_DAO_CU_VAT_LIEU'!$A$2:$F$64, 6, FALSE), 27500)</f>
        <v>74000</v>
      </c>
      <c r="P437" s="7">
        <v>2.1</v>
      </c>
      <c r="Q437" s="6">
        <f t="shared" si="19"/>
        <v>72188</v>
      </c>
      <c r="R437" s="6">
        <f>ROUND((F437/3600)*IFERROR(VLOOKUP(I437, '[1]02_DM_NHAN_SU_MAY'!$M$2:$Q$25, 5, FALSE), 39375), 0)</f>
        <v>40313</v>
      </c>
      <c r="S437" s="6">
        <v>0</v>
      </c>
      <c r="T437" s="6">
        <f t="shared" si="20"/>
        <v>112501</v>
      </c>
    </row>
    <row r="438" spans="1:20" x14ac:dyDescent="0.25">
      <c r="A438" s="2" t="s">
        <v>1017</v>
      </c>
      <c r="B438" s="2">
        <v>437</v>
      </c>
      <c r="C438" s="2" t="s">
        <v>68</v>
      </c>
      <c r="D438" s="2" t="s">
        <v>1018</v>
      </c>
      <c r="E438" s="2" t="s">
        <v>1019</v>
      </c>
      <c r="F438" s="3">
        <v>5400</v>
      </c>
      <c r="G438" s="4">
        <f t="shared" si="18"/>
        <v>0.1875</v>
      </c>
      <c r="H438" s="2" t="s">
        <v>34</v>
      </c>
      <c r="I438" s="2" t="s">
        <v>90</v>
      </c>
      <c r="J438" s="2" t="s">
        <v>97</v>
      </c>
      <c r="K438" s="2" t="s">
        <v>98</v>
      </c>
      <c r="L438" s="2" t="s">
        <v>143</v>
      </c>
      <c r="M438" s="2" t="s">
        <v>1020</v>
      </c>
      <c r="N438" s="2" t="s">
        <v>1021</v>
      </c>
      <c r="O438" s="3">
        <f>IFERROR(VLOOKUP(M438, '[1]08_CSDL_DAO_CU_VAT_LIEU'!$A$2:$F$64, 6, FALSE), 27500)</f>
        <v>1750000</v>
      </c>
      <c r="P438" s="4">
        <v>2.1</v>
      </c>
      <c r="Q438" s="3">
        <f t="shared" si="19"/>
        <v>72188</v>
      </c>
      <c r="R438" s="3">
        <f>ROUND((F438/3600)*IFERROR(VLOOKUP(I438, '[1]02_DM_NHAN_SU_MAY'!$M$2:$Q$25, 5, FALSE), 39375), 0)</f>
        <v>40313</v>
      </c>
      <c r="S438" s="3">
        <v>0</v>
      </c>
      <c r="T438" s="3">
        <f t="shared" si="20"/>
        <v>112501</v>
      </c>
    </row>
    <row r="439" spans="1:20" x14ac:dyDescent="0.25">
      <c r="A439" s="5" t="s">
        <v>1022</v>
      </c>
      <c r="B439" s="5">
        <v>438</v>
      </c>
      <c r="C439" s="5" t="s">
        <v>68</v>
      </c>
      <c r="D439" s="5" t="s">
        <v>1023</v>
      </c>
      <c r="E439" s="5" t="s">
        <v>284</v>
      </c>
      <c r="F439" s="6">
        <v>5400</v>
      </c>
      <c r="G439" s="7">
        <f t="shared" si="18"/>
        <v>0.1875</v>
      </c>
      <c r="H439" s="5" t="s">
        <v>34</v>
      </c>
      <c r="I439" s="5" t="s">
        <v>90</v>
      </c>
      <c r="J439" s="5" t="s">
        <v>97</v>
      </c>
      <c r="K439" s="5" t="s">
        <v>98</v>
      </c>
      <c r="L439" s="5" t="s">
        <v>109</v>
      </c>
      <c r="M439" s="5" t="s">
        <v>92</v>
      </c>
      <c r="N439" s="5" t="s">
        <v>93</v>
      </c>
      <c r="O439" s="6">
        <f>IFERROR(VLOOKUP(M439, '[1]08_CSDL_DAO_CU_VAT_LIEU'!$A$2:$F$64, 6, FALSE), 27500)</f>
        <v>74000</v>
      </c>
      <c r="P439" s="7">
        <v>2.1</v>
      </c>
      <c r="Q439" s="6">
        <f t="shared" si="19"/>
        <v>72188</v>
      </c>
      <c r="R439" s="6">
        <f>ROUND((F439/3600)*IFERROR(VLOOKUP(I439, '[1]02_DM_NHAN_SU_MAY'!$M$2:$Q$25, 5, FALSE), 39375), 0)</f>
        <v>40313</v>
      </c>
      <c r="S439" s="6">
        <v>0</v>
      </c>
      <c r="T439" s="6">
        <f t="shared" si="20"/>
        <v>112501</v>
      </c>
    </row>
    <row r="440" spans="1:20" x14ac:dyDescent="0.25">
      <c r="A440" s="2" t="s">
        <v>1024</v>
      </c>
      <c r="B440" s="2">
        <v>439</v>
      </c>
      <c r="C440" s="2" t="s">
        <v>1025</v>
      </c>
      <c r="D440" s="2" t="s">
        <v>1026</v>
      </c>
      <c r="E440" s="2" t="s">
        <v>1027</v>
      </c>
      <c r="F440" s="3">
        <v>3600</v>
      </c>
      <c r="G440" s="4">
        <f t="shared" si="18"/>
        <v>0.125</v>
      </c>
      <c r="H440" s="2" t="s">
        <v>34</v>
      </c>
      <c r="I440" s="2" t="s">
        <v>90</v>
      </c>
      <c r="J440" s="2" t="s">
        <v>56</v>
      </c>
      <c r="K440" s="2" t="s">
        <v>57</v>
      </c>
      <c r="L440" s="2" t="s">
        <v>358</v>
      </c>
      <c r="M440" s="2" t="s">
        <v>587</v>
      </c>
      <c r="N440" s="2" t="s">
        <v>588</v>
      </c>
      <c r="O440" s="3">
        <f>IFERROR(VLOOKUP(M440, '[1]08_CSDL_DAO_CU_VAT_LIEU'!$A$2:$F$64, 6, FALSE), 27500)</f>
        <v>240000</v>
      </c>
      <c r="P440" s="4">
        <v>1.68</v>
      </c>
      <c r="Q440" s="3">
        <f t="shared" si="19"/>
        <v>48125</v>
      </c>
      <c r="R440" s="3">
        <f>ROUND((F440/3600)*IFERROR(VLOOKUP(I440, '[1]02_DM_NHAN_SU_MAY'!$M$2:$Q$25, 5, FALSE), 39375), 0)</f>
        <v>26875</v>
      </c>
      <c r="S440" s="3">
        <v>0</v>
      </c>
      <c r="T440" s="3">
        <f t="shared" si="20"/>
        <v>75000</v>
      </c>
    </row>
    <row r="441" spans="1:20" x14ac:dyDescent="0.25">
      <c r="A441" s="5" t="s">
        <v>1028</v>
      </c>
      <c r="B441" s="5">
        <v>440</v>
      </c>
      <c r="C441" s="5" t="s">
        <v>1025</v>
      </c>
      <c r="D441" s="5" t="s">
        <v>1029</v>
      </c>
      <c r="E441" s="5" t="s">
        <v>1027</v>
      </c>
      <c r="F441" s="6">
        <v>3600</v>
      </c>
      <c r="G441" s="7">
        <f t="shared" si="18"/>
        <v>0.125</v>
      </c>
      <c r="H441" s="5" t="s">
        <v>34</v>
      </c>
      <c r="I441" s="5" t="s">
        <v>90</v>
      </c>
      <c r="J441" s="5" t="s">
        <v>56</v>
      </c>
      <c r="K441" s="5" t="s">
        <v>57</v>
      </c>
      <c r="L441" s="5" t="s">
        <v>358</v>
      </c>
      <c r="M441" s="5" t="s">
        <v>587</v>
      </c>
      <c r="N441" s="5" t="s">
        <v>588</v>
      </c>
      <c r="O441" s="6">
        <f>IFERROR(VLOOKUP(M441, '[1]08_CSDL_DAO_CU_VAT_LIEU'!$A$2:$F$64, 6, FALSE), 27500)</f>
        <v>240000</v>
      </c>
      <c r="P441" s="7">
        <v>1.68</v>
      </c>
      <c r="Q441" s="6">
        <f t="shared" si="19"/>
        <v>48125</v>
      </c>
      <c r="R441" s="6">
        <f>ROUND((F441/3600)*IFERROR(VLOOKUP(I441, '[1]02_DM_NHAN_SU_MAY'!$M$2:$Q$25, 5, FALSE), 39375), 0)</f>
        <v>26875</v>
      </c>
      <c r="S441" s="6">
        <v>0</v>
      </c>
      <c r="T441" s="6">
        <f t="shared" si="20"/>
        <v>75000</v>
      </c>
    </row>
    <row r="442" spans="1:20" x14ac:dyDescent="0.25">
      <c r="A442" s="2" t="s">
        <v>1030</v>
      </c>
      <c r="B442" s="2">
        <v>441</v>
      </c>
      <c r="C442" s="2" t="s">
        <v>68</v>
      </c>
      <c r="D442" s="2" t="s">
        <v>1031</v>
      </c>
      <c r="E442" s="2" t="s">
        <v>1032</v>
      </c>
      <c r="F442" s="2">
        <v>600</v>
      </c>
      <c r="G442" s="4">
        <f t="shared" si="18"/>
        <v>2.0799999999999999E-2</v>
      </c>
      <c r="H442" s="2">
        <v>1</v>
      </c>
      <c r="I442" s="2" t="s">
        <v>24</v>
      </c>
      <c r="J442" s="2" t="s">
        <v>238</v>
      </c>
      <c r="K442" s="2" t="s">
        <v>239</v>
      </c>
      <c r="L442" s="2" t="s">
        <v>285</v>
      </c>
      <c r="M442" s="2" t="s">
        <v>28</v>
      </c>
      <c r="N442" s="2" t="s">
        <v>29</v>
      </c>
      <c r="O442" s="3">
        <f>IFERROR(VLOOKUP(M442, '[1]08_CSDL_DAO_CU_VAT_LIEU'!$A$2:$F$64, 6, FALSE), 27500)</f>
        <v>27500</v>
      </c>
      <c r="P442" s="4">
        <v>0.23</v>
      </c>
      <c r="Q442" s="3">
        <f t="shared" si="19"/>
        <v>8021</v>
      </c>
      <c r="R442" s="3">
        <f>ROUND((F442/3600)*IFERROR(VLOOKUP(I442, '[1]02_DM_NHAN_SU_MAY'!$M$2:$Q$25, 5, FALSE), 39375), 0)</f>
        <v>6563</v>
      </c>
      <c r="S442" s="3">
        <v>0</v>
      </c>
      <c r="T442" s="3">
        <f t="shared" si="20"/>
        <v>14584</v>
      </c>
    </row>
    <row r="443" spans="1:20" x14ac:dyDescent="0.25">
      <c r="A443" s="5" t="s">
        <v>1033</v>
      </c>
      <c r="B443" s="5">
        <v>442</v>
      </c>
      <c r="C443" s="5" t="s">
        <v>68</v>
      </c>
      <c r="D443" s="5" t="s">
        <v>1031</v>
      </c>
      <c r="E443" s="5" t="s">
        <v>1032</v>
      </c>
      <c r="F443" s="5">
        <v>600</v>
      </c>
      <c r="G443" s="7">
        <f t="shared" si="18"/>
        <v>2.0799999999999999E-2</v>
      </c>
      <c r="H443" s="5" t="s">
        <v>34</v>
      </c>
      <c r="I443" s="5" t="s">
        <v>24</v>
      </c>
      <c r="J443" s="5" t="s">
        <v>238</v>
      </c>
      <c r="K443" s="5" t="s">
        <v>239</v>
      </c>
      <c r="L443" s="5" t="s">
        <v>285</v>
      </c>
      <c r="M443" s="5" t="s">
        <v>28</v>
      </c>
      <c r="N443" s="5" t="s">
        <v>29</v>
      </c>
      <c r="O443" s="6">
        <f>IFERROR(VLOOKUP(M443, '[1]08_CSDL_DAO_CU_VAT_LIEU'!$A$2:$F$64, 6, FALSE), 27500)</f>
        <v>27500</v>
      </c>
      <c r="P443" s="7">
        <v>0.23</v>
      </c>
      <c r="Q443" s="6">
        <f t="shared" si="19"/>
        <v>8021</v>
      </c>
      <c r="R443" s="6">
        <f>ROUND((F443/3600)*IFERROR(VLOOKUP(I443, '[1]02_DM_NHAN_SU_MAY'!$M$2:$Q$25, 5, FALSE), 39375), 0)</f>
        <v>6563</v>
      </c>
      <c r="S443" s="6">
        <v>0</v>
      </c>
      <c r="T443" s="6">
        <f t="shared" si="20"/>
        <v>14584</v>
      </c>
    </row>
    <row r="444" spans="1:20" x14ac:dyDescent="0.25">
      <c r="A444" s="2" t="s">
        <v>1034</v>
      </c>
      <c r="B444" s="2">
        <v>443</v>
      </c>
      <c r="C444" s="2" t="s">
        <v>217</v>
      </c>
      <c r="D444" s="2" t="s">
        <v>642</v>
      </c>
      <c r="E444" s="2" t="s">
        <v>1035</v>
      </c>
      <c r="F444" s="3">
        <v>2400</v>
      </c>
      <c r="G444" s="4">
        <f t="shared" si="18"/>
        <v>8.3299999999999999E-2</v>
      </c>
      <c r="H444" s="2" t="s">
        <v>34</v>
      </c>
      <c r="I444" s="2" t="s">
        <v>71</v>
      </c>
      <c r="J444" s="2" t="s">
        <v>56</v>
      </c>
      <c r="K444" s="2" t="s">
        <v>57</v>
      </c>
      <c r="L444" s="2" t="s">
        <v>58</v>
      </c>
      <c r="M444" s="2" t="s">
        <v>75</v>
      </c>
      <c r="N444" s="2" t="s">
        <v>76</v>
      </c>
      <c r="O444" s="3">
        <f>IFERROR(VLOOKUP(M444, '[1]08_CSDL_DAO_CU_VAT_LIEU'!$A$2:$F$64, 6, FALSE), 27500)</f>
        <v>42500</v>
      </c>
      <c r="P444" s="4">
        <v>1.1200000000000001</v>
      </c>
      <c r="Q444" s="3">
        <f t="shared" si="19"/>
        <v>32083</v>
      </c>
      <c r="R444" s="3">
        <f>ROUND((F444/3600)*IFERROR(VLOOKUP(I444, '[1]02_DM_NHAN_SU_MAY'!$M$2:$Q$25, 5, FALSE), 39375), 0)</f>
        <v>17917</v>
      </c>
      <c r="S444" s="3">
        <v>0</v>
      </c>
      <c r="T444" s="3">
        <f t="shared" si="20"/>
        <v>50000</v>
      </c>
    </row>
    <row r="445" spans="1:20" x14ac:dyDescent="0.25">
      <c r="A445" s="5" t="s">
        <v>1036</v>
      </c>
      <c r="B445" s="5">
        <v>444</v>
      </c>
      <c r="C445" s="5" t="s">
        <v>217</v>
      </c>
      <c r="D445" s="5" t="s">
        <v>635</v>
      </c>
      <c r="E445" s="5" t="s">
        <v>1037</v>
      </c>
      <c r="F445" s="6">
        <v>2400</v>
      </c>
      <c r="G445" s="7">
        <f t="shared" si="18"/>
        <v>8.3299999999999999E-2</v>
      </c>
      <c r="H445" s="5" t="s">
        <v>34</v>
      </c>
      <c r="I445" s="5" t="s">
        <v>24</v>
      </c>
      <c r="J445" s="5" t="s">
        <v>56</v>
      </c>
      <c r="K445" s="5" t="s">
        <v>57</v>
      </c>
      <c r="L445" s="5" t="s">
        <v>58</v>
      </c>
      <c r="M445" s="5" t="s">
        <v>49</v>
      </c>
      <c r="N445" s="5" t="s">
        <v>50</v>
      </c>
      <c r="O445" s="6">
        <f>IFERROR(VLOOKUP(M445, '[1]08_CSDL_DAO_CU_VAT_LIEU'!$A$2:$F$64, 6, FALSE), 27500)</f>
        <v>20833.330000000002</v>
      </c>
      <c r="P445" s="7">
        <v>1.1200000000000001</v>
      </c>
      <c r="Q445" s="6">
        <f t="shared" si="19"/>
        <v>32083</v>
      </c>
      <c r="R445" s="6">
        <f>ROUND((F445/3600)*IFERROR(VLOOKUP(I445, '[1]02_DM_NHAN_SU_MAY'!$M$2:$Q$25, 5, FALSE), 39375), 0)</f>
        <v>26250</v>
      </c>
      <c r="S445" s="6">
        <v>0</v>
      </c>
      <c r="T445" s="6">
        <f t="shared" si="20"/>
        <v>58333</v>
      </c>
    </row>
    <row r="446" spans="1:20" x14ac:dyDescent="0.25">
      <c r="A446" s="2" t="s">
        <v>1038</v>
      </c>
      <c r="B446" s="2">
        <v>445</v>
      </c>
      <c r="C446" s="2" t="s">
        <v>330</v>
      </c>
      <c r="D446" s="2" t="s">
        <v>1039</v>
      </c>
      <c r="E446" s="2" t="s">
        <v>1040</v>
      </c>
      <c r="F446" s="3">
        <v>3600</v>
      </c>
      <c r="G446" s="4">
        <f t="shared" si="18"/>
        <v>0.125</v>
      </c>
      <c r="H446" s="2" t="s">
        <v>34</v>
      </c>
      <c r="I446" s="2" t="s">
        <v>90</v>
      </c>
      <c r="J446" s="2" t="s">
        <v>56</v>
      </c>
      <c r="K446" s="2" t="s">
        <v>57</v>
      </c>
      <c r="L446" s="2" t="s">
        <v>358</v>
      </c>
      <c r="M446" s="2" t="s">
        <v>92</v>
      </c>
      <c r="N446" s="2" t="s">
        <v>93</v>
      </c>
      <c r="O446" s="3">
        <f>IFERROR(VLOOKUP(M446, '[1]08_CSDL_DAO_CU_VAT_LIEU'!$A$2:$F$64, 6, FALSE), 27500)</f>
        <v>74000</v>
      </c>
      <c r="P446" s="4">
        <v>1.68</v>
      </c>
      <c r="Q446" s="3">
        <f t="shared" si="19"/>
        <v>48125</v>
      </c>
      <c r="R446" s="3">
        <f>ROUND((F446/3600)*IFERROR(VLOOKUP(I446, '[1]02_DM_NHAN_SU_MAY'!$M$2:$Q$25, 5, FALSE), 39375), 0)</f>
        <v>26875</v>
      </c>
      <c r="S446" s="3">
        <v>0</v>
      </c>
      <c r="T446" s="3">
        <f t="shared" si="20"/>
        <v>75000</v>
      </c>
    </row>
    <row r="447" spans="1:20" x14ac:dyDescent="0.25">
      <c r="A447" s="5" t="s">
        <v>1041</v>
      </c>
      <c r="B447" s="5">
        <v>446</v>
      </c>
      <c r="C447" s="5" t="s">
        <v>330</v>
      </c>
      <c r="D447" s="5" t="s">
        <v>1042</v>
      </c>
      <c r="E447" s="5" t="s">
        <v>1040</v>
      </c>
      <c r="F447" s="6">
        <v>3600</v>
      </c>
      <c r="G447" s="7">
        <f t="shared" si="18"/>
        <v>0.125</v>
      </c>
      <c r="H447" s="5" t="s">
        <v>34</v>
      </c>
      <c r="I447" s="5" t="s">
        <v>90</v>
      </c>
      <c r="J447" s="5" t="s">
        <v>56</v>
      </c>
      <c r="K447" s="5" t="s">
        <v>57</v>
      </c>
      <c r="L447" s="5" t="s">
        <v>358</v>
      </c>
      <c r="M447" s="5" t="s">
        <v>92</v>
      </c>
      <c r="N447" s="5" t="s">
        <v>93</v>
      </c>
      <c r="O447" s="6">
        <f>IFERROR(VLOOKUP(M447, '[1]08_CSDL_DAO_CU_VAT_LIEU'!$A$2:$F$64, 6, FALSE), 27500)</f>
        <v>74000</v>
      </c>
      <c r="P447" s="7">
        <v>1.68</v>
      </c>
      <c r="Q447" s="6">
        <f t="shared" si="19"/>
        <v>48125</v>
      </c>
      <c r="R447" s="6">
        <f>ROUND((F447/3600)*IFERROR(VLOOKUP(I447, '[1]02_DM_NHAN_SU_MAY'!$M$2:$Q$25, 5, FALSE), 39375), 0)</f>
        <v>26875</v>
      </c>
      <c r="S447" s="6">
        <v>0</v>
      </c>
      <c r="T447" s="6">
        <f t="shared" si="20"/>
        <v>75000</v>
      </c>
    </row>
    <row r="448" spans="1:20" x14ac:dyDescent="0.25">
      <c r="A448" s="2" t="s">
        <v>1043</v>
      </c>
      <c r="B448" s="2">
        <v>447</v>
      </c>
      <c r="C448" s="2" t="s">
        <v>68</v>
      </c>
      <c r="D448" s="2" t="s">
        <v>1044</v>
      </c>
      <c r="E448" s="2" t="s">
        <v>1045</v>
      </c>
      <c r="F448" s="3">
        <v>5400</v>
      </c>
      <c r="G448" s="4">
        <f t="shared" si="18"/>
        <v>0.1875</v>
      </c>
      <c r="H448" s="2">
        <v>1</v>
      </c>
      <c r="I448" s="2" t="s">
        <v>71</v>
      </c>
      <c r="J448" s="2" t="s">
        <v>97</v>
      </c>
      <c r="K448" s="2" t="s">
        <v>98</v>
      </c>
      <c r="L448" s="2" t="s">
        <v>109</v>
      </c>
      <c r="M448" s="2" t="s">
        <v>583</v>
      </c>
      <c r="N448" s="2" t="s">
        <v>584</v>
      </c>
      <c r="O448" s="3">
        <f>IFERROR(VLOOKUP(M448, '[1]08_CSDL_DAO_CU_VAT_LIEU'!$A$2:$F$64, 6, FALSE), 27500)</f>
        <v>36250</v>
      </c>
      <c r="P448" s="4">
        <v>2.1</v>
      </c>
      <c r="Q448" s="3">
        <f t="shared" si="19"/>
        <v>72188</v>
      </c>
      <c r="R448" s="3">
        <f>ROUND((F448/3600)*IFERROR(VLOOKUP(I448, '[1]02_DM_NHAN_SU_MAY'!$M$2:$Q$25, 5, FALSE), 39375), 0)</f>
        <v>40313</v>
      </c>
      <c r="S448" s="3">
        <v>0</v>
      </c>
      <c r="T448" s="3">
        <f t="shared" si="20"/>
        <v>112501</v>
      </c>
    </row>
    <row r="449" spans="1:20" x14ac:dyDescent="0.25">
      <c r="A449" s="5" t="s">
        <v>1046</v>
      </c>
      <c r="B449" s="5">
        <v>448</v>
      </c>
      <c r="C449" s="5" t="s">
        <v>68</v>
      </c>
      <c r="D449" s="5" t="s">
        <v>1044</v>
      </c>
      <c r="E449" s="5" t="s">
        <v>1047</v>
      </c>
      <c r="F449" s="6">
        <v>5400</v>
      </c>
      <c r="G449" s="7">
        <f t="shared" si="18"/>
        <v>0.1875</v>
      </c>
      <c r="H449" s="5">
        <v>2</v>
      </c>
      <c r="I449" s="5" t="s">
        <v>24</v>
      </c>
      <c r="J449" s="5" t="s">
        <v>97</v>
      </c>
      <c r="K449" s="5" t="s">
        <v>98</v>
      </c>
      <c r="L449" s="5" t="s">
        <v>109</v>
      </c>
      <c r="M449" s="5" t="s">
        <v>49</v>
      </c>
      <c r="N449" s="5" t="s">
        <v>50</v>
      </c>
      <c r="O449" s="6">
        <f>IFERROR(VLOOKUP(M449, '[1]08_CSDL_DAO_CU_VAT_LIEU'!$A$2:$F$64, 6, FALSE), 27500)</f>
        <v>20833.330000000002</v>
      </c>
      <c r="P449" s="7">
        <v>2.1</v>
      </c>
      <c r="Q449" s="6">
        <f t="shared" si="19"/>
        <v>72188</v>
      </c>
      <c r="R449" s="6">
        <f>ROUND((F449/3600)*IFERROR(VLOOKUP(I449, '[1]02_DM_NHAN_SU_MAY'!$M$2:$Q$25, 5, FALSE), 39375), 0)</f>
        <v>59063</v>
      </c>
      <c r="S449" s="6">
        <v>0</v>
      </c>
      <c r="T449" s="6">
        <f t="shared" si="20"/>
        <v>131251</v>
      </c>
    </row>
    <row r="450" spans="1:20" x14ac:dyDescent="0.25">
      <c r="A450" s="2" t="s">
        <v>1048</v>
      </c>
      <c r="B450" s="2">
        <v>449</v>
      </c>
      <c r="C450" s="2" t="s">
        <v>68</v>
      </c>
      <c r="D450" s="2" t="s">
        <v>1044</v>
      </c>
      <c r="E450" s="2" t="s">
        <v>1049</v>
      </c>
      <c r="F450" s="3">
        <v>5400</v>
      </c>
      <c r="G450" s="4">
        <f t="shared" ref="G450:G513" si="21">ROUND(F450/28800, 4)</f>
        <v>0.1875</v>
      </c>
      <c r="H450" s="2">
        <v>3</v>
      </c>
      <c r="I450" s="2" t="s">
        <v>24</v>
      </c>
      <c r="J450" s="2" t="s">
        <v>97</v>
      </c>
      <c r="K450" s="2" t="s">
        <v>98</v>
      </c>
      <c r="L450" s="2" t="s">
        <v>109</v>
      </c>
      <c r="M450" s="2" t="s">
        <v>49</v>
      </c>
      <c r="N450" s="2" t="s">
        <v>50</v>
      </c>
      <c r="O450" s="3">
        <f>IFERROR(VLOOKUP(M450, '[1]08_CSDL_DAO_CU_VAT_LIEU'!$A$2:$F$64, 6, FALSE), 27500)</f>
        <v>20833.330000000002</v>
      </c>
      <c r="P450" s="4">
        <v>2.1</v>
      </c>
      <c r="Q450" s="3">
        <f t="shared" ref="Q450:Q513" si="22">ROUND(F450*(385000/28800), 0)</f>
        <v>72188</v>
      </c>
      <c r="R450" s="3">
        <f>ROUND((F450/3600)*IFERROR(VLOOKUP(I450, '[1]02_DM_NHAN_SU_MAY'!$M$2:$Q$25, 5, FALSE), 39375), 0)</f>
        <v>59063</v>
      </c>
      <c r="S450" s="3">
        <v>0</v>
      </c>
      <c r="T450" s="3">
        <f t="shared" ref="T450:T513" si="23">Q450+R450</f>
        <v>131251</v>
      </c>
    </row>
    <row r="451" spans="1:20" x14ac:dyDescent="0.25">
      <c r="A451" s="5" t="s">
        <v>1050</v>
      </c>
      <c r="B451" s="5">
        <v>450</v>
      </c>
      <c r="C451" s="5" t="s">
        <v>68</v>
      </c>
      <c r="D451" s="5" t="s">
        <v>1044</v>
      </c>
      <c r="E451" s="5" t="s">
        <v>1051</v>
      </c>
      <c r="F451" s="6">
        <v>5400</v>
      </c>
      <c r="G451" s="7">
        <f t="shared" si="21"/>
        <v>0.1875</v>
      </c>
      <c r="H451" s="5">
        <v>4</v>
      </c>
      <c r="I451" s="5" t="s">
        <v>24</v>
      </c>
      <c r="J451" s="5" t="s">
        <v>97</v>
      </c>
      <c r="K451" s="5" t="s">
        <v>98</v>
      </c>
      <c r="L451" s="5" t="s">
        <v>109</v>
      </c>
      <c r="M451" s="5" t="s">
        <v>49</v>
      </c>
      <c r="N451" s="5" t="s">
        <v>50</v>
      </c>
      <c r="O451" s="6">
        <f>IFERROR(VLOOKUP(M451, '[1]08_CSDL_DAO_CU_VAT_LIEU'!$A$2:$F$64, 6, FALSE), 27500)</f>
        <v>20833.330000000002</v>
      </c>
      <c r="P451" s="7">
        <v>2.1</v>
      </c>
      <c r="Q451" s="6">
        <f t="shared" si="22"/>
        <v>72188</v>
      </c>
      <c r="R451" s="6">
        <f>ROUND((F451/3600)*IFERROR(VLOOKUP(I451, '[1]02_DM_NHAN_SU_MAY'!$M$2:$Q$25, 5, FALSE), 39375), 0)</f>
        <v>59063</v>
      </c>
      <c r="S451" s="6">
        <v>0</v>
      </c>
      <c r="T451" s="6">
        <f t="shared" si="23"/>
        <v>131251</v>
      </c>
    </row>
    <row r="452" spans="1:20" x14ac:dyDescent="0.25">
      <c r="A452" s="2" t="s">
        <v>1052</v>
      </c>
      <c r="B452" s="2">
        <v>451</v>
      </c>
      <c r="C452" s="2" t="s">
        <v>68</v>
      </c>
      <c r="D452" s="2" t="s">
        <v>1044</v>
      </c>
      <c r="E452" s="2" t="s">
        <v>1053</v>
      </c>
      <c r="F452" s="3">
        <v>5400</v>
      </c>
      <c r="G452" s="4">
        <f t="shared" si="21"/>
        <v>0.1875</v>
      </c>
      <c r="H452" s="2">
        <v>5</v>
      </c>
      <c r="I452" s="2" t="s">
        <v>90</v>
      </c>
      <c r="J452" s="2" t="s">
        <v>97</v>
      </c>
      <c r="K452" s="2" t="s">
        <v>98</v>
      </c>
      <c r="L452" s="2" t="s">
        <v>109</v>
      </c>
      <c r="M452" s="2" t="s">
        <v>92</v>
      </c>
      <c r="N452" s="2" t="s">
        <v>93</v>
      </c>
      <c r="O452" s="3">
        <f>IFERROR(VLOOKUP(M452, '[1]08_CSDL_DAO_CU_VAT_LIEU'!$A$2:$F$64, 6, FALSE), 27500)</f>
        <v>74000</v>
      </c>
      <c r="P452" s="4">
        <v>2.1</v>
      </c>
      <c r="Q452" s="3">
        <f t="shared" si="22"/>
        <v>72188</v>
      </c>
      <c r="R452" s="3">
        <f>ROUND((F452/3600)*IFERROR(VLOOKUP(I452, '[1]02_DM_NHAN_SU_MAY'!$M$2:$Q$25, 5, FALSE), 39375), 0)</f>
        <v>40313</v>
      </c>
      <c r="S452" s="3">
        <v>0</v>
      </c>
      <c r="T452" s="3">
        <f t="shared" si="23"/>
        <v>112501</v>
      </c>
    </row>
    <row r="453" spans="1:20" x14ac:dyDescent="0.25">
      <c r="A453" s="5" t="s">
        <v>1054</v>
      </c>
      <c r="B453" s="5">
        <v>452</v>
      </c>
      <c r="C453" s="5" t="s">
        <v>68</v>
      </c>
      <c r="D453" s="5" t="s">
        <v>1044</v>
      </c>
      <c r="E453" s="5" t="s">
        <v>1055</v>
      </c>
      <c r="F453" s="6">
        <v>1800</v>
      </c>
      <c r="G453" s="7">
        <f t="shared" si="21"/>
        <v>6.25E-2</v>
      </c>
      <c r="H453" s="5" t="s">
        <v>34</v>
      </c>
      <c r="I453" s="5" t="s">
        <v>24</v>
      </c>
      <c r="J453" s="5" t="s">
        <v>97</v>
      </c>
      <c r="K453" s="5" t="s">
        <v>98</v>
      </c>
      <c r="L453" s="5" t="s">
        <v>109</v>
      </c>
      <c r="M453" s="5" t="s">
        <v>49</v>
      </c>
      <c r="N453" s="5" t="s">
        <v>50</v>
      </c>
      <c r="O453" s="6">
        <f>IFERROR(VLOOKUP(M453, '[1]08_CSDL_DAO_CU_VAT_LIEU'!$A$2:$F$64, 6, FALSE), 27500)</f>
        <v>20833.330000000002</v>
      </c>
      <c r="P453" s="7">
        <v>0.7</v>
      </c>
      <c r="Q453" s="6">
        <f t="shared" si="22"/>
        <v>24063</v>
      </c>
      <c r="R453" s="6">
        <f>ROUND((F453/3600)*IFERROR(VLOOKUP(I453, '[1]02_DM_NHAN_SU_MAY'!$M$2:$Q$25, 5, FALSE), 39375), 0)</f>
        <v>19688</v>
      </c>
      <c r="S453" s="6">
        <v>0</v>
      </c>
      <c r="T453" s="6">
        <f t="shared" si="23"/>
        <v>43751</v>
      </c>
    </row>
    <row r="454" spans="1:20" x14ac:dyDescent="0.25">
      <c r="A454" s="2" t="s">
        <v>1056</v>
      </c>
      <c r="B454" s="2">
        <v>453</v>
      </c>
      <c r="C454" s="2" t="s">
        <v>68</v>
      </c>
      <c r="D454" s="2" t="s">
        <v>1057</v>
      </c>
      <c r="E454" s="2" t="s">
        <v>1058</v>
      </c>
      <c r="F454" s="3">
        <v>3600</v>
      </c>
      <c r="G454" s="4">
        <f t="shared" si="21"/>
        <v>0.125</v>
      </c>
      <c r="H454" s="2">
        <v>1</v>
      </c>
      <c r="I454" s="2" t="s">
        <v>71</v>
      </c>
      <c r="J454" s="2" t="s">
        <v>72</v>
      </c>
      <c r="K454" s="2" t="s">
        <v>73</v>
      </c>
      <c r="L454" s="2" t="s">
        <v>74</v>
      </c>
      <c r="M454" s="2" t="s">
        <v>75</v>
      </c>
      <c r="N454" s="2" t="s">
        <v>76</v>
      </c>
      <c r="O454" s="3">
        <f>IFERROR(VLOOKUP(M454, '[1]08_CSDL_DAO_CU_VAT_LIEU'!$A$2:$F$64, 6, FALSE), 27500)</f>
        <v>42500</v>
      </c>
      <c r="P454" s="4">
        <v>1.4</v>
      </c>
      <c r="Q454" s="3">
        <f t="shared" si="22"/>
        <v>48125</v>
      </c>
      <c r="R454" s="3">
        <f>ROUND((F454/3600)*IFERROR(VLOOKUP(I454, '[1]02_DM_NHAN_SU_MAY'!$M$2:$Q$25, 5, FALSE), 39375), 0)</f>
        <v>26875</v>
      </c>
      <c r="S454" s="3">
        <v>0</v>
      </c>
      <c r="T454" s="3">
        <f t="shared" si="23"/>
        <v>75000</v>
      </c>
    </row>
    <row r="455" spans="1:20" x14ac:dyDescent="0.25">
      <c r="A455" s="5" t="s">
        <v>1059</v>
      </c>
      <c r="B455" s="5">
        <v>454</v>
      </c>
      <c r="C455" s="5" t="s">
        <v>68</v>
      </c>
      <c r="D455" s="5" t="s">
        <v>1057</v>
      </c>
      <c r="E455" s="5" t="s">
        <v>1060</v>
      </c>
      <c r="F455" s="6">
        <v>3600</v>
      </c>
      <c r="G455" s="7">
        <f t="shared" si="21"/>
        <v>0.125</v>
      </c>
      <c r="H455" s="5">
        <v>2</v>
      </c>
      <c r="I455" s="5" t="s">
        <v>24</v>
      </c>
      <c r="J455" s="5" t="s">
        <v>72</v>
      </c>
      <c r="K455" s="5" t="s">
        <v>73</v>
      </c>
      <c r="L455" s="5" t="s">
        <v>508</v>
      </c>
      <c r="M455" s="5" t="s">
        <v>28</v>
      </c>
      <c r="N455" s="5" t="s">
        <v>29</v>
      </c>
      <c r="O455" s="6">
        <f>IFERROR(VLOOKUP(M455, '[1]08_CSDL_DAO_CU_VAT_LIEU'!$A$2:$F$64, 6, FALSE), 27500)</f>
        <v>27500</v>
      </c>
      <c r="P455" s="7">
        <v>1.4</v>
      </c>
      <c r="Q455" s="6">
        <f t="shared" si="22"/>
        <v>48125</v>
      </c>
      <c r="R455" s="6">
        <f>ROUND((F455/3600)*IFERROR(VLOOKUP(I455, '[1]02_DM_NHAN_SU_MAY'!$M$2:$Q$25, 5, FALSE), 39375), 0)</f>
        <v>39375</v>
      </c>
      <c r="S455" s="6">
        <v>0</v>
      </c>
      <c r="T455" s="6">
        <f t="shared" si="23"/>
        <v>87500</v>
      </c>
    </row>
    <row r="456" spans="1:20" x14ac:dyDescent="0.25">
      <c r="A456" s="2" t="s">
        <v>1061</v>
      </c>
      <c r="B456" s="2">
        <v>455</v>
      </c>
      <c r="C456" s="2" t="s">
        <v>68</v>
      </c>
      <c r="D456" s="2" t="s">
        <v>1057</v>
      </c>
      <c r="E456" s="2" t="s">
        <v>1062</v>
      </c>
      <c r="F456" s="3">
        <v>1800</v>
      </c>
      <c r="G456" s="4">
        <f t="shared" si="21"/>
        <v>6.25E-2</v>
      </c>
      <c r="H456" s="2" t="s">
        <v>34</v>
      </c>
      <c r="I456" s="2" t="s">
        <v>90</v>
      </c>
      <c r="J456" s="2" t="s">
        <v>72</v>
      </c>
      <c r="K456" s="2" t="s">
        <v>73</v>
      </c>
      <c r="L456" s="2" t="s">
        <v>91</v>
      </c>
      <c r="M456" s="2" t="s">
        <v>92</v>
      </c>
      <c r="N456" s="2" t="s">
        <v>93</v>
      </c>
      <c r="O456" s="3">
        <f>IFERROR(VLOOKUP(M456, '[1]08_CSDL_DAO_CU_VAT_LIEU'!$A$2:$F$64, 6, FALSE), 27500)</f>
        <v>74000</v>
      </c>
      <c r="P456" s="4">
        <v>0.7</v>
      </c>
      <c r="Q456" s="3">
        <f t="shared" si="22"/>
        <v>24063</v>
      </c>
      <c r="R456" s="3">
        <f>ROUND((F456/3600)*IFERROR(VLOOKUP(I456, '[1]02_DM_NHAN_SU_MAY'!$M$2:$Q$25, 5, FALSE), 39375), 0)</f>
        <v>13438</v>
      </c>
      <c r="S456" s="3">
        <v>0</v>
      </c>
      <c r="T456" s="3">
        <f t="shared" si="23"/>
        <v>37501</v>
      </c>
    </row>
    <row r="457" spans="1:20" x14ac:dyDescent="0.25">
      <c r="A457" s="5" t="s">
        <v>1063</v>
      </c>
      <c r="B457" s="5">
        <v>456</v>
      </c>
      <c r="C457" s="5" t="s">
        <v>68</v>
      </c>
      <c r="D457" s="5" t="s">
        <v>1064</v>
      </c>
      <c r="E457" s="5" t="s">
        <v>1065</v>
      </c>
      <c r="F457" s="6">
        <v>3600</v>
      </c>
      <c r="G457" s="7">
        <f t="shared" si="21"/>
        <v>0.125</v>
      </c>
      <c r="H457" s="5">
        <v>1</v>
      </c>
      <c r="I457" s="5" t="s">
        <v>71</v>
      </c>
      <c r="J457" s="5" t="s">
        <v>72</v>
      </c>
      <c r="K457" s="5" t="s">
        <v>73</v>
      </c>
      <c r="L457" s="5" t="s">
        <v>74</v>
      </c>
      <c r="M457" s="5" t="s">
        <v>75</v>
      </c>
      <c r="N457" s="5" t="s">
        <v>76</v>
      </c>
      <c r="O457" s="6">
        <f>IFERROR(VLOOKUP(M457, '[1]08_CSDL_DAO_CU_VAT_LIEU'!$A$2:$F$64, 6, FALSE), 27500)</f>
        <v>42500</v>
      </c>
      <c r="P457" s="7">
        <v>1.4</v>
      </c>
      <c r="Q457" s="6">
        <f t="shared" si="22"/>
        <v>48125</v>
      </c>
      <c r="R457" s="6">
        <f>ROUND((F457/3600)*IFERROR(VLOOKUP(I457, '[1]02_DM_NHAN_SU_MAY'!$M$2:$Q$25, 5, FALSE), 39375), 0)</f>
        <v>26875</v>
      </c>
      <c r="S457" s="6">
        <v>0</v>
      </c>
      <c r="T457" s="6">
        <f t="shared" si="23"/>
        <v>75000</v>
      </c>
    </row>
    <row r="458" spans="1:20" x14ac:dyDescent="0.25">
      <c r="A458" s="2" t="s">
        <v>1066</v>
      </c>
      <c r="B458" s="2">
        <v>457</v>
      </c>
      <c r="C458" s="2" t="s">
        <v>68</v>
      </c>
      <c r="D458" s="2" t="s">
        <v>1064</v>
      </c>
      <c r="E458" s="2" t="s">
        <v>1067</v>
      </c>
      <c r="F458" s="3">
        <v>3600</v>
      </c>
      <c r="G458" s="4">
        <f t="shared" si="21"/>
        <v>0.125</v>
      </c>
      <c r="H458" s="2">
        <v>2</v>
      </c>
      <c r="I458" s="2" t="s">
        <v>24</v>
      </c>
      <c r="J458" s="2" t="s">
        <v>72</v>
      </c>
      <c r="K458" s="2" t="s">
        <v>73</v>
      </c>
      <c r="L458" s="2" t="s">
        <v>508</v>
      </c>
      <c r="M458" s="2" t="s">
        <v>28</v>
      </c>
      <c r="N458" s="2" t="s">
        <v>29</v>
      </c>
      <c r="O458" s="3">
        <f>IFERROR(VLOOKUP(M458, '[1]08_CSDL_DAO_CU_VAT_LIEU'!$A$2:$F$64, 6, FALSE), 27500)</f>
        <v>27500</v>
      </c>
      <c r="P458" s="4">
        <v>1.4</v>
      </c>
      <c r="Q458" s="3">
        <f t="shared" si="22"/>
        <v>48125</v>
      </c>
      <c r="R458" s="3">
        <f>ROUND((F458/3600)*IFERROR(VLOOKUP(I458, '[1]02_DM_NHAN_SU_MAY'!$M$2:$Q$25, 5, FALSE), 39375), 0)</f>
        <v>39375</v>
      </c>
      <c r="S458" s="3">
        <v>0</v>
      </c>
      <c r="T458" s="3">
        <f t="shared" si="23"/>
        <v>87500</v>
      </c>
    </row>
    <row r="459" spans="1:20" x14ac:dyDescent="0.25">
      <c r="A459" s="5" t="s">
        <v>1068</v>
      </c>
      <c r="B459" s="5">
        <v>458</v>
      </c>
      <c r="C459" s="5" t="s">
        <v>68</v>
      </c>
      <c r="D459" s="5" t="s">
        <v>1064</v>
      </c>
      <c r="E459" s="5" t="s">
        <v>1069</v>
      </c>
      <c r="F459" s="6">
        <v>1800</v>
      </c>
      <c r="G459" s="7">
        <f t="shared" si="21"/>
        <v>6.25E-2</v>
      </c>
      <c r="H459" s="5" t="s">
        <v>34</v>
      </c>
      <c r="I459" s="5" t="s">
        <v>90</v>
      </c>
      <c r="J459" s="5" t="s">
        <v>72</v>
      </c>
      <c r="K459" s="5" t="s">
        <v>73</v>
      </c>
      <c r="L459" s="5" t="s">
        <v>91</v>
      </c>
      <c r="M459" s="5" t="s">
        <v>92</v>
      </c>
      <c r="N459" s="5" t="s">
        <v>93</v>
      </c>
      <c r="O459" s="6">
        <f>IFERROR(VLOOKUP(M459, '[1]08_CSDL_DAO_CU_VAT_LIEU'!$A$2:$F$64, 6, FALSE), 27500)</f>
        <v>74000</v>
      </c>
      <c r="P459" s="7">
        <v>0.7</v>
      </c>
      <c r="Q459" s="6">
        <f t="shared" si="22"/>
        <v>24063</v>
      </c>
      <c r="R459" s="6">
        <f>ROUND((F459/3600)*IFERROR(VLOOKUP(I459, '[1]02_DM_NHAN_SU_MAY'!$M$2:$Q$25, 5, FALSE), 39375), 0)</f>
        <v>13438</v>
      </c>
      <c r="S459" s="6">
        <v>0</v>
      </c>
      <c r="T459" s="6">
        <f t="shared" si="23"/>
        <v>37501</v>
      </c>
    </row>
    <row r="460" spans="1:20" x14ac:dyDescent="0.25">
      <c r="A460" s="2" t="s">
        <v>1070</v>
      </c>
      <c r="B460" s="2">
        <v>459</v>
      </c>
      <c r="C460" s="2" t="s">
        <v>68</v>
      </c>
      <c r="D460" s="2" t="s">
        <v>1071</v>
      </c>
      <c r="E460" s="2" t="s">
        <v>821</v>
      </c>
      <c r="F460" s="3">
        <v>45306</v>
      </c>
      <c r="G460" s="4">
        <f t="shared" si="21"/>
        <v>1.5730999999999999</v>
      </c>
      <c r="H460" s="2" t="s">
        <v>34</v>
      </c>
      <c r="I460" s="2" t="s">
        <v>71</v>
      </c>
      <c r="J460" s="2" t="s">
        <v>97</v>
      </c>
      <c r="K460" s="2" t="s">
        <v>98</v>
      </c>
      <c r="L460" s="2" t="s">
        <v>99</v>
      </c>
      <c r="M460" s="2" t="s">
        <v>75</v>
      </c>
      <c r="N460" s="2" t="s">
        <v>76</v>
      </c>
      <c r="O460" s="3">
        <f>IFERROR(VLOOKUP(M460, '[1]08_CSDL_DAO_CU_VAT_LIEU'!$A$2:$F$64, 6, FALSE), 27500)</f>
        <v>42500</v>
      </c>
      <c r="P460" s="4">
        <v>17.62</v>
      </c>
      <c r="Q460" s="3">
        <f t="shared" si="22"/>
        <v>605653</v>
      </c>
      <c r="R460" s="3">
        <f>ROUND((F460/3600)*IFERROR(VLOOKUP(I460, '[1]02_DM_NHAN_SU_MAY'!$M$2:$Q$25, 5, FALSE), 39375), 0)</f>
        <v>338222</v>
      </c>
      <c r="S460" s="3">
        <v>0</v>
      </c>
      <c r="T460" s="3">
        <f t="shared" si="23"/>
        <v>943875</v>
      </c>
    </row>
    <row r="461" spans="1:20" x14ac:dyDescent="0.25">
      <c r="A461" s="5" t="s">
        <v>1072</v>
      </c>
      <c r="B461" s="5">
        <v>460</v>
      </c>
      <c r="C461" s="5" t="s">
        <v>68</v>
      </c>
      <c r="D461" s="5" t="s">
        <v>1073</v>
      </c>
      <c r="E461" s="5" t="s">
        <v>821</v>
      </c>
      <c r="F461" s="6">
        <v>45360</v>
      </c>
      <c r="G461" s="7">
        <f t="shared" si="21"/>
        <v>1.575</v>
      </c>
      <c r="H461" s="5" t="s">
        <v>34</v>
      </c>
      <c r="I461" s="5" t="s">
        <v>71</v>
      </c>
      <c r="J461" s="5" t="s">
        <v>97</v>
      </c>
      <c r="K461" s="5" t="s">
        <v>98</v>
      </c>
      <c r="L461" s="5" t="s">
        <v>99</v>
      </c>
      <c r="M461" s="5" t="s">
        <v>75</v>
      </c>
      <c r="N461" s="5" t="s">
        <v>76</v>
      </c>
      <c r="O461" s="6">
        <f>IFERROR(VLOOKUP(M461, '[1]08_CSDL_DAO_CU_VAT_LIEU'!$A$2:$F$64, 6, FALSE), 27500)</f>
        <v>42500</v>
      </c>
      <c r="P461" s="7">
        <v>17.64</v>
      </c>
      <c r="Q461" s="6">
        <f t="shared" si="22"/>
        <v>606375</v>
      </c>
      <c r="R461" s="6">
        <f>ROUND((F461/3600)*IFERROR(VLOOKUP(I461, '[1]02_DM_NHAN_SU_MAY'!$M$2:$Q$25, 5, FALSE), 39375), 0)</f>
        <v>338625</v>
      </c>
      <c r="S461" s="6">
        <v>0</v>
      </c>
      <c r="T461" s="6">
        <f t="shared" si="23"/>
        <v>945000</v>
      </c>
    </row>
    <row r="462" spans="1:20" x14ac:dyDescent="0.25">
      <c r="A462" s="2" t="s">
        <v>1074</v>
      </c>
      <c r="B462" s="2">
        <v>461</v>
      </c>
      <c r="C462" s="2" t="s">
        <v>68</v>
      </c>
      <c r="D462" s="2" t="s">
        <v>1075</v>
      </c>
      <c r="E462" s="2" t="s">
        <v>1076</v>
      </c>
      <c r="F462" s="3">
        <v>21600</v>
      </c>
      <c r="G462" s="4">
        <f t="shared" si="21"/>
        <v>0.75</v>
      </c>
      <c r="H462" s="2">
        <v>1</v>
      </c>
      <c r="I462" s="2" t="s">
        <v>24</v>
      </c>
      <c r="J462" s="2" t="s">
        <v>97</v>
      </c>
      <c r="K462" s="2" t="s">
        <v>98</v>
      </c>
      <c r="L462" s="2" t="s">
        <v>109</v>
      </c>
      <c r="M462" s="2" t="s">
        <v>28</v>
      </c>
      <c r="N462" s="2" t="s">
        <v>29</v>
      </c>
      <c r="O462" s="3">
        <f>IFERROR(VLOOKUP(M462, '[1]08_CSDL_DAO_CU_VAT_LIEU'!$A$2:$F$64, 6, FALSE), 27500)</f>
        <v>27500</v>
      </c>
      <c r="P462" s="4">
        <v>8.4</v>
      </c>
      <c r="Q462" s="3">
        <f t="shared" si="22"/>
        <v>288750</v>
      </c>
      <c r="R462" s="3">
        <f>ROUND((F462/3600)*IFERROR(VLOOKUP(I462, '[1]02_DM_NHAN_SU_MAY'!$M$2:$Q$25, 5, FALSE), 39375), 0)</f>
        <v>236250</v>
      </c>
      <c r="S462" s="3">
        <v>0</v>
      </c>
      <c r="T462" s="3">
        <f t="shared" si="23"/>
        <v>525000</v>
      </c>
    </row>
    <row r="463" spans="1:20" x14ac:dyDescent="0.25">
      <c r="A463" s="5" t="s">
        <v>1077</v>
      </c>
      <c r="B463" s="5">
        <v>462</v>
      </c>
      <c r="C463" s="5" t="s">
        <v>68</v>
      </c>
      <c r="D463" s="5" t="s">
        <v>1075</v>
      </c>
      <c r="E463" s="5" t="s">
        <v>1078</v>
      </c>
      <c r="F463" s="6">
        <v>3600</v>
      </c>
      <c r="G463" s="7">
        <f t="shared" si="21"/>
        <v>0.125</v>
      </c>
      <c r="H463" s="5">
        <v>2</v>
      </c>
      <c r="I463" s="5" t="s">
        <v>24</v>
      </c>
      <c r="J463" s="5" t="s">
        <v>97</v>
      </c>
      <c r="K463" s="5" t="s">
        <v>98</v>
      </c>
      <c r="L463" s="5" t="s">
        <v>109</v>
      </c>
      <c r="M463" s="5" t="s">
        <v>28</v>
      </c>
      <c r="N463" s="5" t="s">
        <v>29</v>
      </c>
      <c r="O463" s="6">
        <f>IFERROR(VLOOKUP(M463, '[1]08_CSDL_DAO_CU_VAT_LIEU'!$A$2:$F$64, 6, FALSE), 27500)</f>
        <v>27500</v>
      </c>
      <c r="P463" s="7">
        <v>1.4</v>
      </c>
      <c r="Q463" s="6">
        <f t="shared" si="22"/>
        <v>48125</v>
      </c>
      <c r="R463" s="6">
        <f>ROUND((F463/3600)*IFERROR(VLOOKUP(I463, '[1]02_DM_NHAN_SU_MAY'!$M$2:$Q$25, 5, FALSE), 39375), 0)</f>
        <v>39375</v>
      </c>
      <c r="S463" s="6">
        <v>0</v>
      </c>
      <c r="T463" s="6">
        <f t="shared" si="23"/>
        <v>87500</v>
      </c>
    </row>
    <row r="464" spans="1:20" x14ac:dyDescent="0.25">
      <c r="A464" s="2" t="s">
        <v>1079</v>
      </c>
      <c r="B464" s="2">
        <v>463</v>
      </c>
      <c r="C464" s="2" t="s">
        <v>68</v>
      </c>
      <c r="D464" s="2" t="s">
        <v>1075</v>
      </c>
      <c r="E464" s="2" t="s">
        <v>647</v>
      </c>
      <c r="F464" s="3">
        <v>3600</v>
      </c>
      <c r="G464" s="4">
        <f t="shared" si="21"/>
        <v>0.125</v>
      </c>
      <c r="H464" s="2" t="s">
        <v>34</v>
      </c>
      <c r="I464" s="2" t="s">
        <v>90</v>
      </c>
      <c r="J464" s="2" t="s">
        <v>97</v>
      </c>
      <c r="K464" s="2" t="s">
        <v>98</v>
      </c>
      <c r="L464" s="2" t="s">
        <v>143</v>
      </c>
      <c r="M464" s="2" t="s">
        <v>587</v>
      </c>
      <c r="N464" s="2" t="s">
        <v>588</v>
      </c>
      <c r="O464" s="3">
        <f>IFERROR(VLOOKUP(M464, '[1]08_CSDL_DAO_CU_VAT_LIEU'!$A$2:$F$64, 6, FALSE), 27500)</f>
        <v>240000</v>
      </c>
      <c r="P464" s="4">
        <v>1.4</v>
      </c>
      <c r="Q464" s="3">
        <f t="shared" si="22"/>
        <v>48125</v>
      </c>
      <c r="R464" s="3">
        <f>ROUND((F464/3600)*IFERROR(VLOOKUP(I464, '[1]02_DM_NHAN_SU_MAY'!$M$2:$Q$25, 5, FALSE), 39375), 0)</f>
        <v>26875</v>
      </c>
      <c r="S464" s="3">
        <v>0</v>
      </c>
      <c r="T464" s="3">
        <f t="shared" si="23"/>
        <v>75000</v>
      </c>
    </row>
    <row r="465" spans="1:20" x14ac:dyDescent="0.25">
      <c r="A465" s="5" t="s">
        <v>1080</v>
      </c>
      <c r="B465" s="5">
        <v>464</v>
      </c>
      <c r="C465" s="5" t="s">
        <v>68</v>
      </c>
      <c r="D465" s="5" t="s">
        <v>439</v>
      </c>
      <c r="E465" s="5" t="s">
        <v>1081</v>
      </c>
      <c r="F465" s="6">
        <v>7200</v>
      </c>
      <c r="G465" s="7">
        <f t="shared" si="21"/>
        <v>0.25</v>
      </c>
      <c r="H465" s="5">
        <v>4</v>
      </c>
      <c r="I465" s="5" t="s">
        <v>24</v>
      </c>
      <c r="J465" s="5" t="s">
        <v>97</v>
      </c>
      <c r="K465" s="5" t="s">
        <v>98</v>
      </c>
      <c r="L465" s="5" t="s">
        <v>109</v>
      </c>
      <c r="M465" s="5" t="s">
        <v>138</v>
      </c>
      <c r="N465" s="5" t="s">
        <v>139</v>
      </c>
      <c r="O465" s="6">
        <f>IFERROR(VLOOKUP(M465, '[1]08_CSDL_DAO_CU_VAT_LIEU'!$A$2:$F$64, 6, FALSE), 27500)</f>
        <v>32500</v>
      </c>
      <c r="P465" s="7">
        <v>2.8</v>
      </c>
      <c r="Q465" s="6">
        <f t="shared" si="22"/>
        <v>96250</v>
      </c>
      <c r="R465" s="6">
        <f>ROUND((F465/3600)*IFERROR(VLOOKUP(I465, '[1]02_DM_NHAN_SU_MAY'!$M$2:$Q$25, 5, FALSE), 39375), 0)</f>
        <v>78750</v>
      </c>
      <c r="S465" s="6">
        <v>0</v>
      </c>
      <c r="T465" s="6">
        <f t="shared" si="23"/>
        <v>175000</v>
      </c>
    </row>
    <row r="466" spans="1:20" x14ac:dyDescent="0.25">
      <c r="A466" s="2" t="s">
        <v>1082</v>
      </c>
      <c r="B466" s="2">
        <v>465</v>
      </c>
      <c r="C466" s="2" t="s">
        <v>68</v>
      </c>
      <c r="D466" s="2" t="s">
        <v>439</v>
      </c>
      <c r="E466" s="2" t="s">
        <v>1083</v>
      </c>
      <c r="F466" s="3">
        <v>4114</v>
      </c>
      <c r="G466" s="4">
        <f t="shared" si="21"/>
        <v>0.14280000000000001</v>
      </c>
      <c r="H466" s="2">
        <v>5</v>
      </c>
      <c r="I466" s="2" t="s">
        <v>90</v>
      </c>
      <c r="J466" s="2" t="s">
        <v>97</v>
      </c>
      <c r="K466" s="2" t="s">
        <v>98</v>
      </c>
      <c r="L466" s="2" t="s">
        <v>1084</v>
      </c>
      <c r="M466" s="2" t="s">
        <v>661</v>
      </c>
      <c r="N466" s="2" t="s">
        <v>662</v>
      </c>
      <c r="O466" s="3">
        <f>IFERROR(VLOOKUP(M466, '[1]08_CSDL_DAO_CU_VAT_LIEU'!$A$2:$F$64, 6, FALSE), 27500)</f>
        <v>180000</v>
      </c>
      <c r="P466" s="4">
        <v>1.6</v>
      </c>
      <c r="Q466" s="3">
        <f t="shared" si="22"/>
        <v>54996</v>
      </c>
      <c r="R466" s="3">
        <f>ROUND((F466/3600)*IFERROR(VLOOKUP(I466, '[1]02_DM_NHAN_SU_MAY'!$M$2:$Q$25, 5, FALSE), 39375), 0)</f>
        <v>30712</v>
      </c>
      <c r="S466" s="3">
        <v>0</v>
      </c>
      <c r="T466" s="3">
        <f t="shared" si="23"/>
        <v>85708</v>
      </c>
    </row>
    <row r="467" spans="1:20" x14ac:dyDescent="0.25">
      <c r="A467" s="5" t="s">
        <v>1085</v>
      </c>
      <c r="B467" s="5">
        <v>466</v>
      </c>
      <c r="C467" s="5" t="s">
        <v>68</v>
      </c>
      <c r="D467" s="5" t="s">
        <v>439</v>
      </c>
      <c r="E467" s="5" t="s">
        <v>115</v>
      </c>
      <c r="F467" s="6">
        <v>9600</v>
      </c>
      <c r="G467" s="7">
        <f t="shared" si="21"/>
        <v>0.33329999999999999</v>
      </c>
      <c r="H467" s="5" t="s">
        <v>34</v>
      </c>
      <c r="I467" s="5" t="s">
        <v>55</v>
      </c>
      <c r="J467" s="5" t="s">
        <v>97</v>
      </c>
      <c r="K467" s="5" t="s">
        <v>98</v>
      </c>
      <c r="L467" s="5" t="s">
        <v>109</v>
      </c>
      <c r="M467" s="5" t="s">
        <v>49</v>
      </c>
      <c r="N467" s="5" t="s">
        <v>50</v>
      </c>
      <c r="O467" s="6">
        <f>IFERROR(VLOOKUP(M467, '[1]08_CSDL_DAO_CU_VAT_LIEU'!$A$2:$F$64, 6, FALSE), 27500)</f>
        <v>20833.330000000002</v>
      </c>
      <c r="P467" s="7">
        <v>3.73</v>
      </c>
      <c r="Q467" s="6">
        <f t="shared" si="22"/>
        <v>128333</v>
      </c>
      <c r="R467" s="6">
        <f>ROUND((F467/3600)*IFERROR(VLOOKUP(I467, '[1]02_DM_NHAN_SU_MAY'!$M$2:$Q$25, 5, FALSE), 39375), 0)</f>
        <v>38333</v>
      </c>
      <c r="S467" s="6">
        <v>0</v>
      </c>
      <c r="T467" s="6">
        <f t="shared" si="23"/>
        <v>166666</v>
      </c>
    </row>
    <row r="468" spans="1:20" x14ac:dyDescent="0.25">
      <c r="A468" s="2" t="s">
        <v>1086</v>
      </c>
      <c r="B468" s="2">
        <v>467</v>
      </c>
      <c r="C468" s="2" t="s">
        <v>68</v>
      </c>
      <c r="D468" s="2" t="s">
        <v>1087</v>
      </c>
      <c r="E468" s="2" t="s">
        <v>821</v>
      </c>
      <c r="F468" s="3">
        <v>86400</v>
      </c>
      <c r="G468" s="4">
        <f t="shared" si="21"/>
        <v>3</v>
      </c>
      <c r="H468" s="2" t="s">
        <v>34</v>
      </c>
      <c r="I468" s="2" t="s">
        <v>71</v>
      </c>
      <c r="J468" s="2" t="s">
        <v>56</v>
      </c>
      <c r="K468" s="2" t="s">
        <v>57</v>
      </c>
      <c r="L468" s="2" t="s">
        <v>636</v>
      </c>
      <c r="M468" s="2" t="s">
        <v>75</v>
      </c>
      <c r="N468" s="2" t="s">
        <v>76</v>
      </c>
      <c r="O468" s="3">
        <f>IFERROR(VLOOKUP(M468, '[1]08_CSDL_DAO_CU_VAT_LIEU'!$A$2:$F$64, 6, FALSE), 27500)</f>
        <v>42500</v>
      </c>
      <c r="P468" s="4">
        <v>40.32</v>
      </c>
      <c r="Q468" s="3">
        <f t="shared" si="22"/>
        <v>1155000</v>
      </c>
      <c r="R468" s="3">
        <f>ROUND((F468/3600)*IFERROR(VLOOKUP(I468, '[1]02_DM_NHAN_SU_MAY'!$M$2:$Q$25, 5, FALSE), 39375), 0)</f>
        <v>645000</v>
      </c>
      <c r="S468" s="3">
        <v>0</v>
      </c>
      <c r="T468" s="3">
        <f t="shared" si="23"/>
        <v>1800000</v>
      </c>
    </row>
    <row r="469" spans="1:20" x14ac:dyDescent="0.25">
      <c r="A469" s="5" t="s">
        <v>1088</v>
      </c>
      <c r="B469" s="5">
        <v>468</v>
      </c>
      <c r="C469" s="5" t="s">
        <v>1089</v>
      </c>
      <c r="D469" s="5" t="s">
        <v>1090</v>
      </c>
      <c r="E469" s="5" t="s">
        <v>1091</v>
      </c>
      <c r="F469" s="6">
        <v>12600</v>
      </c>
      <c r="G469" s="7">
        <f t="shared" si="21"/>
        <v>0.4375</v>
      </c>
      <c r="H469" s="5">
        <v>1</v>
      </c>
      <c r="I469" s="5" t="s">
        <v>71</v>
      </c>
      <c r="J469" s="5" t="s">
        <v>56</v>
      </c>
      <c r="K469" s="5" t="s">
        <v>57</v>
      </c>
      <c r="L469" s="5" t="s">
        <v>636</v>
      </c>
      <c r="M469" s="5" t="s">
        <v>75</v>
      </c>
      <c r="N469" s="5" t="s">
        <v>76</v>
      </c>
      <c r="O469" s="6">
        <f>IFERROR(VLOOKUP(M469, '[1]08_CSDL_DAO_CU_VAT_LIEU'!$A$2:$F$64, 6, FALSE), 27500)</f>
        <v>42500</v>
      </c>
      <c r="P469" s="7">
        <v>5.88</v>
      </c>
      <c r="Q469" s="6">
        <f t="shared" si="22"/>
        <v>168438</v>
      </c>
      <c r="R469" s="6">
        <f>ROUND((F469/3600)*IFERROR(VLOOKUP(I469, '[1]02_DM_NHAN_SU_MAY'!$M$2:$Q$25, 5, FALSE), 39375), 0)</f>
        <v>94063</v>
      </c>
      <c r="S469" s="6">
        <v>0</v>
      </c>
      <c r="T469" s="6">
        <f t="shared" si="23"/>
        <v>262501</v>
      </c>
    </row>
    <row r="470" spans="1:20" x14ac:dyDescent="0.25">
      <c r="A470" s="2" t="s">
        <v>1092</v>
      </c>
      <c r="B470" s="2">
        <v>469</v>
      </c>
      <c r="C470" s="2" t="s">
        <v>1089</v>
      </c>
      <c r="D470" s="2" t="s">
        <v>1090</v>
      </c>
      <c r="E470" s="2" t="s">
        <v>1093</v>
      </c>
      <c r="F470" s="3">
        <v>12600</v>
      </c>
      <c r="G470" s="4">
        <f t="shared" si="21"/>
        <v>0.4375</v>
      </c>
      <c r="H470" s="2">
        <v>2</v>
      </c>
      <c r="I470" s="2" t="s">
        <v>71</v>
      </c>
      <c r="J470" s="2" t="s">
        <v>56</v>
      </c>
      <c r="K470" s="2" t="s">
        <v>57</v>
      </c>
      <c r="L470" s="2" t="s">
        <v>636</v>
      </c>
      <c r="M470" s="2" t="s">
        <v>75</v>
      </c>
      <c r="N470" s="2" t="s">
        <v>76</v>
      </c>
      <c r="O470" s="3">
        <f>IFERROR(VLOOKUP(M470, '[1]08_CSDL_DAO_CU_VAT_LIEU'!$A$2:$F$64, 6, FALSE), 27500)</f>
        <v>42500</v>
      </c>
      <c r="P470" s="4">
        <v>5.88</v>
      </c>
      <c r="Q470" s="3">
        <f t="shared" si="22"/>
        <v>168438</v>
      </c>
      <c r="R470" s="3">
        <f>ROUND((F470/3600)*IFERROR(VLOOKUP(I470, '[1]02_DM_NHAN_SU_MAY'!$M$2:$Q$25, 5, FALSE), 39375), 0)</f>
        <v>94063</v>
      </c>
      <c r="S470" s="3">
        <v>0</v>
      </c>
      <c r="T470" s="3">
        <f t="shared" si="23"/>
        <v>262501</v>
      </c>
    </row>
    <row r="471" spans="1:20" x14ac:dyDescent="0.25">
      <c r="A471" s="5" t="s">
        <v>1094</v>
      </c>
      <c r="B471" s="5">
        <v>470</v>
      </c>
      <c r="C471" s="5" t="s">
        <v>1089</v>
      </c>
      <c r="D471" s="5" t="s">
        <v>1090</v>
      </c>
      <c r="E471" s="5" t="s">
        <v>1095</v>
      </c>
      <c r="F471" s="6">
        <v>12600</v>
      </c>
      <c r="G471" s="7">
        <f t="shared" si="21"/>
        <v>0.4375</v>
      </c>
      <c r="H471" s="5">
        <v>3</v>
      </c>
      <c r="I471" s="5" t="s">
        <v>71</v>
      </c>
      <c r="J471" s="5" t="s">
        <v>56</v>
      </c>
      <c r="K471" s="5" t="s">
        <v>57</v>
      </c>
      <c r="L471" s="5" t="s">
        <v>636</v>
      </c>
      <c r="M471" s="5" t="s">
        <v>75</v>
      </c>
      <c r="N471" s="5" t="s">
        <v>76</v>
      </c>
      <c r="O471" s="6">
        <f>IFERROR(VLOOKUP(M471, '[1]08_CSDL_DAO_CU_VAT_LIEU'!$A$2:$F$64, 6, FALSE), 27500)</f>
        <v>42500</v>
      </c>
      <c r="P471" s="7">
        <v>5.88</v>
      </c>
      <c r="Q471" s="6">
        <f t="shared" si="22"/>
        <v>168438</v>
      </c>
      <c r="R471" s="6">
        <f>ROUND((F471/3600)*IFERROR(VLOOKUP(I471, '[1]02_DM_NHAN_SU_MAY'!$M$2:$Q$25, 5, FALSE), 39375), 0)</f>
        <v>94063</v>
      </c>
      <c r="S471" s="6">
        <v>0</v>
      </c>
      <c r="T471" s="6">
        <f t="shared" si="23"/>
        <v>262501</v>
      </c>
    </row>
    <row r="472" spans="1:20" x14ac:dyDescent="0.25">
      <c r="A472" s="2" t="s">
        <v>1096</v>
      </c>
      <c r="B472" s="2">
        <v>471</v>
      </c>
      <c r="C472" s="2" t="s">
        <v>1089</v>
      </c>
      <c r="D472" s="2" t="s">
        <v>1090</v>
      </c>
      <c r="E472" s="2" t="s">
        <v>1097</v>
      </c>
      <c r="F472" s="3">
        <v>12600</v>
      </c>
      <c r="G472" s="4">
        <f t="shared" si="21"/>
        <v>0.4375</v>
      </c>
      <c r="H472" s="2">
        <v>4</v>
      </c>
      <c r="I472" s="2" t="s">
        <v>71</v>
      </c>
      <c r="J472" s="2" t="s">
        <v>56</v>
      </c>
      <c r="K472" s="2" t="s">
        <v>57</v>
      </c>
      <c r="L472" s="2" t="s">
        <v>636</v>
      </c>
      <c r="M472" s="2" t="s">
        <v>75</v>
      </c>
      <c r="N472" s="2" t="s">
        <v>76</v>
      </c>
      <c r="O472" s="3">
        <f>IFERROR(VLOOKUP(M472, '[1]08_CSDL_DAO_CU_VAT_LIEU'!$A$2:$F$64, 6, FALSE), 27500)</f>
        <v>42500</v>
      </c>
      <c r="P472" s="4">
        <v>5.88</v>
      </c>
      <c r="Q472" s="3">
        <f t="shared" si="22"/>
        <v>168438</v>
      </c>
      <c r="R472" s="3">
        <f>ROUND((F472/3600)*IFERROR(VLOOKUP(I472, '[1]02_DM_NHAN_SU_MAY'!$M$2:$Q$25, 5, FALSE), 39375), 0)</f>
        <v>94063</v>
      </c>
      <c r="S472" s="3">
        <v>0</v>
      </c>
      <c r="T472" s="3">
        <f t="shared" si="23"/>
        <v>262501</v>
      </c>
    </row>
    <row r="473" spans="1:20" x14ac:dyDescent="0.25">
      <c r="A473" s="5" t="s">
        <v>1098</v>
      </c>
      <c r="B473" s="5">
        <v>472</v>
      </c>
      <c r="C473" s="5" t="s">
        <v>1089</v>
      </c>
      <c r="D473" s="5" t="s">
        <v>1090</v>
      </c>
      <c r="E473" s="5" t="s">
        <v>1099</v>
      </c>
      <c r="F473" s="6">
        <v>12600</v>
      </c>
      <c r="G473" s="7">
        <f t="shared" si="21"/>
        <v>0.4375</v>
      </c>
      <c r="H473" s="5">
        <v>5</v>
      </c>
      <c r="I473" s="5" t="s">
        <v>71</v>
      </c>
      <c r="J473" s="5" t="s">
        <v>56</v>
      </c>
      <c r="K473" s="5" t="s">
        <v>57</v>
      </c>
      <c r="L473" s="5" t="s">
        <v>636</v>
      </c>
      <c r="M473" s="5" t="s">
        <v>75</v>
      </c>
      <c r="N473" s="5" t="s">
        <v>76</v>
      </c>
      <c r="O473" s="6">
        <f>IFERROR(VLOOKUP(M473, '[1]08_CSDL_DAO_CU_VAT_LIEU'!$A$2:$F$64, 6, FALSE), 27500)</f>
        <v>42500</v>
      </c>
      <c r="P473" s="7">
        <v>5.88</v>
      </c>
      <c r="Q473" s="6">
        <f t="shared" si="22"/>
        <v>168438</v>
      </c>
      <c r="R473" s="6">
        <f>ROUND((F473/3600)*IFERROR(VLOOKUP(I473, '[1]02_DM_NHAN_SU_MAY'!$M$2:$Q$25, 5, FALSE), 39375), 0)</f>
        <v>94063</v>
      </c>
      <c r="S473" s="6">
        <v>0</v>
      </c>
      <c r="T473" s="6">
        <f t="shared" si="23"/>
        <v>262501</v>
      </c>
    </row>
    <row r="474" spans="1:20" x14ac:dyDescent="0.25">
      <c r="A474" s="2" t="s">
        <v>1100</v>
      </c>
      <c r="B474" s="2">
        <v>473</v>
      </c>
      <c r="C474" s="2" t="s">
        <v>1089</v>
      </c>
      <c r="D474" s="2" t="s">
        <v>1090</v>
      </c>
      <c r="E474" s="2" t="s">
        <v>1101</v>
      </c>
      <c r="F474" s="3">
        <v>12600</v>
      </c>
      <c r="G474" s="4">
        <f t="shared" si="21"/>
        <v>0.4375</v>
      </c>
      <c r="H474" s="2">
        <v>6</v>
      </c>
      <c r="I474" s="2" t="s">
        <v>71</v>
      </c>
      <c r="J474" s="2" t="s">
        <v>56</v>
      </c>
      <c r="K474" s="2" t="s">
        <v>57</v>
      </c>
      <c r="L474" s="2" t="s">
        <v>636</v>
      </c>
      <c r="M474" s="2" t="s">
        <v>75</v>
      </c>
      <c r="N474" s="2" t="s">
        <v>76</v>
      </c>
      <c r="O474" s="3">
        <f>IFERROR(VLOOKUP(M474, '[1]08_CSDL_DAO_CU_VAT_LIEU'!$A$2:$F$64, 6, FALSE), 27500)</f>
        <v>42500</v>
      </c>
      <c r="P474" s="4">
        <v>5.88</v>
      </c>
      <c r="Q474" s="3">
        <f t="shared" si="22"/>
        <v>168438</v>
      </c>
      <c r="R474" s="3">
        <f>ROUND((F474/3600)*IFERROR(VLOOKUP(I474, '[1]02_DM_NHAN_SU_MAY'!$M$2:$Q$25, 5, FALSE), 39375), 0)</f>
        <v>94063</v>
      </c>
      <c r="S474" s="3">
        <v>0</v>
      </c>
      <c r="T474" s="3">
        <f t="shared" si="23"/>
        <v>262501</v>
      </c>
    </row>
    <row r="475" spans="1:20" x14ac:dyDescent="0.25">
      <c r="A475" s="5" t="s">
        <v>1102</v>
      </c>
      <c r="B475" s="5">
        <v>474</v>
      </c>
      <c r="C475" s="5" t="s">
        <v>1089</v>
      </c>
      <c r="D475" s="5" t="s">
        <v>1090</v>
      </c>
      <c r="E475" s="5" t="s">
        <v>1103</v>
      </c>
      <c r="F475" s="6">
        <v>12600</v>
      </c>
      <c r="G475" s="7">
        <f t="shared" si="21"/>
        <v>0.4375</v>
      </c>
      <c r="H475" s="5">
        <v>7</v>
      </c>
      <c r="I475" s="5" t="s">
        <v>71</v>
      </c>
      <c r="J475" s="5" t="s">
        <v>56</v>
      </c>
      <c r="K475" s="5" t="s">
        <v>57</v>
      </c>
      <c r="L475" s="5" t="s">
        <v>636</v>
      </c>
      <c r="M475" s="5" t="s">
        <v>75</v>
      </c>
      <c r="N475" s="5" t="s">
        <v>76</v>
      </c>
      <c r="O475" s="6">
        <f>IFERROR(VLOOKUP(M475, '[1]08_CSDL_DAO_CU_VAT_LIEU'!$A$2:$F$64, 6, FALSE), 27500)</f>
        <v>42500</v>
      </c>
      <c r="P475" s="7">
        <v>5.88</v>
      </c>
      <c r="Q475" s="6">
        <f t="shared" si="22"/>
        <v>168438</v>
      </c>
      <c r="R475" s="6">
        <f>ROUND((F475/3600)*IFERROR(VLOOKUP(I475, '[1]02_DM_NHAN_SU_MAY'!$M$2:$Q$25, 5, FALSE), 39375), 0)</f>
        <v>94063</v>
      </c>
      <c r="S475" s="6">
        <v>0</v>
      </c>
      <c r="T475" s="6">
        <f t="shared" si="23"/>
        <v>262501</v>
      </c>
    </row>
    <row r="476" spans="1:20" x14ac:dyDescent="0.25">
      <c r="A476" s="2" t="s">
        <v>1104</v>
      </c>
      <c r="B476" s="2">
        <v>475</v>
      </c>
      <c r="C476" s="2" t="s">
        <v>1089</v>
      </c>
      <c r="D476" s="2" t="s">
        <v>1090</v>
      </c>
      <c r="E476" s="2" t="s">
        <v>1105</v>
      </c>
      <c r="F476" s="3">
        <v>12600</v>
      </c>
      <c r="G476" s="4">
        <f t="shared" si="21"/>
        <v>0.4375</v>
      </c>
      <c r="H476" s="2">
        <v>8</v>
      </c>
      <c r="I476" s="2" t="s">
        <v>71</v>
      </c>
      <c r="J476" s="2" t="s">
        <v>56</v>
      </c>
      <c r="K476" s="2" t="s">
        <v>57</v>
      </c>
      <c r="L476" s="2" t="s">
        <v>636</v>
      </c>
      <c r="M476" s="2" t="s">
        <v>75</v>
      </c>
      <c r="N476" s="2" t="s">
        <v>76</v>
      </c>
      <c r="O476" s="3">
        <f>IFERROR(VLOOKUP(M476, '[1]08_CSDL_DAO_CU_VAT_LIEU'!$A$2:$F$64, 6, FALSE), 27500)</f>
        <v>42500</v>
      </c>
      <c r="P476" s="4">
        <v>5.88</v>
      </c>
      <c r="Q476" s="3">
        <f t="shared" si="22"/>
        <v>168438</v>
      </c>
      <c r="R476" s="3">
        <f>ROUND((F476/3600)*IFERROR(VLOOKUP(I476, '[1]02_DM_NHAN_SU_MAY'!$M$2:$Q$25, 5, FALSE), 39375), 0)</f>
        <v>94063</v>
      </c>
      <c r="S476" s="3">
        <v>0</v>
      </c>
      <c r="T476" s="3">
        <f t="shared" si="23"/>
        <v>262501</v>
      </c>
    </row>
    <row r="477" spans="1:20" x14ac:dyDescent="0.25">
      <c r="A477" s="5" t="s">
        <v>1106</v>
      </c>
      <c r="B477" s="5">
        <v>476</v>
      </c>
      <c r="C477" s="5" t="s">
        <v>1089</v>
      </c>
      <c r="D477" s="5" t="s">
        <v>1090</v>
      </c>
      <c r="E477" s="5" t="s">
        <v>1107</v>
      </c>
      <c r="F477" s="6">
        <v>28800</v>
      </c>
      <c r="G477" s="7">
        <f t="shared" si="21"/>
        <v>1</v>
      </c>
      <c r="H477" s="5" t="s">
        <v>34</v>
      </c>
      <c r="I477" s="5" t="s">
        <v>71</v>
      </c>
      <c r="J477" s="5" t="s">
        <v>56</v>
      </c>
      <c r="K477" s="5" t="s">
        <v>57</v>
      </c>
      <c r="L477" s="5" t="s">
        <v>636</v>
      </c>
      <c r="M477" s="5" t="s">
        <v>75</v>
      </c>
      <c r="N477" s="5" t="s">
        <v>76</v>
      </c>
      <c r="O477" s="6">
        <f>IFERROR(VLOOKUP(M477, '[1]08_CSDL_DAO_CU_VAT_LIEU'!$A$2:$F$64, 6, FALSE), 27500)</f>
        <v>42500</v>
      </c>
      <c r="P477" s="7">
        <v>13.44</v>
      </c>
      <c r="Q477" s="6">
        <f t="shared" si="22"/>
        <v>385000</v>
      </c>
      <c r="R477" s="6">
        <f>ROUND((F477/3600)*IFERROR(VLOOKUP(I477, '[1]02_DM_NHAN_SU_MAY'!$M$2:$Q$25, 5, FALSE), 39375), 0)</f>
        <v>215000</v>
      </c>
      <c r="S477" s="6">
        <v>0</v>
      </c>
      <c r="T477" s="6">
        <f t="shared" si="23"/>
        <v>600000</v>
      </c>
    </row>
    <row r="478" spans="1:20" x14ac:dyDescent="0.25">
      <c r="A478" s="2" t="s">
        <v>1108</v>
      </c>
      <c r="B478" s="2">
        <v>477</v>
      </c>
      <c r="C478" s="2" t="s">
        <v>68</v>
      </c>
      <c r="D478" s="2" t="s">
        <v>1109</v>
      </c>
      <c r="E478" s="2" t="s">
        <v>1110</v>
      </c>
      <c r="F478" s="3">
        <v>10800</v>
      </c>
      <c r="G478" s="4">
        <f t="shared" si="21"/>
        <v>0.375</v>
      </c>
      <c r="H478" s="2">
        <v>1</v>
      </c>
      <c r="I478" s="2" t="s">
        <v>71</v>
      </c>
      <c r="J478" s="2" t="s">
        <v>72</v>
      </c>
      <c r="K478" s="2" t="s">
        <v>73</v>
      </c>
      <c r="L478" s="2" t="s">
        <v>74</v>
      </c>
      <c r="M478" s="2" t="s">
        <v>75</v>
      </c>
      <c r="N478" s="2" t="s">
        <v>76</v>
      </c>
      <c r="O478" s="3">
        <f>IFERROR(VLOOKUP(M478, '[1]08_CSDL_DAO_CU_VAT_LIEU'!$A$2:$F$64, 6, FALSE), 27500)</f>
        <v>42500</v>
      </c>
      <c r="P478" s="4">
        <v>4.2</v>
      </c>
      <c r="Q478" s="3">
        <f t="shared" si="22"/>
        <v>144375</v>
      </c>
      <c r="R478" s="3">
        <f>ROUND((F478/3600)*IFERROR(VLOOKUP(I478, '[1]02_DM_NHAN_SU_MAY'!$M$2:$Q$25, 5, FALSE), 39375), 0)</f>
        <v>80625</v>
      </c>
      <c r="S478" s="3">
        <v>0</v>
      </c>
      <c r="T478" s="3">
        <f t="shared" si="23"/>
        <v>225000</v>
      </c>
    </row>
    <row r="479" spans="1:20" x14ac:dyDescent="0.25">
      <c r="A479" s="5" t="s">
        <v>1111</v>
      </c>
      <c r="B479" s="5">
        <v>478</v>
      </c>
      <c r="C479" s="5" t="s">
        <v>68</v>
      </c>
      <c r="D479" s="5" t="s">
        <v>1109</v>
      </c>
      <c r="E479" s="5" t="s">
        <v>1112</v>
      </c>
      <c r="F479" s="6">
        <v>10800</v>
      </c>
      <c r="G479" s="7">
        <f t="shared" si="21"/>
        <v>0.375</v>
      </c>
      <c r="H479" s="5">
        <v>2</v>
      </c>
      <c r="I479" s="5" t="s">
        <v>71</v>
      </c>
      <c r="J479" s="5" t="s">
        <v>72</v>
      </c>
      <c r="K479" s="5" t="s">
        <v>73</v>
      </c>
      <c r="L479" s="5" t="s">
        <v>74</v>
      </c>
      <c r="M479" s="5" t="s">
        <v>75</v>
      </c>
      <c r="N479" s="5" t="s">
        <v>76</v>
      </c>
      <c r="O479" s="6">
        <f>IFERROR(VLOOKUP(M479, '[1]08_CSDL_DAO_CU_VAT_LIEU'!$A$2:$F$64, 6, FALSE), 27500)</f>
        <v>42500</v>
      </c>
      <c r="P479" s="7">
        <v>4.2</v>
      </c>
      <c r="Q479" s="6">
        <f t="shared" si="22"/>
        <v>144375</v>
      </c>
      <c r="R479" s="6">
        <f>ROUND((F479/3600)*IFERROR(VLOOKUP(I479, '[1]02_DM_NHAN_SU_MAY'!$M$2:$Q$25, 5, FALSE), 39375), 0)</f>
        <v>80625</v>
      </c>
      <c r="S479" s="6">
        <v>0</v>
      </c>
      <c r="T479" s="6">
        <f t="shared" si="23"/>
        <v>225000</v>
      </c>
    </row>
    <row r="480" spans="1:20" x14ac:dyDescent="0.25">
      <c r="A480" s="2" t="s">
        <v>1113</v>
      </c>
      <c r="B480" s="2">
        <v>479</v>
      </c>
      <c r="C480" s="2" t="s">
        <v>68</v>
      </c>
      <c r="D480" s="2" t="s">
        <v>1109</v>
      </c>
      <c r="E480" s="2" t="s">
        <v>1114</v>
      </c>
      <c r="F480" s="3">
        <v>10800</v>
      </c>
      <c r="G480" s="4">
        <f t="shared" si="21"/>
        <v>0.375</v>
      </c>
      <c r="H480" s="2">
        <v>3</v>
      </c>
      <c r="I480" s="2" t="s">
        <v>24</v>
      </c>
      <c r="J480" s="2" t="s">
        <v>72</v>
      </c>
      <c r="K480" s="2" t="s">
        <v>73</v>
      </c>
      <c r="L480" s="2" t="s">
        <v>508</v>
      </c>
      <c r="M480" s="2" t="s">
        <v>28</v>
      </c>
      <c r="N480" s="2" t="s">
        <v>29</v>
      </c>
      <c r="O480" s="3">
        <f>IFERROR(VLOOKUP(M480, '[1]08_CSDL_DAO_CU_VAT_LIEU'!$A$2:$F$64, 6, FALSE), 27500)</f>
        <v>27500</v>
      </c>
      <c r="P480" s="4">
        <v>4.2</v>
      </c>
      <c r="Q480" s="3">
        <f t="shared" si="22"/>
        <v>144375</v>
      </c>
      <c r="R480" s="3">
        <f>ROUND((F480/3600)*IFERROR(VLOOKUP(I480, '[1]02_DM_NHAN_SU_MAY'!$M$2:$Q$25, 5, FALSE), 39375), 0)</f>
        <v>118125</v>
      </c>
      <c r="S480" s="3">
        <v>0</v>
      </c>
      <c r="T480" s="3">
        <f t="shared" si="23"/>
        <v>262500</v>
      </c>
    </row>
    <row r="481" spans="1:20" x14ac:dyDescent="0.25">
      <c r="A481" s="5" t="s">
        <v>1115</v>
      </c>
      <c r="B481" s="5">
        <v>480</v>
      </c>
      <c r="C481" s="5" t="s">
        <v>68</v>
      </c>
      <c r="D481" s="5" t="s">
        <v>1109</v>
      </c>
      <c r="E481" s="5" t="s">
        <v>1116</v>
      </c>
      <c r="F481" s="6">
        <v>10800</v>
      </c>
      <c r="G481" s="7">
        <f t="shared" si="21"/>
        <v>0.375</v>
      </c>
      <c r="H481" s="5">
        <v>4</v>
      </c>
      <c r="I481" s="5" t="s">
        <v>24</v>
      </c>
      <c r="J481" s="5" t="s">
        <v>72</v>
      </c>
      <c r="K481" s="5" t="s">
        <v>73</v>
      </c>
      <c r="L481" s="5" t="s">
        <v>508</v>
      </c>
      <c r="M481" s="5" t="s">
        <v>28</v>
      </c>
      <c r="N481" s="5" t="s">
        <v>29</v>
      </c>
      <c r="O481" s="6">
        <f>IFERROR(VLOOKUP(M481, '[1]08_CSDL_DAO_CU_VAT_LIEU'!$A$2:$F$64, 6, FALSE), 27500)</f>
        <v>27500</v>
      </c>
      <c r="P481" s="7">
        <v>4.2</v>
      </c>
      <c r="Q481" s="6">
        <f t="shared" si="22"/>
        <v>144375</v>
      </c>
      <c r="R481" s="6">
        <f>ROUND((F481/3600)*IFERROR(VLOOKUP(I481, '[1]02_DM_NHAN_SU_MAY'!$M$2:$Q$25, 5, FALSE), 39375), 0)</f>
        <v>118125</v>
      </c>
      <c r="S481" s="6">
        <v>0</v>
      </c>
      <c r="T481" s="6">
        <f t="shared" si="23"/>
        <v>262500</v>
      </c>
    </row>
    <row r="482" spans="1:20" x14ac:dyDescent="0.25">
      <c r="A482" s="2" t="s">
        <v>1117</v>
      </c>
      <c r="B482" s="2">
        <v>481</v>
      </c>
      <c r="C482" s="2" t="s">
        <v>68</v>
      </c>
      <c r="D482" s="2" t="s">
        <v>1109</v>
      </c>
      <c r="E482" s="2" t="s">
        <v>1118</v>
      </c>
      <c r="F482" s="3">
        <v>7200</v>
      </c>
      <c r="G482" s="4">
        <f t="shared" si="21"/>
        <v>0.25</v>
      </c>
      <c r="H482" s="2">
        <v>5</v>
      </c>
      <c r="I482" s="2" t="s">
        <v>90</v>
      </c>
      <c r="J482" s="2" t="s">
        <v>72</v>
      </c>
      <c r="K482" s="2" t="s">
        <v>73</v>
      </c>
      <c r="L482" s="2" t="s">
        <v>91</v>
      </c>
      <c r="M482" s="2" t="s">
        <v>92</v>
      </c>
      <c r="N482" s="2" t="s">
        <v>93</v>
      </c>
      <c r="O482" s="3">
        <f>IFERROR(VLOOKUP(M482, '[1]08_CSDL_DAO_CU_VAT_LIEU'!$A$2:$F$64, 6, FALSE), 27500)</f>
        <v>74000</v>
      </c>
      <c r="P482" s="4">
        <v>2.8</v>
      </c>
      <c r="Q482" s="3">
        <f t="shared" si="22"/>
        <v>96250</v>
      </c>
      <c r="R482" s="3">
        <f>ROUND((F482/3600)*IFERROR(VLOOKUP(I482, '[1]02_DM_NHAN_SU_MAY'!$M$2:$Q$25, 5, FALSE), 39375), 0)</f>
        <v>53750</v>
      </c>
      <c r="S482" s="3">
        <v>0</v>
      </c>
      <c r="T482" s="3">
        <f t="shared" si="23"/>
        <v>150000</v>
      </c>
    </row>
    <row r="483" spans="1:20" x14ac:dyDescent="0.25">
      <c r="A483" s="5" t="s">
        <v>1119</v>
      </c>
      <c r="B483" s="5">
        <v>482</v>
      </c>
      <c r="C483" s="5" t="s">
        <v>68</v>
      </c>
      <c r="D483" s="5" t="s">
        <v>1109</v>
      </c>
      <c r="E483" s="5" t="s">
        <v>1120</v>
      </c>
      <c r="F483" s="6">
        <v>7200</v>
      </c>
      <c r="G483" s="7">
        <f t="shared" si="21"/>
        <v>0.25</v>
      </c>
      <c r="H483" s="5">
        <v>6</v>
      </c>
      <c r="I483" s="5" t="s">
        <v>71</v>
      </c>
      <c r="J483" s="5" t="s">
        <v>72</v>
      </c>
      <c r="K483" s="5" t="s">
        <v>73</v>
      </c>
      <c r="L483" s="5" t="s">
        <v>74</v>
      </c>
      <c r="M483" s="5" t="s">
        <v>75</v>
      </c>
      <c r="N483" s="5" t="s">
        <v>76</v>
      </c>
      <c r="O483" s="6">
        <f>IFERROR(VLOOKUP(M483, '[1]08_CSDL_DAO_CU_VAT_LIEU'!$A$2:$F$64, 6, FALSE), 27500)</f>
        <v>42500</v>
      </c>
      <c r="P483" s="7">
        <v>2.8</v>
      </c>
      <c r="Q483" s="6">
        <f t="shared" si="22"/>
        <v>96250</v>
      </c>
      <c r="R483" s="6">
        <f>ROUND((F483/3600)*IFERROR(VLOOKUP(I483, '[1]02_DM_NHAN_SU_MAY'!$M$2:$Q$25, 5, FALSE), 39375), 0)</f>
        <v>53750</v>
      </c>
      <c r="S483" s="6">
        <v>0</v>
      </c>
      <c r="T483" s="6">
        <f t="shared" si="23"/>
        <v>150000</v>
      </c>
    </row>
    <row r="484" spans="1:20" x14ac:dyDescent="0.25">
      <c r="A484" s="2" t="s">
        <v>1121</v>
      </c>
      <c r="B484" s="2">
        <v>483</v>
      </c>
      <c r="C484" s="2" t="s">
        <v>68</v>
      </c>
      <c r="D484" s="2" t="s">
        <v>1109</v>
      </c>
      <c r="E484" s="2" t="s">
        <v>1122</v>
      </c>
      <c r="F484" s="3">
        <v>1800</v>
      </c>
      <c r="G484" s="4">
        <f t="shared" si="21"/>
        <v>6.25E-2</v>
      </c>
      <c r="H484" s="2">
        <v>7</v>
      </c>
      <c r="I484" s="2" t="s">
        <v>90</v>
      </c>
      <c r="J484" s="2" t="s">
        <v>72</v>
      </c>
      <c r="K484" s="2" t="s">
        <v>73</v>
      </c>
      <c r="L484" s="2" t="s">
        <v>91</v>
      </c>
      <c r="M484" s="2" t="s">
        <v>565</v>
      </c>
      <c r="N484" s="2" t="s">
        <v>566</v>
      </c>
      <c r="O484" s="3">
        <f>IFERROR(VLOOKUP(M484, '[1]08_CSDL_DAO_CU_VAT_LIEU'!$A$2:$F$64, 6, FALSE), 27500)</f>
        <v>135000</v>
      </c>
      <c r="P484" s="4">
        <v>0.7</v>
      </c>
      <c r="Q484" s="3">
        <f t="shared" si="22"/>
        <v>24063</v>
      </c>
      <c r="R484" s="3">
        <f>ROUND((F484/3600)*IFERROR(VLOOKUP(I484, '[1]02_DM_NHAN_SU_MAY'!$M$2:$Q$25, 5, FALSE), 39375), 0)</f>
        <v>13438</v>
      </c>
      <c r="S484" s="3">
        <v>0</v>
      </c>
      <c r="T484" s="3">
        <f t="shared" si="23"/>
        <v>37501</v>
      </c>
    </row>
    <row r="485" spans="1:20" x14ac:dyDescent="0.25">
      <c r="A485" s="5" t="s">
        <v>1123</v>
      </c>
      <c r="B485" s="5">
        <v>484</v>
      </c>
      <c r="C485" s="5" t="s">
        <v>68</v>
      </c>
      <c r="D485" s="5" t="s">
        <v>1109</v>
      </c>
      <c r="E485" s="5" t="s">
        <v>1124</v>
      </c>
      <c r="F485" s="6">
        <v>14400</v>
      </c>
      <c r="G485" s="7">
        <f t="shared" si="21"/>
        <v>0.5</v>
      </c>
      <c r="H485" s="5" t="s">
        <v>34</v>
      </c>
      <c r="I485" s="5" t="s">
        <v>90</v>
      </c>
      <c r="J485" s="5" t="s">
        <v>72</v>
      </c>
      <c r="K485" s="5" t="s">
        <v>73</v>
      </c>
      <c r="L485" s="5" t="s">
        <v>91</v>
      </c>
      <c r="M485" s="5" t="s">
        <v>565</v>
      </c>
      <c r="N485" s="5" t="s">
        <v>566</v>
      </c>
      <c r="O485" s="6">
        <f>IFERROR(VLOOKUP(M485, '[1]08_CSDL_DAO_CU_VAT_LIEU'!$A$2:$F$64, 6, FALSE), 27500)</f>
        <v>135000</v>
      </c>
      <c r="P485" s="7">
        <v>5.6</v>
      </c>
      <c r="Q485" s="6">
        <f t="shared" si="22"/>
        <v>192500</v>
      </c>
      <c r="R485" s="6">
        <f>ROUND((F485/3600)*IFERROR(VLOOKUP(I485, '[1]02_DM_NHAN_SU_MAY'!$M$2:$Q$25, 5, FALSE), 39375), 0)</f>
        <v>107500</v>
      </c>
      <c r="S485" s="6">
        <v>0</v>
      </c>
      <c r="T485" s="6">
        <f t="shared" si="23"/>
        <v>300000</v>
      </c>
    </row>
    <row r="486" spans="1:20" x14ac:dyDescent="0.25">
      <c r="A486" s="2" t="s">
        <v>1125</v>
      </c>
      <c r="B486" s="2">
        <v>485</v>
      </c>
      <c r="C486" s="2" t="s">
        <v>68</v>
      </c>
      <c r="D486" s="2" t="s">
        <v>1126</v>
      </c>
      <c r="E486" s="2" t="s">
        <v>463</v>
      </c>
      <c r="F486" s="3">
        <v>3600</v>
      </c>
      <c r="G486" s="4">
        <f t="shared" si="21"/>
        <v>0.125</v>
      </c>
      <c r="H486" s="2" t="s">
        <v>34</v>
      </c>
      <c r="I486" s="2" t="s">
        <v>71</v>
      </c>
      <c r="J486" s="2" t="s">
        <v>97</v>
      </c>
      <c r="K486" s="2" t="s">
        <v>98</v>
      </c>
      <c r="L486" s="2" t="s">
        <v>99</v>
      </c>
      <c r="M486" s="2" t="s">
        <v>75</v>
      </c>
      <c r="N486" s="2" t="s">
        <v>76</v>
      </c>
      <c r="O486" s="3">
        <f>IFERROR(VLOOKUP(M486, '[1]08_CSDL_DAO_CU_VAT_LIEU'!$A$2:$F$64, 6, FALSE), 27500)</f>
        <v>42500</v>
      </c>
      <c r="P486" s="4">
        <v>1.4</v>
      </c>
      <c r="Q486" s="3">
        <f t="shared" si="22"/>
        <v>48125</v>
      </c>
      <c r="R486" s="3">
        <f>ROUND((F486/3600)*IFERROR(VLOOKUP(I486, '[1]02_DM_NHAN_SU_MAY'!$M$2:$Q$25, 5, FALSE), 39375), 0)</f>
        <v>26875</v>
      </c>
      <c r="S486" s="3">
        <v>0</v>
      </c>
      <c r="T486" s="3">
        <f t="shared" si="23"/>
        <v>75000</v>
      </c>
    </row>
    <row r="487" spans="1:20" x14ac:dyDescent="0.25">
      <c r="A487" s="5" t="s">
        <v>1127</v>
      </c>
      <c r="B487" s="5">
        <v>486</v>
      </c>
      <c r="C487" s="5" t="s">
        <v>68</v>
      </c>
      <c r="D487" s="5" t="s">
        <v>1128</v>
      </c>
      <c r="E487" s="5" t="s">
        <v>1129</v>
      </c>
      <c r="F487" s="6">
        <v>28800</v>
      </c>
      <c r="G487" s="7">
        <f t="shared" si="21"/>
        <v>1</v>
      </c>
      <c r="H487" s="5">
        <v>1</v>
      </c>
      <c r="I487" s="5" t="s">
        <v>71</v>
      </c>
      <c r="J487" s="5" t="s">
        <v>97</v>
      </c>
      <c r="K487" s="5" t="s">
        <v>98</v>
      </c>
      <c r="L487" s="5" t="s">
        <v>99</v>
      </c>
      <c r="M487" s="5" t="s">
        <v>75</v>
      </c>
      <c r="N487" s="5" t="s">
        <v>76</v>
      </c>
      <c r="O487" s="6">
        <f>IFERROR(VLOOKUP(M487, '[1]08_CSDL_DAO_CU_VAT_LIEU'!$A$2:$F$64, 6, FALSE), 27500)</f>
        <v>42500</v>
      </c>
      <c r="P487" s="7">
        <v>11.2</v>
      </c>
      <c r="Q487" s="6">
        <f t="shared" si="22"/>
        <v>385000</v>
      </c>
      <c r="R487" s="6">
        <f>ROUND((F487/3600)*IFERROR(VLOOKUP(I487, '[1]02_DM_NHAN_SU_MAY'!$M$2:$Q$25, 5, FALSE), 39375), 0)</f>
        <v>215000</v>
      </c>
      <c r="S487" s="6">
        <v>0</v>
      </c>
      <c r="T487" s="6">
        <f t="shared" si="23"/>
        <v>600000</v>
      </c>
    </row>
    <row r="488" spans="1:20" x14ac:dyDescent="0.25">
      <c r="A488" s="2" t="s">
        <v>1130</v>
      </c>
      <c r="B488" s="2">
        <v>487</v>
      </c>
      <c r="C488" s="2" t="s">
        <v>68</v>
      </c>
      <c r="D488" s="2" t="s">
        <v>1128</v>
      </c>
      <c r="E488" s="2" t="s">
        <v>1131</v>
      </c>
      <c r="F488" s="3">
        <v>96000</v>
      </c>
      <c r="G488" s="4">
        <f t="shared" si="21"/>
        <v>3.3332999999999999</v>
      </c>
      <c r="H488" s="2">
        <v>2</v>
      </c>
      <c r="I488" s="2" t="s">
        <v>90</v>
      </c>
      <c r="J488" s="2" t="s">
        <v>97</v>
      </c>
      <c r="K488" s="2" t="s">
        <v>98</v>
      </c>
      <c r="L488" s="2" t="s">
        <v>143</v>
      </c>
      <c r="M488" s="2" t="s">
        <v>661</v>
      </c>
      <c r="N488" s="2" t="s">
        <v>662</v>
      </c>
      <c r="O488" s="3">
        <f>IFERROR(VLOOKUP(M488, '[1]08_CSDL_DAO_CU_VAT_LIEU'!$A$2:$F$64, 6, FALSE), 27500)</f>
        <v>180000</v>
      </c>
      <c r="P488" s="4">
        <v>37.33</v>
      </c>
      <c r="Q488" s="3">
        <f t="shared" si="22"/>
        <v>1283333</v>
      </c>
      <c r="R488" s="3">
        <f>ROUND((F488/3600)*IFERROR(VLOOKUP(I488, '[1]02_DM_NHAN_SU_MAY'!$M$2:$Q$25, 5, FALSE), 39375), 0)</f>
        <v>716667</v>
      </c>
      <c r="S488" s="3">
        <v>0</v>
      </c>
      <c r="T488" s="3">
        <f t="shared" si="23"/>
        <v>2000000</v>
      </c>
    </row>
    <row r="489" spans="1:20" x14ac:dyDescent="0.25">
      <c r="A489" s="5" t="s">
        <v>1132</v>
      </c>
      <c r="B489" s="5">
        <v>488</v>
      </c>
      <c r="C489" s="5" t="s">
        <v>68</v>
      </c>
      <c r="D489" s="5" t="s">
        <v>1128</v>
      </c>
      <c r="E489" s="5" t="s">
        <v>1133</v>
      </c>
      <c r="F489" s="6">
        <v>7200</v>
      </c>
      <c r="G489" s="7">
        <f t="shared" si="21"/>
        <v>0.25</v>
      </c>
      <c r="H489" s="5">
        <v>3</v>
      </c>
      <c r="I489" s="5" t="s">
        <v>24</v>
      </c>
      <c r="J489" s="5" t="s">
        <v>97</v>
      </c>
      <c r="K489" s="5" t="s">
        <v>98</v>
      </c>
      <c r="L489" s="5" t="s">
        <v>109</v>
      </c>
      <c r="M489" s="5" t="s">
        <v>28</v>
      </c>
      <c r="N489" s="5" t="s">
        <v>29</v>
      </c>
      <c r="O489" s="6">
        <f>IFERROR(VLOOKUP(M489, '[1]08_CSDL_DAO_CU_VAT_LIEU'!$A$2:$F$64, 6, FALSE), 27500)</f>
        <v>27500</v>
      </c>
      <c r="P489" s="7">
        <v>2.8</v>
      </c>
      <c r="Q489" s="6">
        <f t="shared" si="22"/>
        <v>96250</v>
      </c>
      <c r="R489" s="6">
        <f>ROUND((F489/3600)*IFERROR(VLOOKUP(I489, '[1]02_DM_NHAN_SU_MAY'!$M$2:$Q$25, 5, FALSE), 39375), 0)</f>
        <v>78750</v>
      </c>
      <c r="S489" s="6">
        <v>0</v>
      </c>
      <c r="T489" s="6">
        <f t="shared" si="23"/>
        <v>175000</v>
      </c>
    </row>
    <row r="490" spans="1:20" x14ac:dyDescent="0.25">
      <c r="A490" s="2" t="s">
        <v>1134</v>
      </c>
      <c r="B490" s="2">
        <v>489</v>
      </c>
      <c r="C490" s="2" t="s">
        <v>68</v>
      </c>
      <c r="D490" s="2" t="s">
        <v>1128</v>
      </c>
      <c r="E490" s="2" t="s">
        <v>1135</v>
      </c>
      <c r="F490" s="3">
        <v>3600</v>
      </c>
      <c r="G490" s="4">
        <f t="shared" si="21"/>
        <v>0.125</v>
      </c>
      <c r="H490" s="2">
        <v>4</v>
      </c>
      <c r="I490" s="2" t="s">
        <v>24</v>
      </c>
      <c r="J490" s="2" t="s">
        <v>97</v>
      </c>
      <c r="K490" s="2" t="s">
        <v>98</v>
      </c>
      <c r="L490" s="2" t="s">
        <v>109</v>
      </c>
      <c r="M490" s="2" t="s">
        <v>49</v>
      </c>
      <c r="N490" s="2" t="s">
        <v>50</v>
      </c>
      <c r="O490" s="3">
        <f>IFERROR(VLOOKUP(M490, '[1]08_CSDL_DAO_CU_VAT_LIEU'!$A$2:$F$64, 6, FALSE), 27500)</f>
        <v>20833.330000000002</v>
      </c>
      <c r="P490" s="4">
        <v>1.4</v>
      </c>
      <c r="Q490" s="3">
        <f t="shared" si="22"/>
        <v>48125</v>
      </c>
      <c r="R490" s="3">
        <f>ROUND((F490/3600)*IFERROR(VLOOKUP(I490, '[1]02_DM_NHAN_SU_MAY'!$M$2:$Q$25, 5, FALSE), 39375), 0)</f>
        <v>39375</v>
      </c>
      <c r="S490" s="3">
        <v>0</v>
      </c>
      <c r="T490" s="3">
        <f t="shared" si="23"/>
        <v>87500</v>
      </c>
    </row>
    <row r="491" spans="1:20" x14ac:dyDescent="0.25">
      <c r="A491" s="5" t="s">
        <v>1136</v>
      </c>
      <c r="B491" s="5">
        <v>490</v>
      </c>
      <c r="C491" s="5" t="s">
        <v>68</v>
      </c>
      <c r="D491" s="5" t="s">
        <v>1128</v>
      </c>
      <c r="E491" s="5" t="s">
        <v>1137</v>
      </c>
      <c r="F491" s="6">
        <v>3600</v>
      </c>
      <c r="G491" s="7">
        <f t="shared" si="21"/>
        <v>0.125</v>
      </c>
      <c r="H491" s="5" t="s">
        <v>34</v>
      </c>
      <c r="I491" s="5" t="s">
        <v>90</v>
      </c>
      <c r="J491" s="5" t="s">
        <v>97</v>
      </c>
      <c r="K491" s="5" t="s">
        <v>98</v>
      </c>
      <c r="L491" s="5" t="s">
        <v>143</v>
      </c>
      <c r="M491" s="5" t="s">
        <v>661</v>
      </c>
      <c r="N491" s="5" t="s">
        <v>662</v>
      </c>
      <c r="O491" s="6">
        <f>IFERROR(VLOOKUP(M491, '[1]08_CSDL_DAO_CU_VAT_LIEU'!$A$2:$F$64, 6, FALSE), 27500)</f>
        <v>180000</v>
      </c>
      <c r="P491" s="7">
        <v>1.4</v>
      </c>
      <c r="Q491" s="6">
        <f t="shared" si="22"/>
        <v>48125</v>
      </c>
      <c r="R491" s="6">
        <f>ROUND((F491/3600)*IFERROR(VLOOKUP(I491, '[1]02_DM_NHAN_SU_MAY'!$M$2:$Q$25, 5, FALSE), 39375), 0)</f>
        <v>26875</v>
      </c>
      <c r="S491" s="6">
        <v>0</v>
      </c>
      <c r="T491" s="6">
        <f t="shared" si="23"/>
        <v>75000</v>
      </c>
    </row>
    <row r="492" spans="1:20" x14ac:dyDescent="0.25">
      <c r="A492" s="2" t="s">
        <v>1138</v>
      </c>
      <c r="B492" s="2">
        <v>491</v>
      </c>
      <c r="C492" s="2" t="s">
        <v>68</v>
      </c>
      <c r="D492" s="2" t="s">
        <v>1139</v>
      </c>
      <c r="E492" s="2" t="s">
        <v>1140</v>
      </c>
      <c r="F492" s="3">
        <v>115200</v>
      </c>
      <c r="G492" s="4">
        <f t="shared" si="21"/>
        <v>4</v>
      </c>
      <c r="H492" s="2">
        <v>1</v>
      </c>
      <c r="I492" s="2" t="s">
        <v>35</v>
      </c>
      <c r="J492" s="2" t="s">
        <v>97</v>
      </c>
      <c r="K492" s="2" t="s">
        <v>98</v>
      </c>
      <c r="L492" s="2" t="s">
        <v>109</v>
      </c>
      <c r="M492" s="2" t="s">
        <v>28</v>
      </c>
      <c r="N492" s="2" t="s">
        <v>29</v>
      </c>
      <c r="O492" s="3">
        <f>IFERROR(VLOOKUP(M492, '[1]08_CSDL_DAO_CU_VAT_LIEU'!$A$2:$F$64, 6, FALSE), 27500)</f>
        <v>27500</v>
      </c>
      <c r="P492" s="4">
        <v>44.8</v>
      </c>
      <c r="Q492" s="3">
        <f t="shared" si="22"/>
        <v>1540000</v>
      </c>
      <c r="R492" s="3">
        <f>ROUND((F492/3600)*IFERROR(VLOOKUP(I492, '[1]02_DM_NHAN_SU_MAY'!$M$2:$Q$25, 5, FALSE), 39375), 0)</f>
        <v>1260000</v>
      </c>
      <c r="S492" s="3">
        <v>0</v>
      </c>
      <c r="T492" s="3">
        <f t="shared" si="23"/>
        <v>2800000</v>
      </c>
    </row>
    <row r="493" spans="1:20" x14ac:dyDescent="0.25">
      <c r="A493" s="5" t="s">
        <v>1141</v>
      </c>
      <c r="B493" s="5">
        <v>492</v>
      </c>
      <c r="C493" s="5" t="s">
        <v>68</v>
      </c>
      <c r="D493" s="5" t="s">
        <v>1139</v>
      </c>
      <c r="E493" s="5" t="s">
        <v>1142</v>
      </c>
      <c r="F493" s="6">
        <v>115200</v>
      </c>
      <c r="G493" s="7">
        <f t="shared" si="21"/>
        <v>4</v>
      </c>
      <c r="H493" s="5" t="s">
        <v>34</v>
      </c>
      <c r="I493" s="5" t="s">
        <v>35</v>
      </c>
      <c r="J493" s="5" t="s">
        <v>97</v>
      </c>
      <c r="K493" s="5" t="s">
        <v>98</v>
      </c>
      <c r="L493" s="5" t="s">
        <v>109</v>
      </c>
      <c r="M493" s="5" t="s">
        <v>138</v>
      </c>
      <c r="N493" s="5" t="s">
        <v>139</v>
      </c>
      <c r="O493" s="6">
        <f>IFERROR(VLOOKUP(M493, '[1]08_CSDL_DAO_CU_VAT_LIEU'!$A$2:$F$64, 6, FALSE), 27500)</f>
        <v>32500</v>
      </c>
      <c r="P493" s="7">
        <v>44.8</v>
      </c>
      <c r="Q493" s="6">
        <f t="shared" si="22"/>
        <v>1540000</v>
      </c>
      <c r="R493" s="6">
        <f>ROUND((F493/3600)*IFERROR(VLOOKUP(I493, '[1]02_DM_NHAN_SU_MAY'!$M$2:$Q$25, 5, FALSE), 39375), 0)</f>
        <v>1260000</v>
      </c>
      <c r="S493" s="6">
        <v>0</v>
      </c>
      <c r="T493" s="6">
        <f t="shared" si="23"/>
        <v>2800000</v>
      </c>
    </row>
    <row r="494" spans="1:20" x14ac:dyDescent="0.25">
      <c r="A494" s="2" t="s">
        <v>1143</v>
      </c>
      <c r="B494" s="2">
        <v>493</v>
      </c>
      <c r="C494" s="2" t="s">
        <v>330</v>
      </c>
      <c r="D494" s="2" t="s">
        <v>1144</v>
      </c>
      <c r="E494" s="2" t="s">
        <v>1145</v>
      </c>
      <c r="F494" s="2">
        <v>360</v>
      </c>
      <c r="G494" s="4">
        <f t="shared" si="21"/>
        <v>1.2500000000000001E-2</v>
      </c>
      <c r="H494" s="2" t="s">
        <v>34</v>
      </c>
      <c r="I494" s="2" t="s">
        <v>90</v>
      </c>
      <c r="J494" s="2" t="s">
        <v>56</v>
      </c>
      <c r="K494" s="2" t="s">
        <v>57</v>
      </c>
      <c r="L494" s="2" t="s">
        <v>358</v>
      </c>
      <c r="M494" s="2" t="s">
        <v>1146</v>
      </c>
      <c r="N494" s="2" t="s">
        <v>1147</v>
      </c>
      <c r="O494" s="3">
        <f>IFERROR(VLOOKUP(M494, '[1]08_CSDL_DAO_CU_VAT_LIEU'!$A$2:$F$64, 6, FALSE), 27500)</f>
        <v>54000</v>
      </c>
      <c r="P494" s="4">
        <v>0.17</v>
      </c>
      <c r="Q494" s="3">
        <f t="shared" si="22"/>
        <v>4813</v>
      </c>
      <c r="R494" s="3">
        <f>ROUND((F494/3600)*IFERROR(VLOOKUP(I494, '[1]02_DM_NHAN_SU_MAY'!$M$2:$Q$25, 5, FALSE), 39375), 0)</f>
        <v>2688</v>
      </c>
      <c r="S494" s="3">
        <v>0</v>
      </c>
      <c r="T494" s="3">
        <f t="shared" si="23"/>
        <v>7501</v>
      </c>
    </row>
    <row r="495" spans="1:20" x14ac:dyDescent="0.25">
      <c r="A495" s="5" t="s">
        <v>1148</v>
      </c>
      <c r="B495" s="5">
        <v>494</v>
      </c>
      <c r="C495" s="5" t="s">
        <v>149</v>
      </c>
      <c r="D495" s="5" t="s">
        <v>1149</v>
      </c>
      <c r="E495" s="5" t="s">
        <v>1150</v>
      </c>
      <c r="F495" s="6">
        <v>2400</v>
      </c>
      <c r="G495" s="7">
        <f t="shared" si="21"/>
        <v>8.3299999999999999E-2</v>
      </c>
      <c r="H495" s="5" t="s">
        <v>34</v>
      </c>
      <c r="I495" s="5" t="s">
        <v>151</v>
      </c>
      <c r="J495" s="5" t="s">
        <v>36</v>
      </c>
      <c r="K495" s="5" t="s">
        <v>37</v>
      </c>
      <c r="L495" s="5" t="s">
        <v>38</v>
      </c>
      <c r="M495" s="5" t="s">
        <v>49</v>
      </c>
      <c r="N495" s="5" t="s">
        <v>50</v>
      </c>
      <c r="O495" s="6">
        <f>IFERROR(VLOOKUP(M495, '[1]08_CSDL_DAO_CU_VAT_LIEU'!$A$2:$F$64, 6, FALSE), 27500)</f>
        <v>20833.330000000002</v>
      </c>
      <c r="P495" s="7">
        <v>1.1200000000000001</v>
      </c>
      <c r="Q495" s="6">
        <f t="shared" si="22"/>
        <v>32083</v>
      </c>
      <c r="R495" s="6">
        <f>ROUND((F495/3600)*IFERROR(VLOOKUP(I495, '[1]02_DM_NHAN_SU_MAY'!$M$2:$Q$25, 5, FALSE), 39375), 0)</f>
        <v>26250</v>
      </c>
      <c r="S495" s="6">
        <v>0</v>
      </c>
      <c r="T495" s="6">
        <f t="shared" si="23"/>
        <v>58333</v>
      </c>
    </row>
    <row r="496" spans="1:20" x14ac:dyDescent="0.25">
      <c r="A496" s="2" t="s">
        <v>1151</v>
      </c>
      <c r="B496" s="2">
        <v>495</v>
      </c>
      <c r="C496" s="2" t="s">
        <v>149</v>
      </c>
      <c r="D496" s="2" t="s">
        <v>1152</v>
      </c>
      <c r="E496" s="2" t="s">
        <v>1150</v>
      </c>
      <c r="F496" s="3">
        <v>2400</v>
      </c>
      <c r="G496" s="4">
        <f t="shared" si="21"/>
        <v>8.3299999999999999E-2</v>
      </c>
      <c r="H496" s="2" t="s">
        <v>34</v>
      </c>
      <c r="I496" s="2" t="s">
        <v>151</v>
      </c>
      <c r="J496" s="2" t="s">
        <v>36</v>
      </c>
      <c r="K496" s="2" t="s">
        <v>37</v>
      </c>
      <c r="L496" s="2" t="s">
        <v>38</v>
      </c>
      <c r="M496" s="2" t="s">
        <v>49</v>
      </c>
      <c r="N496" s="2" t="s">
        <v>50</v>
      </c>
      <c r="O496" s="3">
        <f>IFERROR(VLOOKUP(M496, '[1]08_CSDL_DAO_CU_VAT_LIEU'!$A$2:$F$64, 6, FALSE), 27500)</f>
        <v>20833.330000000002</v>
      </c>
      <c r="P496" s="4">
        <v>1.1200000000000001</v>
      </c>
      <c r="Q496" s="3">
        <f t="shared" si="22"/>
        <v>32083</v>
      </c>
      <c r="R496" s="3">
        <f>ROUND((F496/3600)*IFERROR(VLOOKUP(I496, '[1]02_DM_NHAN_SU_MAY'!$M$2:$Q$25, 5, FALSE), 39375), 0)</f>
        <v>26250</v>
      </c>
      <c r="S496" s="3">
        <v>0</v>
      </c>
      <c r="T496" s="3">
        <f t="shared" si="23"/>
        <v>58333</v>
      </c>
    </row>
    <row r="497" spans="1:20" x14ac:dyDescent="0.25">
      <c r="A497" s="5" t="s">
        <v>1153</v>
      </c>
      <c r="B497" s="5">
        <v>496</v>
      </c>
      <c r="C497" s="5" t="s">
        <v>149</v>
      </c>
      <c r="D497" s="5" t="s">
        <v>1154</v>
      </c>
      <c r="E497" s="5" t="s">
        <v>1150</v>
      </c>
      <c r="F497" s="6">
        <v>2400</v>
      </c>
      <c r="G497" s="7">
        <f t="shared" si="21"/>
        <v>8.3299999999999999E-2</v>
      </c>
      <c r="H497" s="5" t="s">
        <v>34</v>
      </c>
      <c r="I497" s="5" t="s">
        <v>151</v>
      </c>
      <c r="J497" s="5" t="s">
        <v>36</v>
      </c>
      <c r="K497" s="5" t="s">
        <v>37</v>
      </c>
      <c r="L497" s="5" t="s">
        <v>38</v>
      </c>
      <c r="M497" s="5" t="s">
        <v>49</v>
      </c>
      <c r="N497" s="5" t="s">
        <v>50</v>
      </c>
      <c r="O497" s="6">
        <f>IFERROR(VLOOKUP(M497, '[1]08_CSDL_DAO_CU_VAT_LIEU'!$A$2:$F$64, 6, FALSE), 27500)</f>
        <v>20833.330000000002</v>
      </c>
      <c r="P497" s="7">
        <v>1.1200000000000001</v>
      </c>
      <c r="Q497" s="6">
        <f t="shared" si="22"/>
        <v>32083</v>
      </c>
      <c r="R497" s="6">
        <f>ROUND((F497/3600)*IFERROR(VLOOKUP(I497, '[1]02_DM_NHAN_SU_MAY'!$M$2:$Q$25, 5, FALSE), 39375), 0)</f>
        <v>26250</v>
      </c>
      <c r="S497" s="6">
        <v>0</v>
      </c>
      <c r="T497" s="6">
        <f t="shared" si="23"/>
        <v>58333</v>
      </c>
    </row>
    <row r="498" spans="1:20" x14ac:dyDescent="0.25">
      <c r="A498" s="2" t="s">
        <v>1155</v>
      </c>
      <c r="B498" s="2">
        <v>497</v>
      </c>
      <c r="C498" s="2" t="s">
        <v>149</v>
      </c>
      <c r="D498" s="2" t="s">
        <v>1156</v>
      </c>
      <c r="E498" s="2" t="s">
        <v>1150</v>
      </c>
      <c r="F498" s="3">
        <v>2400</v>
      </c>
      <c r="G498" s="4">
        <f t="shared" si="21"/>
        <v>8.3299999999999999E-2</v>
      </c>
      <c r="H498" s="2" t="s">
        <v>34</v>
      </c>
      <c r="I498" s="2" t="s">
        <v>151</v>
      </c>
      <c r="J498" s="2" t="s">
        <v>36</v>
      </c>
      <c r="K498" s="2" t="s">
        <v>37</v>
      </c>
      <c r="L498" s="2" t="s">
        <v>38</v>
      </c>
      <c r="M498" s="2" t="s">
        <v>49</v>
      </c>
      <c r="N498" s="2" t="s">
        <v>50</v>
      </c>
      <c r="O498" s="3">
        <f>IFERROR(VLOOKUP(M498, '[1]08_CSDL_DAO_CU_VAT_LIEU'!$A$2:$F$64, 6, FALSE), 27500)</f>
        <v>20833.330000000002</v>
      </c>
      <c r="P498" s="4">
        <v>1.1200000000000001</v>
      </c>
      <c r="Q498" s="3">
        <f t="shared" si="22"/>
        <v>32083</v>
      </c>
      <c r="R498" s="3">
        <f>ROUND((F498/3600)*IFERROR(VLOOKUP(I498, '[1]02_DM_NHAN_SU_MAY'!$M$2:$Q$25, 5, FALSE), 39375), 0)</f>
        <v>26250</v>
      </c>
      <c r="S498" s="3">
        <v>0</v>
      </c>
      <c r="T498" s="3">
        <f t="shared" si="23"/>
        <v>58333</v>
      </c>
    </row>
    <row r="499" spans="1:20" x14ac:dyDescent="0.25">
      <c r="A499" s="5" t="s">
        <v>1157</v>
      </c>
      <c r="B499" s="5">
        <v>498</v>
      </c>
      <c r="C499" s="5" t="s">
        <v>149</v>
      </c>
      <c r="D499" s="5" t="s">
        <v>1158</v>
      </c>
      <c r="E499" s="5" t="s">
        <v>1150</v>
      </c>
      <c r="F499" s="6">
        <v>2400</v>
      </c>
      <c r="G499" s="7">
        <f t="shared" si="21"/>
        <v>8.3299999999999999E-2</v>
      </c>
      <c r="H499" s="5" t="s">
        <v>34</v>
      </c>
      <c r="I499" s="5" t="s">
        <v>151</v>
      </c>
      <c r="J499" s="5" t="s">
        <v>36</v>
      </c>
      <c r="K499" s="5" t="s">
        <v>37</v>
      </c>
      <c r="L499" s="5" t="s">
        <v>38</v>
      </c>
      <c r="M499" s="5" t="s">
        <v>49</v>
      </c>
      <c r="N499" s="5" t="s">
        <v>50</v>
      </c>
      <c r="O499" s="6">
        <f>IFERROR(VLOOKUP(M499, '[1]08_CSDL_DAO_CU_VAT_LIEU'!$A$2:$F$64, 6, FALSE), 27500)</f>
        <v>20833.330000000002</v>
      </c>
      <c r="P499" s="7">
        <v>1.1200000000000001</v>
      </c>
      <c r="Q499" s="6">
        <f t="shared" si="22"/>
        <v>32083</v>
      </c>
      <c r="R499" s="6">
        <f>ROUND((F499/3600)*IFERROR(VLOOKUP(I499, '[1]02_DM_NHAN_SU_MAY'!$M$2:$Q$25, 5, FALSE), 39375), 0)</f>
        <v>26250</v>
      </c>
      <c r="S499" s="6">
        <v>0</v>
      </c>
      <c r="T499" s="6">
        <f t="shared" si="23"/>
        <v>58333</v>
      </c>
    </row>
    <row r="500" spans="1:20" x14ac:dyDescent="0.25">
      <c r="A500" s="2" t="s">
        <v>1159</v>
      </c>
      <c r="B500" s="2">
        <v>499</v>
      </c>
      <c r="C500" s="2" t="s">
        <v>149</v>
      </c>
      <c r="D500" s="2" t="s">
        <v>1160</v>
      </c>
      <c r="E500" s="2" t="s">
        <v>1150</v>
      </c>
      <c r="F500" s="3">
        <v>2400</v>
      </c>
      <c r="G500" s="4">
        <f t="shared" si="21"/>
        <v>8.3299999999999999E-2</v>
      </c>
      <c r="H500" s="2" t="s">
        <v>34</v>
      </c>
      <c r="I500" s="2" t="s">
        <v>151</v>
      </c>
      <c r="J500" s="2" t="s">
        <v>36</v>
      </c>
      <c r="K500" s="2" t="s">
        <v>37</v>
      </c>
      <c r="L500" s="2" t="s">
        <v>38</v>
      </c>
      <c r="M500" s="2" t="s">
        <v>49</v>
      </c>
      <c r="N500" s="2" t="s">
        <v>50</v>
      </c>
      <c r="O500" s="3">
        <f>IFERROR(VLOOKUP(M500, '[1]08_CSDL_DAO_CU_VAT_LIEU'!$A$2:$F$64, 6, FALSE), 27500)</f>
        <v>20833.330000000002</v>
      </c>
      <c r="P500" s="4">
        <v>1.1200000000000001</v>
      </c>
      <c r="Q500" s="3">
        <f t="shared" si="22"/>
        <v>32083</v>
      </c>
      <c r="R500" s="3">
        <f>ROUND((F500/3600)*IFERROR(VLOOKUP(I500, '[1]02_DM_NHAN_SU_MAY'!$M$2:$Q$25, 5, FALSE), 39375), 0)</f>
        <v>26250</v>
      </c>
      <c r="S500" s="3">
        <v>0</v>
      </c>
      <c r="T500" s="3">
        <f t="shared" si="23"/>
        <v>58333</v>
      </c>
    </row>
    <row r="501" spans="1:20" x14ac:dyDescent="0.25">
      <c r="A501" s="5" t="s">
        <v>1161</v>
      </c>
      <c r="B501" s="5">
        <v>500</v>
      </c>
      <c r="C501" s="5" t="s">
        <v>149</v>
      </c>
      <c r="D501" s="5" t="s">
        <v>1162</v>
      </c>
      <c r="E501" s="5" t="s">
        <v>1163</v>
      </c>
      <c r="F501" s="6">
        <v>2400</v>
      </c>
      <c r="G501" s="7">
        <f t="shared" si="21"/>
        <v>8.3299999999999999E-2</v>
      </c>
      <c r="H501" s="5" t="s">
        <v>34</v>
      </c>
      <c r="I501" s="5" t="s">
        <v>151</v>
      </c>
      <c r="J501" s="5" t="s">
        <v>36</v>
      </c>
      <c r="K501" s="5" t="s">
        <v>37</v>
      </c>
      <c r="L501" s="5" t="s">
        <v>38</v>
      </c>
      <c r="M501" s="5" t="s">
        <v>49</v>
      </c>
      <c r="N501" s="5" t="s">
        <v>50</v>
      </c>
      <c r="O501" s="6">
        <f>IFERROR(VLOOKUP(M501, '[1]08_CSDL_DAO_CU_VAT_LIEU'!$A$2:$F$64, 6, FALSE), 27500)</f>
        <v>20833.330000000002</v>
      </c>
      <c r="P501" s="7">
        <v>1.1200000000000001</v>
      </c>
      <c r="Q501" s="6">
        <f t="shared" si="22"/>
        <v>32083</v>
      </c>
      <c r="R501" s="6">
        <f>ROUND((F501/3600)*IFERROR(VLOOKUP(I501, '[1]02_DM_NHAN_SU_MAY'!$M$2:$Q$25, 5, FALSE), 39375), 0)</f>
        <v>26250</v>
      </c>
      <c r="S501" s="6">
        <v>0</v>
      </c>
      <c r="T501" s="6">
        <f t="shared" si="23"/>
        <v>58333</v>
      </c>
    </row>
    <row r="502" spans="1:20" x14ac:dyDescent="0.25">
      <c r="A502" s="2" t="s">
        <v>1164</v>
      </c>
      <c r="B502" s="2">
        <v>501</v>
      </c>
      <c r="C502" s="2" t="s">
        <v>149</v>
      </c>
      <c r="D502" s="2" t="s">
        <v>1165</v>
      </c>
      <c r="E502" s="2" t="s">
        <v>1150</v>
      </c>
      <c r="F502" s="3">
        <v>2400</v>
      </c>
      <c r="G502" s="4">
        <f t="shared" si="21"/>
        <v>8.3299999999999999E-2</v>
      </c>
      <c r="H502" s="2" t="s">
        <v>34</v>
      </c>
      <c r="I502" s="2" t="s">
        <v>151</v>
      </c>
      <c r="J502" s="2" t="s">
        <v>36</v>
      </c>
      <c r="K502" s="2" t="s">
        <v>37</v>
      </c>
      <c r="L502" s="2" t="s">
        <v>38</v>
      </c>
      <c r="M502" s="2" t="s">
        <v>49</v>
      </c>
      <c r="N502" s="2" t="s">
        <v>50</v>
      </c>
      <c r="O502" s="3">
        <f>IFERROR(VLOOKUP(M502, '[1]08_CSDL_DAO_CU_VAT_LIEU'!$A$2:$F$64, 6, FALSE), 27500)</f>
        <v>20833.330000000002</v>
      </c>
      <c r="P502" s="4">
        <v>1.1200000000000001</v>
      </c>
      <c r="Q502" s="3">
        <f t="shared" si="22"/>
        <v>32083</v>
      </c>
      <c r="R502" s="3">
        <f>ROUND((F502/3600)*IFERROR(VLOOKUP(I502, '[1]02_DM_NHAN_SU_MAY'!$M$2:$Q$25, 5, FALSE), 39375), 0)</f>
        <v>26250</v>
      </c>
      <c r="S502" s="3">
        <v>0</v>
      </c>
      <c r="T502" s="3">
        <f t="shared" si="23"/>
        <v>58333</v>
      </c>
    </row>
    <row r="503" spans="1:20" x14ac:dyDescent="0.25">
      <c r="A503" s="5" t="s">
        <v>1166</v>
      </c>
      <c r="B503" s="5">
        <v>502</v>
      </c>
      <c r="C503" s="5" t="s">
        <v>149</v>
      </c>
      <c r="D503" s="5" t="s">
        <v>1167</v>
      </c>
      <c r="E503" s="5" t="s">
        <v>1150</v>
      </c>
      <c r="F503" s="6">
        <v>2400</v>
      </c>
      <c r="G503" s="7">
        <f t="shared" si="21"/>
        <v>8.3299999999999999E-2</v>
      </c>
      <c r="H503" s="5" t="s">
        <v>34</v>
      </c>
      <c r="I503" s="5" t="s">
        <v>151</v>
      </c>
      <c r="J503" s="5" t="s">
        <v>36</v>
      </c>
      <c r="K503" s="5" t="s">
        <v>37</v>
      </c>
      <c r="L503" s="5" t="s">
        <v>38</v>
      </c>
      <c r="M503" s="5" t="s">
        <v>49</v>
      </c>
      <c r="N503" s="5" t="s">
        <v>50</v>
      </c>
      <c r="O503" s="6">
        <f>IFERROR(VLOOKUP(M503, '[1]08_CSDL_DAO_CU_VAT_LIEU'!$A$2:$F$64, 6, FALSE), 27500)</f>
        <v>20833.330000000002</v>
      </c>
      <c r="P503" s="7">
        <v>1.1200000000000001</v>
      </c>
      <c r="Q503" s="6">
        <f t="shared" si="22"/>
        <v>32083</v>
      </c>
      <c r="R503" s="6">
        <f>ROUND((F503/3600)*IFERROR(VLOOKUP(I503, '[1]02_DM_NHAN_SU_MAY'!$M$2:$Q$25, 5, FALSE), 39375), 0)</f>
        <v>26250</v>
      </c>
      <c r="S503" s="6">
        <v>0</v>
      </c>
      <c r="T503" s="6">
        <f t="shared" si="23"/>
        <v>58333</v>
      </c>
    </row>
    <row r="504" spans="1:20" x14ac:dyDescent="0.25">
      <c r="A504" s="2" t="s">
        <v>1168</v>
      </c>
      <c r="B504" s="2">
        <v>503</v>
      </c>
      <c r="C504" s="2" t="s">
        <v>149</v>
      </c>
      <c r="D504" s="2" t="s">
        <v>1169</v>
      </c>
      <c r="E504" s="2" t="s">
        <v>1150</v>
      </c>
      <c r="F504" s="3">
        <v>2400</v>
      </c>
      <c r="G504" s="4">
        <f t="shared" si="21"/>
        <v>8.3299999999999999E-2</v>
      </c>
      <c r="H504" s="2" t="s">
        <v>34</v>
      </c>
      <c r="I504" s="2" t="s">
        <v>151</v>
      </c>
      <c r="J504" s="2" t="s">
        <v>36</v>
      </c>
      <c r="K504" s="2" t="s">
        <v>37</v>
      </c>
      <c r="L504" s="2" t="s">
        <v>38</v>
      </c>
      <c r="M504" s="2" t="s">
        <v>49</v>
      </c>
      <c r="N504" s="2" t="s">
        <v>50</v>
      </c>
      <c r="O504" s="3">
        <f>IFERROR(VLOOKUP(M504, '[1]08_CSDL_DAO_CU_VAT_LIEU'!$A$2:$F$64, 6, FALSE), 27500)</f>
        <v>20833.330000000002</v>
      </c>
      <c r="P504" s="4">
        <v>1.1200000000000001</v>
      </c>
      <c r="Q504" s="3">
        <f t="shared" si="22"/>
        <v>32083</v>
      </c>
      <c r="R504" s="3">
        <f>ROUND((F504/3600)*IFERROR(VLOOKUP(I504, '[1]02_DM_NHAN_SU_MAY'!$M$2:$Q$25, 5, FALSE), 39375), 0)</f>
        <v>26250</v>
      </c>
      <c r="S504" s="3">
        <v>0</v>
      </c>
      <c r="T504" s="3">
        <f t="shared" si="23"/>
        <v>58333</v>
      </c>
    </row>
    <row r="505" spans="1:20" x14ac:dyDescent="0.25">
      <c r="A505" s="5" t="s">
        <v>1170</v>
      </c>
      <c r="B505" s="5">
        <v>504</v>
      </c>
      <c r="C505" s="5" t="s">
        <v>149</v>
      </c>
      <c r="D505" s="5" t="s">
        <v>1171</v>
      </c>
      <c r="E505" s="5" t="s">
        <v>1150</v>
      </c>
      <c r="F505" s="6">
        <v>2400</v>
      </c>
      <c r="G505" s="7">
        <f t="shared" si="21"/>
        <v>8.3299999999999999E-2</v>
      </c>
      <c r="H505" s="5" t="s">
        <v>34</v>
      </c>
      <c r="I505" s="5" t="s">
        <v>151</v>
      </c>
      <c r="J505" s="5" t="s">
        <v>36</v>
      </c>
      <c r="K505" s="5" t="s">
        <v>37</v>
      </c>
      <c r="L505" s="5" t="s">
        <v>38</v>
      </c>
      <c r="M505" s="5" t="s">
        <v>49</v>
      </c>
      <c r="N505" s="5" t="s">
        <v>50</v>
      </c>
      <c r="O505" s="6">
        <f>IFERROR(VLOOKUP(M505, '[1]08_CSDL_DAO_CU_VAT_LIEU'!$A$2:$F$64, 6, FALSE), 27500)</f>
        <v>20833.330000000002</v>
      </c>
      <c r="P505" s="7">
        <v>1.1200000000000001</v>
      </c>
      <c r="Q505" s="6">
        <f t="shared" si="22"/>
        <v>32083</v>
      </c>
      <c r="R505" s="6">
        <f>ROUND((F505/3600)*IFERROR(VLOOKUP(I505, '[1]02_DM_NHAN_SU_MAY'!$M$2:$Q$25, 5, FALSE), 39375), 0)</f>
        <v>26250</v>
      </c>
      <c r="S505" s="6">
        <v>0</v>
      </c>
      <c r="T505" s="6">
        <f t="shared" si="23"/>
        <v>58333</v>
      </c>
    </row>
    <row r="506" spans="1:20" x14ac:dyDescent="0.25">
      <c r="A506" s="2" t="s">
        <v>1172</v>
      </c>
      <c r="B506" s="2">
        <v>505</v>
      </c>
      <c r="C506" s="2" t="s">
        <v>1089</v>
      </c>
      <c r="D506" s="2" t="s">
        <v>1173</v>
      </c>
      <c r="E506" s="2" t="s">
        <v>1174</v>
      </c>
      <c r="F506" s="3">
        <v>100800</v>
      </c>
      <c r="G506" s="4">
        <f t="shared" si="21"/>
        <v>3.5</v>
      </c>
      <c r="H506" s="2">
        <v>1</v>
      </c>
      <c r="I506" s="2" t="s">
        <v>71</v>
      </c>
      <c r="J506" s="2" t="s">
        <v>56</v>
      </c>
      <c r="K506" s="2" t="s">
        <v>57</v>
      </c>
      <c r="L506" s="2" t="s">
        <v>636</v>
      </c>
      <c r="M506" s="2" t="s">
        <v>75</v>
      </c>
      <c r="N506" s="2" t="s">
        <v>76</v>
      </c>
      <c r="O506" s="3">
        <f>IFERROR(VLOOKUP(M506, '[1]08_CSDL_DAO_CU_VAT_LIEU'!$A$2:$F$64, 6, FALSE), 27500)</f>
        <v>42500</v>
      </c>
      <c r="P506" s="4">
        <v>47.04</v>
      </c>
      <c r="Q506" s="3">
        <f t="shared" si="22"/>
        <v>1347500</v>
      </c>
      <c r="R506" s="3">
        <f>ROUND((F506/3600)*IFERROR(VLOOKUP(I506, '[1]02_DM_NHAN_SU_MAY'!$M$2:$Q$25, 5, FALSE), 39375), 0)</f>
        <v>752500</v>
      </c>
      <c r="S506" s="3">
        <v>0</v>
      </c>
      <c r="T506" s="3">
        <f t="shared" si="23"/>
        <v>2100000</v>
      </c>
    </row>
    <row r="507" spans="1:20" x14ac:dyDescent="0.25">
      <c r="A507" s="5" t="s">
        <v>1175</v>
      </c>
      <c r="B507" s="5">
        <v>506</v>
      </c>
      <c r="C507" s="5" t="s">
        <v>1089</v>
      </c>
      <c r="D507" s="5" t="s">
        <v>1173</v>
      </c>
      <c r="E507" s="5" t="s">
        <v>1176</v>
      </c>
      <c r="F507" s="6">
        <v>57600</v>
      </c>
      <c r="G507" s="7">
        <f t="shared" si="21"/>
        <v>2</v>
      </c>
      <c r="H507" s="5">
        <v>2</v>
      </c>
      <c r="I507" s="5" t="s">
        <v>71</v>
      </c>
      <c r="J507" s="5" t="s">
        <v>56</v>
      </c>
      <c r="K507" s="5" t="s">
        <v>57</v>
      </c>
      <c r="L507" s="5" t="s">
        <v>636</v>
      </c>
      <c r="M507" s="5" t="s">
        <v>583</v>
      </c>
      <c r="N507" s="5" t="s">
        <v>584</v>
      </c>
      <c r="O507" s="6">
        <f>IFERROR(VLOOKUP(M507, '[1]08_CSDL_DAO_CU_VAT_LIEU'!$A$2:$F$64, 6, FALSE), 27500)</f>
        <v>36250</v>
      </c>
      <c r="P507" s="7">
        <v>26.88</v>
      </c>
      <c r="Q507" s="6">
        <f t="shared" si="22"/>
        <v>770000</v>
      </c>
      <c r="R507" s="6">
        <f>ROUND((F507/3600)*IFERROR(VLOOKUP(I507, '[1]02_DM_NHAN_SU_MAY'!$M$2:$Q$25, 5, FALSE), 39375), 0)</f>
        <v>430000</v>
      </c>
      <c r="S507" s="6">
        <v>0</v>
      </c>
      <c r="T507" s="6">
        <f t="shared" si="23"/>
        <v>1200000</v>
      </c>
    </row>
    <row r="508" spans="1:20" x14ac:dyDescent="0.25">
      <c r="A508" s="2" t="s">
        <v>1177</v>
      </c>
      <c r="B508" s="2">
        <v>507</v>
      </c>
      <c r="C508" s="2" t="s">
        <v>1089</v>
      </c>
      <c r="D508" s="2" t="s">
        <v>1173</v>
      </c>
      <c r="E508" s="2" t="s">
        <v>1178</v>
      </c>
      <c r="F508" s="3">
        <v>21600</v>
      </c>
      <c r="G508" s="4">
        <f t="shared" si="21"/>
        <v>0.75</v>
      </c>
      <c r="H508" s="2">
        <v>3</v>
      </c>
      <c r="I508" s="2" t="s">
        <v>71</v>
      </c>
      <c r="J508" s="2" t="s">
        <v>56</v>
      </c>
      <c r="K508" s="2" t="s">
        <v>57</v>
      </c>
      <c r="L508" s="2" t="s">
        <v>636</v>
      </c>
      <c r="M508" s="2" t="s">
        <v>75</v>
      </c>
      <c r="N508" s="2" t="s">
        <v>76</v>
      </c>
      <c r="O508" s="3">
        <f>IFERROR(VLOOKUP(M508, '[1]08_CSDL_DAO_CU_VAT_LIEU'!$A$2:$F$64, 6, FALSE), 27500)</f>
        <v>42500</v>
      </c>
      <c r="P508" s="4">
        <v>10.08</v>
      </c>
      <c r="Q508" s="3">
        <f t="shared" si="22"/>
        <v>288750</v>
      </c>
      <c r="R508" s="3">
        <f>ROUND((F508/3600)*IFERROR(VLOOKUP(I508, '[1]02_DM_NHAN_SU_MAY'!$M$2:$Q$25, 5, FALSE), 39375), 0)</f>
        <v>161250</v>
      </c>
      <c r="S508" s="3">
        <v>0</v>
      </c>
      <c r="T508" s="3">
        <f t="shared" si="23"/>
        <v>450000</v>
      </c>
    </row>
    <row r="509" spans="1:20" x14ac:dyDescent="0.25">
      <c r="A509" s="5" t="s">
        <v>1179</v>
      </c>
      <c r="B509" s="5">
        <v>508</v>
      </c>
      <c r="C509" s="5" t="s">
        <v>1089</v>
      </c>
      <c r="D509" s="5" t="s">
        <v>1173</v>
      </c>
      <c r="E509" s="5" t="s">
        <v>1180</v>
      </c>
      <c r="F509" s="6">
        <v>21600</v>
      </c>
      <c r="G509" s="7">
        <f t="shared" si="21"/>
        <v>0.75</v>
      </c>
      <c r="H509" s="5" t="s">
        <v>34</v>
      </c>
      <c r="I509" s="5" t="s">
        <v>71</v>
      </c>
      <c r="J509" s="5" t="s">
        <v>56</v>
      </c>
      <c r="K509" s="5" t="s">
        <v>57</v>
      </c>
      <c r="L509" s="5" t="s">
        <v>636</v>
      </c>
      <c r="M509" s="5" t="s">
        <v>75</v>
      </c>
      <c r="N509" s="5" t="s">
        <v>76</v>
      </c>
      <c r="O509" s="6">
        <f>IFERROR(VLOOKUP(M509, '[1]08_CSDL_DAO_CU_VAT_LIEU'!$A$2:$F$64, 6, FALSE), 27500)</f>
        <v>42500</v>
      </c>
      <c r="P509" s="7">
        <v>10.08</v>
      </c>
      <c r="Q509" s="6">
        <f t="shared" si="22"/>
        <v>288750</v>
      </c>
      <c r="R509" s="6">
        <f>ROUND((F509/3600)*IFERROR(VLOOKUP(I509, '[1]02_DM_NHAN_SU_MAY'!$M$2:$Q$25, 5, FALSE), 39375), 0)</f>
        <v>161250</v>
      </c>
      <c r="S509" s="6">
        <v>0</v>
      </c>
      <c r="T509" s="6">
        <f t="shared" si="23"/>
        <v>450000</v>
      </c>
    </row>
    <row r="510" spans="1:20" x14ac:dyDescent="0.25">
      <c r="A510" s="2" t="s">
        <v>1181</v>
      </c>
      <c r="B510" s="2">
        <v>509</v>
      </c>
      <c r="C510" s="2" t="s">
        <v>52</v>
      </c>
      <c r="D510" s="2" t="s">
        <v>1182</v>
      </c>
      <c r="E510" s="2" t="s">
        <v>1183</v>
      </c>
      <c r="F510" s="3">
        <v>2400</v>
      </c>
      <c r="G510" s="4">
        <f t="shared" si="21"/>
        <v>8.3299999999999999E-2</v>
      </c>
      <c r="H510" s="2" t="s">
        <v>34</v>
      </c>
      <c r="I510" s="2" t="s">
        <v>71</v>
      </c>
      <c r="J510" s="2" t="s">
        <v>56</v>
      </c>
      <c r="K510" s="2" t="s">
        <v>57</v>
      </c>
      <c r="L510" s="2" t="s">
        <v>636</v>
      </c>
      <c r="M510" s="2" t="s">
        <v>75</v>
      </c>
      <c r="N510" s="2" t="s">
        <v>76</v>
      </c>
      <c r="O510" s="3">
        <f>IFERROR(VLOOKUP(M510, '[1]08_CSDL_DAO_CU_VAT_LIEU'!$A$2:$F$64, 6, FALSE), 27500)</f>
        <v>42500</v>
      </c>
      <c r="P510" s="4">
        <v>1.1200000000000001</v>
      </c>
      <c r="Q510" s="3">
        <f t="shared" si="22"/>
        <v>32083</v>
      </c>
      <c r="R510" s="3">
        <f>ROUND((F510/3600)*IFERROR(VLOOKUP(I510, '[1]02_DM_NHAN_SU_MAY'!$M$2:$Q$25, 5, FALSE), 39375), 0)</f>
        <v>17917</v>
      </c>
      <c r="S510" s="3">
        <v>0</v>
      </c>
      <c r="T510" s="3">
        <f t="shared" si="23"/>
        <v>50000</v>
      </c>
    </row>
    <row r="511" spans="1:20" x14ac:dyDescent="0.25">
      <c r="A511" s="5" t="s">
        <v>1184</v>
      </c>
      <c r="B511" s="5">
        <v>510</v>
      </c>
      <c r="C511" s="5" t="s">
        <v>52</v>
      </c>
      <c r="D511" s="5" t="s">
        <v>1185</v>
      </c>
      <c r="E511" s="5" t="s">
        <v>883</v>
      </c>
      <c r="F511" s="6">
        <v>2400</v>
      </c>
      <c r="G511" s="7">
        <f t="shared" si="21"/>
        <v>8.3299999999999999E-2</v>
      </c>
      <c r="H511" s="5" t="s">
        <v>34</v>
      </c>
      <c r="I511" s="5" t="s">
        <v>55</v>
      </c>
      <c r="J511" s="5" t="s">
        <v>56</v>
      </c>
      <c r="K511" s="5" t="s">
        <v>57</v>
      </c>
      <c r="L511" s="5" t="s">
        <v>58</v>
      </c>
      <c r="M511" s="5" t="s">
        <v>28</v>
      </c>
      <c r="N511" s="5" t="s">
        <v>29</v>
      </c>
      <c r="O511" s="6">
        <f>IFERROR(VLOOKUP(M511, '[1]08_CSDL_DAO_CU_VAT_LIEU'!$A$2:$F$64, 6, FALSE), 27500)</f>
        <v>27500</v>
      </c>
      <c r="P511" s="7">
        <v>1.1200000000000001</v>
      </c>
      <c r="Q511" s="6">
        <f t="shared" si="22"/>
        <v>32083</v>
      </c>
      <c r="R511" s="6">
        <f>ROUND((F511/3600)*IFERROR(VLOOKUP(I511, '[1]02_DM_NHAN_SU_MAY'!$M$2:$Q$25, 5, FALSE), 39375), 0)</f>
        <v>9583</v>
      </c>
      <c r="S511" s="6">
        <v>0</v>
      </c>
      <c r="T511" s="6">
        <f t="shared" si="23"/>
        <v>41666</v>
      </c>
    </row>
    <row r="512" spans="1:20" x14ac:dyDescent="0.25">
      <c r="A512" s="2" t="s">
        <v>1186</v>
      </c>
      <c r="B512" s="2">
        <v>511</v>
      </c>
      <c r="C512" s="2" t="s">
        <v>68</v>
      </c>
      <c r="D512" s="2" t="s">
        <v>1187</v>
      </c>
      <c r="E512" s="2" t="s">
        <v>1188</v>
      </c>
      <c r="F512" s="2">
        <v>720</v>
      </c>
      <c r="G512" s="4">
        <f t="shared" si="21"/>
        <v>2.5000000000000001E-2</v>
      </c>
      <c r="H512" s="2" t="s">
        <v>34</v>
      </c>
      <c r="I512" s="2" t="s">
        <v>90</v>
      </c>
      <c r="J512" s="2" t="s">
        <v>97</v>
      </c>
      <c r="K512" s="2" t="s">
        <v>98</v>
      </c>
      <c r="L512" s="2" t="s">
        <v>143</v>
      </c>
      <c r="M512" s="2" t="s">
        <v>1189</v>
      </c>
      <c r="N512" s="2" t="s">
        <v>1190</v>
      </c>
      <c r="O512" s="3">
        <f>IFERROR(VLOOKUP(M512, '[1]08_CSDL_DAO_CU_VAT_LIEU'!$A$2:$F$64, 6, FALSE), 27500)</f>
        <v>590000</v>
      </c>
      <c r="P512" s="4">
        <v>0.28000000000000003</v>
      </c>
      <c r="Q512" s="3">
        <f t="shared" si="22"/>
        <v>9625</v>
      </c>
      <c r="R512" s="3">
        <f>ROUND((F512/3600)*IFERROR(VLOOKUP(I512, '[1]02_DM_NHAN_SU_MAY'!$M$2:$Q$25, 5, FALSE), 39375), 0)</f>
        <v>5375</v>
      </c>
      <c r="S512" s="3">
        <v>0</v>
      </c>
      <c r="T512" s="3">
        <f t="shared" si="23"/>
        <v>15000</v>
      </c>
    </row>
    <row r="513" spans="1:20" x14ac:dyDescent="0.25">
      <c r="A513" s="5" t="s">
        <v>1191</v>
      </c>
      <c r="B513" s="5">
        <v>512</v>
      </c>
      <c r="C513" s="5" t="s">
        <v>68</v>
      </c>
      <c r="D513" s="5" t="s">
        <v>1192</v>
      </c>
      <c r="E513" s="5" t="s">
        <v>1188</v>
      </c>
      <c r="F513" s="6">
        <v>1440</v>
      </c>
      <c r="G513" s="7">
        <f t="shared" si="21"/>
        <v>0.05</v>
      </c>
      <c r="H513" s="5" t="s">
        <v>34</v>
      </c>
      <c r="I513" s="5" t="s">
        <v>90</v>
      </c>
      <c r="J513" s="5" t="s">
        <v>97</v>
      </c>
      <c r="K513" s="5" t="s">
        <v>98</v>
      </c>
      <c r="L513" s="5" t="s">
        <v>143</v>
      </c>
      <c r="M513" s="5" t="s">
        <v>1189</v>
      </c>
      <c r="N513" s="5" t="s">
        <v>1190</v>
      </c>
      <c r="O513" s="6">
        <f>IFERROR(VLOOKUP(M513, '[1]08_CSDL_DAO_CU_VAT_LIEU'!$A$2:$F$64, 6, FALSE), 27500)</f>
        <v>590000</v>
      </c>
      <c r="P513" s="7">
        <v>0.56000000000000005</v>
      </c>
      <c r="Q513" s="6">
        <f t="shared" si="22"/>
        <v>19250</v>
      </c>
      <c r="R513" s="6">
        <f>ROUND((F513/3600)*IFERROR(VLOOKUP(I513, '[1]02_DM_NHAN_SU_MAY'!$M$2:$Q$25, 5, FALSE), 39375), 0)</f>
        <v>10750</v>
      </c>
      <c r="S513" s="6">
        <v>0</v>
      </c>
      <c r="T513" s="6">
        <f t="shared" si="23"/>
        <v>30000</v>
      </c>
    </row>
    <row r="514" spans="1:20" x14ac:dyDescent="0.25">
      <c r="A514" s="2" t="s">
        <v>1193</v>
      </c>
      <c r="B514" s="2">
        <v>513</v>
      </c>
      <c r="C514" s="2" t="s">
        <v>68</v>
      </c>
      <c r="D514" s="2" t="s">
        <v>516</v>
      </c>
      <c r="E514" s="2" t="s">
        <v>1194</v>
      </c>
      <c r="F514" s="3">
        <v>6300</v>
      </c>
      <c r="G514" s="4">
        <f t="shared" ref="G514:G577" si="24">ROUND(F514/28800, 4)</f>
        <v>0.21879999999999999</v>
      </c>
      <c r="H514" s="2" t="s">
        <v>34</v>
      </c>
      <c r="I514" s="2" t="s">
        <v>90</v>
      </c>
      <c r="J514" s="2" t="s">
        <v>72</v>
      </c>
      <c r="K514" s="2" t="s">
        <v>73</v>
      </c>
      <c r="L514" s="2" t="s">
        <v>91</v>
      </c>
      <c r="M514" s="2" t="s">
        <v>565</v>
      </c>
      <c r="N514" s="2" t="s">
        <v>566</v>
      </c>
      <c r="O514" s="3">
        <f>IFERROR(VLOOKUP(M514, '[1]08_CSDL_DAO_CU_VAT_LIEU'!$A$2:$F$64, 6, FALSE), 27500)</f>
        <v>135000</v>
      </c>
      <c r="P514" s="4">
        <v>2.4500000000000002</v>
      </c>
      <c r="Q514" s="3">
        <f t="shared" ref="Q514:Q577" si="25">ROUND(F514*(385000/28800), 0)</f>
        <v>84219</v>
      </c>
      <c r="R514" s="3">
        <f>ROUND((F514/3600)*IFERROR(VLOOKUP(I514, '[1]02_DM_NHAN_SU_MAY'!$M$2:$Q$25, 5, FALSE), 39375), 0)</f>
        <v>47031</v>
      </c>
      <c r="S514" s="3">
        <v>0</v>
      </c>
      <c r="T514" s="3">
        <f t="shared" ref="T514:T577" si="26">Q514+R514</f>
        <v>131250</v>
      </c>
    </row>
    <row r="515" spans="1:20" x14ac:dyDescent="0.25">
      <c r="A515" s="5" t="s">
        <v>1195</v>
      </c>
      <c r="B515" s="5">
        <v>514</v>
      </c>
      <c r="C515" s="5" t="s">
        <v>68</v>
      </c>
      <c r="D515" s="5" t="s">
        <v>1196</v>
      </c>
      <c r="E515" s="5" t="s">
        <v>1197</v>
      </c>
      <c r="F515" s="6">
        <v>3600</v>
      </c>
      <c r="G515" s="7">
        <f t="shared" si="24"/>
        <v>0.125</v>
      </c>
      <c r="H515" s="5" t="s">
        <v>34</v>
      </c>
      <c r="I515" s="5" t="s">
        <v>90</v>
      </c>
      <c r="J515" s="5" t="s">
        <v>72</v>
      </c>
      <c r="K515" s="5" t="s">
        <v>73</v>
      </c>
      <c r="L515" s="5" t="s">
        <v>508</v>
      </c>
      <c r="M515" s="5" t="s">
        <v>92</v>
      </c>
      <c r="N515" s="5" t="s">
        <v>93</v>
      </c>
      <c r="O515" s="6">
        <f>IFERROR(VLOOKUP(M515, '[1]08_CSDL_DAO_CU_VAT_LIEU'!$A$2:$F$64, 6, FALSE), 27500)</f>
        <v>74000</v>
      </c>
      <c r="P515" s="7">
        <v>1.4</v>
      </c>
      <c r="Q515" s="6">
        <f t="shared" si="25"/>
        <v>48125</v>
      </c>
      <c r="R515" s="6">
        <f>ROUND((F515/3600)*IFERROR(VLOOKUP(I515, '[1]02_DM_NHAN_SU_MAY'!$M$2:$Q$25, 5, FALSE), 39375), 0)</f>
        <v>26875</v>
      </c>
      <c r="S515" s="6">
        <v>0</v>
      </c>
      <c r="T515" s="6">
        <f t="shared" si="26"/>
        <v>75000</v>
      </c>
    </row>
    <row r="516" spans="1:20" x14ac:dyDescent="0.25">
      <c r="A516" s="2" t="s">
        <v>1198</v>
      </c>
      <c r="B516" s="2">
        <v>515</v>
      </c>
      <c r="C516" s="2" t="s">
        <v>21</v>
      </c>
      <c r="D516" s="2" t="s">
        <v>1199</v>
      </c>
      <c r="E516" s="2" t="s">
        <v>476</v>
      </c>
      <c r="F516" s="3">
        <v>756000</v>
      </c>
      <c r="G516" s="4">
        <f t="shared" si="24"/>
        <v>26.25</v>
      </c>
      <c r="H516" s="2" t="s">
        <v>34</v>
      </c>
      <c r="I516" s="2" t="s">
        <v>35</v>
      </c>
      <c r="J516" s="2" t="s">
        <v>25</v>
      </c>
      <c r="K516" s="2" t="s">
        <v>26</v>
      </c>
      <c r="L516" s="2" t="s">
        <v>27</v>
      </c>
      <c r="M516" s="2" t="s">
        <v>28</v>
      </c>
      <c r="N516" s="2" t="s">
        <v>29</v>
      </c>
      <c r="O516" s="3">
        <f>IFERROR(VLOOKUP(M516, '[1]08_CSDL_DAO_CU_VAT_LIEU'!$A$2:$F$64, 6, FALSE), 27500)</f>
        <v>27500</v>
      </c>
      <c r="P516" s="4">
        <v>441</v>
      </c>
      <c r="Q516" s="3">
        <f t="shared" si="25"/>
        <v>10106250</v>
      </c>
      <c r="R516" s="3">
        <f>ROUND((F516/3600)*IFERROR(VLOOKUP(I516, '[1]02_DM_NHAN_SU_MAY'!$M$2:$Q$25, 5, FALSE), 39375), 0)</f>
        <v>8268750</v>
      </c>
      <c r="S516" s="3">
        <v>0</v>
      </c>
      <c r="T516" s="3">
        <f t="shared" si="26"/>
        <v>18375000</v>
      </c>
    </row>
    <row r="517" spans="1:20" x14ac:dyDescent="0.25">
      <c r="A517" s="5" t="s">
        <v>1200</v>
      </c>
      <c r="B517" s="5">
        <v>516</v>
      </c>
      <c r="C517" s="5" t="s">
        <v>21</v>
      </c>
      <c r="D517" s="5" t="s">
        <v>1201</v>
      </c>
      <c r="E517" s="5" t="s">
        <v>476</v>
      </c>
      <c r="F517" s="6">
        <v>14400</v>
      </c>
      <c r="G517" s="7">
        <f t="shared" si="24"/>
        <v>0.5</v>
      </c>
      <c r="H517" s="5" t="s">
        <v>34</v>
      </c>
      <c r="I517" s="5" t="s">
        <v>24</v>
      </c>
      <c r="J517" s="5" t="s">
        <v>25</v>
      </c>
      <c r="K517" s="5" t="s">
        <v>26</v>
      </c>
      <c r="L517" s="5" t="s">
        <v>27</v>
      </c>
      <c r="M517" s="5" t="s">
        <v>28</v>
      </c>
      <c r="N517" s="5" t="s">
        <v>29</v>
      </c>
      <c r="O517" s="6">
        <f>IFERROR(VLOOKUP(M517, '[1]08_CSDL_DAO_CU_VAT_LIEU'!$A$2:$F$64, 6, FALSE), 27500)</f>
        <v>27500</v>
      </c>
      <c r="P517" s="7">
        <v>8.4</v>
      </c>
      <c r="Q517" s="6">
        <f t="shared" si="25"/>
        <v>192500</v>
      </c>
      <c r="R517" s="6">
        <f>ROUND((F517/3600)*IFERROR(VLOOKUP(I517, '[1]02_DM_NHAN_SU_MAY'!$M$2:$Q$25, 5, FALSE), 39375), 0)</f>
        <v>157500</v>
      </c>
      <c r="S517" s="6">
        <v>0</v>
      </c>
      <c r="T517" s="6">
        <f t="shared" si="26"/>
        <v>350000</v>
      </c>
    </row>
    <row r="518" spans="1:20" x14ac:dyDescent="0.25">
      <c r="A518" s="2" t="s">
        <v>1202</v>
      </c>
      <c r="B518" s="2">
        <v>517</v>
      </c>
      <c r="C518" s="2" t="s">
        <v>217</v>
      </c>
      <c r="D518" s="2" t="s">
        <v>1203</v>
      </c>
      <c r="E518" s="2" t="s">
        <v>463</v>
      </c>
      <c r="F518" s="3">
        <v>7200</v>
      </c>
      <c r="G518" s="4">
        <f t="shared" si="24"/>
        <v>0.25</v>
      </c>
      <c r="H518" s="2" t="s">
        <v>34</v>
      </c>
      <c r="I518" s="2" t="s">
        <v>71</v>
      </c>
      <c r="J518" s="2" t="s">
        <v>56</v>
      </c>
      <c r="K518" s="2" t="s">
        <v>57</v>
      </c>
      <c r="L518" s="2" t="s">
        <v>636</v>
      </c>
      <c r="M518" s="2" t="s">
        <v>75</v>
      </c>
      <c r="N518" s="2" t="s">
        <v>76</v>
      </c>
      <c r="O518" s="3">
        <f>IFERROR(VLOOKUP(M518, '[1]08_CSDL_DAO_CU_VAT_LIEU'!$A$2:$F$64, 6, FALSE), 27500)</f>
        <v>42500</v>
      </c>
      <c r="P518" s="4">
        <v>3.36</v>
      </c>
      <c r="Q518" s="3">
        <f t="shared" si="25"/>
        <v>96250</v>
      </c>
      <c r="R518" s="3">
        <f>ROUND((F518/3600)*IFERROR(VLOOKUP(I518, '[1]02_DM_NHAN_SU_MAY'!$M$2:$Q$25, 5, FALSE), 39375), 0)</f>
        <v>53750</v>
      </c>
      <c r="S518" s="3">
        <v>0</v>
      </c>
      <c r="T518" s="3">
        <f t="shared" si="26"/>
        <v>150000</v>
      </c>
    </row>
    <row r="519" spans="1:20" x14ac:dyDescent="0.25">
      <c r="A519" s="5" t="s">
        <v>1204</v>
      </c>
      <c r="B519" s="5">
        <v>518</v>
      </c>
      <c r="C519" s="5" t="s">
        <v>1205</v>
      </c>
      <c r="D519" s="5" t="s">
        <v>1206</v>
      </c>
      <c r="E519" s="5" t="s">
        <v>821</v>
      </c>
      <c r="F519" s="6">
        <v>3600</v>
      </c>
      <c r="G519" s="7">
        <f t="shared" si="24"/>
        <v>0.125</v>
      </c>
      <c r="H519" s="5" t="s">
        <v>34</v>
      </c>
      <c r="I519" s="5" t="s">
        <v>71</v>
      </c>
      <c r="J519" s="5" t="s">
        <v>56</v>
      </c>
      <c r="K519" s="5" t="s">
        <v>57</v>
      </c>
      <c r="L519" s="5" t="s">
        <v>636</v>
      </c>
      <c r="M519" s="5" t="s">
        <v>75</v>
      </c>
      <c r="N519" s="5" t="s">
        <v>76</v>
      </c>
      <c r="O519" s="6">
        <f>IFERROR(VLOOKUP(M519, '[1]08_CSDL_DAO_CU_VAT_LIEU'!$A$2:$F$64, 6, FALSE), 27500)</f>
        <v>42500</v>
      </c>
      <c r="P519" s="7">
        <v>1.68</v>
      </c>
      <c r="Q519" s="6">
        <f t="shared" si="25"/>
        <v>48125</v>
      </c>
      <c r="R519" s="6">
        <f>ROUND((F519/3600)*IFERROR(VLOOKUP(I519, '[1]02_DM_NHAN_SU_MAY'!$M$2:$Q$25, 5, FALSE), 39375), 0)</f>
        <v>26875</v>
      </c>
      <c r="S519" s="6">
        <v>0</v>
      </c>
      <c r="T519" s="6">
        <f t="shared" si="26"/>
        <v>75000</v>
      </c>
    </row>
    <row r="520" spans="1:20" x14ac:dyDescent="0.25">
      <c r="A520" s="2" t="s">
        <v>1207</v>
      </c>
      <c r="B520" s="2">
        <v>519</v>
      </c>
      <c r="C520" s="2" t="s">
        <v>1205</v>
      </c>
      <c r="D520" s="2" t="s">
        <v>1208</v>
      </c>
      <c r="E520" s="2" t="s">
        <v>112</v>
      </c>
      <c r="F520" s="3">
        <v>3600</v>
      </c>
      <c r="G520" s="4">
        <f t="shared" si="24"/>
        <v>0.125</v>
      </c>
      <c r="H520" s="2" t="s">
        <v>34</v>
      </c>
      <c r="I520" s="2" t="s">
        <v>71</v>
      </c>
      <c r="J520" s="2" t="s">
        <v>56</v>
      </c>
      <c r="K520" s="2" t="s">
        <v>57</v>
      </c>
      <c r="L520" s="2" t="s">
        <v>636</v>
      </c>
      <c r="M520" s="2" t="s">
        <v>75</v>
      </c>
      <c r="N520" s="2" t="s">
        <v>76</v>
      </c>
      <c r="O520" s="3">
        <f>IFERROR(VLOOKUP(M520, '[1]08_CSDL_DAO_CU_VAT_LIEU'!$A$2:$F$64, 6, FALSE), 27500)</f>
        <v>42500</v>
      </c>
      <c r="P520" s="4">
        <v>1.68</v>
      </c>
      <c r="Q520" s="3">
        <f t="shared" si="25"/>
        <v>48125</v>
      </c>
      <c r="R520" s="3">
        <f>ROUND((F520/3600)*IFERROR(VLOOKUP(I520, '[1]02_DM_NHAN_SU_MAY'!$M$2:$Q$25, 5, FALSE), 39375), 0)</f>
        <v>26875</v>
      </c>
      <c r="S520" s="3">
        <v>0</v>
      </c>
      <c r="T520" s="3">
        <f t="shared" si="26"/>
        <v>75000</v>
      </c>
    </row>
    <row r="521" spans="1:20" x14ac:dyDescent="0.25">
      <c r="A521" s="5" t="s">
        <v>1209</v>
      </c>
      <c r="B521" s="5">
        <v>520</v>
      </c>
      <c r="C521" s="5" t="s">
        <v>21</v>
      </c>
      <c r="D521" s="5" t="s">
        <v>1210</v>
      </c>
      <c r="E521" s="5" t="s">
        <v>1211</v>
      </c>
      <c r="F521" s="6">
        <v>3600</v>
      </c>
      <c r="G521" s="7">
        <f t="shared" si="24"/>
        <v>0.125</v>
      </c>
      <c r="H521" s="5">
        <v>1</v>
      </c>
      <c r="I521" s="5" t="s">
        <v>35</v>
      </c>
      <c r="J521" s="5" t="s">
        <v>25</v>
      </c>
      <c r="K521" s="5" t="s">
        <v>26</v>
      </c>
      <c r="L521" s="5" t="s">
        <v>27</v>
      </c>
      <c r="M521" s="5" t="s">
        <v>28</v>
      </c>
      <c r="N521" s="5" t="s">
        <v>29</v>
      </c>
      <c r="O521" s="6">
        <f>IFERROR(VLOOKUP(M521, '[1]08_CSDL_DAO_CU_VAT_LIEU'!$A$2:$F$64, 6, FALSE), 27500)</f>
        <v>27500</v>
      </c>
      <c r="P521" s="7">
        <v>2.1</v>
      </c>
      <c r="Q521" s="6">
        <f t="shared" si="25"/>
        <v>48125</v>
      </c>
      <c r="R521" s="6">
        <f>ROUND((F521/3600)*IFERROR(VLOOKUP(I521, '[1]02_DM_NHAN_SU_MAY'!$M$2:$Q$25, 5, FALSE), 39375), 0)</f>
        <v>39375</v>
      </c>
      <c r="S521" s="6">
        <v>0</v>
      </c>
      <c r="T521" s="6">
        <f t="shared" si="26"/>
        <v>87500</v>
      </c>
    </row>
    <row r="522" spans="1:20" x14ac:dyDescent="0.25">
      <c r="A522" s="2" t="s">
        <v>1212</v>
      </c>
      <c r="B522" s="2">
        <v>521</v>
      </c>
      <c r="C522" s="2" t="s">
        <v>21</v>
      </c>
      <c r="D522" s="2" t="s">
        <v>1210</v>
      </c>
      <c r="E522" s="2" t="s">
        <v>1213</v>
      </c>
      <c r="F522" s="3">
        <v>86400</v>
      </c>
      <c r="G522" s="4">
        <f t="shared" si="24"/>
        <v>3</v>
      </c>
      <c r="H522" s="2" t="s">
        <v>34</v>
      </c>
      <c r="I522" s="2" t="s">
        <v>35</v>
      </c>
      <c r="J522" s="2" t="s">
        <v>25</v>
      </c>
      <c r="K522" s="2" t="s">
        <v>26</v>
      </c>
      <c r="L522" s="2" t="s">
        <v>27</v>
      </c>
      <c r="M522" s="2" t="s">
        <v>28</v>
      </c>
      <c r="N522" s="2" t="s">
        <v>29</v>
      </c>
      <c r="O522" s="3">
        <f>IFERROR(VLOOKUP(M522, '[1]08_CSDL_DAO_CU_VAT_LIEU'!$A$2:$F$64, 6, FALSE), 27500)</f>
        <v>27500</v>
      </c>
      <c r="P522" s="4">
        <v>50.4</v>
      </c>
      <c r="Q522" s="3">
        <f t="shared" si="25"/>
        <v>1155000</v>
      </c>
      <c r="R522" s="3">
        <f>ROUND((F522/3600)*IFERROR(VLOOKUP(I522, '[1]02_DM_NHAN_SU_MAY'!$M$2:$Q$25, 5, FALSE), 39375), 0)</f>
        <v>945000</v>
      </c>
      <c r="S522" s="3">
        <v>0</v>
      </c>
      <c r="T522" s="3">
        <f t="shared" si="26"/>
        <v>2100000</v>
      </c>
    </row>
    <row r="523" spans="1:20" x14ac:dyDescent="0.25">
      <c r="A523" s="5" t="s">
        <v>1214</v>
      </c>
      <c r="B523" s="5">
        <v>522</v>
      </c>
      <c r="C523" s="5" t="s">
        <v>21</v>
      </c>
      <c r="D523" s="5" t="s">
        <v>1215</v>
      </c>
      <c r="E523" s="5" t="s">
        <v>785</v>
      </c>
      <c r="F523" s="6">
        <v>14400</v>
      </c>
      <c r="G523" s="7">
        <f t="shared" si="24"/>
        <v>0.5</v>
      </c>
      <c r="H523" s="5">
        <v>1</v>
      </c>
      <c r="I523" s="5" t="s">
        <v>24</v>
      </c>
      <c r="J523" s="5" t="s">
        <v>25</v>
      </c>
      <c r="K523" s="5" t="s">
        <v>26</v>
      </c>
      <c r="L523" s="5" t="s">
        <v>27</v>
      </c>
      <c r="M523" s="5" t="s">
        <v>28</v>
      </c>
      <c r="N523" s="5" t="s">
        <v>29</v>
      </c>
      <c r="O523" s="6">
        <f>IFERROR(VLOOKUP(M523, '[1]08_CSDL_DAO_CU_VAT_LIEU'!$A$2:$F$64, 6, FALSE), 27500)</f>
        <v>27500</v>
      </c>
      <c r="P523" s="7">
        <v>8.4</v>
      </c>
      <c r="Q523" s="6">
        <f t="shared" si="25"/>
        <v>192500</v>
      </c>
      <c r="R523" s="6">
        <f>ROUND((F523/3600)*IFERROR(VLOOKUP(I523, '[1]02_DM_NHAN_SU_MAY'!$M$2:$Q$25, 5, FALSE), 39375), 0)</f>
        <v>157500</v>
      </c>
      <c r="S523" s="6">
        <v>0</v>
      </c>
      <c r="T523" s="6">
        <f t="shared" si="26"/>
        <v>350000</v>
      </c>
    </row>
    <row r="524" spans="1:20" x14ac:dyDescent="0.25">
      <c r="A524" s="2" t="s">
        <v>1216</v>
      </c>
      <c r="B524" s="2">
        <v>523</v>
      </c>
      <c r="C524" s="2" t="s">
        <v>21</v>
      </c>
      <c r="D524" s="2" t="s">
        <v>1215</v>
      </c>
      <c r="E524" s="2" t="s">
        <v>850</v>
      </c>
      <c r="F524" s="3">
        <v>14400</v>
      </c>
      <c r="G524" s="4">
        <f t="shared" si="24"/>
        <v>0.5</v>
      </c>
      <c r="H524" s="2" t="s">
        <v>34</v>
      </c>
      <c r="I524" s="2" t="s">
        <v>24</v>
      </c>
      <c r="J524" s="2" t="s">
        <v>25</v>
      </c>
      <c r="K524" s="2" t="s">
        <v>26</v>
      </c>
      <c r="L524" s="2" t="s">
        <v>27</v>
      </c>
      <c r="M524" s="2" t="s">
        <v>28</v>
      </c>
      <c r="N524" s="2" t="s">
        <v>29</v>
      </c>
      <c r="O524" s="3">
        <f>IFERROR(VLOOKUP(M524, '[1]08_CSDL_DAO_CU_VAT_LIEU'!$A$2:$F$64, 6, FALSE), 27500)</f>
        <v>27500</v>
      </c>
      <c r="P524" s="4">
        <v>8.4</v>
      </c>
      <c r="Q524" s="3">
        <f t="shared" si="25"/>
        <v>192500</v>
      </c>
      <c r="R524" s="3">
        <f>ROUND((F524/3600)*IFERROR(VLOOKUP(I524, '[1]02_DM_NHAN_SU_MAY'!$M$2:$Q$25, 5, FALSE), 39375), 0)</f>
        <v>157500</v>
      </c>
      <c r="S524" s="3">
        <v>0</v>
      </c>
      <c r="T524" s="3">
        <f t="shared" si="26"/>
        <v>350000</v>
      </c>
    </row>
    <row r="525" spans="1:20" x14ac:dyDescent="0.25">
      <c r="A525" s="5" t="s">
        <v>1217</v>
      </c>
      <c r="B525" s="5">
        <v>524</v>
      </c>
      <c r="C525" s="5" t="s">
        <v>21</v>
      </c>
      <c r="D525" s="5" t="s">
        <v>1218</v>
      </c>
      <c r="E525" s="5" t="s">
        <v>954</v>
      </c>
      <c r="F525" s="6">
        <v>14400</v>
      </c>
      <c r="G525" s="7">
        <f t="shared" si="24"/>
        <v>0.5</v>
      </c>
      <c r="H525" s="5">
        <v>1</v>
      </c>
      <c r="I525" s="5" t="s">
        <v>24</v>
      </c>
      <c r="J525" s="5" t="s">
        <v>25</v>
      </c>
      <c r="K525" s="5" t="s">
        <v>26</v>
      </c>
      <c r="L525" s="5" t="s">
        <v>27</v>
      </c>
      <c r="M525" s="5" t="s">
        <v>28</v>
      </c>
      <c r="N525" s="5" t="s">
        <v>29</v>
      </c>
      <c r="O525" s="6">
        <f>IFERROR(VLOOKUP(M525, '[1]08_CSDL_DAO_CU_VAT_LIEU'!$A$2:$F$64, 6, FALSE), 27500)</f>
        <v>27500</v>
      </c>
      <c r="P525" s="7">
        <v>8.4</v>
      </c>
      <c r="Q525" s="6">
        <f t="shared" si="25"/>
        <v>192500</v>
      </c>
      <c r="R525" s="6">
        <f>ROUND((F525/3600)*IFERROR(VLOOKUP(I525, '[1]02_DM_NHAN_SU_MAY'!$M$2:$Q$25, 5, FALSE), 39375), 0)</f>
        <v>157500</v>
      </c>
      <c r="S525" s="6">
        <v>0</v>
      </c>
      <c r="T525" s="6">
        <f t="shared" si="26"/>
        <v>350000</v>
      </c>
    </row>
    <row r="526" spans="1:20" x14ac:dyDescent="0.25">
      <c r="A526" s="2" t="s">
        <v>1219</v>
      </c>
      <c r="B526" s="2">
        <v>525</v>
      </c>
      <c r="C526" s="2" t="s">
        <v>21</v>
      </c>
      <c r="D526" s="2" t="s">
        <v>1218</v>
      </c>
      <c r="E526" s="2" t="s">
        <v>956</v>
      </c>
      <c r="F526" s="3">
        <v>14400</v>
      </c>
      <c r="G526" s="4">
        <f t="shared" si="24"/>
        <v>0.5</v>
      </c>
      <c r="H526" s="2" t="s">
        <v>34</v>
      </c>
      <c r="I526" s="2" t="s">
        <v>24</v>
      </c>
      <c r="J526" s="2" t="s">
        <v>25</v>
      </c>
      <c r="K526" s="2" t="s">
        <v>26</v>
      </c>
      <c r="L526" s="2" t="s">
        <v>27</v>
      </c>
      <c r="M526" s="2" t="s">
        <v>28</v>
      </c>
      <c r="N526" s="2" t="s">
        <v>29</v>
      </c>
      <c r="O526" s="3">
        <f>IFERROR(VLOOKUP(M526, '[1]08_CSDL_DAO_CU_VAT_LIEU'!$A$2:$F$64, 6, FALSE), 27500)</f>
        <v>27500</v>
      </c>
      <c r="P526" s="4">
        <v>8.4</v>
      </c>
      <c r="Q526" s="3">
        <f t="shared" si="25"/>
        <v>192500</v>
      </c>
      <c r="R526" s="3">
        <f>ROUND((F526/3600)*IFERROR(VLOOKUP(I526, '[1]02_DM_NHAN_SU_MAY'!$M$2:$Q$25, 5, FALSE), 39375), 0)</f>
        <v>157500</v>
      </c>
      <c r="S526" s="3">
        <v>0</v>
      </c>
      <c r="T526" s="3">
        <f t="shared" si="26"/>
        <v>350000</v>
      </c>
    </row>
    <row r="527" spans="1:20" x14ac:dyDescent="0.25">
      <c r="A527" s="5" t="s">
        <v>1220</v>
      </c>
      <c r="B527" s="5">
        <v>526</v>
      </c>
      <c r="C527" s="5" t="s">
        <v>21</v>
      </c>
      <c r="D527" s="5" t="s">
        <v>1221</v>
      </c>
      <c r="E527" s="5" t="s">
        <v>954</v>
      </c>
      <c r="F527" s="6">
        <v>14400</v>
      </c>
      <c r="G527" s="7">
        <f t="shared" si="24"/>
        <v>0.5</v>
      </c>
      <c r="H527" s="5">
        <v>1</v>
      </c>
      <c r="I527" s="5" t="s">
        <v>24</v>
      </c>
      <c r="J527" s="5" t="s">
        <v>25</v>
      </c>
      <c r="K527" s="5" t="s">
        <v>26</v>
      </c>
      <c r="L527" s="5" t="s">
        <v>27</v>
      </c>
      <c r="M527" s="5" t="s">
        <v>28</v>
      </c>
      <c r="N527" s="5" t="s">
        <v>29</v>
      </c>
      <c r="O527" s="6">
        <f>IFERROR(VLOOKUP(M527, '[1]08_CSDL_DAO_CU_VAT_LIEU'!$A$2:$F$64, 6, FALSE), 27500)</f>
        <v>27500</v>
      </c>
      <c r="P527" s="7">
        <v>8.4</v>
      </c>
      <c r="Q527" s="6">
        <f t="shared" si="25"/>
        <v>192500</v>
      </c>
      <c r="R527" s="6">
        <f>ROUND((F527/3600)*IFERROR(VLOOKUP(I527, '[1]02_DM_NHAN_SU_MAY'!$M$2:$Q$25, 5, FALSE), 39375), 0)</f>
        <v>157500</v>
      </c>
      <c r="S527" s="6">
        <v>0</v>
      </c>
      <c r="T527" s="6">
        <f t="shared" si="26"/>
        <v>350000</v>
      </c>
    </row>
    <row r="528" spans="1:20" x14ac:dyDescent="0.25">
      <c r="A528" s="2" t="s">
        <v>1222</v>
      </c>
      <c r="B528" s="2">
        <v>527</v>
      </c>
      <c r="C528" s="2" t="s">
        <v>21</v>
      </c>
      <c r="D528" s="2" t="s">
        <v>1221</v>
      </c>
      <c r="E528" s="2" t="s">
        <v>954</v>
      </c>
      <c r="F528" s="3">
        <v>14400</v>
      </c>
      <c r="G528" s="4">
        <f t="shared" si="24"/>
        <v>0.5</v>
      </c>
      <c r="H528" s="2" t="s">
        <v>34</v>
      </c>
      <c r="I528" s="2" t="s">
        <v>24</v>
      </c>
      <c r="J528" s="2" t="s">
        <v>25</v>
      </c>
      <c r="K528" s="2" t="s">
        <v>26</v>
      </c>
      <c r="L528" s="2" t="s">
        <v>27</v>
      </c>
      <c r="M528" s="2" t="s">
        <v>28</v>
      </c>
      <c r="N528" s="2" t="s">
        <v>29</v>
      </c>
      <c r="O528" s="3">
        <f>IFERROR(VLOOKUP(M528, '[1]08_CSDL_DAO_CU_VAT_LIEU'!$A$2:$F$64, 6, FALSE), 27500)</f>
        <v>27500</v>
      </c>
      <c r="P528" s="4">
        <v>8.4</v>
      </c>
      <c r="Q528" s="3">
        <f t="shared" si="25"/>
        <v>192500</v>
      </c>
      <c r="R528" s="3">
        <f>ROUND((F528/3600)*IFERROR(VLOOKUP(I528, '[1]02_DM_NHAN_SU_MAY'!$M$2:$Q$25, 5, FALSE), 39375), 0)</f>
        <v>157500</v>
      </c>
      <c r="S528" s="3">
        <v>0</v>
      </c>
      <c r="T528" s="3">
        <f t="shared" si="26"/>
        <v>350000</v>
      </c>
    </row>
    <row r="529" spans="1:20" x14ac:dyDescent="0.25">
      <c r="A529" s="5" t="s">
        <v>1223</v>
      </c>
      <c r="B529" s="5">
        <v>528</v>
      </c>
      <c r="C529" s="5" t="s">
        <v>21</v>
      </c>
      <c r="D529" s="5" t="s">
        <v>1224</v>
      </c>
      <c r="E529" s="5" t="s">
        <v>954</v>
      </c>
      <c r="F529" s="6">
        <v>14400</v>
      </c>
      <c r="G529" s="7">
        <f t="shared" si="24"/>
        <v>0.5</v>
      </c>
      <c r="H529" s="5">
        <v>1</v>
      </c>
      <c r="I529" s="5" t="s">
        <v>24</v>
      </c>
      <c r="J529" s="5" t="s">
        <v>25</v>
      </c>
      <c r="K529" s="5" t="s">
        <v>26</v>
      </c>
      <c r="L529" s="5" t="s">
        <v>27</v>
      </c>
      <c r="M529" s="5" t="s">
        <v>28</v>
      </c>
      <c r="N529" s="5" t="s">
        <v>29</v>
      </c>
      <c r="O529" s="6">
        <f>IFERROR(VLOOKUP(M529, '[1]08_CSDL_DAO_CU_VAT_LIEU'!$A$2:$F$64, 6, FALSE), 27500)</f>
        <v>27500</v>
      </c>
      <c r="P529" s="7">
        <v>8.4</v>
      </c>
      <c r="Q529" s="6">
        <f t="shared" si="25"/>
        <v>192500</v>
      </c>
      <c r="R529" s="6">
        <f>ROUND((F529/3600)*IFERROR(VLOOKUP(I529, '[1]02_DM_NHAN_SU_MAY'!$M$2:$Q$25, 5, FALSE), 39375), 0)</f>
        <v>157500</v>
      </c>
      <c r="S529" s="6">
        <v>0</v>
      </c>
      <c r="T529" s="6">
        <f t="shared" si="26"/>
        <v>350000</v>
      </c>
    </row>
    <row r="530" spans="1:20" x14ac:dyDescent="0.25">
      <c r="A530" s="2" t="s">
        <v>1225</v>
      </c>
      <c r="B530" s="2">
        <v>529</v>
      </c>
      <c r="C530" s="2" t="s">
        <v>21</v>
      </c>
      <c r="D530" s="2" t="s">
        <v>1224</v>
      </c>
      <c r="E530" s="2" t="s">
        <v>956</v>
      </c>
      <c r="F530" s="3">
        <v>14400</v>
      </c>
      <c r="G530" s="4">
        <f t="shared" si="24"/>
        <v>0.5</v>
      </c>
      <c r="H530" s="2" t="s">
        <v>34</v>
      </c>
      <c r="I530" s="2" t="s">
        <v>24</v>
      </c>
      <c r="J530" s="2" t="s">
        <v>25</v>
      </c>
      <c r="K530" s="2" t="s">
        <v>26</v>
      </c>
      <c r="L530" s="2" t="s">
        <v>27</v>
      </c>
      <c r="M530" s="2" t="s">
        <v>28</v>
      </c>
      <c r="N530" s="2" t="s">
        <v>29</v>
      </c>
      <c r="O530" s="3">
        <f>IFERROR(VLOOKUP(M530, '[1]08_CSDL_DAO_CU_VAT_LIEU'!$A$2:$F$64, 6, FALSE), 27500)</f>
        <v>27500</v>
      </c>
      <c r="P530" s="4">
        <v>8.4</v>
      </c>
      <c r="Q530" s="3">
        <f t="shared" si="25"/>
        <v>192500</v>
      </c>
      <c r="R530" s="3">
        <f>ROUND((F530/3600)*IFERROR(VLOOKUP(I530, '[1]02_DM_NHAN_SU_MAY'!$M$2:$Q$25, 5, FALSE), 39375), 0)</f>
        <v>157500</v>
      </c>
      <c r="S530" s="3">
        <v>0</v>
      </c>
      <c r="T530" s="3">
        <f t="shared" si="26"/>
        <v>350000</v>
      </c>
    </row>
    <row r="531" spans="1:20" x14ac:dyDescent="0.25">
      <c r="A531" s="5" t="s">
        <v>1226</v>
      </c>
      <c r="B531" s="5">
        <v>530</v>
      </c>
      <c r="C531" s="5" t="s">
        <v>21</v>
      </c>
      <c r="D531" s="5" t="s">
        <v>1227</v>
      </c>
      <c r="E531" s="5" t="s">
        <v>1228</v>
      </c>
      <c r="F531" s="6">
        <v>14400</v>
      </c>
      <c r="G531" s="7">
        <f t="shared" si="24"/>
        <v>0.5</v>
      </c>
      <c r="H531" s="5">
        <v>1</v>
      </c>
      <c r="I531" s="5" t="s">
        <v>24</v>
      </c>
      <c r="J531" s="5" t="s">
        <v>25</v>
      </c>
      <c r="K531" s="5" t="s">
        <v>26</v>
      </c>
      <c r="L531" s="5" t="s">
        <v>27</v>
      </c>
      <c r="M531" s="5" t="s">
        <v>28</v>
      </c>
      <c r="N531" s="5" t="s">
        <v>29</v>
      </c>
      <c r="O531" s="6">
        <f>IFERROR(VLOOKUP(M531, '[1]08_CSDL_DAO_CU_VAT_LIEU'!$A$2:$F$64, 6, FALSE), 27500)</f>
        <v>27500</v>
      </c>
      <c r="P531" s="7">
        <v>8.4</v>
      </c>
      <c r="Q531" s="6">
        <f t="shared" si="25"/>
        <v>192500</v>
      </c>
      <c r="R531" s="6">
        <f>ROUND((F531/3600)*IFERROR(VLOOKUP(I531, '[1]02_DM_NHAN_SU_MAY'!$M$2:$Q$25, 5, FALSE), 39375), 0)</f>
        <v>157500</v>
      </c>
      <c r="S531" s="6">
        <v>0</v>
      </c>
      <c r="T531" s="6">
        <f t="shared" si="26"/>
        <v>350000</v>
      </c>
    </row>
    <row r="532" spans="1:20" x14ac:dyDescent="0.25">
      <c r="A532" s="2" t="s">
        <v>1229</v>
      </c>
      <c r="B532" s="2">
        <v>531</v>
      </c>
      <c r="C532" s="2" t="s">
        <v>21</v>
      </c>
      <c r="D532" s="2" t="s">
        <v>1227</v>
      </c>
      <c r="E532" s="2" t="s">
        <v>1228</v>
      </c>
      <c r="F532" s="3">
        <v>14400</v>
      </c>
      <c r="G532" s="4">
        <f t="shared" si="24"/>
        <v>0.5</v>
      </c>
      <c r="H532" s="2" t="s">
        <v>34</v>
      </c>
      <c r="I532" s="2" t="s">
        <v>24</v>
      </c>
      <c r="J532" s="2" t="s">
        <v>25</v>
      </c>
      <c r="K532" s="2" t="s">
        <v>26</v>
      </c>
      <c r="L532" s="2" t="s">
        <v>27</v>
      </c>
      <c r="M532" s="2" t="s">
        <v>28</v>
      </c>
      <c r="N532" s="2" t="s">
        <v>29</v>
      </c>
      <c r="O532" s="3">
        <f>IFERROR(VLOOKUP(M532, '[1]08_CSDL_DAO_CU_VAT_LIEU'!$A$2:$F$64, 6, FALSE), 27500)</f>
        <v>27500</v>
      </c>
      <c r="P532" s="4">
        <v>8.4</v>
      </c>
      <c r="Q532" s="3">
        <f t="shared" si="25"/>
        <v>192500</v>
      </c>
      <c r="R532" s="3">
        <f>ROUND((F532/3600)*IFERROR(VLOOKUP(I532, '[1]02_DM_NHAN_SU_MAY'!$M$2:$Q$25, 5, FALSE), 39375), 0)</f>
        <v>157500</v>
      </c>
      <c r="S532" s="3">
        <v>0</v>
      </c>
      <c r="T532" s="3">
        <f t="shared" si="26"/>
        <v>350000</v>
      </c>
    </row>
    <row r="533" spans="1:20" x14ac:dyDescent="0.25">
      <c r="A533" s="5" t="s">
        <v>1230</v>
      </c>
      <c r="B533" s="5">
        <v>532</v>
      </c>
      <c r="C533" s="5" t="s">
        <v>21</v>
      </c>
      <c r="D533" s="5" t="s">
        <v>1231</v>
      </c>
      <c r="E533" s="5" t="s">
        <v>476</v>
      </c>
      <c r="F533" s="6">
        <v>14400</v>
      </c>
      <c r="G533" s="7">
        <f t="shared" si="24"/>
        <v>0.5</v>
      </c>
      <c r="H533" s="5" t="s">
        <v>34</v>
      </c>
      <c r="I533" s="5" t="s">
        <v>24</v>
      </c>
      <c r="J533" s="5" t="s">
        <v>25</v>
      </c>
      <c r="K533" s="5" t="s">
        <v>26</v>
      </c>
      <c r="L533" s="5" t="s">
        <v>27</v>
      </c>
      <c r="M533" s="5" t="s">
        <v>28</v>
      </c>
      <c r="N533" s="5" t="s">
        <v>29</v>
      </c>
      <c r="O533" s="6">
        <f>IFERROR(VLOOKUP(M533, '[1]08_CSDL_DAO_CU_VAT_LIEU'!$A$2:$F$64, 6, FALSE), 27500)</f>
        <v>27500</v>
      </c>
      <c r="P533" s="7">
        <v>8.4</v>
      </c>
      <c r="Q533" s="6">
        <f t="shared" si="25"/>
        <v>192500</v>
      </c>
      <c r="R533" s="6">
        <f>ROUND((F533/3600)*IFERROR(VLOOKUP(I533, '[1]02_DM_NHAN_SU_MAY'!$M$2:$Q$25, 5, FALSE), 39375), 0)</f>
        <v>157500</v>
      </c>
      <c r="S533" s="6">
        <v>0</v>
      </c>
      <c r="T533" s="6">
        <f t="shared" si="26"/>
        <v>350000</v>
      </c>
    </row>
    <row r="534" spans="1:20" x14ac:dyDescent="0.25">
      <c r="A534" s="2" t="s">
        <v>1232</v>
      </c>
      <c r="B534" s="2">
        <v>533</v>
      </c>
      <c r="C534" s="2" t="s">
        <v>21</v>
      </c>
      <c r="D534" s="2" t="s">
        <v>1233</v>
      </c>
      <c r="E534" s="2" t="s">
        <v>476</v>
      </c>
      <c r="F534" s="3">
        <v>14400</v>
      </c>
      <c r="G534" s="4">
        <f t="shared" si="24"/>
        <v>0.5</v>
      </c>
      <c r="H534" s="2" t="s">
        <v>34</v>
      </c>
      <c r="I534" s="2" t="s">
        <v>24</v>
      </c>
      <c r="J534" s="2" t="s">
        <v>25</v>
      </c>
      <c r="K534" s="2" t="s">
        <v>26</v>
      </c>
      <c r="L534" s="2" t="s">
        <v>27</v>
      </c>
      <c r="M534" s="2" t="s">
        <v>28</v>
      </c>
      <c r="N534" s="2" t="s">
        <v>29</v>
      </c>
      <c r="O534" s="3">
        <f>IFERROR(VLOOKUP(M534, '[1]08_CSDL_DAO_CU_VAT_LIEU'!$A$2:$F$64, 6, FALSE), 27500)</f>
        <v>27500</v>
      </c>
      <c r="P534" s="4">
        <v>8.4</v>
      </c>
      <c r="Q534" s="3">
        <f t="shared" si="25"/>
        <v>192500</v>
      </c>
      <c r="R534" s="3">
        <f>ROUND((F534/3600)*IFERROR(VLOOKUP(I534, '[1]02_DM_NHAN_SU_MAY'!$M$2:$Q$25, 5, FALSE), 39375), 0)</f>
        <v>157500</v>
      </c>
      <c r="S534" s="3">
        <v>0</v>
      </c>
      <c r="T534" s="3">
        <f t="shared" si="26"/>
        <v>350000</v>
      </c>
    </row>
    <row r="535" spans="1:20" x14ac:dyDescent="0.25">
      <c r="A535" s="5" t="s">
        <v>1234</v>
      </c>
      <c r="B535" s="5">
        <v>534</v>
      </c>
      <c r="C535" s="5" t="s">
        <v>21</v>
      </c>
      <c r="D535" s="5" t="s">
        <v>1235</v>
      </c>
      <c r="E535" s="5" t="s">
        <v>1236</v>
      </c>
      <c r="F535" s="6">
        <v>5400</v>
      </c>
      <c r="G535" s="7">
        <f t="shared" si="24"/>
        <v>0.1875</v>
      </c>
      <c r="H535" s="5" t="s">
        <v>34</v>
      </c>
      <c r="I535" s="5" t="s">
        <v>24</v>
      </c>
      <c r="J535" s="5" t="s">
        <v>25</v>
      </c>
      <c r="K535" s="5" t="s">
        <v>26</v>
      </c>
      <c r="L535" s="5" t="s">
        <v>27</v>
      </c>
      <c r="M535" s="5" t="s">
        <v>28</v>
      </c>
      <c r="N535" s="5" t="s">
        <v>29</v>
      </c>
      <c r="O535" s="6">
        <f>IFERROR(VLOOKUP(M535, '[1]08_CSDL_DAO_CU_VAT_LIEU'!$A$2:$F$64, 6, FALSE), 27500)</f>
        <v>27500</v>
      </c>
      <c r="P535" s="7">
        <v>3.15</v>
      </c>
      <c r="Q535" s="6">
        <f t="shared" si="25"/>
        <v>72188</v>
      </c>
      <c r="R535" s="6">
        <f>ROUND((F535/3600)*IFERROR(VLOOKUP(I535, '[1]02_DM_NHAN_SU_MAY'!$M$2:$Q$25, 5, FALSE), 39375), 0)</f>
        <v>59063</v>
      </c>
      <c r="S535" s="6">
        <v>0</v>
      </c>
      <c r="T535" s="6">
        <f t="shared" si="26"/>
        <v>131251</v>
      </c>
    </row>
    <row r="536" spans="1:20" x14ac:dyDescent="0.25">
      <c r="A536" s="2" t="s">
        <v>1237</v>
      </c>
      <c r="B536" s="2">
        <v>535</v>
      </c>
      <c r="C536" s="2" t="s">
        <v>21</v>
      </c>
      <c r="D536" s="2" t="s">
        <v>1238</v>
      </c>
      <c r="E536" s="2" t="s">
        <v>476</v>
      </c>
      <c r="F536" s="3">
        <v>5400</v>
      </c>
      <c r="G536" s="4">
        <f t="shared" si="24"/>
        <v>0.1875</v>
      </c>
      <c r="H536" s="2" t="s">
        <v>34</v>
      </c>
      <c r="I536" s="2" t="s">
        <v>24</v>
      </c>
      <c r="J536" s="2" t="s">
        <v>25</v>
      </c>
      <c r="K536" s="2" t="s">
        <v>26</v>
      </c>
      <c r="L536" s="2" t="s">
        <v>27</v>
      </c>
      <c r="M536" s="2" t="s">
        <v>28</v>
      </c>
      <c r="N536" s="2" t="s">
        <v>29</v>
      </c>
      <c r="O536" s="3">
        <f>IFERROR(VLOOKUP(M536, '[1]08_CSDL_DAO_CU_VAT_LIEU'!$A$2:$F$64, 6, FALSE), 27500)</f>
        <v>27500</v>
      </c>
      <c r="P536" s="4">
        <v>3.15</v>
      </c>
      <c r="Q536" s="3">
        <f t="shared" si="25"/>
        <v>72188</v>
      </c>
      <c r="R536" s="3">
        <f>ROUND((F536/3600)*IFERROR(VLOOKUP(I536, '[1]02_DM_NHAN_SU_MAY'!$M$2:$Q$25, 5, FALSE), 39375), 0)</f>
        <v>59063</v>
      </c>
      <c r="S536" s="3">
        <v>0</v>
      </c>
      <c r="T536" s="3">
        <f t="shared" si="26"/>
        <v>131251</v>
      </c>
    </row>
    <row r="537" spans="1:20" x14ac:dyDescent="0.25">
      <c r="A537" s="5" t="s">
        <v>1239</v>
      </c>
      <c r="B537" s="5">
        <v>536</v>
      </c>
      <c r="C537" s="5" t="s">
        <v>68</v>
      </c>
      <c r="D537" s="5" t="s">
        <v>1240</v>
      </c>
      <c r="E537" s="5" t="s">
        <v>1241</v>
      </c>
      <c r="F537" s="6">
        <v>14400</v>
      </c>
      <c r="G537" s="7">
        <f t="shared" si="24"/>
        <v>0.5</v>
      </c>
      <c r="H537" s="5" t="s">
        <v>34</v>
      </c>
      <c r="I537" s="5" t="s">
        <v>90</v>
      </c>
      <c r="J537" s="5" t="s">
        <v>72</v>
      </c>
      <c r="K537" s="5" t="s">
        <v>73</v>
      </c>
      <c r="L537" s="5" t="s">
        <v>91</v>
      </c>
      <c r="M537" s="5" t="s">
        <v>92</v>
      </c>
      <c r="N537" s="5" t="s">
        <v>93</v>
      </c>
      <c r="O537" s="6">
        <f>IFERROR(VLOOKUP(M537, '[1]08_CSDL_DAO_CU_VAT_LIEU'!$A$2:$F$64, 6, FALSE), 27500)</f>
        <v>74000</v>
      </c>
      <c r="P537" s="7">
        <v>5.6</v>
      </c>
      <c r="Q537" s="6">
        <f t="shared" si="25"/>
        <v>192500</v>
      </c>
      <c r="R537" s="6">
        <f>ROUND((F537/3600)*IFERROR(VLOOKUP(I537, '[1]02_DM_NHAN_SU_MAY'!$M$2:$Q$25, 5, FALSE), 39375), 0)</f>
        <v>107500</v>
      </c>
      <c r="S537" s="6">
        <v>0</v>
      </c>
      <c r="T537" s="6">
        <f t="shared" si="26"/>
        <v>300000</v>
      </c>
    </row>
    <row r="538" spans="1:20" x14ac:dyDescent="0.25">
      <c r="A538" s="2" t="s">
        <v>1242</v>
      </c>
      <c r="B538" s="2">
        <v>537</v>
      </c>
      <c r="C538" s="2" t="s">
        <v>1243</v>
      </c>
      <c r="D538" s="2" t="s">
        <v>1244</v>
      </c>
      <c r="E538" s="2" t="s">
        <v>1245</v>
      </c>
      <c r="F538" s="3">
        <v>1200</v>
      </c>
      <c r="G538" s="4">
        <f t="shared" si="24"/>
        <v>4.1700000000000001E-2</v>
      </c>
      <c r="H538" s="2">
        <v>1</v>
      </c>
      <c r="I538" s="2" t="s">
        <v>71</v>
      </c>
      <c r="J538" s="2" t="s">
        <v>658</v>
      </c>
      <c r="K538" s="2" t="s">
        <v>659</v>
      </c>
      <c r="L538" s="2" t="s">
        <v>1246</v>
      </c>
      <c r="M538" s="2" t="s">
        <v>75</v>
      </c>
      <c r="N538" s="2" t="s">
        <v>76</v>
      </c>
      <c r="O538" s="3">
        <f>IFERROR(VLOOKUP(M538, '[1]08_CSDL_DAO_CU_VAT_LIEU'!$A$2:$F$64, 6, FALSE), 27500)</f>
        <v>42500</v>
      </c>
      <c r="P538" s="4">
        <v>0.7</v>
      </c>
      <c r="Q538" s="3">
        <f t="shared" si="25"/>
        <v>16042</v>
      </c>
      <c r="R538" s="3">
        <f>ROUND((F538/3600)*IFERROR(VLOOKUP(I538, '[1]02_DM_NHAN_SU_MAY'!$M$2:$Q$25, 5, FALSE), 39375), 0)</f>
        <v>8958</v>
      </c>
      <c r="S538" s="3">
        <v>0</v>
      </c>
      <c r="T538" s="3">
        <f t="shared" si="26"/>
        <v>25000</v>
      </c>
    </row>
    <row r="539" spans="1:20" x14ac:dyDescent="0.25">
      <c r="A539" s="5" t="s">
        <v>1247</v>
      </c>
      <c r="B539" s="5">
        <v>538</v>
      </c>
      <c r="C539" s="5" t="s">
        <v>1243</v>
      </c>
      <c r="D539" s="5" t="s">
        <v>1244</v>
      </c>
      <c r="E539" s="5" t="s">
        <v>1248</v>
      </c>
      <c r="F539" s="6">
        <v>1200</v>
      </c>
      <c r="G539" s="7">
        <f t="shared" si="24"/>
        <v>4.1700000000000001E-2</v>
      </c>
      <c r="H539" s="5" t="s">
        <v>34</v>
      </c>
      <c r="I539" s="5" t="s">
        <v>71</v>
      </c>
      <c r="J539" s="5" t="s">
        <v>658</v>
      </c>
      <c r="K539" s="5" t="s">
        <v>659</v>
      </c>
      <c r="L539" s="5" t="s">
        <v>1246</v>
      </c>
      <c r="M539" s="5" t="s">
        <v>75</v>
      </c>
      <c r="N539" s="5" t="s">
        <v>76</v>
      </c>
      <c r="O539" s="6">
        <f>IFERROR(VLOOKUP(M539, '[1]08_CSDL_DAO_CU_VAT_LIEU'!$A$2:$F$64, 6, FALSE), 27500)</f>
        <v>42500</v>
      </c>
      <c r="P539" s="7">
        <v>0.7</v>
      </c>
      <c r="Q539" s="6">
        <f t="shared" si="25"/>
        <v>16042</v>
      </c>
      <c r="R539" s="6">
        <f>ROUND((F539/3600)*IFERROR(VLOOKUP(I539, '[1]02_DM_NHAN_SU_MAY'!$M$2:$Q$25, 5, FALSE), 39375), 0)</f>
        <v>8958</v>
      </c>
      <c r="S539" s="6">
        <v>0</v>
      </c>
      <c r="T539" s="6">
        <f t="shared" si="26"/>
        <v>25000</v>
      </c>
    </row>
    <row r="540" spans="1:20" x14ac:dyDescent="0.25">
      <c r="A540" s="2" t="s">
        <v>1249</v>
      </c>
      <c r="B540" s="2">
        <v>539</v>
      </c>
      <c r="C540" s="2" t="s">
        <v>1243</v>
      </c>
      <c r="D540" s="2" t="s">
        <v>1250</v>
      </c>
      <c r="E540" s="2" t="s">
        <v>1228</v>
      </c>
      <c r="F540" s="3">
        <v>1200</v>
      </c>
      <c r="G540" s="4">
        <f t="shared" si="24"/>
        <v>4.1700000000000001E-2</v>
      </c>
      <c r="H540" s="2">
        <v>1</v>
      </c>
      <c r="I540" s="2" t="s">
        <v>71</v>
      </c>
      <c r="J540" s="2" t="s">
        <v>658</v>
      </c>
      <c r="K540" s="2" t="s">
        <v>659</v>
      </c>
      <c r="L540" s="2" t="s">
        <v>1251</v>
      </c>
      <c r="M540" s="2" t="s">
        <v>28</v>
      </c>
      <c r="N540" s="2" t="s">
        <v>29</v>
      </c>
      <c r="O540" s="3">
        <f>IFERROR(VLOOKUP(M540, '[1]08_CSDL_DAO_CU_VAT_LIEU'!$A$2:$F$64, 6, FALSE), 27500)</f>
        <v>27500</v>
      </c>
      <c r="P540" s="4">
        <v>0.7</v>
      </c>
      <c r="Q540" s="3">
        <f t="shared" si="25"/>
        <v>16042</v>
      </c>
      <c r="R540" s="3">
        <f>ROUND((F540/3600)*IFERROR(VLOOKUP(I540, '[1]02_DM_NHAN_SU_MAY'!$M$2:$Q$25, 5, FALSE), 39375), 0)</f>
        <v>8958</v>
      </c>
      <c r="S540" s="3">
        <v>0</v>
      </c>
      <c r="T540" s="3">
        <f t="shared" si="26"/>
        <v>25000</v>
      </c>
    </row>
    <row r="541" spans="1:20" x14ac:dyDescent="0.25">
      <c r="A541" s="5" t="s">
        <v>1252</v>
      </c>
      <c r="B541" s="5">
        <v>540</v>
      </c>
      <c r="C541" s="5" t="s">
        <v>1243</v>
      </c>
      <c r="D541" s="5" t="s">
        <v>1250</v>
      </c>
      <c r="E541" s="5" t="s">
        <v>956</v>
      </c>
      <c r="F541" s="6">
        <v>1200</v>
      </c>
      <c r="G541" s="7">
        <f t="shared" si="24"/>
        <v>4.1700000000000001E-2</v>
      </c>
      <c r="H541" s="5" t="s">
        <v>34</v>
      </c>
      <c r="I541" s="5" t="s">
        <v>71</v>
      </c>
      <c r="J541" s="5" t="s">
        <v>658</v>
      </c>
      <c r="K541" s="5" t="s">
        <v>659</v>
      </c>
      <c r="L541" s="5" t="s">
        <v>1251</v>
      </c>
      <c r="M541" s="5" t="s">
        <v>28</v>
      </c>
      <c r="N541" s="5" t="s">
        <v>29</v>
      </c>
      <c r="O541" s="6">
        <f>IFERROR(VLOOKUP(M541, '[1]08_CSDL_DAO_CU_VAT_LIEU'!$A$2:$F$64, 6, FALSE), 27500)</f>
        <v>27500</v>
      </c>
      <c r="P541" s="7">
        <v>0.7</v>
      </c>
      <c r="Q541" s="6">
        <f t="shared" si="25"/>
        <v>16042</v>
      </c>
      <c r="R541" s="6">
        <f>ROUND((F541/3600)*IFERROR(VLOOKUP(I541, '[1]02_DM_NHAN_SU_MAY'!$M$2:$Q$25, 5, FALSE), 39375), 0)</f>
        <v>8958</v>
      </c>
      <c r="S541" s="6">
        <v>0</v>
      </c>
      <c r="T541" s="6">
        <f t="shared" si="26"/>
        <v>25000</v>
      </c>
    </row>
    <row r="542" spans="1:20" x14ac:dyDescent="0.25">
      <c r="A542" s="2" t="s">
        <v>1253</v>
      </c>
      <c r="B542" s="2">
        <v>541</v>
      </c>
      <c r="C542" s="2" t="s">
        <v>1243</v>
      </c>
      <c r="D542" s="2" t="s">
        <v>1254</v>
      </c>
      <c r="E542" s="2" t="s">
        <v>727</v>
      </c>
      <c r="F542" s="2">
        <v>600</v>
      </c>
      <c r="G542" s="4">
        <f t="shared" si="24"/>
        <v>2.0799999999999999E-2</v>
      </c>
      <c r="H542" s="2" t="s">
        <v>34</v>
      </c>
      <c r="I542" s="2" t="s">
        <v>90</v>
      </c>
      <c r="J542" s="2" t="s">
        <v>658</v>
      </c>
      <c r="K542" s="2" t="s">
        <v>659</v>
      </c>
      <c r="L542" s="2" t="s">
        <v>660</v>
      </c>
      <c r="M542" s="2" t="s">
        <v>728</v>
      </c>
      <c r="N542" s="2" t="s">
        <v>729</v>
      </c>
      <c r="O542" s="3">
        <f>IFERROR(VLOOKUP(M542, '[1]08_CSDL_DAO_CU_VAT_LIEU'!$A$2:$F$64, 6, FALSE), 27500)</f>
        <v>31000</v>
      </c>
      <c r="P542" s="4">
        <v>0.35</v>
      </c>
      <c r="Q542" s="3">
        <f t="shared" si="25"/>
        <v>8021</v>
      </c>
      <c r="R542" s="3">
        <f>ROUND((F542/3600)*IFERROR(VLOOKUP(I542, '[1]02_DM_NHAN_SU_MAY'!$M$2:$Q$25, 5, FALSE), 39375), 0)</f>
        <v>4479</v>
      </c>
      <c r="S542" s="3">
        <v>0</v>
      </c>
      <c r="T542" s="3">
        <f t="shared" si="26"/>
        <v>12500</v>
      </c>
    </row>
    <row r="543" spans="1:20" x14ac:dyDescent="0.25">
      <c r="A543" s="5" t="s">
        <v>1255</v>
      </c>
      <c r="B543" s="5">
        <v>542</v>
      </c>
      <c r="C543" s="5" t="s">
        <v>68</v>
      </c>
      <c r="D543" s="5" t="s">
        <v>1256</v>
      </c>
      <c r="E543" s="5" t="s">
        <v>1040</v>
      </c>
      <c r="F543" s="5">
        <v>600</v>
      </c>
      <c r="G543" s="7">
        <f t="shared" si="24"/>
        <v>2.0799999999999999E-2</v>
      </c>
      <c r="H543" s="5" t="s">
        <v>34</v>
      </c>
      <c r="I543" s="5" t="s">
        <v>90</v>
      </c>
      <c r="J543" s="5" t="s">
        <v>97</v>
      </c>
      <c r="K543" s="5" t="s">
        <v>98</v>
      </c>
      <c r="L543" s="5" t="s">
        <v>143</v>
      </c>
      <c r="M543" s="5" t="s">
        <v>92</v>
      </c>
      <c r="N543" s="5" t="s">
        <v>93</v>
      </c>
      <c r="O543" s="6">
        <f>IFERROR(VLOOKUP(M543, '[1]08_CSDL_DAO_CU_VAT_LIEU'!$A$2:$F$64, 6, FALSE), 27500)</f>
        <v>74000</v>
      </c>
      <c r="P543" s="7">
        <v>0.23</v>
      </c>
      <c r="Q543" s="6">
        <f t="shared" si="25"/>
        <v>8021</v>
      </c>
      <c r="R543" s="6">
        <f>ROUND((F543/3600)*IFERROR(VLOOKUP(I543, '[1]02_DM_NHAN_SU_MAY'!$M$2:$Q$25, 5, FALSE), 39375), 0)</f>
        <v>4479</v>
      </c>
      <c r="S543" s="6">
        <v>0</v>
      </c>
      <c r="T543" s="6">
        <f t="shared" si="26"/>
        <v>12500</v>
      </c>
    </row>
    <row r="544" spans="1:20" x14ac:dyDescent="0.25">
      <c r="A544" s="2" t="s">
        <v>1257</v>
      </c>
      <c r="B544" s="2">
        <v>543</v>
      </c>
      <c r="C544" s="2" t="s">
        <v>217</v>
      </c>
      <c r="D544" s="2" t="s">
        <v>1258</v>
      </c>
      <c r="E544" s="2" t="s">
        <v>1259</v>
      </c>
      <c r="F544" s="3">
        <v>7200</v>
      </c>
      <c r="G544" s="4">
        <f t="shared" si="24"/>
        <v>0.25</v>
      </c>
      <c r="H544" s="2">
        <v>1</v>
      </c>
      <c r="I544" s="2" t="s">
        <v>71</v>
      </c>
      <c r="J544" s="2" t="s">
        <v>56</v>
      </c>
      <c r="K544" s="2" t="s">
        <v>57</v>
      </c>
      <c r="L544" s="2" t="s">
        <v>636</v>
      </c>
      <c r="M544" s="2" t="s">
        <v>75</v>
      </c>
      <c r="N544" s="2" t="s">
        <v>76</v>
      </c>
      <c r="O544" s="3">
        <f>IFERROR(VLOOKUP(M544, '[1]08_CSDL_DAO_CU_VAT_LIEU'!$A$2:$F$64, 6, FALSE), 27500)</f>
        <v>42500</v>
      </c>
      <c r="P544" s="4">
        <v>3.36</v>
      </c>
      <c r="Q544" s="3">
        <f t="shared" si="25"/>
        <v>96250</v>
      </c>
      <c r="R544" s="3">
        <f>ROUND((F544/3600)*IFERROR(VLOOKUP(I544, '[1]02_DM_NHAN_SU_MAY'!$M$2:$Q$25, 5, FALSE), 39375), 0)</f>
        <v>53750</v>
      </c>
      <c r="S544" s="3">
        <v>0</v>
      </c>
      <c r="T544" s="3">
        <f t="shared" si="26"/>
        <v>150000</v>
      </c>
    </row>
    <row r="545" spans="1:20" x14ac:dyDescent="0.25">
      <c r="A545" s="5" t="s">
        <v>1260</v>
      </c>
      <c r="B545" s="5">
        <v>544</v>
      </c>
      <c r="C545" s="5" t="s">
        <v>217</v>
      </c>
      <c r="D545" s="5" t="s">
        <v>1258</v>
      </c>
      <c r="E545" s="5" t="s">
        <v>1261</v>
      </c>
      <c r="F545" s="6">
        <v>2400</v>
      </c>
      <c r="G545" s="7">
        <f t="shared" si="24"/>
        <v>8.3299999999999999E-2</v>
      </c>
      <c r="H545" s="5">
        <v>2</v>
      </c>
      <c r="I545" s="5" t="s">
        <v>71</v>
      </c>
      <c r="J545" s="5" t="s">
        <v>56</v>
      </c>
      <c r="K545" s="5" t="s">
        <v>57</v>
      </c>
      <c r="L545" s="5" t="s">
        <v>636</v>
      </c>
      <c r="M545" s="5" t="s">
        <v>75</v>
      </c>
      <c r="N545" s="5" t="s">
        <v>76</v>
      </c>
      <c r="O545" s="6">
        <f>IFERROR(VLOOKUP(M545, '[1]08_CSDL_DAO_CU_VAT_LIEU'!$A$2:$F$64, 6, FALSE), 27500)</f>
        <v>42500</v>
      </c>
      <c r="P545" s="7">
        <v>1.1200000000000001</v>
      </c>
      <c r="Q545" s="6">
        <f t="shared" si="25"/>
        <v>32083</v>
      </c>
      <c r="R545" s="6">
        <f>ROUND((F545/3600)*IFERROR(VLOOKUP(I545, '[1]02_DM_NHAN_SU_MAY'!$M$2:$Q$25, 5, FALSE), 39375), 0)</f>
        <v>17917</v>
      </c>
      <c r="S545" s="6">
        <v>0</v>
      </c>
      <c r="T545" s="6">
        <f t="shared" si="26"/>
        <v>50000</v>
      </c>
    </row>
    <row r="546" spans="1:20" x14ac:dyDescent="0.25">
      <c r="A546" s="2" t="s">
        <v>1262</v>
      </c>
      <c r="B546" s="2">
        <v>545</v>
      </c>
      <c r="C546" s="2" t="s">
        <v>217</v>
      </c>
      <c r="D546" s="2" t="s">
        <v>1258</v>
      </c>
      <c r="E546" s="2" t="s">
        <v>1263</v>
      </c>
      <c r="F546" s="3">
        <v>2400</v>
      </c>
      <c r="G546" s="4">
        <f t="shared" si="24"/>
        <v>8.3299999999999999E-2</v>
      </c>
      <c r="H546" s="2" t="s">
        <v>34</v>
      </c>
      <c r="I546" s="2" t="s">
        <v>71</v>
      </c>
      <c r="J546" s="2" t="s">
        <v>56</v>
      </c>
      <c r="K546" s="2" t="s">
        <v>57</v>
      </c>
      <c r="L546" s="2" t="s">
        <v>636</v>
      </c>
      <c r="M546" s="2" t="s">
        <v>75</v>
      </c>
      <c r="N546" s="2" t="s">
        <v>76</v>
      </c>
      <c r="O546" s="3">
        <f>IFERROR(VLOOKUP(M546, '[1]08_CSDL_DAO_CU_VAT_LIEU'!$A$2:$F$64, 6, FALSE), 27500)</f>
        <v>42500</v>
      </c>
      <c r="P546" s="4">
        <v>1.1200000000000001</v>
      </c>
      <c r="Q546" s="3">
        <f t="shared" si="25"/>
        <v>32083</v>
      </c>
      <c r="R546" s="3">
        <f>ROUND((F546/3600)*IFERROR(VLOOKUP(I546, '[1]02_DM_NHAN_SU_MAY'!$M$2:$Q$25, 5, FALSE), 39375), 0)</f>
        <v>17917</v>
      </c>
      <c r="S546" s="3">
        <v>0</v>
      </c>
      <c r="T546" s="3">
        <f t="shared" si="26"/>
        <v>50000</v>
      </c>
    </row>
    <row r="547" spans="1:20" x14ac:dyDescent="0.25">
      <c r="A547" s="5" t="s">
        <v>1264</v>
      </c>
      <c r="B547" s="5">
        <v>546</v>
      </c>
      <c r="C547" s="5" t="s">
        <v>145</v>
      </c>
      <c r="D547" s="5" t="s">
        <v>1265</v>
      </c>
      <c r="E547" s="5" t="s">
        <v>1266</v>
      </c>
      <c r="F547" s="6">
        <v>14400</v>
      </c>
      <c r="G547" s="7">
        <f t="shared" si="24"/>
        <v>0.5</v>
      </c>
      <c r="H547" s="5">
        <v>1</v>
      </c>
      <c r="I547" s="5" t="s">
        <v>90</v>
      </c>
      <c r="J547" s="5" t="s">
        <v>36</v>
      </c>
      <c r="K547" s="5" t="s">
        <v>37</v>
      </c>
      <c r="L547" s="5" t="s">
        <v>263</v>
      </c>
      <c r="M547" s="5" t="s">
        <v>92</v>
      </c>
      <c r="N547" s="5" t="s">
        <v>93</v>
      </c>
      <c r="O547" s="6">
        <f>IFERROR(VLOOKUP(M547, '[1]08_CSDL_DAO_CU_VAT_LIEU'!$A$2:$F$64, 6, FALSE), 27500)</f>
        <v>74000</v>
      </c>
      <c r="P547" s="7">
        <v>6.72</v>
      </c>
      <c r="Q547" s="6">
        <f t="shared" si="25"/>
        <v>192500</v>
      </c>
      <c r="R547" s="6">
        <f>ROUND((F547/3600)*IFERROR(VLOOKUP(I547, '[1]02_DM_NHAN_SU_MAY'!$M$2:$Q$25, 5, FALSE), 39375), 0)</f>
        <v>107500</v>
      </c>
      <c r="S547" s="6">
        <v>0</v>
      </c>
      <c r="T547" s="6">
        <f t="shared" si="26"/>
        <v>300000</v>
      </c>
    </row>
    <row r="548" spans="1:20" x14ac:dyDescent="0.25">
      <c r="A548" s="2" t="s">
        <v>1267</v>
      </c>
      <c r="B548" s="2">
        <v>547</v>
      </c>
      <c r="C548" s="2" t="s">
        <v>145</v>
      </c>
      <c r="D548" s="2" t="s">
        <v>1265</v>
      </c>
      <c r="E548" s="2" t="s">
        <v>1268</v>
      </c>
      <c r="F548" s="3">
        <v>14400</v>
      </c>
      <c r="G548" s="4">
        <f t="shared" si="24"/>
        <v>0.5</v>
      </c>
      <c r="H548" s="2">
        <v>2</v>
      </c>
      <c r="I548" s="2" t="s">
        <v>90</v>
      </c>
      <c r="J548" s="2" t="s">
        <v>36</v>
      </c>
      <c r="K548" s="2" t="s">
        <v>37</v>
      </c>
      <c r="L548" s="2" t="s">
        <v>263</v>
      </c>
      <c r="M548" s="2" t="s">
        <v>92</v>
      </c>
      <c r="N548" s="2" t="s">
        <v>93</v>
      </c>
      <c r="O548" s="3">
        <f>IFERROR(VLOOKUP(M548, '[1]08_CSDL_DAO_CU_VAT_LIEU'!$A$2:$F$64, 6, FALSE), 27500)</f>
        <v>74000</v>
      </c>
      <c r="P548" s="4">
        <v>6.72</v>
      </c>
      <c r="Q548" s="3">
        <f t="shared" si="25"/>
        <v>192500</v>
      </c>
      <c r="R548" s="3">
        <f>ROUND((F548/3600)*IFERROR(VLOOKUP(I548, '[1]02_DM_NHAN_SU_MAY'!$M$2:$Q$25, 5, FALSE), 39375), 0)</f>
        <v>107500</v>
      </c>
      <c r="S548" s="3">
        <v>0</v>
      </c>
      <c r="T548" s="3">
        <f t="shared" si="26"/>
        <v>300000</v>
      </c>
    </row>
    <row r="549" spans="1:20" x14ac:dyDescent="0.25">
      <c r="A549" s="5" t="s">
        <v>1269</v>
      </c>
      <c r="B549" s="5">
        <v>548</v>
      </c>
      <c r="C549" s="5" t="s">
        <v>145</v>
      </c>
      <c r="D549" s="5" t="s">
        <v>1265</v>
      </c>
      <c r="E549" s="5" t="s">
        <v>1241</v>
      </c>
      <c r="F549" s="6">
        <v>14400</v>
      </c>
      <c r="G549" s="7">
        <f t="shared" si="24"/>
        <v>0.5</v>
      </c>
      <c r="H549" s="5" t="s">
        <v>34</v>
      </c>
      <c r="I549" s="5" t="s">
        <v>90</v>
      </c>
      <c r="J549" s="5" t="s">
        <v>36</v>
      </c>
      <c r="K549" s="5" t="s">
        <v>37</v>
      </c>
      <c r="L549" s="5" t="s">
        <v>268</v>
      </c>
      <c r="M549" s="5" t="s">
        <v>92</v>
      </c>
      <c r="N549" s="5" t="s">
        <v>93</v>
      </c>
      <c r="O549" s="6">
        <f>IFERROR(VLOOKUP(M549, '[1]08_CSDL_DAO_CU_VAT_LIEU'!$A$2:$F$64, 6, FALSE), 27500)</f>
        <v>74000</v>
      </c>
      <c r="P549" s="7">
        <v>6.72</v>
      </c>
      <c r="Q549" s="6">
        <f t="shared" si="25"/>
        <v>192500</v>
      </c>
      <c r="R549" s="6">
        <f>ROUND((F549/3600)*IFERROR(VLOOKUP(I549, '[1]02_DM_NHAN_SU_MAY'!$M$2:$Q$25, 5, FALSE), 39375), 0)</f>
        <v>107500</v>
      </c>
      <c r="S549" s="6">
        <v>0</v>
      </c>
      <c r="T549" s="6">
        <f t="shared" si="26"/>
        <v>300000</v>
      </c>
    </row>
    <row r="550" spans="1:20" x14ac:dyDescent="0.25">
      <c r="A550" s="2" t="s">
        <v>1270</v>
      </c>
      <c r="B550" s="2">
        <v>549</v>
      </c>
      <c r="C550" s="2" t="s">
        <v>145</v>
      </c>
      <c r="D550" s="2" t="s">
        <v>1271</v>
      </c>
      <c r="E550" s="2" t="s">
        <v>1272</v>
      </c>
      <c r="F550" s="3">
        <v>3600</v>
      </c>
      <c r="G550" s="4">
        <f t="shared" si="24"/>
        <v>0.125</v>
      </c>
      <c r="H550" s="2">
        <v>1</v>
      </c>
      <c r="I550" s="2" t="s">
        <v>71</v>
      </c>
      <c r="J550" s="2" t="s">
        <v>97</v>
      </c>
      <c r="K550" s="2" t="s">
        <v>98</v>
      </c>
      <c r="L550" s="2" t="s">
        <v>99</v>
      </c>
      <c r="M550" s="2" t="s">
        <v>75</v>
      </c>
      <c r="N550" s="2" t="s">
        <v>76</v>
      </c>
      <c r="O550" s="3">
        <f>IFERROR(VLOOKUP(M550, '[1]08_CSDL_DAO_CU_VAT_LIEU'!$A$2:$F$64, 6, FALSE), 27500)</f>
        <v>42500</v>
      </c>
      <c r="P550" s="4">
        <v>1.4</v>
      </c>
      <c r="Q550" s="3">
        <f t="shared" si="25"/>
        <v>48125</v>
      </c>
      <c r="R550" s="3">
        <f>ROUND((F550/3600)*IFERROR(VLOOKUP(I550, '[1]02_DM_NHAN_SU_MAY'!$M$2:$Q$25, 5, FALSE), 39375), 0)</f>
        <v>26875</v>
      </c>
      <c r="S550" s="3">
        <v>0</v>
      </c>
      <c r="T550" s="3">
        <f t="shared" si="26"/>
        <v>75000</v>
      </c>
    </row>
    <row r="551" spans="1:20" x14ac:dyDescent="0.25">
      <c r="A551" s="5" t="s">
        <v>1273</v>
      </c>
      <c r="B551" s="5">
        <v>550</v>
      </c>
      <c r="C551" s="5" t="s">
        <v>145</v>
      </c>
      <c r="D551" s="5" t="s">
        <v>1271</v>
      </c>
      <c r="E551" s="5" t="s">
        <v>1274</v>
      </c>
      <c r="F551" s="6">
        <v>3600</v>
      </c>
      <c r="G551" s="7">
        <f t="shared" si="24"/>
        <v>0.125</v>
      </c>
      <c r="H551" s="5">
        <v>2</v>
      </c>
      <c r="I551" s="5" t="s">
        <v>90</v>
      </c>
      <c r="J551" s="5" t="s">
        <v>97</v>
      </c>
      <c r="K551" s="5" t="s">
        <v>98</v>
      </c>
      <c r="L551" s="5" t="s">
        <v>143</v>
      </c>
      <c r="M551" s="5" t="s">
        <v>269</v>
      </c>
      <c r="N551" s="5" t="s">
        <v>270</v>
      </c>
      <c r="O551" s="6">
        <f>IFERROR(VLOOKUP(M551, '[1]08_CSDL_DAO_CU_VAT_LIEU'!$A$2:$F$64, 6, FALSE), 27500)</f>
        <v>720000</v>
      </c>
      <c r="P551" s="7">
        <v>1.4</v>
      </c>
      <c r="Q551" s="6">
        <f t="shared" si="25"/>
        <v>48125</v>
      </c>
      <c r="R551" s="6">
        <f>ROUND((F551/3600)*IFERROR(VLOOKUP(I551, '[1]02_DM_NHAN_SU_MAY'!$M$2:$Q$25, 5, FALSE), 39375), 0)</f>
        <v>26875</v>
      </c>
      <c r="S551" s="6">
        <v>0</v>
      </c>
      <c r="T551" s="6">
        <f t="shared" si="26"/>
        <v>75000</v>
      </c>
    </row>
    <row r="552" spans="1:20" x14ac:dyDescent="0.25">
      <c r="A552" s="2" t="s">
        <v>1275</v>
      </c>
      <c r="B552" s="2">
        <v>551</v>
      </c>
      <c r="C552" s="2" t="s">
        <v>145</v>
      </c>
      <c r="D552" s="2" t="s">
        <v>1271</v>
      </c>
      <c r="E552" s="2" t="s">
        <v>522</v>
      </c>
      <c r="F552" s="3">
        <v>3600</v>
      </c>
      <c r="G552" s="4">
        <f t="shared" si="24"/>
        <v>0.125</v>
      </c>
      <c r="H552" s="2" t="s">
        <v>34</v>
      </c>
      <c r="I552" s="2" t="s">
        <v>24</v>
      </c>
      <c r="J552" s="2" t="s">
        <v>97</v>
      </c>
      <c r="K552" s="2" t="s">
        <v>98</v>
      </c>
      <c r="L552" s="2" t="s">
        <v>109</v>
      </c>
      <c r="M552" s="2" t="s">
        <v>28</v>
      </c>
      <c r="N552" s="2" t="s">
        <v>29</v>
      </c>
      <c r="O552" s="3">
        <f>IFERROR(VLOOKUP(M552, '[1]08_CSDL_DAO_CU_VAT_LIEU'!$A$2:$F$64, 6, FALSE), 27500)</f>
        <v>27500</v>
      </c>
      <c r="P552" s="4">
        <v>1.4</v>
      </c>
      <c r="Q552" s="3">
        <f t="shared" si="25"/>
        <v>48125</v>
      </c>
      <c r="R552" s="3">
        <f>ROUND((F552/3600)*IFERROR(VLOOKUP(I552, '[1]02_DM_NHAN_SU_MAY'!$M$2:$Q$25, 5, FALSE), 39375), 0)</f>
        <v>39375</v>
      </c>
      <c r="S552" s="3">
        <v>0</v>
      </c>
      <c r="T552" s="3">
        <f t="shared" si="26"/>
        <v>87500</v>
      </c>
    </row>
    <row r="553" spans="1:20" x14ac:dyDescent="0.25">
      <c r="A553" s="5" t="s">
        <v>1276</v>
      </c>
      <c r="B553" s="5">
        <v>552</v>
      </c>
      <c r="C553" s="5" t="s">
        <v>149</v>
      </c>
      <c r="D553" s="5" t="s">
        <v>1277</v>
      </c>
      <c r="E553" s="5" t="s">
        <v>147</v>
      </c>
      <c r="F553" s="6">
        <v>3600</v>
      </c>
      <c r="G553" s="7">
        <f t="shared" si="24"/>
        <v>0.125</v>
      </c>
      <c r="H553" s="5" t="s">
        <v>34</v>
      </c>
      <c r="I553" s="5" t="s">
        <v>151</v>
      </c>
      <c r="J553" s="5" t="s">
        <v>36</v>
      </c>
      <c r="K553" s="5" t="s">
        <v>37</v>
      </c>
      <c r="L553" s="5" t="s">
        <v>38</v>
      </c>
      <c r="M553" s="5" t="s">
        <v>49</v>
      </c>
      <c r="N553" s="5" t="s">
        <v>50</v>
      </c>
      <c r="O553" s="6">
        <f>IFERROR(VLOOKUP(M553, '[1]08_CSDL_DAO_CU_VAT_LIEU'!$A$2:$F$64, 6, FALSE), 27500)</f>
        <v>20833.330000000002</v>
      </c>
      <c r="P553" s="7">
        <v>1.68</v>
      </c>
      <c r="Q553" s="6">
        <f t="shared" si="25"/>
        <v>48125</v>
      </c>
      <c r="R553" s="6">
        <f>ROUND((F553/3600)*IFERROR(VLOOKUP(I553, '[1]02_DM_NHAN_SU_MAY'!$M$2:$Q$25, 5, FALSE), 39375), 0)</f>
        <v>39375</v>
      </c>
      <c r="S553" s="6">
        <v>0</v>
      </c>
      <c r="T553" s="6">
        <f t="shared" si="26"/>
        <v>87500</v>
      </c>
    </row>
    <row r="554" spans="1:20" x14ac:dyDescent="0.25">
      <c r="A554" s="2" t="s">
        <v>1278</v>
      </c>
      <c r="B554" s="2">
        <v>553</v>
      </c>
      <c r="C554" s="2" t="s">
        <v>149</v>
      </c>
      <c r="D554" s="2" t="s">
        <v>1279</v>
      </c>
      <c r="E554" s="2" t="s">
        <v>476</v>
      </c>
      <c r="F554" s="3">
        <v>3600</v>
      </c>
      <c r="G554" s="4">
        <f t="shared" si="24"/>
        <v>0.125</v>
      </c>
      <c r="H554" s="2" t="s">
        <v>34</v>
      </c>
      <c r="I554" s="2" t="s">
        <v>151</v>
      </c>
      <c r="J554" s="2" t="s">
        <v>36</v>
      </c>
      <c r="K554" s="2" t="s">
        <v>37</v>
      </c>
      <c r="L554" s="2" t="s">
        <v>38</v>
      </c>
      <c r="M554" s="2" t="s">
        <v>49</v>
      </c>
      <c r="N554" s="2" t="s">
        <v>50</v>
      </c>
      <c r="O554" s="3">
        <f>IFERROR(VLOOKUP(M554, '[1]08_CSDL_DAO_CU_VAT_LIEU'!$A$2:$F$64, 6, FALSE), 27500)</f>
        <v>20833.330000000002</v>
      </c>
      <c r="P554" s="4">
        <v>1.68</v>
      </c>
      <c r="Q554" s="3">
        <f t="shared" si="25"/>
        <v>48125</v>
      </c>
      <c r="R554" s="3">
        <f>ROUND((F554/3600)*IFERROR(VLOOKUP(I554, '[1]02_DM_NHAN_SU_MAY'!$M$2:$Q$25, 5, FALSE), 39375), 0)</f>
        <v>39375</v>
      </c>
      <c r="S554" s="3">
        <v>0</v>
      </c>
      <c r="T554" s="3">
        <f t="shared" si="26"/>
        <v>87500</v>
      </c>
    </row>
    <row r="555" spans="1:20" x14ac:dyDescent="0.25">
      <c r="A555" s="5" t="s">
        <v>1280</v>
      </c>
      <c r="B555" s="5">
        <v>554</v>
      </c>
      <c r="C555" s="5" t="s">
        <v>149</v>
      </c>
      <c r="D555" s="5" t="s">
        <v>1281</v>
      </c>
      <c r="E555" s="5" t="s">
        <v>476</v>
      </c>
      <c r="F555" s="6">
        <v>3600</v>
      </c>
      <c r="G555" s="7">
        <f t="shared" si="24"/>
        <v>0.125</v>
      </c>
      <c r="H555" s="5" t="s">
        <v>34</v>
      </c>
      <c r="I555" s="5" t="s">
        <v>151</v>
      </c>
      <c r="J555" s="5" t="s">
        <v>36</v>
      </c>
      <c r="K555" s="5" t="s">
        <v>37</v>
      </c>
      <c r="L555" s="5" t="s">
        <v>38</v>
      </c>
      <c r="M555" s="5" t="s">
        <v>49</v>
      </c>
      <c r="N555" s="5" t="s">
        <v>50</v>
      </c>
      <c r="O555" s="6">
        <f>IFERROR(VLOOKUP(M555, '[1]08_CSDL_DAO_CU_VAT_LIEU'!$A$2:$F$64, 6, FALSE), 27500)</f>
        <v>20833.330000000002</v>
      </c>
      <c r="P555" s="7">
        <v>1.68</v>
      </c>
      <c r="Q555" s="6">
        <f t="shared" si="25"/>
        <v>48125</v>
      </c>
      <c r="R555" s="6">
        <f>ROUND((F555/3600)*IFERROR(VLOOKUP(I555, '[1]02_DM_NHAN_SU_MAY'!$M$2:$Q$25, 5, FALSE), 39375), 0)</f>
        <v>39375</v>
      </c>
      <c r="S555" s="6">
        <v>0</v>
      </c>
      <c r="T555" s="6">
        <f t="shared" si="26"/>
        <v>87500</v>
      </c>
    </row>
    <row r="556" spans="1:20" x14ac:dyDescent="0.25">
      <c r="A556" s="2" t="s">
        <v>1282</v>
      </c>
      <c r="B556" s="2">
        <v>555</v>
      </c>
      <c r="C556" s="2" t="s">
        <v>149</v>
      </c>
      <c r="D556" s="2" t="s">
        <v>1283</v>
      </c>
      <c r="E556" s="2" t="s">
        <v>476</v>
      </c>
      <c r="F556" s="3">
        <v>3600</v>
      </c>
      <c r="G556" s="4">
        <f t="shared" si="24"/>
        <v>0.125</v>
      </c>
      <c r="H556" s="2" t="s">
        <v>34</v>
      </c>
      <c r="I556" s="2" t="s">
        <v>151</v>
      </c>
      <c r="J556" s="2" t="s">
        <v>36</v>
      </c>
      <c r="K556" s="2" t="s">
        <v>37</v>
      </c>
      <c r="L556" s="2" t="s">
        <v>38</v>
      </c>
      <c r="M556" s="2" t="s">
        <v>49</v>
      </c>
      <c r="N556" s="2" t="s">
        <v>50</v>
      </c>
      <c r="O556" s="3">
        <f>IFERROR(VLOOKUP(M556, '[1]08_CSDL_DAO_CU_VAT_LIEU'!$A$2:$F$64, 6, FALSE), 27500)</f>
        <v>20833.330000000002</v>
      </c>
      <c r="P556" s="4">
        <v>1.68</v>
      </c>
      <c r="Q556" s="3">
        <f t="shared" si="25"/>
        <v>48125</v>
      </c>
      <c r="R556" s="3">
        <f>ROUND((F556/3600)*IFERROR(VLOOKUP(I556, '[1]02_DM_NHAN_SU_MAY'!$M$2:$Q$25, 5, FALSE), 39375), 0)</f>
        <v>39375</v>
      </c>
      <c r="S556" s="3">
        <v>0</v>
      </c>
      <c r="T556" s="3">
        <f t="shared" si="26"/>
        <v>87500</v>
      </c>
    </row>
    <row r="557" spans="1:20" x14ac:dyDescent="0.25">
      <c r="A557" s="5" t="s">
        <v>1284</v>
      </c>
      <c r="B557" s="5">
        <v>556</v>
      </c>
      <c r="C557" s="5" t="s">
        <v>149</v>
      </c>
      <c r="D557" s="5" t="s">
        <v>1285</v>
      </c>
      <c r="E557" s="5" t="s">
        <v>476</v>
      </c>
      <c r="F557" s="6">
        <v>3600</v>
      </c>
      <c r="G557" s="7">
        <f t="shared" si="24"/>
        <v>0.125</v>
      </c>
      <c r="H557" s="5" t="s">
        <v>34</v>
      </c>
      <c r="I557" s="5" t="s">
        <v>151</v>
      </c>
      <c r="J557" s="5" t="s">
        <v>36</v>
      </c>
      <c r="K557" s="5" t="s">
        <v>37</v>
      </c>
      <c r="L557" s="5" t="s">
        <v>38</v>
      </c>
      <c r="M557" s="5" t="s">
        <v>49</v>
      </c>
      <c r="N557" s="5" t="s">
        <v>50</v>
      </c>
      <c r="O557" s="6">
        <f>IFERROR(VLOOKUP(M557, '[1]08_CSDL_DAO_CU_VAT_LIEU'!$A$2:$F$64, 6, FALSE), 27500)</f>
        <v>20833.330000000002</v>
      </c>
      <c r="P557" s="7">
        <v>1.68</v>
      </c>
      <c r="Q557" s="6">
        <f t="shared" si="25"/>
        <v>48125</v>
      </c>
      <c r="R557" s="6">
        <f>ROUND((F557/3600)*IFERROR(VLOOKUP(I557, '[1]02_DM_NHAN_SU_MAY'!$M$2:$Q$25, 5, FALSE), 39375), 0)</f>
        <v>39375</v>
      </c>
      <c r="S557" s="6">
        <v>0</v>
      </c>
      <c r="T557" s="6">
        <f t="shared" si="26"/>
        <v>87500</v>
      </c>
    </row>
    <row r="558" spans="1:20" x14ac:dyDescent="0.25">
      <c r="A558" s="2" t="s">
        <v>1286</v>
      </c>
      <c r="B558" s="2">
        <v>557</v>
      </c>
      <c r="C558" s="2" t="s">
        <v>149</v>
      </c>
      <c r="D558" s="2" t="s">
        <v>1287</v>
      </c>
      <c r="E558" s="2" t="s">
        <v>476</v>
      </c>
      <c r="F558" s="3">
        <v>3600</v>
      </c>
      <c r="G558" s="4">
        <f t="shared" si="24"/>
        <v>0.125</v>
      </c>
      <c r="H558" s="2" t="s">
        <v>34</v>
      </c>
      <c r="I558" s="2" t="s">
        <v>151</v>
      </c>
      <c r="J558" s="2" t="s">
        <v>36</v>
      </c>
      <c r="K558" s="2" t="s">
        <v>37</v>
      </c>
      <c r="L558" s="2" t="s">
        <v>38</v>
      </c>
      <c r="M558" s="2" t="s">
        <v>49</v>
      </c>
      <c r="N558" s="2" t="s">
        <v>50</v>
      </c>
      <c r="O558" s="3">
        <f>IFERROR(VLOOKUP(M558, '[1]08_CSDL_DAO_CU_VAT_LIEU'!$A$2:$F$64, 6, FALSE), 27500)</f>
        <v>20833.330000000002</v>
      </c>
      <c r="P558" s="4">
        <v>1.68</v>
      </c>
      <c r="Q558" s="3">
        <f t="shared" si="25"/>
        <v>48125</v>
      </c>
      <c r="R558" s="3">
        <f>ROUND((F558/3600)*IFERROR(VLOOKUP(I558, '[1]02_DM_NHAN_SU_MAY'!$M$2:$Q$25, 5, FALSE), 39375), 0)</f>
        <v>39375</v>
      </c>
      <c r="S558" s="3">
        <v>0</v>
      </c>
      <c r="T558" s="3">
        <f t="shared" si="26"/>
        <v>87500</v>
      </c>
    </row>
    <row r="559" spans="1:20" x14ac:dyDescent="0.25">
      <c r="A559" s="5" t="s">
        <v>1288</v>
      </c>
      <c r="B559" s="5">
        <v>558</v>
      </c>
      <c r="C559" s="5" t="s">
        <v>149</v>
      </c>
      <c r="D559" s="5" t="s">
        <v>1289</v>
      </c>
      <c r="E559" s="5" t="s">
        <v>476</v>
      </c>
      <c r="F559" s="6">
        <v>3600</v>
      </c>
      <c r="G559" s="7">
        <f t="shared" si="24"/>
        <v>0.125</v>
      </c>
      <c r="H559" s="5" t="s">
        <v>34</v>
      </c>
      <c r="I559" s="5" t="s">
        <v>151</v>
      </c>
      <c r="J559" s="5" t="s">
        <v>36</v>
      </c>
      <c r="K559" s="5" t="s">
        <v>37</v>
      </c>
      <c r="L559" s="5" t="s">
        <v>38</v>
      </c>
      <c r="M559" s="5" t="s">
        <v>49</v>
      </c>
      <c r="N559" s="5" t="s">
        <v>50</v>
      </c>
      <c r="O559" s="6">
        <f>IFERROR(VLOOKUP(M559, '[1]08_CSDL_DAO_CU_VAT_LIEU'!$A$2:$F$64, 6, FALSE), 27500)</f>
        <v>20833.330000000002</v>
      </c>
      <c r="P559" s="7">
        <v>1.68</v>
      </c>
      <c r="Q559" s="6">
        <f t="shared" si="25"/>
        <v>48125</v>
      </c>
      <c r="R559" s="6">
        <f>ROUND((F559/3600)*IFERROR(VLOOKUP(I559, '[1]02_DM_NHAN_SU_MAY'!$M$2:$Q$25, 5, FALSE), 39375), 0)</f>
        <v>39375</v>
      </c>
      <c r="S559" s="6">
        <v>0</v>
      </c>
      <c r="T559" s="6">
        <f t="shared" si="26"/>
        <v>87500</v>
      </c>
    </row>
    <row r="560" spans="1:20" x14ac:dyDescent="0.25">
      <c r="A560" s="2" t="s">
        <v>1290</v>
      </c>
      <c r="B560" s="2">
        <v>559</v>
      </c>
      <c r="C560" s="2" t="s">
        <v>149</v>
      </c>
      <c r="D560" s="2" t="s">
        <v>1291</v>
      </c>
      <c r="E560" s="2" t="s">
        <v>476</v>
      </c>
      <c r="F560" s="3">
        <v>3600</v>
      </c>
      <c r="G560" s="4">
        <f t="shared" si="24"/>
        <v>0.125</v>
      </c>
      <c r="H560" s="2" t="s">
        <v>34</v>
      </c>
      <c r="I560" s="2" t="s">
        <v>151</v>
      </c>
      <c r="J560" s="2" t="s">
        <v>36</v>
      </c>
      <c r="K560" s="2" t="s">
        <v>37</v>
      </c>
      <c r="L560" s="2" t="s">
        <v>38</v>
      </c>
      <c r="M560" s="2" t="s">
        <v>49</v>
      </c>
      <c r="N560" s="2" t="s">
        <v>50</v>
      </c>
      <c r="O560" s="3">
        <f>IFERROR(VLOOKUP(M560, '[1]08_CSDL_DAO_CU_VAT_LIEU'!$A$2:$F$64, 6, FALSE), 27500)</f>
        <v>20833.330000000002</v>
      </c>
      <c r="P560" s="4">
        <v>1.68</v>
      </c>
      <c r="Q560" s="3">
        <f t="shared" si="25"/>
        <v>48125</v>
      </c>
      <c r="R560" s="3">
        <f>ROUND((F560/3600)*IFERROR(VLOOKUP(I560, '[1]02_DM_NHAN_SU_MAY'!$M$2:$Q$25, 5, FALSE), 39375), 0)</f>
        <v>39375</v>
      </c>
      <c r="S560" s="3">
        <v>0</v>
      </c>
      <c r="T560" s="3">
        <f t="shared" si="26"/>
        <v>87500</v>
      </c>
    </row>
    <row r="561" spans="1:20" x14ac:dyDescent="0.25">
      <c r="A561" s="5" t="s">
        <v>1292</v>
      </c>
      <c r="B561" s="5">
        <v>560</v>
      </c>
      <c r="C561" s="5" t="s">
        <v>149</v>
      </c>
      <c r="D561" s="5" t="s">
        <v>1293</v>
      </c>
      <c r="E561" s="5" t="s">
        <v>476</v>
      </c>
      <c r="F561" s="6">
        <v>5400</v>
      </c>
      <c r="G561" s="7">
        <f t="shared" si="24"/>
        <v>0.1875</v>
      </c>
      <c r="H561" s="5" t="s">
        <v>34</v>
      </c>
      <c r="I561" s="5" t="s">
        <v>151</v>
      </c>
      <c r="J561" s="5" t="s">
        <v>36</v>
      </c>
      <c r="K561" s="5" t="s">
        <v>37</v>
      </c>
      <c r="L561" s="5" t="s">
        <v>38</v>
      </c>
      <c r="M561" s="5" t="s">
        <v>49</v>
      </c>
      <c r="N561" s="5" t="s">
        <v>50</v>
      </c>
      <c r="O561" s="6">
        <f>IFERROR(VLOOKUP(M561, '[1]08_CSDL_DAO_CU_VAT_LIEU'!$A$2:$F$64, 6, FALSE), 27500)</f>
        <v>20833.330000000002</v>
      </c>
      <c r="P561" s="7">
        <v>2.52</v>
      </c>
      <c r="Q561" s="6">
        <f t="shared" si="25"/>
        <v>72188</v>
      </c>
      <c r="R561" s="6">
        <f>ROUND((F561/3600)*IFERROR(VLOOKUP(I561, '[1]02_DM_NHAN_SU_MAY'!$M$2:$Q$25, 5, FALSE), 39375), 0)</f>
        <v>59063</v>
      </c>
      <c r="S561" s="6">
        <v>0</v>
      </c>
      <c r="T561" s="6">
        <f t="shared" si="26"/>
        <v>131251</v>
      </c>
    </row>
    <row r="562" spans="1:20" x14ac:dyDescent="0.25">
      <c r="A562" s="2" t="s">
        <v>1294</v>
      </c>
      <c r="B562" s="2">
        <v>561</v>
      </c>
      <c r="C562" s="2" t="s">
        <v>149</v>
      </c>
      <c r="D562" s="2" t="s">
        <v>1295</v>
      </c>
      <c r="E562" s="2" t="s">
        <v>476</v>
      </c>
      <c r="F562" s="3">
        <v>5400</v>
      </c>
      <c r="G562" s="4">
        <f t="shared" si="24"/>
        <v>0.1875</v>
      </c>
      <c r="H562" s="2" t="s">
        <v>34</v>
      </c>
      <c r="I562" s="2" t="s">
        <v>151</v>
      </c>
      <c r="J562" s="2" t="s">
        <v>36</v>
      </c>
      <c r="K562" s="2" t="s">
        <v>37</v>
      </c>
      <c r="L562" s="2" t="s">
        <v>38</v>
      </c>
      <c r="M562" s="2" t="s">
        <v>49</v>
      </c>
      <c r="N562" s="2" t="s">
        <v>50</v>
      </c>
      <c r="O562" s="3">
        <f>IFERROR(VLOOKUP(M562, '[1]08_CSDL_DAO_CU_VAT_LIEU'!$A$2:$F$64, 6, FALSE), 27500)</f>
        <v>20833.330000000002</v>
      </c>
      <c r="P562" s="4">
        <v>2.52</v>
      </c>
      <c r="Q562" s="3">
        <f t="shared" si="25"/>
        <v>72188</v>
      </c>
      <c r="R562" s="3">
        <f>ROUND((F562/3600)*IFERROR(VLOOKUP(I562, '[1]02_DM_NHAN_SU_MAY'!$M$2:$Q$25, 5, FALSE), 39375), 0)</f>
        <v>59063</v>
      </c>
      <c r="S562" s="3">
        <v>0</v>
      </c>
      <c r="T562" s="3">
        <f t="shared" si="26"/>
        <v>131251</v>
      </c>
    </row>
    <row r="563" spans="1:20" x14ac:dyDescent="0.25">
      <c r="A563" s="5" t="s">
        <v>1296</v>
      </c>
      <c r="B563" s="5">
        <v>562</v>
      </c>
      <c r="C563" s="5" t="s">
        <v>149</v>
      </c>
      <c r="D563" s="5" t="s">
        <v>1297</v>
      </c>
      <c r="E563" s="5" t="s">
        <v>476</v>
      </c>
      <c r="F563" s="6">
        <v>5400</v>
      </c>
      <c r="G563" s="7">
        <f t="shared" si="24"/>
        <v>0.1875</v>
      </c>
      <c r="H563" s="5" t="s">
        <v>34</v>
      </c>
      <c r="I563" s="5" t="s">
        <v>151</v>
      </c>
      <c r="J563" s="5" t="s">
        <v>36</v>
      </c>
      <c r="K563" s="5" t="s">
        <v>37</v>
      </c>
      <c r="L563" s="5" t="s">
        <v>38</v>
      </c>
      <c r="M563" s="5" t="s">
        <v>49</v>
      </c>
      <c r="N563" s="5" t="s">
        <v>50</v>
      </c>
      <c r="O563" s="6">
        <f>IFERROR(VLOOKUP(M563, '[1]08_CSDL_DAO_CU_VAT_LIEU'!$A$2:$F$64, 6, FALSE), 27500)</f>
        <v>20833.330000000002</v>
      </c>
      <c r="P563" s="7">
        <v>2.52</v>
      </c>
      <c r="Q563" s="6">
        <f t="shared" si="25"/>
        <v>72188</v>
      </c>
      <c r="R563" s="6">
        <f>ROUND((F563/3600)*IFERROR(VLOOKUP(I563, '[1]02_DM_NHAN_SU_MAY'!$M$2:$Q$25, 5, FALSE), 39375), 0)</f>
        <v>59063</v>
      </c>
      <c r="S563" s="6">
        <v>0</v>
      </c>
      <c r="T563" s="6">
        <f t="shared" si="26"/>
        <v>131251</v>
      </c>
    </row>
    <row r="564" spans="1:20" x14ac:dyDescent="0.25">
      <c r="A564" s="2" t="s">
        <v>1298</v>
      </c>
      <c r="B564" s="2">
        <v>563</v>
      </c>
      <c r="C564" s="2" t="s">
        <v>149</v>
      </c>
      <c r="D564" s="2" t="s">
        <v>1299</v>
      </c>
      <c r="E564" s="2" t="s">
        <v>476</v>
      </c>
      <c r="F564" s="3">
        <v>5400</v>
      </c>
      <c r="G564" s="4">
        <f t="shared" si="24"/>
        <v>0.1875</v>
      </c>
      <c r="H564" s="2" t="s">
        <v>34</v>
      </c>
      <c r="I564" s="2" t="s">
        <v>35</v>
      </c>
      <c r="J564" s="2" t="s">
        <v>36</v>
      </c>
      <c r="K564" s="2" t="s">
        <v>37</v>
      </c>
      <c r="L564" s="2" t="s">
        <v>38</v>
      </c>
      <c r="M564" s="2" t="s">
        <v>49</v>
      </c>
      <c r="N564" s="2" t="s">
        <v>50</v>
      </c>
      <c r="O564" s="3">
        <f>IFERROR(VLOOKUP(M564, '[1]08_CSDL_DAO_CU_VAT_LIEU'!$A$2:$F$64, 6, FALSE), 27500)</f>
        <v>20833.330000000002</v>
      </c>
      <c r="P564" s="4">
        <v>2.52</v>
      </c>
      <c r="Q564" s="3">
        <f t="shared" si="25"/>
        <v>72188</v>
      </c>
      <c r="R564" s="3">
        <f>ROUND((F564/3600)*IFERROR(VLOOKUP(I564, '[1]02_DM_NHAN_SU_MAY'!$M$2:$Q$25, 5, FALSE), 39375), 0)</f>
        <v>59063</v>
      </c>
      <c r="S564" s="3">
        <v>0</v>
      </c>
      <c r="T564" s="3">
        <f t="shared" si="26"/>
        <v>131251</v>
      </c>
    </row>
    <row r="565" spans="1:20" x14ac:dyDescent="0.25">
      <c r="A565" s="5" t="s">
        <v>1300</v>
      </c>
      <c r="B565" s="5">
        <v>564</v>
      </c>
      <c r="C565" s="5" t="s">
        <v>149</v>
      </c>
      <c r="D565" s="5" t="s">
        <v>1301</v>
      </c>
      <c r="E565" s="5" t="s">
        <v>476</v>
      </c>
      <c r="F565" s="6">
        <v>5400</v>
      </c>
      <c r="G565" s="7">
        <f t="shared" si="24"/>
        <v>0.1875</v>
      </c>
      <c r="H565" s="5" t="s">
        <v>34</v>
      </c>
      <c r="I565" s="5" t="s">
        <v>151</v>
      </c>
      <c r="J565" s="5" t="s">
        <v>36</v>
      </c>
      <c r="K565" s="5" t="s">
        <v>37</v>
      </c>
      <c r="L565" s="5" t="s">
        <v>38</v>
      </c>
      <c r="M565" s="5" t="s">
        <v>49</v>
      </c>
      <c r="N565" s="5" t="s">
        <v>50</v>
      </c>
      <c r="O565" s="6">
        <f>IFERROR(VLOOKUP(M565, '[1]08_CSDL_DAO_CU_VAT_LIEU'!$A$2:$F$64, 6, FALSE), 27500)</f>
        <v>20833.330000000002</v>
      </c>
      <c r="P565" s="7">
        <v>2.52</v>
      </c>
      <c r="Q565" s="6">
        <f t="shared" si="25"/>
        <v>72188</v>
      </c>
      <c r="R565" s="6">
        <f>ROUND((F565/3600)*IFERROR(VLOOKUP(I565, '[1]02_DM_NHAN_SU_MAY'!$M$2:$Q$25, 5, FALSE), 39375), 0)</f>
        <v>59063</v>
      </c>
      <c r="S565" s="6">
        <v>0</v>
      </c>
      <c r="T565" s="6">
        <f t="shared" si="26"/>
        <v>131251</v>
      </c>
    </row>
    <row r="566" spans="1:20" x14ac:dyDescent="0.25">
      <c r="A566" s="2" t="s">
        <v>1302</v>
      </c>
      <c r="B566" s="2">
        <v>565</v>
      </c>
      <c r="C566" s="2" t="s">
        <v>149</v>
      </c>
      <c r="D566" s="2" t="s">
        <v>1303</v>
      </c>
      <c r="E566" s="2" t="s">
        <v>476</v>
      </c>
      <c r="F566" s="3">
        <v>5400</v>
      </c>
      <c r="G566" s="4">
        <f t="shared" si="24"/>
        <v>0.1875</v>
      </c>
      <c r="H566" s="2" t="s">
        <v>34</v>
      </c>
      <c r="I566" s="2" t="s">
        <v>151</v>
      </c>
      <c r="J566" s="2" t="s">
        <v>36</v>
      </c>
      <c r="K566" s="2" t="s">
        <v>37</v>
      </c>
      <c r="L566" s="2" t="s">
        <v>38</v>
      </c>
      <c r="M566" s="2" t="s">
        <v>49</v>
      </c>
      <c r="N566" s="2" t="s">
        <v>50</v>
      </c>
      <c r="O566" s="3">
        <f>IFERROR(VLOOKUP(M566, '[1]08_CSDL_DAO_CU_VAT_LIEU'!$A$2:$F$64, 6, FALSE), 27500)</f>
        <v>20833.330000000002</v>
      </c>
      <c r="P566" s="4">
        <v>2.52</v>
      </c>
      <c r="Q566" s="3">
        <f t="shared" si="25"/>
        <v>72188</v>
      </c>
      <c r="R566" s="3">
        <f>ROUND((F566/3600)*IFERROR(VLOOKUP(I566, '[1]02_DM_NHAN_SU_MAY'!$M$2:$Q$25, 5, FALSE), 39375), 0)</f>
        <v>59063</v>
      </c>
      <c r="S566" s="3">
        <v>0</v>
      </c>
      <c r="T566" s="3">
        <f t="shared" si="26"/>
        <v>131251</v>
      </c>
    </row>
    <row r="567" spans="1:20" x14ac:dyDescent="0.25">
      <c r="A567" s="5" t="s">
        <v>1304</v>
      </c>
      <c r="B567" s="5">
        <v>566</v>
      </c>
      <c r="C567" s="5" t="s">
        <v>46</v>
      </c>
      <c r="D567" s="5" t="s">
        <v>1305</v>
      </c>
      <c r="E567" s="5" t="s">
        <v>1306</v>
      </c>
      <c r="F567" s="6">
        <v>14400</v>
      </c>
      <c r="G567" s="7">
        <f t="shared" si="24"/>
        <v>0.5</v>
      </c>
      <c r="H567" s="5" t="s">
        <v>34</v>
      </c>
      <c r="I567" s="5" t="s">
        <v>90</v>
      </c>
      <c r="J567" s="5" t="s">
        <v>72</v>
      </c>
      <c r="K567" s="5" t="s">
        <v>73</v>
      </c>
      <c r="L567" s="5" t="s">
        <v>74</v>
      </c>
      <c r="M567" s="5" t="s">
        <v>92</v>
      </c>
      <c r="N567" s="5" t="s">
        <v>93</v>
      </c>
      <c r="O567" s="6">
        <f>IFERROR(VLOOKUP(M567, '[1]08_CSDL_DAO_CU_VAT_LIEU'!$A$2:$F$64, 6, FALSE), 27500)</f>
        <v>74000</v>
      </c>
      <c r="P567" s="7">
        <v>5.6</v>
      </c>
      <c r="Q567" s="6">
        <f t="shared" si="25"/>
        <v>192500</v>
      </c>
      <c r="R567" s="6">
        <f>ROUND((F567/3600)*IFERROR(VLOOKUP(I567, '[1]02_DM_NHAN_SU_MAY'!$M$2:$Q$25, 5, FALSE), 39375), 0)</f>
        <v>107500</v>
      </c>
      <c r="S567" s="6">
        <v>0</v>
      </c>
      <c r="T567" s="6">
        <f t="shared" si="26"/>
        <v>300000</v>
      </c>
    </row>
    <row r="568" spans="1:20" x14ac:dyDescent="0.25">
      <c r="A568" s="2" t="s">
        <v>1307</v>
      </c>
      <c r="B568" s="2">
        <v>567</v>
      </c>
      <c r="C568" s="2" t="s">
        <v>68</v>
      </c>
      <c r="D568" s="2" t="s">
        <v>1308</v>
      </c>
      <c r="E568" s="2" t="s">
        <v>476</v>
      </c>
      <c r="F568" s="3">
        <v>1200</v>
      </c>
      <c r="G568" s="4">
        <f t="shared" si="24"/>
        <v>4.1700000000000001E-2</v>
      </c>
      <c r="H568" s="2" t="s">
        <v>34</v>
      </c>
      <c r="I568" s="2" t="s">
        <v>24</v>
      </c>
      <c r="J568" s="2" t="s">
        <v>25</v>
      </c>
      <c r="K568" s="2" t="s">
        <v>26</v>
      </c>
      <c r="L568" s="2" t="s">
        <v>27</v>
      </c>
      <c r="M568" s="2" t="s">
        <v>28</v>
      </c>
      <c r="N568" s="2" t="s">
        <v>29</v>
      </c>
      <c r="O568" s="3">
        <f>IFERROR(VLOOKUP(M568, '[1]08_CSDL_DAO_CU_VAT_LIEU'!$A$2:$F$64, 6, FALSE), 27500)</f>
        <v>27500</v>
      </c>
      <c r="P568" s="4">
        <v>0.7</v>
      </c>
      <c r="Q568" s="3">
        <f t="shared" si="25"/>
        <v>16042</v>
      </c>
      <c r="R568" s="3">
        <f>ROUND((F568/3600)*IFERROR(VLOOKUP(I568, '[1]02_DM_NHAN_SU_MAY'!$M$2:$Q$25, 5, FALSE), 39375), 0)</f>
        <v>13125</v>
      </c>
      <c r="S568" s="3">
        <v>0</v>
      </c>
      <c r="T568" s="3">
        <f t="shared" si="26"/>
        <v>29167</v>
      </c>
    </row>
    <row r="569" spans="1:20" x14ac:dyDescent="0.25">
      <c r="A569" s="5" t="s">
        <v>1309</v>
      </c>
      <c r="B569" s="5">
        <v>568</v>
      </c>
      <c r="C569" s="5" t="s">
        <v>68</v>
      </c>
      <c r="D569" s="5" t="s">
        <v>1310</v>
      </c>
      <c r="E569" s="5" t="s">
        <v>476</v>
      </c>
      <c r="F569" s="6">
        <v>1200</v>
      </c>
      <c r="G569" s="7">
        <f t="shared" si="24"/>
        <v>4.1700000000000001E-2</v>
      </c>
      <c r="H569" s="5" t="s">
        <v>34</v>
      </c>
      <c r="I569" s="5" t="s">
        <v>24</v>
      </c>
      <c r="J569" s="5" t="s">
        <v>25</v>
      </c>
      <c r="K569" s="5" t="s">
        <v>26</v>
      </c>
      <c r="L569" s="5" t="s">
        <v>27</v>
      </c>
      <c r="M569" s="5" t="s">
        <v>28</v>
      </c>
      <c r="N569" s="5" t="s">
        <v>29</v>
      </c>
      <c r="O569" s="6">
        <f>IFERROR(VLOOKUP(M569, '[1]08_CSDL_DAO_CU_VAT_LIEU'!$A$2:$F$64, 6, FALSE), 27500)</f>
        <v>27500</v>
      </c>
      <c r="P569" s="7">
        <v>0.7</v>
      </c>
      <c r="Q569" s="6">
        <f t="shared" si="25"/>
        <v>16042</v>
      </c>
      <c r="R569" s="6">
        <f>ROUND((F569/3600)*IFERROR(VLOOKUP(I569, '[1]02_DM_NHAN_SU_MAY'!$M$2:$Q$25, 5, FALSE), 39375), 0)</f>
        <v>13125</v>
      </c>
      <c r="S569" s="6">
        <v>0</v>
      </c>
      <c r="T569" s="6">
        <f t="shared" si="26"/>
        <v>29167</v>
      </c>
    </row>
    <row r="570" spans="1:20" x14ac:dyDescent="0.25">
      <c r="A570" s="2" t="s">
        <v>1311</v>
      </c>
      <c r="B570" s="2">
        <v>569</v>
      </c>
      <c r="C570" s="2" t="s">
        <v>68</v>
      </c>
      <c r="D570" s="2" t="s">
        <v>1312</v>
      </c>
      <c r="E570" s="2" t="s">
        <v>476</v>
      </c>
      <c r="F570" s="3">
        <v>5400</v>
      </c>
      <c r="G570" s="4">
        <f t="shared" si="24"/>
        <v>0.1875</v>
      </c>
      <c r="H570" s="2" t="s">
        <v>34</v>
      </c>
      <c r="I570" s="2" t="s">
        <v>24</v>
      </c>
      <c r="J570" s="2" t="s">
        <v>97</v>
      </c>
      <c r="K570" s="2" t="s">
        <v>98</v>
      </c>
      <c r="L570" s="2" t="s">
        <v>109</v>
      </c>
      <c r="M570" s="2" t="s">
        <v>28</v>
      </c>
      <c r="N570" s="2" t="s">
        <v>29</v>
      </c>
      <c r="O570" s="3">
        <f>IFERROR(VLOOKUP(M570, '[1]08_CSDL_DAO_CU_VAT_LIEU'!$A$2:$F$64, 6, FALSE), 27500)</f>
        <v>27500</v>
      </c>
      <c r="P570" s="4">
        <v>2.1</v>
      </c>
      <c r="Q570" s="3">
        <f t="shared" si="25"/>
        <v>72188</v>
      </c>
      <c r="R570" s="3">
        <f>ROUND((F570/3600)*IFERROR(VLOOKUP(I570, '[1]02_DM_NHAN_SU_MAY'!$M$2:$Q$25, 5, FALSE), 39375), 0)</f>
        <v>59063</v>
      </c>
      <c r="S570" s="3">
        <v>0</v>
      </c>
      <c r="T570" s="3">
        <f t="shared" si="26"/>
        <v>131251</v>
      </c>
    </row>
    <row r="571" spans="1:20" x14ac:dyDescent="0.25">
      <c r="A571" s="5" t="s">
        <v>1313</v>
      </c>
      <c r="B571" s="5">
        <v>570</v>
      </c>
      <c r="C571" s="5" t="s">
        <v>46</v>
      </c>
      <c r="D571" s="5" t="s">
        <v>1314</v>
      </c>
      <c r="E571" s="5" t="s">
        <v>476</v>
      </c>
      <c r="F571" s="6">
        <v>3375</v>
      </c>
      <c r="G571" s="7">
        <f t="shared" si="24"/>
        <v>0.1172</v>
      </c>
      <c r="H571" s="5" t="s">
        <v>34</v>
      </c>
      <c r="I571" s="5" t="s">
        <v>24</v>
      </c>
      <c r="J571" s="5" t="s">
        <v>25</v>
      </c>
      <c r="K571" s="5" t="s">
        <v>26</v>
      </c>
      <c r="L571" s="5" t="s">
        <v>27</v>
      </c>
      <c r="M571" s="5" t="s">
        <v>28</v>
      </c>
      <c r="N571" s="5" t="s">
        <v>29</v>
      </c>
      <c r="O571" s="6">
        <f>IFERROR(VLOOKUP(M571, '[1]08_CSDL_DAO_CU_VAT_LIEU'!$A$2:$F$64, 6, FALSE), 27500)</f>
        <v>27500</v>
      </c>
      <c r="P571" s="7">
        <v>1.97</v>
      </c>
      <c r="Q571" s="6">
        <f t="shared" si="25"/>
        <v>45117</v>
      </c>
      <c r="R571" s="6">
        <f>ROUND((F571/3600)*IFERROR(VLOOKUP(I571, '[1]02_DM_NHAN_SU_MAY'!$M$2:$Q$25, 5, FALSE), 39375), 0)</f>
        <v>36914</v>
      </c>
      <c r="S571" s="6">
        <v>0</v>
      </c>
      <c r="T571" s="6">
        <f t="shared" si="26"/>
        <v>82031</v>
      </c>
    </row>
    <row r="572" spans="1:20" x14ac:dyDescent="0.25">
      <c r="A572" s="2" t="s">
        <v>1315</v>
      </c>
      <c r="B572" s="2">
        <v>571</v>
      </c>
      <c r="C572" s="2" t="s">
        <v>253</v>
      </c>
      <c r="D572" s="2" t="s">
        <v>1316</v>
      </c>
      <c r="E572" s="2" t="s">
        <v>522</v>
      </c>
      <c r="F572" s="3">
        <v>3600</v>
      </c>
      <c r="G572" s="4">
        <f t="shared" si="24"/>
        <v>0.125</v>
      </c>
      <c r="H572" s="2">
        <v>1</v>
      </c>
      <c r="I572" s="2" t="s">
        <v>24</v>
      </c>
      <c r="J572" s="2" t="s">
        <v>56</v>
      </c>
      <c r="K572" s="2" t="s">
        <v>57</v>
      </c>
      <c r="L572" s="2" t="s">
        <v>58</v>
      </c>
      <c r="M572" s="2" t="s">
        <v>28</v>
      </c>
      <c r="N572" s="2" t="s">
        <v>29</v>
      </c>
      <c r="O572" s="3">
        <f>IFERROR(VLOOKUP(M572, '[1]08_CSDL_DAO_CU_VAT_LIEU'!$A$2:$F$64, 6, FALSE), 27500)</f>
        <v>27500</v>
      </c>
      <c r="P572" s="4">
        <v>1.68</v>
      </c>
      <c r="Q572" s="3">
        <f t="shared" si="25"/>
        <v>48125</v>
      </c>
      <c r="R572" s="3">
        <f>ROUND((F572/3600)*IFERROR(VLOOKUP(I572, '[1]02_DM_NHAN_SU_MAY'!$M$2:$Q$25, 5, FALSE), 39375), 0)</f>
        <v>39375</v>
      </c>
      <c r="S572" s="3">
        <v>0</v>
      </c>
      <c r="T572" s="3">
        <f t="shared" si="26"/>
        <v>87500</v>
      </c>
    </row>
    <row r="573" spans="1:20" x14ac:dyDescent="0.25">
      <c r="A573" s="5" t="s">
        <v>1317</v>
      </c>
      <c r="B573" s="5">
        <v>572</v>
      </c>
      <c r="C573" s="5" t="s">
        <v>253</v>
      </c>
      <c r="D573" s="5" t="s">
        <v>1316</v>
      </c>
      <c r="E573" s="5" t="s">
        <v>857</v>
      </c>
      <c r="F573" s="6">
        <v>3600</v>
      </c>
      <c r="G573" s="7">
        <f t="shared" si="24"/>
        <v>0.125</v>
      </c>
      <c r="H573" s="5">
        <v>2</v>
      </c>
      <c r="I573" s="5" t="s">
        <v>24</v>
      </c>
      <c r="J573" s="5" t="s">
        <v>56</v>
      </c>
      <c r="K573" s="5" t="s">
        <v>57</v>
      </c>
      <c r="L573" s="5" t="s">
        <v>58</v>
      </c>
      <c r="M573" s="5" t="s">
        <v>28</v>
      </c>
      <c r="N573" s="5" t="s">
        <v>29</v>
      </c>
      <c r="O573" s="6">
        <f>IFERROR(VLOOKUP(M573, '[1]08_CSDL_DAO_CU_VAT_LIEU'!$A$2:$F$64, 6, FALSE), 27500)</f>
        <v>27500</v>
      </c>
      <c r="P573" s="7">
        <v>1.68</v>
      </c>
      <c r="Q573" s="6">
        <f t="shared" si="25"/>
        <v>48125</v>
      </c>
      <c r="R573" s="6">
        <f>ROUND((F573/3600)*IFERROR(VLOOKUP(I573, '[1]02_DM_NHAN_SU_MAY'!$M$2:$Q$25, 5, FALSE), 39375), 0)</f>
        <v>39375</v>
      </c>
      <c r="S573" s="6">
        <v>0</v>
      </c>
      <c r="T573" s="6">
        <f t="shared" si="26"/>
        <v>87500</v>
      </c>
    </row>
    <row r="574" spans="1:20" x14ac:dyDescent="0.25">
      <c r="A574" s="2" t="s">
        <v>1318</v>
      </c>
      <c r="B574" s="2">
        <v>573</v>
      </c>
      <c r="C574" s="2" t="s">
        <v>253</v>
      </c>
      <c r="D574" s="2" t="s">
        <v>1316</v>
      </c>
      <c r="E574" s="2" t="s">
        <v>1319</v>
      </c>
      <c r="F574" s="3">
        <v>4500</v>
      </c>
      <c r="G574" s="4">
        <f t="shared" si="24"/>
        <v>0.15629999999999999</v>
      </c>
      <c r="H574" s="2" t="s">
        <v>34</v>
      </c>
      <c r="I574" s="2" t="s">
        <v>71</v>
      </c>
      <c r="J574" s="2" t="s">
        <v>56</v>
      </c>
      <c r="K574" s="2" t="s">
        <v>57</v>
      </c>
      <c r="L574" s="2" t="s">
        <v>636</v>
      </c>
      <c r="M574" s="2" t="s">
        <v>75</v>
      </c>
      <c r="N574" s="2" t="s">
        <v>76</v>
      </c>
      <c r="O574" s="3">
        <f>IFERROR(VLOOKUP(M574, '[1]08_CSDL_DAO_CU_VAT_LIEU'!$A$2:$F$64, 6, FALSE), 27500)</f>
        <v>42500</v>
      </c>
      <c r="P574" s="4">
        <v>2.1</v>
      </c>
      <c r="Q574" s="3">
        <f t="shared" si="25"/>
        <v>60156</v>
      </c>
      <c r="R574" s="3">
        <f>ROUND((F574/3600)*IFERROR(VLOOKUP(I574, '[1]02_DM_NHAN_SU_MAY'!$M$2:$Q$25, 5, FALSE), 39375), 0)</f>
        <v>33594</v>
      </c>
      <c r="S574" s="3">
        <v>0</v>
      </c>
      <c r="T574" s="3">
        <f t="shared" si="26"/>
        <v>93750</v>
      </c>
    </row>
    <row r="575" spans="1:20" x14ac:dyDescent="0.25">
      <c r="A575" s="5" t="s">
        <v>1320</v>
      </c>
      <c r="B575" s="5">
        <v>574</v>
      </c>
      <c r="C575" s="5" t="s">
        <v>68</v>
      </c>
      <c r="D575" s="5" t="s">
        <v>1321</v>
      </c>
      <c r="E575" s="5" t="s">
        <v>821</v>
      </c>
      <c r="F575" s="6">
        <v>3600</v>
      </c>
      <c r="G575" s="7">
        <f t="shared" si="24"/>
        <v>0.125</v>
      </c>
      <c r="H575" s="5">
        <v>1</v>
      </c>
      <c r="I575" s="5" t="s">
        <v>71</v>
      </c>
      <c r="J575" s="5" t="s">
        <v>658</v>
      </c>
      <c r="K575" s="5" t="s">
        <v>659</v>
      </c>
      <c r="L575" s="5" t="s">
        <v>1246</v>
      </c>
      <c r="M575" s="5" t="s">
        <v>75</v>
      </c>
      <c r="N575" s="5" t="s">
        <v>76</v>
      </c>
      <c r="O575" s="6">
        <f>IFERROR(VLOOKUP(M575, '[1]08_CSDL_DAO_CU_VAT_LIEU'!$A$2:$F$64, 6, FALSE), 27500)</f>
        <v>42500</v>
      </c>
      <c r="P575" s="7">
        <v>2.1</v>
      </c>
      <c r="Q575" s="6">
        <f t="shared" si="25"/>
        <v>48125</v>
      </c>
      <c r="R575" s="6">
        <f>ROUND((F575/3600)*IFERROR(VLOOKUP(I575, '[1]02_DM_NHAN_SU_MAY'!$M$2:$Q$25, 5, FALSE), 39375), 0)</f>
        <v>26875</v>
      </c>
      <c r="S575" s="6">
        <v>0</v>
      </c>
      <c r="T575" s="6">
        <f t="shared" si="26"/>
        <v>75000</v>
      </c>
    </row>
    <row r="576" spans="1:20" x14ac:dyDescent="0.25">
      <c r="A576" s="2" t="s">
        <v>1322</v>
      </c>
      <c r="B576" s="2">
        <v>575</v>
      </c>
      <c r="C576" s="2" t="s">
        <v>68</v>
      </c>
      <c r="D576" s="2" t="s">
        <v>1321</v>
      </c>
      <c r="E576" s="2" t="s">
        <v>1241</v>
      </c>
      <c r="F576" s="3">
        <v>1800</v>
      </c>
      <c r="G576" s="4">
        <f t="shared" si="24"/>
        <v>6.25E-2</v>
      </c>
      <c r="H576" s="2" t="s">
        <v>34</v>
      </c>
      <c r="I576" s="2" t="s">
        <v>90</v>
      </c>
      <c r="J576" s="2" t="s">
        <v>658</v>
      </c>
      <c r="K576" s="2" t="s">
        <v>659</v>
      </c>
      <c r="L576" s="2" t="s">
        <v>660</v>
      </c>
      <c r="M576" s="2" t="s">
        <v>92</v>
      </c>
      <c r="N576" s="2" t="s">
        <v>93</v>
      </c>
      <c r="O576" s="3">
        <f>IFERROR(VLOOKUP(M576, '[1]08_CSDL_DAO_CU_VAT_LIEU'!$A$2:$F$64, 6, FALSE), 27500)</f>
        <v>74000</v>
      </c>
      <c r="P576" s="4">
        <v>1.05</v>
      </c>
      <c r="Q576" s="3">
        <f t="shared" si="25"/>
        <v>24063</v>
      </c>
      <c r="R576" s="3">
        <f>ROUND((F576/3600)*IFERROR(VLOOKUP(I576, '[1]02_DM_NHAN_SU_MAY'!$M$2:$Q$25, 5, FALSE), 39375), 0)</f>
        <v>13438</v>
      </c>
      <c r="S576" s="3">
        <v>0</v>
      </c>
      <c r="T576" s="3">
        <f t="shared" si="26"/>
        <v>37501</v>
      </c>
    </row>
    <row r="577" spans="1:20" x14ac:dyDescent="0.25">
      <c r="A577" s="5" t="s">
        <v>1323</v>
      </c>
      <c r="B577" s="5">
        <v>576</v>
      </c>
      <c r="C577" s="5" t="s">
        <v>68</v>
      </c>
      <c r="D577" s="5" t="s">
        <v>1324</v>
      </c>
      <c r="E577" s="5" t="s">
        <v>821</v>
      </c>
      <c r="F577" s="6">
        <v>3600</v>
      </c>
      <c r="G577" s="7">
        <f t="shared" si="24"/>
        <v>0.125</v>
      </c>
      <c r="H577" s="5">
        <v>1</v>
      </c>
      <c r="I577" s="5" t="s">
        <v>71</v>
      </c>
      <c r="J577" s="5" t="s">
        <v>658</v>
      </c>
      <c r="K577" s="5" t="s">
        <v>659</v>
      </c>
      <c r="L577" s="5" t="s">
        <v>1246</v>
      </c>
      <c r="M577" s="5" t="s">
        <v>75</v>
      </c>
      <c r="N577" s="5" t="s">
        <v>76</v>
      </c>
      <c r="O577" s="6">
        <f>IFERROR(VLOOKUP(M577, '[1]08_CSDL_DAO_CU_VAT_LIEU'!$A$2:$F$64, 6, FALSE), 27500)</f>
        <v>42500</v>
      </c>
      <c r="P577" s="7">
        <v>2.1</v>
      </c>
      <c r="Q577" s="6">
        <f t="shared" si="25"/>
        <v>48125</v>
      </c>
      <c r="R577" s="6">
        <f>ROUND((F577/3600)*IFERROR(VLOOKUP(I577, '[1]02_DM_NHAN_SU_MAY'!$M$2:$Q$25, 5, FALSE), 39375), 0)</f>
        <v>26875</v>
      </c>
      <c r="S577" s="6">
        <v>0</v>
      </c>
      <c r="T577" s="6">
        <f t="shared" si="26"/>
        <v>75000</v>
      </c>
    </row>
    <row r="578" spans="1:20" x14ac:dyDescent="0.25">
      <c r="A578" s="2" t="s">
        <v>1325</v>
      </c>
      <c r="B578" s="2">
        <v>577</v>
      </c>
      <c r="C578" s="2" t="s">
        <v>68</v>
      </c>
      <c r="D578" s="2" t="s">
        <v>1324</v>
      </c>
      <c r="E578" s="2" t="s">
        <v>1241</v>
      </c>
      <c r="F578" s="3">
        <v>1800</v>
      </c>
      <c r="G578" s="4">
        <f t="shared" ref="G578:G628" si="27">ROUND(F578/28800, 4)</f>
        <v>6.25E-2</v>
      </c>
      <c r="H578" s="2" t="s">
        <v>34</v>
      </c>
      <c r="I578" s="2" t="s">
        <v>90</v>
      </c>
      <c r="J578" s="2" t="s">
        <v>658</v>
      </c>
      <c r="K578" s="2" t="s">
        <v>659</v>
      </c>
      <c r="L578" s="2" t="s">
        <v>660</v>
      </c>
      <c r="M578" s="2" t="s">
        <v>92</v>
      </c>
      <c r="N578" s="2" t="s">
        <v>93</v>
      </c>
      <c r="O578" s="3">
        <f>IFERROR(VLOOKUP(M578, '[1]08_CSDL_DAO_CU_VAT_LIEU'!$A$2:$F$64, 6, FALSE), 27500)</f>
        <v>74000</v>
      </c>
      <c r="P578" s="4">
        <v>1.05</v>
      </c>
      <c r="Q578" s="3">
        <f t="shared" ref="Q578:Q628" si="28">ROUND(F578*(385000/28800), 0)</f>
        <v>24063</v>
      </c>
      <c r="R578" s="3">
        <f>ROUND((F578/3600)*IFERROR(VLOOKUP(I578, '[1]02_DM_NHAN_SU_MAY'!$M$2:$Q$25, 5, FALSE), 39375), 0)</f>
        <v>13438</v>
      </c>
      <c r="S578" s="3">
        <v>0</v>
      </c>
      <c r="T578" s="3">
        <f t="shared" ref="T578:T628" si="29">Q578+R578</f>
        <v>37501</v>
      </c>
    </row>
    <row r="579" spans="1:20" x14ac:dyDescent="0.25">
      <c r="A579" s="5" t="s">
        <v>1326</v>
      </c>
      <c r="B579" s="5">
        <v>578</v>
      </c>
      <c r="C579" s="5" t="s">
        <v>655</v>
      </c>
      <c r="D579" s="5" t="s">
        <v>1327</v>
      </c>
      <c r="E579" s="5" t="s">
        <v>1328</v>
      </c>
      <c r="F579" s="6">
        <v>2400</v>
      </c>
      <c r="G579" s="7">
        <f t="shared" si="27"/>
        <v>8.3299999999999999E-2</v>
      </c>
      <c r="H579" s="5">
        <v>1</v>
      </c>
      <c r="I579" s="5" t="s">
        <v>87</v>
      </c>
      <c r="J579" s="5" t="s">
        <v>658</v>
      </c>
      <c r="K579" s="5" t="s">
        <v>659</v>
      </c>
      <c r="L579" s="5" t="s">
        <v>1246</v>
      </c>
      <c r="M579" s="5" t="s">
        <v>75</v>
      </c>
      <c r="N579" s="5" t="s">
        <v>76</v>
      </c>
      <c r="O579" s="6">
        <f>IFERROR(VLOOKUP(M579, '[1]08_CSDL_DAO_CU_VAT_LIEU'!$A$2:$F$64, 6, FALSE), 27500)</f>
        <v>42500</v>
      </c>
      <c r="P579" s="7">
        <v>1.4</v>
      </c>
      <c r="Q579" s="6">
        <f t="shared" si="28"/>
        <v>32083</v>
      </c>
      <c r="R579" s="6">
        <f>ROUND((F579/3600)*IFERROR(VLOOKUP(I579, '[1]02_DM_NHAN_SU_MAY'!$M$2:$Q$25, 5, FALSE), 39375), 0)</f>
        <v>34583</v>
      </c>
      <c r="S579" s="6">
        <v>0</v>
      </c>
      <c r="T579" s="6">
        <f t="shared" si="29"/>
        <v>66666</v>
      </c>
    </row>
    <row r="580" spans="1:20" x14ac:dyDescent="0.25">
      <c r="A580" s="2" t="s">
        <v>1329</v>
      </c>
      <c r="B580" s="2">
        <v>579</v>
      </c>
      <c r="C580" s="2" t="s">
        <v>655</v>
      </c>
      <c r="D580" s="2" t="s">
        <v>1327</v>
      </c>
      <c r="E580" s="2" t="s">
        <v>1330</v>
      </c>
      <c r="F580" s="3">
        <v>2400</v>
      </c>
      <c r="G580" s="4">
        <f t="shared" si="27"/>
        <v>8.3299999999999999E-2</v>
      </c>
      <c r="H580" s="2">
        <v>2</v>
      </c>
      <c r="I580" s="2" t="s">
        <v>87</v>
      </c>
      <c r="J580" s="2" t="s">
        <v>658</v>
      </c>
      <c r="K580" s="2" t="s">
        <v>659</v>
      </c>
      <c r="L580" s="2" t="s">
        <v>1246</v>
      </c>
      <c r="M580" s="2" t="s">
        <v>75</v>
      </c>
      <c r="N580" s="2" t="s">
        <v>76</v>
      </c>
      <c r="O580" s="3">
        <f>IFERROR(VLOOKUP(M580, '[1]08_CSDL_DAO_CU_VAT_LIEU'!$A$2:$F$64, 6, FALSE), 27500)</f>
        <v>42500</v>
      </c>
      <c r="P580" s="4">
        <v>1.4</v>
      </c>
      <c r="Q580" s="3">
        <f t="shared" si="28"/>
        <v>32083</v>
      </c>
      <c r="R580" s="3">
        <f>ROUND((F580/3600)*IFERROR(VLOOKUP(I580, '[1]02_DM_NHAN_SU_MAY'!$M$2:$Q$25, 5, FALSE), 39375), 0)</f>
        <v>34583</v>
      </c>
      <c r="S580" s="3">
        <v>0</v>
      </c>
      <c r="T580" s="3">
        <f t="shared" si="29"/>
        <v>66666</v>
      </c>
    </row>
    <row r="581" spans="1:20" x14ac:dyDescent="0.25">
      <c r="A581" s="5" t="s">
        <v>1331</v>
      </c>
      <c r="B581" s="5">
        <v>580</v>
      </c>
      <c r="C581" s="5" t="s">
        <v>655</v>
      </c>
      <c r="D581" s="5" t="s">
        <v>1327</v>
      </c>
      <c r="E581" s="5" t="s">
        <v>1332</v>
      </c>
      <c r="F581" s="6">
        <v>1285</v>
      </c>
      <c r="G581" s="7">
        <f t="shared" si="27"/>
        <v>4.4600000000000001E-2</v>
      </c>
      <c r="H581" s="5">
        <v>3</v>
      </c>
      <c r="I581" s="5" t="s">
        <v>87</v>
      </c>
      <c r="J581" s="5" t="s">
        <v>658</v>
      </c>
      <c r="K581" s="5" t="s">
        <v>659</v>
      </c>
      <c r="L581" s="5" t="s">
        <v>1246</v>
      </c>
      <c r="M581" s="5" t="s">
        <v>75</v>
      </c>
      <c r="N581" s="5" t="s">
        <v>76</v>
      </c>
      <c r="O581" s="6">
        <f>IFERROR(VLOOKUP(M581, '[1]08_CSDL_DAO_CU_VAT_LIEU'!$A$2:$F$64, 6, FALSE), 27500)</f>
        <v>42500</v>
      </c>
      <c r="P581" s="7">
        <v>0.75</v>
      </c>
      <c r="Q581" s="6">
        <f t="shared" si="28"/>
        <v>17178</v>
      </c>
      <c r="R581" s="6">
        <f>ROUND((F581/3600)*IFERROR(VLOOKUP(I581, '[1]02_DM_NHAN_SU_MAY'!$M$2:$Q$25, 5, FALSE), 39375), 0)</f>
        <v>18516</v>
      </c>
      <c r="S581" s="6">
        <v>0</v>
      </c>
      <c r="T581" s="6">
        <f t="shared" si="29"/>
        <v>35694</v>
      </c>
    </row>
    <row r="582" spans="1:20" x14ac:dyDescent="0.25">
      <c r="A582" s="2" t="s">
        <v>1333</v>
      </c>
      <c r="B582" s="2">
        <v>581</v>
      </c>
      <c r="C582" s="2" t="s">
        <v>655</v>
      </c>
      <c r="D582" s="2" t="s">
        <v>1327</v>
      </c>
      <c r="E582" s="2" t="s">
        <v>1334</v>
      </c>
      <c r="F582" s="2">
        <v>964</v>
      </c>
      <c r="G582" s="4">
        <f t="shared" si="27"/>
        <v>3.3500000000000002E-2</v>
      </c>
      <c r="H582" s="2">
        <v>4</v>
      </c>
      <c r="I582" s="2" t="s">
        <v>87</v>
      </c>
      <c r="J582" s="2" t="s">
        <v>658</v>
      </c>
      <c r="K582" s="2" t="s">
        <v>659</v>
      </c>
      <c r="L582" s="2" t="s">
        <v>1246</v>
      </c>
      <c r="M582" s="2" t="s">
        <v>75</v>
      </c>
      <c r="N582" s="2" t="s">
        <v>76</v>
      </c>
      <c r="O582" s="3">
        <f>IFERROR(VLOOKUP(M582, '[1]08_CSDL_DAO_CU_VAT_LIEU'!$A$2:$F$64, 6, FALSE), 27500)</f>
        <v>42500</v>
      </c>
      <c r="P582" s="4">
        <v>0.56000000000000005</v>
      </c>
      <c r="Q582" s="3">
        <f t="shared" si="28"/>
        <v>12887</v>
      </c>
      <c r="R582" s="3">
        <f>ROUND((F582/3600)*IFERROR(VLOOKUP(I582, '[1]02_DM_NHAN_SU_MAY'!$M$2:$Q$25, 5, FALSE), 39375), 0)</f>
        <v>13891</v>
      </c>
      <c r="S582" s="3">
        <v>0</v>
      </c>
      <c r="T582" s="3">
        <f t="shared" si="29"/>
        <v>26778</v>
      </c>
    </row>
    <row r="583" spans="1:20" x14ac:dyDescent="0.25">
      <c r="A583" s="5" t="s">
        <v>1335</v>
      </c>
      <c r="B583" s="5">
        <v>582</v>
      </c>
      <c r="C583" s="5" t="s">
        <v>655</v>
      </c>
      <c r="D583" s="5" t="s">
        <v>1327</v>
      </c>
      <c r="E583" s="5" t="s">
        <v>1336</v>
      </c>
      <c r="F583" s="5">
        <v>964</v>
      </c>
      <c r="G583" s="7">
        <f t="shared" si="27"/>
        <v>3.3500000000000002E-2</v>
      </c>
      <c r="H583" s="5">
        <v>5</v>
      </c>
      <c r="I583" s="5" t="s">
        <v>87</v>
      </c>
      <c r="J583" s="5" t="s">
        <v>658</v>
      </c>
      <c r="K583" s="5" t="s">
        <v>659</v>
      </c>
      <c r="L583" s="5" t="s">
        <v>1246</v>
      </c>
      <c r="M583" s="5" t="s">
        <v>75</v>
      </c>
      <c r="N583" s="5" t="s">
        <v>76</v>
      </c>
      <c r="O583" s="6">
        <f>IFERROR(VLOOKUP(M583, '[1]08_CSDL_DAO_CU_VAT_LIEU'!$A$2:$F$64, 6, FALSE), 27500)</f>
        <v>42500</v>
      </c>
      <c r="P583" s="7">
        <v>0.56000000000000005</v>
      </c>
      <c r="Q583" s="6">
        <f t="shared" si="28"/>
        <v>12887</v>
      </c>
      <c r="R583" s="6">
        <f>ROUND((F583/3600)*IFERROR(VLOOKUP(I583, '[1]02_DM_NHAN_SU_MAY'!$M$2:$Q$25, 5, FALSE), 39375), 0)</f>
        <v>13891</v>
      </c>
      <c r="S583" s="6">
        <v>0</v>
      </c>
      <c r="T583" s="6">
        <f t="shared" si="29"/>
        <v>26778</v>
      </c>
    </row>
    <row r="584" spans="1:20" x14ac:dyDescent="0.25">
      <c r="A584" s="2" t="s">
        <v>1337</v>
      </c>
      <c r="B584" s="2">
        <v>583</v>
      </c>
      <c r="C584" s="2" t="s">
        <v>655</v>
      </c>
      <c r="D584" s="2" t="s">
        <v>1327</v>
      </c>
      <c r="E584" s="2" t="s">
        <v>1338</v>
      </c>
      <c r="F584" s="3">
        <v>1687</v>
      </c>
      <c r="G584" s="4">
        <f t="shared" si="27"/>
        <v>5.8599999999999999E-2</v>
      </c>
      <c r="H584" s="2">
        <v>6</v>
      </c>
      <c r="I584" s="2" t="s">
        <v>90</v>
      </c>
      <c r="J584" s="2" t="s">
        <v>658</v>
      </c>
      <c r="K584" s="2" t="s">
        <v>659</v>
      </c>
      <c r="L584" s="2" t="s">
        <v>660</v>
      </c>
      <c r="M584" s="2" t="s">
        <v>1146</v>
      </c>
      <c r="N584" s="2" t="s">
        <v>1147</v>
      </c>
      <c r="O584" s="3">
        <f>IFERROR(VLOOKUP(M584, '[1]08_CSDL_DAO_CU_VAT_LIEU'!$A$2:$F$64, 6, FALSE), 27500)</f>
        <v>54000</v>
      </c>
      <c r="P584" s="4">
        <v>0.98</v>
      </c>
      <c r="Q584" s="3">
        <f t="shared" si="28"/>
        <v>22552</v>
      </c>
      <c r="R584" s="3">
        <f>ROUND((F584/3600)*IFERROR(VLOOKUP(I584, '[1]02_DM_NHAN_SU_MAY'!$M$2:$Q$25, 5, FALSE), 39375), 0)</f>
        <v>12594</v>
      </c>
      <c r="S584" s="3">
        <v>0</v>
      </c>
      <c r="T584" s="3">
        <f t="shared" si="29"/>
        <v>35146</v>
      </c>
    </row>
    <row r="585" spans="1:20" x14ac:dyDescent="0.25">
      <c r="A585" s="5" t="s">
        <v>1339</v>
      </c>
      <c r="B585" s="5">
        <v>584</v>
      </c>
      <c r="C585" s="5" t="s">
        <v>655</v>
      </c>
      <c r="D585" s="5" t="s">
        <v>1327</v>
      </c>
      <c r="E585" s="5" t="s">
        <v>1340</v>
      </c>
      <c r="F585" s="6">
        <v>1687</v>
      </c>
      <c r="G585" s="7">
        <f t="shared" si="27"/>
        <v>5.8599999999999999E-2</v>
      </c>
      <c r="H585" s="5" t="s">
        <v>34</v>
      </c>
      <c r="I585" s="5" t="s">
        <v>90</v>
      </c>
      <c r="J585" s="5" t="s">
        <v>658</v>
      </c>
      <c r="K585" s="5" t="s">
        <v>659</v>
      </c>
      <c r="L585" s="5" t="s">
        <v>1251</v>
      </c>
      <c r="M585" s="5" t="s">
        <v>1341</v>
      </c>
      <c r="N585" s="5" t="s">
        <v>1342</v>
      </c>
      <c r="O585" s="6">
        <f>IFERROR(VLOOKUP(M585, '[1]08_CSDL_DAO_CU_VAT_LIEU'!$A$2:$F$64, 6, FALSE), 27500)</f>
        <v>330000</v>
      </c>
      <c r="P585" s="7">
        <v>0.98</v>
      </c>
      <c r="Q585" s="6">
        <f t="shared" si="28"/>
        <v>22552</v>
      </c>
      <c r="R585" s="6">
        <f>ROUND((F585/3600)*IFERROR(VLOOKUP(I585, '[1]02_DM_NHAN_SU_MAY'!$M$2:$Q$25, 5, FALSE), 39375), 0)</f>
        <v>12594</v>
      </c>
      <c r="S585" s="6">
        <v>0</v>
      </c>
      <c r="T585" s="6">
        <f t="shared" si="29"/>
        <v>35146</v>
      </c>
    </row>
    <row r="586" spans="1:20" x14ac:dyDescent="0.25">
      <c r="A586" s="2" t="s">
        <v>1343</v>
      </c>
      <c r="B586" s="2">
        <v>585</v>
      </c>
      <c r="C586" s="2" t="s">
        <v>655</v>
      </c>
      <c r="D586" s="2" t="s">
        <v>1344</v>
      </c>
      <c r="E586" s="2" t="s">
        <v>1345</v>
      </c>
      <c r="F586" s="3">
        <v>2400</v>
      </c>
      <c r="G586" s="4">
        <f t="shared" si="27"/>
        <v>8.3299999999999999E-2</v>
      </c>
      <c r="H586" s="2">
        <v>1</v>
      </c>
      <c r="I586" s="2" t="s">
        <v>87</v>
      </c>
      <c r="J586" s="2" t="s">
        <v>658</v>
      </c>
      <c r="K586" s="2" t="s">
        <v>659</v>
      </c>
      <c r="L586" s="2" t="s">
        <v>1246</v>
      </c>
      <c r="M586" s="2" t="s">
        <v>75</v>
      </c>
      <c r="N586" s="2" t="s">
        <v>76</v>
      </c>
      <c r="O586" s="3">
        <f>IFERROR(VLOOKUP(M586, '[1]08_CSDL_DAO_CU_VAT_LIEU'!$A$2:$F$64, 6, FALSE), 27500)</f>
        <v>42500</v>
      </c>
      <c r="P586" s="4">
        <v>1.4</v>
      </c>
      <c r="Q586" s="3">
        <f t="shared" si="28"/>
        <v>32083</v>
      </c>
      <c r="R586" s="3">
        <f>ROUND((F586/3600)*IFERROR(VLOOKUP(I586, '[1]02_DM_NHAN_SU_MAY'!$M$2:$Q$25, 5, FALSE), 39375), 0)</f>
        <v>34583</v>
      </c>
      <c r="S586" s="3">
        <v>0</v>
      </c>
      <c r="T586" s="3">
        <f t="shared" si="29"/>
        <v>66666</v>
      </c>
    </row>
    <row r="587" spans="1:20" x14ac:dyDescent="0.25">
      <c r="A587" s="5" t="s">
        <v>1346</v>
      </c>
      <c r="B587" s="5">
        <v>586</v>
      </c>
      <c r="C587" s="5" t="s">
        <v>655</v>
      </c>
      <c r="D587" s="5" t="s">
        <v>1344</v>
      </c>
      <c r="E587" s="5" t="s">
        <v>1347</v>
      </c>
      <c r="F587" s="5">
        <v>964</v>
      </c>
      <c r="G587" s="7">
        <f t="shared" si="27"/>
        <v>3.3500000000000002E-2</v>
      </c>
      <c r="H587" s="5">
        <v>2</v>
      </c>
      <c r="I587" s="5" t="s">
        <v>87</v>
      </c>
      <c r="J587" s="5" t="s">
        <v>658</v>
      </c>
      <c r="K587" s="5" t="s">
        <v>659</v>
      </c>
      <c r="L587" s="5" t="s">
        <v>1246</v>
      </c>
      <c r="M587" s="5" t="s">
        <v>75</v>
      </c>
      <c r="N587" s="5" t="s">
        <v>76</v>
      </c>
      <c r="O587" s="6">
        <f>IFERROR(VLOOKUP(M587, '[1]08_CSDL_DAO_CU_VAT_LIEU'!$A$2:$F$64, 6, FALSE), 27500)</f>
        <v>42500</v>
      </c>
      <c r="P587" s="7">
        <v>0.56000000000000005</v>
      </c>
      <c r="Q587" s="6">
        <f t="shared" si="28"/>
        <v>12887</v>
      </c>
      <c r="R587" s="6">
        <f>ROUND((F587/3600)*IFERROR(VLOOKUP(I587, '[1]02_DM_NHAN_SU_MAY'!$M$2:$Q$25, 5, FALSE), 39375), 0)</f>
        <v>13891</v>
      </c>
      <c r="S587" s="6">
        <v>0</v>
      </c>
      <c r="T587" s="6">
        <f t="shared" si="29"/>
        <v>26778</v>
      </c>
    </row>
    <row r="588" spans="1:20" x14ac:dyDescent="0.25">
      <c r="A588" s="2" t="s">
        <v>1348</v>
      </c>
      <c r="B588" s="2">
        <v>587</v>
      </c>
      <c r="C588" s="2" t="s">
        <v>655</v>
      </c>
      <c r="D588" s="2" t="s">
        <v>1344</v>
      </c>
      <c r="E588" s="2" t="s">
        <v>1349</v>
      </c>
      <c r="F588" s="2">
        <v>964</v>
      </c>
      <c r="G588" s="4">
        <f t="shared" si="27"/>
        <v>3.3500000000000002E-2</v>
      </c>
      <c r="H588" s="2">
        <v>3</v>
      </c>
      <c r="I588" s="2" t="s">
        <v>87</v>
      </c>
      <c r="J588" s="2" t="s">
        <v>658</v>
      </c>
      <c r="K588" s="2" t="s">
        <v>659</v>
      </c>
      <c r="L588" s="2" t="s">
        <v>1246</v>
      </c>
      <c r="M588" s="2" t="s">
        <v>75</v>
      </c>
      <c r="N588" s="2" t="s">
        <v>76</v>
      </c>
      <c r="O588" s="3">
        <f>IFERROR(VLOOKUP(M588, '[1]08_CSDL_DAO_CU_VAT_LIEU'!$A$2:$F$64, 6, FALSE), 27500)</f>
        <v>42500</v>
      </c>
      <c r="P588" s="4">
        <v>0.56000000000000005</v>
      </c>
      <c r="Q588" s="3">
        <f t="shared" si="28"/>
        <v>12887</v>
      </c>
      <c r="R588" s="3">
        <f>ROUND((F588/3600)*IFERROR(VLOOKUP(I588, '[1]02_DM_NHAN_SU_MAY'!$M$2:$Q$25, 5, FALSE), 39375), 0)</f>
        <v>13891</v>
      </c>
      <c r="S588" s="3">
        <v>0</v>
      </c>
      <c r="T588" s="3">
        <f t="shared" si="29"/>
        <v>26778</v>
      </c>
    </row>
    <row r="589" spans="1:20" x14ac:dyDescent="0.25">
      <c r="A589" s="5" t="s">
        <v>1350</v>
      </c>
      <c r="B589" s="5">
        <v>588</v>
      </c>
      <c r="C589" s="5" t="s">
        <v>655</v>
      </c>
      <c r="D589" s="5" t="s">
        <v>1344</v>
      </c>
      <c r="E589" s="5" t="s">
        <v>1351</v>
      </c>
      <c r="F589" s="6">
        <v>1687</v>
      </c>
      <c r="G589" s="7">
        <f t="shared" si="27"/>
        <v>5.8599999999999999E-2</v>
      </c>
      <c r="H589" s="5">
        <v>4</v>
      </c>
      <c r="I589" s="5" t="s">
        <v>90</v>
      </c>
      <c r="J589" s="5" t="s">
        <v>658</v>
      </c>
      <c r="K589" s="5" t="s">
        <v>659</v>
      </c>
      <c r="L589" s="5" t="s">
        <v>660</v>
      </c>
      <c r="M589" s="5" t="s">
        <v>1146</v>
      </c>
      <c r="N589" s="5" t="s">
        <v>1147</v>
      </c>
      <c r="O589" s="6">
        <f>IFERROR(VLOOKUP(M589, '[1]08_CSDL_DAO_CU_VAT_LIEU'!$A$2:$F$64, 6, FALSE), 27500)</f>
        <v>54000</v>
      </c>
      <c r="P589" s="7">
        <v>0.98</v>
      </c>
      <c r="Q589" s="6">
        <f t="shared" si="28"/>
        <v>22552</v>
      </c>
      <c r="R589" s="6">
        <f>ROUND((F589/3600)*IFERROR(VLOOKUP(I589, '[1]02_DM_NHAN_SU_MAY'!$M$2:$Q$25, 5, FALSE), 39375), 0)</f>
        <v>12594</v>
      </c>
      <c r="S589" s="6">
        <v>0</v>
      </c>
      <c r="T589" s="6">
        <f t="shared" si="29"/>
        <v>35146</v>
      </c>
    </row>
    <row r="590" spans="1:20" x14ac:dyDescent="0.25">
      <c r="A590" s="2" t="s">
        <v>1352</v>
      </c>
      <c r="B590" s="2">
        <v>589</v>
      </c>
      <c r="C590" s="2" t="s">
        <v>655</v>
      </c>
      <c r="D590" s="2" t="s">
        <v>1344</v>
      </c>
      <c r="E590" s="2" t="s">
        <v>1353</v>
      </c>
      <c r="F590" s="3">
        <v>1687</v>
      </c>
      <c r="G590" s="4">
        <f t="shared" si="27"/>
        <v>5.8599999999999999E-2</v>
      </c>
      <c r="H590" s="2" t="s">
        <v>34</v>
      </c>
      <c r="I590" s="2" t="s">
        <v>90</v>
      </c>
      <c r="J590" s="2" t="s">
        <v>658</v>
      </c>
      <c r="K590" s="2" t="s">
        <v>659</v>
      </c>
      <c r="L590" s="2" t="s">
        <v>1251</v>
      </c>
      <c r="M590" s="2" t="s">
        <v>1341</v>
      </c>
      <c r="N590" s="2" t="s">
        <v>1342</v>
      </c>
      <c r="O590" s="3">
        <f>IFERROR(VLOOKUP(M590, '[1]08_CSDL_DAO_CU_VAT_LIEU'!$A$2:$F$64, 6, FALSE), 27500)</f>
        <v>330000</v>
      </c>
      <c r="P590" s="4">
        <v>0.98</v>
      </c>
      <c r="Q590" s="3">
        <f t="shared" si="28"/>
        <v>22552</v>
      </c>
      <c r="R590" s="3">
        <f>ROUND((F590/3600)*IFERROR(VLOOKUP(I590, '[1]02_DM_NHAN_SU_MAY'!$M$2:$Q$25, 5, FALSE), 39375), 0)</f>
        <v>12594</v>
      </c>
      <c r="S590" s="3">
        <v>0</v>
      </c>
      <c r="T590" s="3">
        <f t="shared" si="29"/>
        <v>35146</v>
      </c>
    </row>
    <row r="591" spans="1:20" x14ac:dyDescent="0.25">
      <c r="A591" s="5" t="s">
        <v>1354</v>
      </c>
      <c r="B591" s="5">
        <v>590</v>
      </c>
      <c r="C591" s="5" t="s">
        <v>145</v>
      </c>
      <c r="D591" s="5" t="s">
        <v>1355</v>
      </c>
      <c r="E591" s="5" t="s">
        <v>1356</v>
      </c>
      <c r="F591" s="6">
        <v>13500</v>
      </c>
      <c r="G591" s="7">
        <f t="shared" si="27"/>
        <v>0.46879999999999999</v>
      </c>
      <c r="H591" s="5">
        <v>1</v>
      </c>
      <c r="I591" s="5" t="s">
        <v>24</v>
      </c>
      <c r="J591" s="5" t="s">
        <v>36</v>
      </c>
      <c r="K591" s="5" t="s">
        <v>37</v>
      </c>
      <c r="L591" s="5" t="s">
        <v>38</v>
      </c>
      <c r="M591" s="5" t="s">
        <v>28</v>
      </c>
      <c r="N591" s="5" t="s">
        <v>29</v>
      </c>
      <c r="O591" s="6">
        <f>IFERROR(VLOOKUP(M591, '[1]08_CSDL_DAO_CU_VAT_LIEU'!$A$2:$F$64, 6, FALSE), 27500)</f>
        <v>27500</v>
      </c>
      <c r="P591" s="7">
        <v>6.3</v>
      </c>
      <c r="Q591" s="6">
        <f t="shared" si="28"/>
        <v>180469</v>
      </c>
      <c r="R591" s="6">
        <f>ROUND((F591/3600)*IFERROR(VLOOKUP(I591, '[1]02_DM_NHAN_SU_MAY'!$M$2:$Q$25, 5, FALSE), 39375), 0)</f>
        <v>147656</v>
      </c>
      <c r="S591" s="6">
        <v>0</v>
      </c>
      <c r="T591" s="6">
        <f t="shared" si="29"/>
        <v>328125</v>
      </c>
    </row>
    <row r="592" spans="1:20" x14ac:dyDescent="0.25">
      <c r="A592" s="2" t="s">
        <v>1357</v>
      </c>
      <c r="B592" s="2">
        <v>591</v>
      </c>
      <c r="C592" s="2" t="s">
        <v>145</v>
      </c>
      <c r="D592" s="2" t="s">
        <v>1355</v>
      </c>
      <c r="E592" s="2" t="s">
        <v>1358</v>
      </c>
      <c r="F592" s="3">
        <v>13500</v>
      </c>
      <c r="G592" s="4">
        <f t="shared" si="27"/>
        <v>0.46879999999999999</v>
      </c>
      <c r="H592" s="2">
        <v>2</v>
      </c>
      <c r="I592" s="2" t="s">
        <v>24</v>
      </c>
      <c r="J592" s="2" t="s">
        <v>36</v>
      </c>
      <c r="K592" s="2" t="s">
        <v>37</v>
      </c>
      <c r="L592" s="2" t="s">
        <v>38</v>
      </c>
      <c r="M592" s="2" t="s">
        <v>28</v>
      </c>
      <c r="N592" s="2" t="s">
        <v>29</v>
      </c>
      <c r="O592" s="3">
        <f>IFERROR(VLOOKUP(M592, '[1]08_CSDL_DAO_CU_VAT_LIEU'!$A$2:$F$64, 6, FALSE), 27500)</f>
        <v>27500</v>
      </c>
      <c r="P592" s="4">
        <v>6.3</v>
      </c>
      <c r="Q592" s="3">
        <f t="shared" si="28"/>
        <v>180469</v>
      </c>
      <c r="R592" s="3">
        <f>ROUND((F592/3600)*IFERROR(VLOOKUP(I592, '[1]02_DM_NHAN_SU_MAY'!$M$2:$Q$25, 5, FALSE), 39375), 0)</f>
        <v>147656</v>
      </c>
      <c r="S592" s="3">
        <v>0</v>
      </c>
      <c r="T592" s="3">
        <f t="shared" si="29"/>
        <v>328125</v>
      </c>
    </row>
    <row r="593" spans="1:20" x14ac:dyDescent="0.25">
      <c r="A593" s="5" t="s">
        <v>1359</v>
      </c>
      <c r="B593" s="5">
        <v>592</v>
      </c>
      <c r="C593" s="5" t="s">
        <v>145</v>
      </c>
      <c r="D593" s="5" t="s">
        <v>1355</v>
      </c>
      <c r="E593" s="5" t="s">
        <v>1360</v>
      </c>
      <c r="F593" s="6">
        <v>27000</v>
      </c>
      <c r="G593" s="7">
        <f t="shared" si="27"/>
        <v>0.9375</v>
      </c>
      <c r="H593" s="5">
        <v>3</v>
      </c>
      <c r="I593" s="5" t="s">
        <v>90</v>
      </c>
      <c r="J593" s="5" t="s">
        <v>36</v>
      </c>
      <c r="K593" s="5" t="s">
        <v>37</v>
      </c>
      <c r="L593" s="5" t="s">
        <v>268</v>
      </c>
      <c r="M593" s="5" t="s">
        <v>1361</v>
      </c>
      <c r="N593" s="5" t="s">
        <v>1362</v>
      </c>
      <c r="O593" s="6">
        <f>IFERROR(VLOOKUP(M593, '[1]08_CSDL_DAO_CU_VAT_LIEU'!$A$2:$F$64, 6, FALSE), 27500)</f>
        <v>86000</v>
      </c>
      <c r="P593" s="7">
        <v>12.6</v>
      </c>
      <c r="Q593" s="6">
        <f t="shared" si="28"/>
        <v>360938</v>
      </c>
      <c r="R593" s="6">
        <f>ROUND((F593/3600)*IFERROR(VLOOKUP(I593, '[1]02_DM_NHAN_SU_MAY'!$M$2:$Q$25, 5, FALSE), 39375), 0)</f>
        <v>201563</v>
      </c>
      <c r="S593" s="6">
        <v>0</v>
      </c>
      <c r="T593" s="6">
        <f t="shared" si="29"/>
        <v>562501</v>
      </c>
    </row>
    <row r="594" spans="1:20" x14ac:dyDescent="0.25">
      <c r="A594" s="2" t="s">
        <v>1363</v>
      </c>
      <c r="B594" s="2">
        <v>593</v>
      </c>
      <c r="C594" s="2" t="s">
        <v>145</v>
      </c>
      <c r="D594" s="2" t="s">
        <v>1355</v>
      </c>
      <c r="E594" s="2" t="s">
        <v>1364</v>
      </c>
      <c r="F594" s="3">
        <v>27000</v>
      </c>
      <c r="G594" s="4">
        <f t="shared" si="27"/>
        <v>0.9375</v>
      </c>
      <c r="H594" s="2" t="s">
        <v>34</v>
      </c>
      <c r="I594" s="2" t="s">
        <v>55</v>
      </c>
      <c r="J594" s="2" t="s">
        <v>36</v>
      </c>
      <c r="K594" s="2" t="s">
        <v>37</v>
      </c>
      <c r="L594" s="2" t="s">
        <v>38</v>
      </c>
      <c r="M594" s="2" t="s">
        <v>583</v>
      </c>
      <c r="N594" s="2" t="s">
        <v>584</v>
      </c>
      <c r="O594" s="3">
        <f>IFERROR(VLOOKUP(M594, '[1]08_CSDL_DAO_CU_VAT_LIEU'!$A$2:$F$64, 6, FALSE), 27500)</f>
        <v>36250</v>
      </c>
      <c r="P594" s="4">
        <v>12.6</v>
      </c>
      <c r="Q594" s="3">
        <f t="shared" si="28"/>
        <v>360938</v>
      </c>
      <c r="R594" s="3">
        <f>ROUND((F594/3600)*IFERROR(VLOOKUP(I594, '[1]02_DM_NHAN_SU_MAY'!$M$2:$Q$25, 5, FALSE), 39375), 0)</f>
        <v>107813</v>
      </c>
      <c r="S594" s="3">
        <v>0</v>
      </c>
      <c r="T594" s="3">
        <f t="shared" si="29"/>
        <v>468751</v>
      </c>
    </row>
    <row r="595" spans="1:20" x14ac:dyDescent="0.25">
      <c r="A595" s="5" t="s">
        <v>1365</v>
      </c>
      <c r="B595" s="5">
        <v>594</v>
      </c>
      <c r="C595" s="5" t="s">
        <v>145</v>
      </c>
      <c r="D595" s="5" t="s">
        <v>1366</v>
      </c>
      <c r="E595" s="5" t="s">
        <v>1367</v>
      </c>
      <c r="F595" s="6">
        <v>10800</v>
      </c>
      <c r="G595" s="7">
        <f t="shared" si="27"/>
        <v>0.375</v>
      </c>
      <c r="H595" s="5">
        <v>1</v>
      </c>
      <c r="I595" s="5" t="s">
        <v>35</v>
      </c>
      <c r="J595" s="5" t="s">
        <v>36</v>
      </c>
      <c r="K595" s="5" t="s">
        <v>37</v>
      </c>
      <c r="L595" s="5" t="s">
        <v>38</v>
      </c>
      <c r="M595" s="5" t="s">
        <v>28</v>
      </c>
      <c r="N595" s="5" t="s">
        <v>29</v>
      </c>
      <c r="O595" s="6">
        <f>IFERROR(VLOOKUP(M595, '[1]08_CSDL_DAO_CU_VAT_LIEU'!$A$2:$F$64, 6, FALSE), 27500)</f>
        <v>27500</v>
      </c>
      <c r="P595" s="7">
        <v>5.04</v>
      </c>
      <c r="Q595" s="6">
        <f t="shared" si="28"/>
        <v>144375</v>
      </c>
      <c r="R595" s="6">
        <f>ROUND((F595/3600)*IFERROR(VLOOKUP(I595, '[1]02_DM_NHAN_SU_MAY'!$M$2:$Q$25, 5, FALSE), 39375), 0)</f>
        <v>118125</v>
      </c>
      <c r="S595" s="6">
        <v>0</v>
      </c>
      <c r="T595" s="6">
        <f t="shared" si="29"/>
        <v>262500</v>
      </c>
    </row>
    <row r="596" spans="1:20" x14ac:dyDescent="0.25">
      <c r="A596" s="2" t="s">
        <v>1368</v>
      </c>
      <c r="B596" s="2">
        <v>595</v>
      </c>
      <c r="C596" s="2" t="s">
        <v>145</v>
      </c>
      <c r="D596" s="2" t="s">
        <v>1366</v>
      </c>
      <c r="E596" s="2" t="s">
        <v>1369</v>
      </c>
      <c r="F596" s="3">
        <v>52000</v>
      </c>
      <c r="G596" s="4">
        <f t="shared" si="27"/>
        <v>1.8056000000000001</v>
      </c>
      <c r="H596" s="2">
        <v>2</v>
      </c>
      <c r="I596" s="2" t="s">
        <v>35</v>
      </c>
      <c r="J596" s="2" t="s">
        <v>36</v>
      </c>
      <c r="K596" s="2" t="s">
        <v>37</v>
      </c>
      <c r="L596" s="2" t="s">
        <v>38</v>
      </c>
      <c r="M596" s="2" t="s">
        <v>28</v>
      </c>
      <c r="N596" s="2" t="s">
        <v>29</v>
      </c>
      <c r="O596" s="3">
        <f>IFERROR(VLOOKUP(M596, '[1]08_CSDL_DAO_CU_VAT_LIEU'!$A$2:$F$64, 6, FALSE), 27500)</f>
        <v>27500</v>
      </c>
      <c r="P596" s="4">
        <v>24.27</v>
      </c>
      <c r="Q596" s="3">
        <f t="shared" si="28"/>
        <v>695139</v>
      </c>
      <c r="R596" s="3">
        <f>ROUND((F596/3600)*IFERROR(VLOOKUP(I596, '[1]02_DM_NHAN_SU_MAY'!$M$2:$Q$25, 5, FALSE), 39375), 0)</f>
        <v>568750</v>
      </c>
      <c r="S596" s="3">
        <v>0</v>
      </c>
      <c r="T596" s="3">
        <f t="shared" si="29"/>
        <v>1263889</v>
      </c>
    </row>
    <row r="597" spans="1:20" x14ac:dyDescent="0.25">
      <c r="A597" s="5" t="s">
        <v>1370</v>
      </c>
      <c r="B597" s="5">
        <v>596</v>
      </c>
      <c r="C597" s="5" t="s">
        <v>145</v>
      </c>
      <c r="D597" s="5" t="s">
        <v>1366</v>
      </c>
      <c r="E597" s="5" t="s">
        <v>1371</v>
      </c>
      <c r="F597" s="6">
        <v>14400</v>
      </c>
      <c r="G597" s="7">
        <f t="shared" si="27"/>
        <v>0.5</v>
      </c>
      <c r="H597" s="5">
        <v>3</v>
      </c>
      <c r="I597" s="5" t="s">
        <v>35</v>
      </c>
      <c r="J597" s="5" t="s">
        <v>36</v>
      </c>
      <c r="K597" s="5" t="s">
        <v>37</v>
      </c>
      <c r="L597" s="5" t="s">
        <v>38</v>
      </c>
      <c r="M597" s="5" t="s">
        <v>28</v>
      </c>
      <c r="N597" s="5" t="s">
        <v>29</v>
      </c>
      <c r="O597" s="6">
        <f>IFERROR(VLOOKUP(M597, '[1]08_CSDL_DAO_CU_VAT_LIEU'!$A$2:$F$64, 6, FALSE), 27500)</f>
        <v>27500</v>
      </c>
      <c r="P597" s="7">
        <v>6.72</v>
      </c>
      <c r="Q597" s="6">
        <f t="shared" si="28"/>
        <v>192500</v>
      </c>
      <c r="R597" s="6">
        <f>ROUND((F597/3600)*IFERROR(VLOOKUP(I597, '[1]02_DM_NHAN_SU_MAY'!$M$2:$Q$25, 5, FALSE), 39375), 0)</f>
        <v>157500</v>
      </c>
      <c r="S597" s="6">
        <v>0</v>
      </c>
      <c r="T597" s="6">
        <f t="shared" si="29"/>
        <v>350000</v>
      </c>
    </row>
    <row r="598" spans="1:20" x14ac:dyDescent="0.25">
      <c r="A598" s="2" t="s">
        <v>1372</v>
      </c>
      <c r="B598" s="2">
        <v>597</v>
      </c>
      <c r="C598" s="2" t="s">
        <v>145</v>
      </c>
      <c r="D598" s="2" t="s">
        <v>1366</v>
      </c>
      <c r="E598" s="2" t="s">
        <v>1373</v>
      </c>
      <c r="F598" s="3">
        <v>3600</v>
      </c>
      <c r="G598" s="4">
        <f t="shared" si="27"/>
        <v>0.125</v>
      </c>
      <c r="H598" s="2">
        <v>4</v>
      </c>
      <c r="I598" s="2" t="s">
        <v>35</v>
      </c>
      <c r="J598" s="2" t="s">
        <v>36</v>
      </c>
      <c r="K598" s="2" t="s">
        <v>37</v>
      </c>
      <c r="L598" s="2" t="s">
        <v>38</v>
      </c>
      <c r="M598" s="2" t="s">
        <v>28</v>
      </c>
      <c r="N598" s="2" t="s">
        <v>29</v>
      </c>
      <c r="O598" s="3">
        <f>IFERROR(VLOOKUP(M598, '[1]08_CSDL_DAO_CU_VAT_LIEU'!$A$2:$F$64, 6, FALSE), 27500)</f>
        <v>27500</v>
      </c>
      <c r="P598" s="4">
        <v>1.68</v>
      </c>
      <c r="Q598" s="3">
        <f t="shared" si="28"/>
        <v>48125</v>
      </c>
      <c r="R598" s="3">
        <f>ROUND((F598/3600)*IFERROR(VLOOKUP(I598, '[1]02_DM_NHAN_SU_MAY'!$M$2:$Q$25, 5, FALSE), 39375), 0)</f>
        <v>39375</v>
      </c>
      <c r="S598" s="3">
        <v>0</v>
      </c>
      <c r="T598" s="3">
        <f t="shared" si="29"/>
        <v>87500</v>
      </c>
    </row>
    <row r="599" spans="1:20" x14ac:dyDescent="0.25">
      <c r="A599" s="5" t="s">
        <v>1374</v>
      </c>
      <c r="B599" s="5">
        <v>598</v>
      </c>
      <c r="C599" s="5" t="s">
        <v>145</v>
      </c>
      <c r="D599" s="5" t="s">
        <v>1366</v>
      </c>
      <c r="E599" s="5" t="s">
        <v>1375</v>
      </c>
      <c r="F599" s="6">
        <v>14400</v>
      </c>
      <c r="G599" s="7">
        <f t="shared" si="27"/>
        <v>0.5</v>
      </c>
      <c r="H599" s="5">
        <v>5</v>
      </c>
      <c r="I599" s="5" t="s">
        <v>35</v>
      </c>
      <c r="J599" s="5" t="s">
        <v>36</v>
      </c>
      <c r="K599" s="5" t="s">
        <v>37</v>
      </c>
      <c r="L599" s="5" t="s">
        <v>38</v>
      </c>
      <c r="M599" s="5" t="s">
        <v>28</v>
      </c>
      <c r="N599" s="5" t="s">
        <v>29</v>
      </c>
      <c r="O599" s="6">
        <f>IFERROR(VLOOKUP(M599, '[1]08_CSDL_DAO_CU_VAT_LIEU'!$A$2:$F$64, 6, FALSE), 27500)</f>
        <v>27500</v>
      </c>
      <c r="P599" s="7">
        <v>6.72</v>
      </c>
      <c r="Q599" s="6">
        <f t="shared" si="28"/>
        <v>192500</v>
      </c>
      <c r="R599" s="6">
        <f>ROUND((F599/3600)*IFERROR(VLOOKUP(I599, '[1]02_DM_NHAN_SU_MAY'!$M$2:$Q$25, 5, FALSE), 39375), 0)</f>
        <v>157500</v>
      </c>
      <c r="S599" s="6">
        <v>0</v>
      </c>
      <c r="T599" s="6">
        <f t="shared" si="29"/>
        <v>350000</v>
      </c>
    </row>
    <row r="600" spans="1:20" x14ac:dyDescent="0.25">
      <c r="A600" s="2" t="s">
        <v>1376</v>
      </c>
      <c r="B600" s="2">
        <v>599</v>
      </c>
      <c r="C600" s="2" t="s">
        <v>145</v>
      </c>
      <c r="D600" s="2" t="s">
        <v>1366</v>
      </c>
      <c r="E600" s="2" t="s">
        <v>1377</v>
      </c>
      <c r="F600" s="3">
        <v>3600</v>
      </c>
      <c r="G600" s="4">
        <f t="shared" si="27"/>
        <v>0.125</v>
      </c>
      <c r="H600" s="2">
        <v>6</v>
      </c>
      <c r="I600" s="2" t="s">
        <v>35</v>
      </c>
      <c r="J600" s="2" t="s">
        <v>36</v>
      </c>
      <c r="K600" s="2" t="s">
        <v>37</v>
      </c>
      <c r="L600" s="2" t="s">
        <v>38</v>
      </c>
      <c r="M600" s="2" t="s">
        <v>28</v>
      </c>
      <c r="N600" s="2" t="s">
        <v>29</v>
      </c>
      <c r="O600" s="3">
        <f>IFERROR(VLOOKUP(M600, '[1]08_CSDL_DAO_CU_VAT_LIEU'!$A$2:$F$64, 6, FALSE), 27500)</f>
        <v>27500</v>
      </c>
      <c r="P600" s="4">
        <v>1.68</v>
      </c>
      <c r="Q600" s="3">
        <f t="shared" si="28"/>
        <v>48125</v>
      </c>
      <c r="R600" s="3">
        <f>ROUND((F600/3600)*IFERROR(VLOOKUP(I600, '[1]02_DM_NHAN_SU_MAY'!$M$2:$Q$25, 5, FALSE), 39375), 0)</f>
        <v>39375</v>
      </c>
      <c r="S600" s="3">
        <v>0</v>
      </c>
      <c r="T600" s="3">
        <f t="shared" si="29"/>
        <v>87500</v>
      </c>
    </row>
    <row r="601" spans="1:20" x14ac:dyDescent="0.25">
      <c r="A601" s="5" t="s">
        <v>1378</v>
      </c>
      <c r="B601" s="5">
        <v>600</v>
      </c>
      <c r="C601" s="5" t="s">
        <v>145</v>
      </c>
      <c r="D601" s="5" t="s">
        <v>1366</v>
      </c>
      <c r="E601" s="5" t="s">
        <v>1379</v>
      </c>
      <c r="F601" s="6">
        <v>13500</v>
      </c>
      <c r="G601" s="7">
        <f t="shared" si="27"/>
        <v>0.46879999999999999</v>
      </c>
      <c r="H601" s="5">
        <v>7</v>
      </c>
      <c r="I601" s="5" t="s">
        <v>71</v>
      </c>
      <c r="J601" s="5" t="s">
        <v>36</v>
      </c>
      <c r="K601" s="5" t="s">
        <v>37</v>
      </c>
      <c r="L601" s="5" t="s">
        <v>263</v>
      </c>
      <c r="M601" s="5" t="s">
        <v>75</v>
      </c>
      <c r="N601" s="5" t="s">
        <v>76</v>
      </c>
      <c r="O601" s="6">
        <f>IFERROR(VLOOKUP(M601, '[1]08_CSDL_DAO_CU_VAT_LIEU'!$A$2:$F$64, 6, FALSE), 27500)</f>
        <v>42500</v>
      </c>
      <c r="P601" s="7">
        <v>6.3</v>
      </c>
      <c r="Q601" s="6">
        <f t="shared" si="28"/>
        <v>180469</v>
      </c>
      <c r="R601" s="6">
        <f>ROUND((F601/3600)*IFERROR(VLOOKUP(I601, '[1]02_DM_NHAN_SU_MAY'!$M$2:$Q$25, 5, FALSE), 39375), 0)</f>
        <v>100781</v>
      </c>
      <c r="S601" s="6">
        <v>0</v>
      </c>
      <c r="T601" s="6">
        <f t="shared" si="29"/>
        <v>281250</v>
      </c>
    </row>
    <row r="602" spans="1:20" x14ac:dyDescent="0.25">
      <c r="A602" s="2" t="s">
        <v>1380</v>
      </c>
      <c r="B602" s="2">
        <v>601</v>
      </c>
      <c r="C602" s="2" t="s">
        <v>145</v>
      </c>
      <c r="D602" s="2" t="s">
        <v>1366</v>
      </c>
      <c r="E602" s="2" t="s">
        <v>1381</v>
      </c>
      <c r="F602" s="3">
        <v>27000</v>
      </c>
      <c r="G602" s="4">
        <f t="shared" si="27"/>
        <v>0.9375</v>
      </c>
      <c r="H602" s="2">
        <v>8</v>
      </c>
      <c r="I602" s="2" t="s">
        <v>90</v>
      </c>
      <c r="J602" s="2" t="s">
        <v>36</v>
      </c>
      <c r="K602" s="2" t="s">
        <v>37</v>
      </c>
      <c r="L602" s="2" t="s">
        <v>268</v>
      </c>
      <c r="M602" s="2" t="s">
        <v>1382</v>
      </c>
      <c r="N602" s="2" t="s">
        <v>1383</v>
      </c>
      <c r="O602" s="3">
        <f>IFERROR(VLOOKUP(M602, '[1]08_CSDL_DAO_CU_VAT_LIEU'!$A$2:$F$64, 6, FALSE), 27500)</f>
        <v>124000</v>
      </c>
      <c r="P602" s="4">
        <v>12.6</v>
      </c>
      <c r="Q602" s="3">
        <f t="shared" si="28"/>
        <v>360938</v>
      </c>
      <c r="R602" s="3">
        <f>ROUND((F602/3600)*IFERROR(VLOOKUP(I602, '[1]02_DM_NHAN_SU_MAY'!$M$2:$Q$25, 5, FALSE), 39375), 0)</f>
        <v>201563</v>
      </c>
      <c r="S602" s="3">
        <v>0</v>
      </c>
      <c r="T602" s="3">
        <f t="shared" si="29"/>
        <v>562501</v>
      </c>
    </row>
    <row r="603" spans="1:20" x14ac:dyDescent="0.25">
      <c r="A603" s="5" t="s">
        <v>1384</v>
      </c>
      <c r="B603" s="5">
        <v>602</v>
      </c>
      <c r="C603" s="5" t="s">
        <v>145</v>
      </c>
      <c r="D603" s="5" t="s">
        <v>1366</v>
      </c>
      <c r="E603" s="5" t="s">
        <v>1385</v>
      </c>
      <c r="F603" s="6">
        <v>27000</v>
      </c>
      <c r="G603" s="7">
        <f t="shared" si="27"/>
        <v>0.9375</v>
      </c>
      <c r="H603" s="5" t="s">
        <v>34</v>
      </c>
      <c r="I603" s="5" t="s">
        <v>90</v>
      </c>
      <c r="J603" s="5" t="s">
        <v>36</v>
      </c>
      <c r="K603" s="5" t="s">
        <v>37</v>
      </c>
      <c r="L603" s="5" t="s">
        <v>268</v>
      </c>
      <c r="M603" s="5" t="s">
        <v>587</v>
      </c>
      <c r="N603" s="5" t="s">
        <v>588</v>
      </c>
      <c r="O603" s="6">
        <f>IFERROR(VLOOKUP(M603, '[1]08_CSDL_DAO_CU_VAT_LIEU'!$A$2:$F$64, 6, FALSE), 27500)</f>
        <v>240000</v>
      </c>
      <c r="P603" s="7">
        <v>12.6</v>
      </c>
      <c r="Q603" s="6">
        <f t="shared" si="28"/>
        <v>360938</v>
      </c>
      <c r="R603" s="6">
        <f>ROUND((F603/3600)*IFERROR(VLOOKUP(I603, '[1]02_DM_NHAN_SU_MAY'!$M$2:$Q$25, 5, FALSE), 39375), 0)</f>
        <v>201563</v>
      </c>
      <c r="S603" s="6">
        <v>0</v>
      </c>
      <c r="T603" s="6">
        <f t="shared" si="29"/>
        <v>562501</v>
      </c>
    </row>
    <row r="604" spans="1:20" x14ac:dyDescent="0.25">
      <c r="A604" s="2" t="s">
        <v>1386</v>
      </c>
      <c r="B604" s="2">
        <v>603</v>
      </c>
      <c r="C604" s="2" t="s">
        <v>655</v>
      </c>
      <c r="D604" s="2" t="s">
        <v>1387</v>
      </c>
      <c r="E604" s="2" t="s">
        <v>1388</v>
      </c>
      <c r="F604" s="3">
        <v>4800</v>
      </c>
      <c r="G604" s="4">
        <f t="shared" si="27"/>
        <v>0.16669999999999999</v>
      </c>
      <c r="H604" s="2">
        <v>1</v>
      </c>
      <c r="I604" s="2" t="s">
        <v>87</v>
      </c>
      <c r="J604" s="2" t="s">
        <v>658</v>
      </c>
      <c r="K604" s="2" t="s">
        <v>659</v>
      </c>
      <c r="L604" s="2" t="s">
        <v>1246</v>
      </c>
      <c r="M604" s="2" t="s">
        <v>583</v>
      </c>
      <c r="N604" s="2" t="s">
        <v>584</v>
      </c>
      <c r="O604" s="3">
        <f>IFERROR(VLOOKUP(M604, '[1]08_CSDL_DAO_CU_VAT_LIEU'!$A$2:$F$64, 6, FALSE), 27500)</f>
        <v>36250</v>
      </c>
      <c r="P604" s="4">
        <v>2.8</v>
      </c>
      <c r="Q604" s="3">
        <f t="shared" si="28"/>
        <v>64167</v>
      </c>
      <c r="R604" s="3">
        <f>ROUND((F604/3600)*IFERROR(VLOOKUP(I604, '[1]02_DM_NHAN_SU_MAY'!$M$2:$Q$25, 5, FALSE), 39375), 0)</f>
        <v>69167</v>
      </c>
      <c r="S604" s="3">
        <v>0</v>
      </c>
      <c r="T604" s="3">
        <f t="shared" si="29"/>
        <v>133334</v>
      </c>
    </row>
    <row r="605" spans="1:20" x14ac:dyDescent="0.25">
      <c r="A605" s="5" t="s">
        <v>1389</v>
      </c>
      <c r="B605" s="5">
        <v>604</v>
      </c>
      <c r="C605" s="5" t="s">
        <v>655</v>
      </c>
      <c r="D605" s="5" t="s">
        <v>1387</v>
      </c>
      <c r="E605" s="5" t="s">
        <v>1390</v>
      </c>
      <c r="F605" s="6">
        <v>4800</v>
      </c>
      <c r="G605" s="7">
        <f t="shared" si="27"/>
        <v>0.16669999999999999</v>
      </c>
      <c r="H605" s="5" t="s">
        <v>34</v>
      </c>
      <c r="I605" s="5" t="s">
        <v>87</v>
      </c>
      <c r="J605" s="5" t="s">
        <v>658</v>
      </c>
      <c r="K605" s="5" t="s">
        <v>659</v>
      </c>
      <c r="L605" s="5" t="s">
        <v>1246</v>
      </c>
      <c r="M605" s="5" t="s">
        <v>583</v>
      </c>
      <c r="N605" s="5" t="s">
        <v>584</v>
      </c>
      <c r="O605" s="6">
        <f>IFERROR(VLOOKUP(M605, '[1]08_CSDL_DAO_CU_VAT_LIEU'!$A$2:$F$64, 6, FALSE), 27500)</f>
        <v>36250</v>
      </c>
      <c r="P605" s="7">
        <v>2.8</v>
      </c>
      <c r="Q605" s="6">
        <f t="shared" si="28"/>
        <v>64167</v>
      </c>
      <c r="R605" s="6">
        <f>ROUND((F605/3600)*IFERROR(VLOOKUP(I605, '[1]02_DM_NHAN_SU_MAY'!$M$2:$Q$25, 5, FALSE), 39375), 0)</f>
        <v>69167</v>
      </c>
      <c r="S605" s="6">
        <v>0</v>
      </c>
      <c r="T605" s="6">
        <f t="shared" si="29"/>
        <v>133334</v>
      </c>
    </row>
    <row r="606" spans="1:20" x14ac:dyDescent="0.25">
      <c r="A606" s="2" t="s">
        <v>1391</v>
      </c>
      <c r="B606" s="2">
        <v>605</v>
      </c>
      <c r="C606" s="2" t="s">
        <v>655</v>
      </c>
      <c r="D606" s="2" t="s">
        <v>1344</v>
      </c>
      <c r="E606" s="2" t="s">
        <v>1388</v>
      </c>
      <c r="F606" s="3">
        <v>4800</v>
      </c>
      <c r="G606" s="4">
        <f t="shared" si="27"/>
        <v>0.16669999999999999</v>
      </c>
      <c r="H606" s="2">
        <v>1</v>
      </c>
      <c r="I606" s="2" t="s">
        <v>87</v>
      </c>
      <c r="J606" s="2" t="s">
        <v>658</v>
      </c>
      <c r="K606" s="2" t="s">
        <v>659</v>
      </c>
      <c r="L606" s="2" t="s">
        <v>1246</v>
      </c>
      <c r="M606" s="2" t="s">
        <v>583</v>
      </c>
      <c r="N606" s="2" t="s">
        <v>584</v>
      </c>
      <c r="O606" s="3">
        <f>IFERROR(VLOOKUP(M606, '[1]08_CSDL_DAO_CU_VAT_LIEU'!$A$2:$F$64, 6, FALSE), 27500)</f>
        <v>36250</v>
      </c>
      <c r="P606" s="4">
        <v>2.8</v>
      </c>
      <c r="Q606" s="3">
        <f t="shared" si="28"/>
        <v>64167</v>
      </c>
      <c r="R606" s="3">
        <f>ROUND((F606/3600)*IFERROR(VLOOKUP(I606, '[1]02_DM_NHAN_SU_MAY'!$M$2:$Q$25, 5, FALSE), 39375), 0)</f>
        <v>69167</v>
      </c>
      <c r="S606" s="3">
        <v>0</v>
      </c>
      <c r="T606" s="3">
        <f t="shared" si="29"/>
        <v>133334</v>
      </c>
    </row>
    <row r="607" spans="1:20" x14ac:dyDescent="0.25">
      <c r="A607" s="5" t="s">
        <v>1392</v>
      </c>
      <c r="B607" s="5">
        <v>606</v>
      </c>
      <c r="C607" s="5" t="s">
        <v>655</v>
      </c>
      <c r="D607" s="5" t="s">
        <v>1344</v>
      </c>
      <c r="E607" s="5" t="s">
        <v>1390</v>
      </c>
      <c r="F607" s="6">
        <v>4800</v>
      </c>
      <c r="G607" s="7">
        <f t="shared" si="27"/>
        <v>0.16669999999999999</v>
      </c>
      <c r="H607" s="5" t="s">
        <v>34</v>
      </c>
      <c r="I607" s="5" t="s">
        <v>87</v>
      </c>
      <c r="J607" s="5" t="s">
        <v>658</v>
      </c>
      <c r="K607" s="5" t="s">
        <v>659</v>
      </c>
      <c r="L607" s="5" t="s">
        <v>1246</v>
      </c>
      <c r="M607" s="5" t="s">
        <v>583</v>
      </c>
      <c r="N607" s="5" t="s">
        <v>584</v>
      </c>
      <c r="O607" s="6">
        <f>IFERROR(VLOOKUP(M607, '[1]08_CSDL_DAO_CU_VAT_LIEU'!$A$2:$F$64, 6, FALSE), 27500)</f>
        <v>36250</v>
      </c>
      <c r="P607" s="7">
        <v>2.8</v>
      </c>
      <c r="Q607" s="6">
        <f t="shared" si="28"/>
        <v>64167</v>
      </c>
      <c r="R607" s="6">
        <f>ROUND((F607/3600)*IFERROR(VLOOKUP(I607, '[1]02_DM_NHAN_SU_MAY'!$M$2:$Q$25, 5, FALSE), 39375), 0)</f>
        <v>69167</v>
      </c>
      <c r="S607" s="6">
        <v>0</v>
      </c>
      <c r="T607" s="6">
        <f t="shared" si="29"/>
        <v>133334</v>
      </c>
    </row>
    <row r="608" spans="1:20" x14ac:dyDescent="0.25">
      <c r="A608" s="2" t="s">
        <v>1393</v>
      </c>
      <c r="B608" s="2">
        <v>607</v>
      </c>
      <c r="C608" s="2" t="s">
        <v>1205</v>
      </c>
      <c r="D608" s="2" t="s">
        <v>1394</v>
      </c>
      <c r="E608" s="2" t="s">
        <v>1395</v>
      </c>
      <c r="F608" s="3">
        <v>2400</v>
      </c>
      <c r="G608" s="4">
        <f t="shared" si="27"/>
        <v>8.3299999999999999E-2</v>
      </c>
      <c r="H608" s="2" t="s">
        <v>34</v>
      </c>
      <c r="I608" s="2" t="s">
        <v>71</v>
      </c>
      <c r="J608" s="2" t="s">
        <v>56</v>
      </c>
      <c r="K608" s="2" t="s">
        <v>57</v>
      </c>
      <c r="L608" s="2" t="s">
        <v>636</v>
      </c>
      <c r="M608" s="2" t="s">
        <v>75</v>
      </c>
      <c r="N608" s="2" t="s">
        <v>76</v>
      </c>
      <c r="O608" s="3">
        <f>IFERROR(VLOOKUP(M608, '[1]08_CSDL_DAO_CU_VAT_LIEU'!$A$2:$F$64, 6, FALSE), 27500)</f>
        <v>42500</v>
      </c>
      <c r="P608" s="4">
        <v>1.1200000000000001</v>
      </c>
      <c r="Q608" s="3">
        <f t="shared" si="28"/>
        <v>32083</v>
      </c>
      <c r="R608" s="3">
        <f>ROUND((F608/3600)*IFERROR(VLOOKUP(I608, '[1]02_DM_NHAN_SU_MAY'!$M$2:$Q$25, 5, FALSE), 39375), 0)</f>
        <v>17917</v>
      </c>
      <c r="S608" s="3">
        <v>0</v>
      </c>
      <c r="T608" s="3">
        <f t="shared" si="29"/>
        <v>50000</v>
      </c>
    </row>
    <row r="609" spans="1:20" x14ac:dyDescent="0.25">
      <c r="A609" s="5" t="s">
        <v>1396</v>
      </c>
      <c r="B609" s="5">
        <v>608</v>
      </c>
      <c r="C609" s="5" t="s">
        <v>1205</v>
      </c>
      <c r="D609" s="5" t="s">
        <v>1397</v>
      </c>
      <c r="E609" s="5" t="s">
        <v>1395</v>
      </c>
      <c r="F609" s="6">
        <v>2400</v>
      </c>
      <c r="G609" s="7">
        <f t="shared" si="27"/>
        <v>8.3299999999999999E-2</v>
      </c>
      <c r="H609" s="5" t="s">
        <v>34</v>
      </c>
      <c r="I609" s="5" t="s">
        <v>71</v>
      </c>
      <c r="J609" s="5" t="s">
        <v>56</v>
      </c>
      <c r="K609" s="5" t="s">
        <v>57</v>
      </c>
      <c r="L609" s="5" t="s">
        <v>636</v>
      </c>
      <c r="M609" s="5" t="s">
        <v>75</v>
      </c>
      <c r="N609" s="5" t="s">
        <v>76</v>
      </c>
      <c r="O609" s="6">
        <f>IFERROR(VLOOKUP(M609, '[1]08_CSDL_DAO_CU_VAT_LIEU'!$A$2:$F$64, 6, FALSE), 27500)</f>
        <v>42500</v>
      </c>
      <c r="P609" s="7">
        <v>1.1200000000000001</v>
      </c>
      <c r="Q609" s="6">
        <f t="shared" si="28"/>
        <v>32083</v>
      </c>
      <c r="R609" s="6">
        <f>ROUND((F609/3600)*IFERROR(VLOOKUP(I609, '[1]02_DM_NHAN_SU_MAY'!$M$2:$Q$25, 5, FALSE), 39375), 0)</f>
        <v>17917</v>
      </c>
      <c r="S609" s="6">
        <v>0</v>
      </c>
      <c r="T609" s="6">
        <f t="shared" si="29"/>
        <v>50000</v>
      </c>
    </row>
    <row r="610" spans="1:20" x14ac:dyDescent="0.25">
      <c r="A610" s="2" t="s">
        <v>1398</v>
      </c>
      <c r="B610" s="2">
        <v>609</v>
      </c>
      <c r="C610" s="2" t="s">
        <v>1205</v>
      </c>
      <c r="D610" s="2" t="s">
        <v>1399</v>
      </c>
      <c r="E610" s="2" t="s">
        <v>1395</v>
      </c>
      <c r="F610" s="3">
        <v>2400</v>
      </c>
      <c r="G610" s="4">
        <f t="shared" si="27"/>
        <v>8.3299999999999999E-2</v>
      </c>
      <c r="H610" s="2" t="s">
        <v>34</v>
      </c>
      <c r="I610" s="2" t="s">
        <v>71</v>
      </c>
      <c r="J610" s="2" t="s">
        <v>56</v>
      </c>
      <c r="K610" s="2" t="s">
        <v>57</v>
      </c>
      <c r="L610" s="2" t="s">
        <v>636</v>
      </c>
      <c r="M610" s="2" t="s">
        <v>75</v>
      </c>
      <c r="N610" s="2" t="s">
        <v>76</v>
      </c>
      <c r="O610" s="3">
        <f>IFERROR(VLOOKUP(M610, '[1]08_CSDL_DAO_CU_VAT_LIEU'!$A$2:$F$64, 6, FALSE), 27500)</f>
        <v>42500</v>
      </c>
      <c r="P610" s="4">
        <v>1.1200000000000001</v>
      </c>
      <c r="Q610" s="3">
        <f t="shared" si="28"/>
        <v>32083</v>
      </c>
      <c r="R610" s="3">
        <f>ROUND((F610/3600)*IFERROR(VLOOKUP(I610, '[1]02_DM_NHAN_SU_MAY'!$M$2:$Q$25, 5, FALSE), 39375), 0)</f>
        <v>17917</v>
      </c>
      <c r="S610" s="3">
        <v>0</v>
      </c>
      <c r="T610" s="3">
        <f t="shared" si="29"/>
        <v>50000</v>
      </c>
    </row>
    <row r="611" spans="1:20" x14ac:dyDescent="0.25">
      <c r="A611" s="5" t="s">
        <v>1400</v>
      </c>
      <c r="B611" s="5">
        <v>610</v>
      </c>
      <c r="C611" s="5" t="s">
        <v>1205</v>
      </c>
      <c r="D611" s="5" t="s">
        <v>1401</v>
      </c>
      <c r="E611" s="5" t="s">
        <v>1395</v>
      </c>
      <c r="F611" s="6">
        <v>2400</v>
      </c>
      <c r="G611" s="7">
        <f t="shared" si="27"/>
        <v>8.3299999999999999E-2</v>
      </c>
      <c r="H611" s="5" t="s">
        <v>34</v>
      </c>
      <c r="I611" s="5" t="s">
        <v>71</v>
      </c>
      <c r="J611" s="5" t="s">
        <v>56</v>
      </c>
      <c r="K611" s="5" t="s">
        <v>57</v>
      </c>
      <c r="L611" s="5" t="s">
        <v>636</v>
      </c>
      <c r="M611" s="5" t="s">
        <v>75</v>
      </c>
      <c r="N611" s="5" t="s">
        <v>76</v>
      </c>
      <c r="O611" s="6">
        <f>IFERROR(VLOOKUP(M611, '[1]08_CSDL_DAO_CU_VAT_LIEU'!$A$2:$F$64, 6, FALSE), 27500)</f>
        <v>42500</v>
      </c>
      <c r="P611" s="7">
        <v>1.1200000000000001</v>
      </c>
      <c r="Q611" s="6">
        <f t="shared" si="28"/>
        <v>32083</v>
      </c>
      <c r="R611" s="6">
        <f>ROUND((F611/3600)*IFERROR(VLOOKUP(I611, '[1]02_DM_NHAN_SU_MAY'!$M$2:$Q$25, 5, FALSE), 39375), 0)</f>
        <v>17917</v>
      </c>
      <c r="S611" s="6">
        <v>0</v>
      </c>
      <c r="T611" s="6">
        <f t="shared" si="29"/>
        <v>50000</v>
      </c>
    </row>
    <row r="612" spans="1:20" x14ac:dyDescent="0.25">
      <c r="A612" s="2" t="s">
        <v>1402</v>
      </c>
      <c r="B612" s="2">
        <v>611</v>
      </c>
      <c r="C612" s="2" t="s">
        <v>1205</v>
      </c>
      <c r="D612" s="2" t="s">
        <v>1403</v>
      </c>
      <c r="E612" s="2" t="s">
        <v>1395</v>
      </c>
      <c r="F612" s="3">
        <v>2400</v>
      </c>
      <c r="G612" s="4">
        <f t="shared" si="27"/>
        <v>8.3299999999999999E-2</v>
      </c>
      <c r="H612" s="2" t="s">
        <v>34</v>
      </c>
      <c r="I612" s="2" t="s">
        <v>71</v>
      </c>
      <c r="J612" s="2" t="s">
        <v>56</v>
      </c>
      <c r="K612" s="2" t="s">
        <v>57</v>
      </c>
      <c r="L612" s="2" t="s">
        <v>636</v>
      </c>
      <c r="M612" s="2" t="s">
        <v>75</v>
      </c>
      <c r="N612" s="2" t="s">
        <v>76</v>
      </c>
      <c r="O612" s="3">
        <f>IFERROR(VLOOKUP(M612, '[1]08_CSDL_DAO_CU_VAT_LIEU'!$A$2:$F$64, 6, FALSE), 27500)</f>
        <v>42500</v>
      </c>
      <c r="P612" s="4">
        <v>1.1200000000000001</v>
      </c>
      <c r="Q612" s="3">
        <f t="shared" si="28"/>
        <v>32083</v>
      </c>
      <c r="R612" s="3">
        <f>ROUND((F612/3600)*IFERROR(VLOOKUP(I612, '[1]02_DM_NHAN_SU_MAY'!$M$2:$Q$25, 5, FALSE), 39375), 0)</f>
        <v>17917</v>
      </c>
      <c r="S612" s="3">
        <v>0</v>
      </c>
      <c r="T612" s="3">
        <f t="shared" si="29"/>
        <v>50000</v>
      </c>
    </row>
    <row r="613" spans="1:20" x14ac:dyDescent="0.25">
      <c r="A613" s="5" t="s">
        <v>1404</v>
      </c>
      <c r="B613" s="5">
        <v>612</v>
      </c>
      <c r="C613" s="5" t="s">
        <v>1205</v>
      </c>
      <c r="D613" s="5" t="s">
        <v>1405</v>
      </c>
      <c r="E613" s="5" t="s">
        <v>1395</v>
      </c>
      <c r="F613" s="6">
        <v>2400</v>
      </c>
      <c r="G613" s="7">
        <f t="shared" si="27"/>
        <v>8.3299999999999999E-2</v>
      </c>
      <c r="H613" s="5" t="s">
        <v>34</v>
      </c>
      <c r="I613" s="5" t="s">
        <v>71</v>
      </c>
      <c r="J613" s="5" t="s">
        <v>56</v>
      </c>
      <c r="K613" s="5" t="s">
        <v>57</v>
      </c>
      <c r="L613" s="5" t="s">
        <v>636</v>
      </c>
      <c r="M613" s="5" t="s">
        <v>75</v>
      </c>
      <c r="N613" s="5" t="s">
        <v>76</v>
      </c>
      <c r="O613" s="6">
        <f>IFERROR(VLOOKUP(M613, '[1]08_CSDL_DAO_CU_VAT_LIEU'!$A$2:$F$64, 6, FALSE), 27500)</f>
        <v>42500</v>
      </c>
      <c r="P613" s="7">
        <v>1.1200000000000001</v>
      </c>
      <c r="Q613" s="6">
        <f t="shared" si="28"/>
        <v>32083</v>
      </c>
      <c r="R613" s="6">
        <f>ROUND((F613/3600)*IFERROR(VLOOKUP(I613, '[1]02_DM_NHAN_SU_MAY'!$M$2:$Q$25, 5, FALSE), 39375), 0)</f>
        <v>17917</v>
      </c>
      <c r="S613" s="6">
        <v>0</v>
      </c>
      <c r="T613" s="6">
        <f t="shared" si="29"/>
        <v>50000</v>
      </c>
    </row>
    <row r="614" spans="1:20" x14ac:dyDescent="0.25">
      <c r="A614" s="2" t="s">
        <v>1406</v>
      </c>
      <c r="B614" s="2">
        <v>613</v>
      </c>
      <c r="C614" s="2" t="s">
        <v>1205</v>
      </c>
      <c r="D614" s="2" t="s">
        <v>1407</v>
      </c>
      <c r="E614" s="2" t="s">
        <v>1395</v>
      </c>
      <c r="F614" s="3">
        <v>2400</v>
      </c>
      <c r="G614" s="4">
        <f t="shared" si="27"/>
        <v>8.3299999999999999E-2</v>
      </c>
      <c r="H614" s="2" t="s">
        <v>34</v>
      </c>
      <c r="I614" s="2" t="s">
        <v>71</v>
      </c>
      <c r="J614" s="2" t="s">
        <v>56</v>
      </c>
      <c r="K614" s="2" t="s">
        <v>57</v>
      </c>
      <c r="L614" s="2" t="s">
        <v>636</v>
      </c>
      <c r="M614" s="2" t="s">
        <v>75</v>
      </c>
      <c r="N614" s="2" t="s">
        <v>76</v>
      </c>
      <c r="O614" s="3">
        <f>IFERROR(VLOOKUP(M614, '[1]08_CSDL_DAO_CU_VAT_LIEU'!$A$2:$F$64, 6, FALSE), 27500)</f>
        <v>42500</v>
      </c>
      <c r="P614" s="4">
        <v>1.1200000000000001</v>
      </c>
      <c r="Q614" s="3">
        <f t="shared" si="28"/>
        <v>32083</v>
      </c>
      <c r="R614" s="3">
        <f>ROUND((F614/3600)*IFERROR(VLOOKUP(I614, '[1]02_DM_NHAN_SU_MAY'!$M$2:$Q$25, 5, FALSE), 39375), 0)</f>
        <v>17917</v>
      </c>
      <c r="S614" s="3">
        <v>0</v>
      </c>
      <c r="T614" s="3">
        <f t="shared" si="29"/>
        <v>50000</v>
      </c>
    </row>
    <row r="615" spans="1:20" x14ac:dyDescent="0.25">
      <c r="A615" s="5" t="s">
        <v>1408</v>
      </c>
      <c r="B615" s="5">
        <v>614</v>
      </c>
      <c r="C615" s="5" t="s">
        <v>1205</v>
      </c>
      <c r="D615" s="5" t="s">
        <v>1409</v>
      </c>
      <c r="E615" s="5" t="s">
        <v>1395</v>
      </c>
      <c r="F615" s="6">
        <v>2400</v>
      </c>
      <c r="G615" s="7">
        <f t="shared" si="27"/>
        <v>8.3299999999999999E-2</v>
      </c>
      <c r="H615" s="5" t="s">
        <v>34</v>
      </c>
      <c r="I615" s="5" t="s">
        <v>71</v>
      </c>
      <c r="J615" s="5" t="s">
        <v>56</v>
      </c>
      <c r="K615" s="5" t="s">
        <v>57</v>
      </c>
      <c r="L615" s="5" t="s">
        <v>636</v>
      </c>
      <c r="M615" s="5" t="s">
        <v>75</v>
      </c>
      <c r="N615" s="5" t="s">
        <v>76</v>
      </c>
      <c r="O615" s="6">
        <f>IFERROR(VLOOKUP(M615, '[1]08_CSDL_DAO_CU_VAT_LIEU'!$A$2:$F$64, 6, FALSE), 27500)</f>
        <v>42500</v>
      </c>
      <c r="P615" s="7">
        <v>1.1200000000000001</v>
      </c>
      <c r="Q615" s="6">
        <f t="shared" si="28"/>
        <v>32083</v>
      </c>
      <c r="R615" s="6">
        <f>ROUND((F615/3600)*IFERROR(VLOOKUP(I615, '[1]02_DM_NHAN_SU_MAY'!$M$2:$Q$25, 5, FALSE), 39375), 0)</f>
        <v>17917</v>
      </c>
      <c r="S615" s="6">
        <v>0</v>
      </c>
      <c r="T615" s="6">
        <f t="shared" si="29"/>
        <v>50000</v>
      </c>
    </row>
    <row r="616" spans="1:20" x14ac:dyDescent="0.25">
      <c r="A616" s="2" t="s">
        <v>1410</v>
      </c>
      <c r="B616" s="2">
        <v>615</v>
      </c>
      <c r="C616" s="2" t="s">
        <v>1205</v>
      </c>
      <c r="D616" s="2" t="s">
        <v>1411</v>
      </c>
      <c r="E616" s="2" t="s">
        <v>1395</v>
      </c>
      <c r="F616" s="3">
        <v>2400</v>
      </c>
      <c r="G616" s="4">
        <f t="shared" si="27"/>
        <v>8.3299999999999999E-2</v>
      </c>
      <c r="H616" s="2" t="s">
        <v>34</v>
      </c>
      <c r="I616" s="2" t="s">
        <v>71</v>
      </c>
      <c r="J616" s="2" t="s">
        <v>56</v>
      </c>
      <c r="K616" s="2" t="s">
        <v>57</v>
      </c>
      <c r="L616" s="2" t="s">
        <v>636</v>
      </c>
      <c r="M616" s="2" t="s">
        <v>75</v>
      </c>
      <c r="N616" s="2" t="s">
        <v>76</v>
      </c>
      <c r="O616" s="3">
        <f>IFERROR(VLOOKUP(M616, '[1]08_CSDL_DAO_CU_VAT_LIEU'!$A$2:$F$64, 6, FALSE), 27500)</f>
        <v>42500</v>
      </c>
      <c r="P616" s="4">
        <v>1.1200000000000001</v>
      </c>
      <c r="Q616" s="3">
        <f t="shared" si="28"/>
        <v>32083</v>
      </c>
      <c r="R616" s="3">
        <f>ROUND((F616/3600)*IFERROR(VLOOKUP(I616, '[1]02_DM_NHAN_SU_MAY'!$M$2:$Q$25, 5, FALSE), 39375), 0)</f>
        <v>17917</v>
      </c>
      <c r="S616" s="3">
        <v>0</v>
      </c>
      <c r="T616" s="3">
        <f t="shared" si="29"/>
        <v>50000</v>
      </c>
    </row>
    <row r="617" spans="1:20" x14ac:dyDescent="0.25">
      <c r="A617" s="5" t="s">
        <v>1412</v>
      </c>
      <c r="B617" s="5">
        <v>616</v>
      </c>
      <c r="C617" s="5" t="s">
        <v>1205</v>
      </c>
      <c r="D617" s="5" t="s">
        <v>1413</v>
      </c>
      <c r="E617" s="5" t="s">
        <v>1395</v>
      </c>
      <c r="F617" s="6">
        <v>2400</v>
      </c>
      <c r="G617" s="7">
        <f t="shared" si="27"/>
        <v>8.3299999999999999E-2</v>
      </c>
      <c r="H617" s="5" t="s">
        <v>34</v>
      </c>
      <c r="I617" s="5" t="s">
        <v>71</v>
      </c>
      <c r="J617" s="5" t="s">
        <v>56</v>
      </c>
      <c r="K617" s="5" t="s">
        <v>57</v>
      </c>
      <c r="L617" s="5" t="s">
        <v>636</v>
      </c>
      <c r="M617" s="5" t="s">
        <v>75</v>
      </c>
      <c r="N617" s="5" t="s">
        <v>76</v>
      </c>
      <c r="O617" s="6">
        <f>IFERROR(VLOOKUP(M617, '[1]08_CSDL_DAO_CU_VAT_LIEU'!$A$2:$F$64, 6, FALSE), 27500)</f>
        <v>42500</v>
      </c>
      <c r="P617" s="7">
        <v>1.1200000000000001</v>
      </c>
      <c r="Q617" s="6">
        <f t="shared" si="28"/>
        <v>32083</v>
      </c>
      <c r="R617" s="6">
        <f>ROUND((F617/3600)*IFERROR(VLOOKUP(I617, '[1]02_DM_NHAN_SU_MAY'!$M$2:$Q$25, 5, FALSE), 39375), 0)</f>
        <v>17917</v>
      </c>
      <c r="S617" s="6">
        <v>0</v>
      </c>
      <c r="T617" s="6">
        <f t="shared" si="29"/>
        <v>50000</v>
      </c>
    </row>
    <row r="618" spans="1:20" x14ac:dyDescent="0.25">
      <c r="A618" s="2" t="s">
        <v>1414</v>
      </c>
      <c r="B618" s="2">
        <v>617</v>
      </c>
      <c r="C618" s="2" t="s">
        <v>1205</v>
      </c>
      <c r="D618" s="2" t="s">
        <v>1415</v>
      </c>
      <c r="E618" s="2" t="s">
        <v>1395</v>
      </c>
      <c r="F618" s="3">
        <v>2400</v>
      </c>
      <c r="G618" s="4">
        <f t="shared" si="27"/>
        <v>8.3299999999999999E-2</v>
      </c>
      <c r="H618" s="2" t="s">
        <v>34</v>
      </c>
      <c r="I618" s="2" t="s">
        <v>71</v>
      </c>
      <c r="J618" s="2" t="s">
        <v>56</v>
      </c>
      <c r="K618" s="2" t="s">
        <v>57</v>
      </c>
      <c r="L618" s="2" t="s">
        <v>636</v>
      </c>
      <c r="M618" s="2" t="s">
        <v>75</v>
      </c>
      <c r="N618" s="2" t="s">
        <v>76</v>
      </c>
      <c r="O618" s="3">
        <f>IFERROR(VLOOKUP(M618, '[1]08_CSDL_DAO_CU_VAT_LIEU'!$A$2:$F$64, 6, FALSE), 27500)</f>
        <v>42500</v>
      </c>
      <c r="P618" s="4">
        <v>1.1200000000000001</v>
      </c>
      <c r="Q618" s="3">
        <f t="shared" si="28"/>
        <v>32083</v>
      </c>
      <c r="R618" s="3">
        <f>ROUND((F618/3600)*IFERROR(VLOOKUP(I618, '[1]02_DM_NHAN_SU_MAY'!$M$2:$Q$25, 5, FALSE), 39375), 0)</f>
        <v>17917</v>
      </c>
      <c r="S618" s="3">
        <v>0</v>
      </c>
      <c r="T618" s="3">
        <f t="shared" si="29"/>
        <v>50000</v>
      </c>
    </row>
    <row r="619" spans="1:20" x14ac:dyDescent="0.25">
      <c r="A619" s="5" t="s">
        <v>1416</v>
      </c>
      <c r="B619" s="5">
        <v>618</v>
      </c>
      <c r="C619" s="5" t="s">
        <v>1205</v>
      </c>
      <c r="D619" s="5" t="s">
        <v>1417</v>
      </c>
      <c r="E619" s="5" t="s">
        <v>1395</v>
      </c>
      <c r="F619" s="6">
        <v>2400</v>
      </c>
      <c r="G619" s="7">
        <f t="shared" si="27"/>
        <v>8.3299999999999999E-2</v>
      </c>
      <c r="H619" s="5" t="s">
        <v>34</v>
      </c>
      <c r="I619" s="5" t="s">
        <v>71</v>
      </c>
      <c r="J619" s="5" t="s">
        <v>56</v>
      </c>
      <c r="K619" s="5" t="s">
        <v>57</v>
      </c>
      <c r="L619" s="5" t="s">
        <v>636</v>
      </c>
      <c r="M619" s="5" t="s">
        <v>75</v>
      </c>
      <c r="N619" s="5" t="s">
        <v>76</v>
      </c>
      <c r="O619" s="6">
        <f>IFERROR(VLOOKUP(M619, '[1]08_CSDL_DAO_CU_VAT_LIEU'!$A$2:$F$64, 6, FALSE), 27500)</f>
        <v>42500</v>
      </c>
      <c r="P619" s="7">
        <v>1.1200000000000001</v>
      </c>
      <c r="Q619" s="6">
        <f t="shared" si="28"/>
        <v>32083</v>
      </c>
      <c r="R619" s="6">
        <f>ROUND((F619/3600)*IFERROR(VLOOKUP(I619, '[1]02_DM_NHAN_SU_MAY'!$M$2:$Q$25, 5, FALSE), 39375), 0)</f>
        <v>17917</v>
      </c>
      <c r="S619" s="6">
        <v>0</v>
      </c>
      <c r="T619" s="6">
        <f t="shared" si="29"/>
        <v>50000</v>
      </c>
    </row>
    <row r="620" spans="1:20" x14ac:dyDescent="0.25">
      <c r="A620" s="2" t="s">
        <v>1418</v>
      </c>
      <c r="B620" s="2">
        <v>619</v>
      </c>
      <c r="C620" s="2" t="s">
        <v>1205</v>
      </c>
      <c r="D620" s="2" t="s">
        <v>1419</v>
      </c>
      <c r="E620" s="2" t="s">
        <v>1395</v>
      </c>
      <c r="F620" s="3">
        <v>2400</v>
      </c>
      <c r="G620" s="4">
        <f t="shared" si="27"/>
        <v>8.3299999999999999E-2</v>
      </c>
      <c r="H620" s="2" t="s">
        <v>34</v>
      </c>
      <c r="I620" s="2" t="s">
        <v>71</v>
      </c>
      <c r="J620" s="2" t="s">
        <v>56</v>
      </c>
      <c r="K620" s="2" t="s">
        <v>57</v>
      </c>
      <c r="L620" s="2" t="s">
        <v>636</v>
      </c>
      <c r="M620" s="2" t="s">
        <v>75</v>
      </c>
      <c r="N620" s="2" t="s">
        <v>76</v>
      </c>
      <c r="O620" s="3">
        <f>IFERROR(VLOOKUP(M620, '[1]08_CSDL_DAO_CU_VAT_LIEU'!$A$2:$F$64, 6, FALSE), 27500)</f>
        <v>42500</v>
      </c>
      <c r="P620" s="4">
        <v>1.1200000000000001</v>
      </c>
      <c r="Q620" s="3">
        <f t="shared" si="28"/>
        <v>32083</v>
      </c>
      <c r="R620" s="3">
        <f>ROUND((F620/3600)*IFERROR(VLOOKUP(I620, '[1]02_DM_NHAN_SU_MAY'!$M$2:$Q$25, 5, FALSE), 39375), 0)</f>
        <v>17917</v>
      </c>
      <c r="S620" s="3">
        <v>0</v>
      </c>
      <c r="T620" s="3">
        <f t="shared" si="29"/>
        <v>50000</v>
      </c>
    </row>
    <row r="621" spans="1:20" x14ac:dyDescent="0.25">
      <c r="A621" s="5" t="s">
        <v>1420</v>
      </c>
      <c r="B621" s="5">
        <v>620</v>
      </c>
      <c r="C621" s="5" t="s">
        <v>1205</v>
      </c>
      <c r="D621" s="5" t="s">
        <v>1421</v>
      </c>
      <c r="E621" s="5" t="s">
        <v>1395</v>
      </c>
      <c r="F621" s="6">
        <v>2400</v>
      </c>
      <c r="G621" s="7">
        <f t="shared" si="27"/>
        <v>8.3299999999999999E-2</v>
      </c>
      <c r="H621" s="5" t="s">
        <v>34</v>
      </c>
      <c r="I621" s="5" t="s">
        <v>71</v>
      </c>
      <c r="J621" s="5" t="s">
        <v>56</v>
      </c>
      <c r="K621" s="5" t="s">
        <v>57</v>
      </c>
      <c r="L621" s="5" t="s">
        <v>636</v>
      </c>
      <c r="M621" s="5" t="s">
        <v>75</v>
      </c>
      <c r="N621" s="5" t="s">
        <v>76</v>
      </c>
      <c r="O621" s="6">
        <f>IFERROR(VLOOKUP(M621, '[1]08_CSDL_DAO_CU_VAT_LIEU'!$A$2:$F$64, 6, FALSE), 27500)</f>
        <v>42500</v>
      </c>
      <c r="P621" s="7">
        <v>1.1200000000000001</v>
      </c>
      <c r="Q621" s="6">
        <f t="shared" si="28"/>
        <v>32083</v>
      </c>
      <c r="R621" s="6">
        <f>ROUND((F621/3600)*IFERROR(VLOOKUP(I621, '[1]02_DM_NHAN_SU_MAY'!$M$2:$Q$25, 5, FALSE), 39375), 0)</f>
        <v>17917</v>
      </c>
      <c r="S621" s="6">
        <v>0</v>
      </c>
      <c r="T621" s="6">
        <f t="shared" si="29"/>
        <v>50000</v>
      </c>
    </row>
    <row r="622" spans="1:20" x14ac:dyDescent="0.25">
      <c r="A622" s="2" t="s">
        <v>1422</v>
      </c>
      <c r="B622" s="2">
        <v>621</v>
      </c>
      <c r="C622" s="2" t="s">
        <v>1205</v>
      </c>
      <c r="D622" s="2" t="s">
        <v>1423</v>
      </c>
      <c r="E622" s="2" t="s">
        <v>1395</v>
      </c>
      <c r="F622" s="3">
        <v>2400</v>
      </c>
      <c r="G622" s="4">
        <f t="shared" si="27"/>
        <v>8.3299999999999999E-2</v>
      </c>
      <c r="H622" s="2" t="s">
        <v>34</v>
      </c>
      <c r="I622" s="2" t="s">
        <v>71</v>
      </c>
      <c r="J622" s="2" t="s">
        <v>56</v>
      </c>
      <c r="K622" s="2" t="s">
        <v>57</v>
      </c>
      <c r="L622" s="2" t="s">
        <v>636</v>
      </c>
      <c r="M622" s="2" t="s">
        <v>75</v>
      </c>
      <c r="N622" s="2" t="s">
        <v>76</v>
      </c>
      <c r="O622" s="3">
        <f>IFERROR(VLOOKUP(M622, '[1]08_CSDL_DAO_CU_VAT_LIEU'!$A$2:$F$64, 6, FALSE), 27500)</f>
        <v>42500</v>
      </c>
      <c r="P622" s="4">
        <v>1.1200000000000001</v>
      </c>
      <c r="Q622" s="3">
        <f t="shared" si="28"/>
        <v>32083</v>
      </c>
      <c r="R622" s="3">
        <f>ROUND((F622/3600)*IFERROR(VLOOKUP(I622, '[1]02_DM_NHAN_SU_MAY'!$M$2:$Q$25, 5, FALSE), 39375), 0)</f>
        <v>17917</v>
      </c>
      <c r="S622" s="3">
        <v>0</v>
      </c>
      <c r="T622" s="3">
        <f t="shared" si="29"/>
        <v>50000</v>
      </c>
    </row>
    <row r="623" spans="1:20" x14ac:dyDescent="0.25">
      <c r="A623" s="5" t="s">
        <v>1424</v>
      </c>
      <c r="B623" s="5">
        <v>622</v>
      </c>
      <c r="C623" s="5" t="s">
        <v>1205</v>
      </c>
      <c r="D623" s="5" t="s">
        <v>1425</v>
      </c>
      <c r="E623" s="5" t="s">
        <v>1395</v>
      </c>
      <c r="F623" s="6">
        <v>2400</v>
      </c>
      <c r="G623" s="7">
        <f t="shared" si="27"/>
        <v>8.3299999999999999E-2</v>
      </c>
      <c r="H623" s="5" t="s">
        <v>34</v>
      </c>
      <c r="I623" s="5" t="s">
        <v>71</v>
      </c>
      <c r="J623" s="5" t="s">
        <v>56</v>
      </c>
      <c r="K623" s="5" t="s">
        <v>57</v>
      </c>
      <c r="L623" s="5" t="s">
        <v>636</v>
      </c>
      <c r="M623" s="5" t="s">
        <v>75</v>
      </c>
      <c r="N623" s="5" t="s">
        <v>76</v>
      </c>
      <c r="O623" s="6">
        <f>IFERROR(VLOOKUP(M623, '[1]08_CSDL_DAO_CU_VAT_LIEU'!$A$2:$F$64, 6, FALSE), 27500)</f>
        <v>42500</v>
      </c>
      <c r="P623" s="7">
        <v>1.1200000000000001</v>
      </c>
      <c r="Q623" s="6">
        <f t="shared" si="28"/>
        <v>32083</v>
      </c>
      <c r="R623" s="6">
        <f>ROUND((F623/3600)*IFERROR(VLOOKUP(I623, '[1]02_DM_NHAN_SU_MAY'!$M$2:$Q$25, 5, FALSE), 39375), 0)</f>
        <v>17917</v>
      </c>
      <c r="S623" s="6">
        <v>0</v>
      </c>
      <c r="T623" s="6">
        <f t="shared" si="29"/>
        <v>50000</v>
      </c>
    </row>
    <row r="624" spans="1:20" x14ac:dyDescent="0.25">
      <c r="A624" s="2" t="s">
        <v>1426</v>
      </c>
      <c r="B624" s="2">
        <v>623</v>
      </c>
      <c r="C624" s="2" t="s">
        <v>1205</v>
      </c>
      <c r="D624" s="2" t="s">
        <v>1427</v>
      </c>
      <c r="E624" s="2" t="s">
        <v>1395</v>
      </c>
      <c r="F624" s="3">
        <v>2400</v>
      </c>
      <c r="G624" s="4">
        <f t="shared" si="27"/>
        <v>8.3299999999999999E-2</v>
      </c>
      <c r="H624" s="2" t="s">
        <v>34</v>
      </c>
      <c r="I624" s="2" t="s">
        <v>71</v>
      </c>
      <c r="J624" s="2" t="s">
        <v>56</v>
      </c>
      <c r="K624" s="2" t="s">
        <v>57</v>
      </c>
      <c r="L624" s="2" t="s">
        <v>636</v>
      </c>
      <c r="M624" s="2" t="s">
        <v>75</v>
      </c>
      <c r="N624" s="2" t="s">
        <v>76</v>
      </c>
      <c r="O624" s="3">
        <f>IFERROR(VLOOKUP(M624, '[1]08_CSDL_DAO_CU_VAT_LIEU'!$A$2:$F$64, 6, FALSE), 27500)</f>
        <v>42500</v>
      </c>
      <c r="P624" s="4">
        <v>1.1200000000000001</v>
      </c>
      <c r="Q624" s="3">
        <f t="shared" si="28"/>
        <v>32083</v>
      </c>
      <c r="R624" s="3">
        <f>ROUND((F624/3600)*IFERROR(VLOOKUP(I624, '[1]02_DM_NHAN_SU_MAY'!$M$2:$Q$25, 5, FALSE), 39375), 0)</f>
        <v>17917</v>
      </c>
      <c r="S624" s="3">
        <v>0</v>
      </c>
      <c r="T624" s="3">
        <f t="shared" si="29"/>
        <v>50000</v>
      </c>
    </row>
    <row r="625" spans="1:20" x14ac:dyDescent="0.25">
      <c r="A625" s="5" t="s">
        <v>1428</v>
      </c>
      <c r="B625" s="5">
        <v>624</v>
      </c>
      <c r="C625" s="5" t="s">
        <v>1205</v>
      </c>
      <c r="D625" s="5" t="s">
        <v>1429</v>
      </c>
      <c r="E625" s="5" t="s">
        <v>1395</v>
      </c>
      <c r="F625" s="6">
        <v>2400</v>
      </c>
      <c r="G625" s="7">
        <f t="shared" si="27"/>
        <v>8.3299999999999999E-2</v>
      </c>
      <c r="H625" s="5" t="s">
        <v>34</v>
      </c>
      <c r="I625" s="5" t="s">
        <v>71</v>
      </c>
      <c r="J625" s="5" t="s">
        <v>56</v>
      </c>
      <c r="K625" s="5" t="s">
        <v>57</v>
      </c>
      <c r="L625" s="5" t="s">
        <v>636</v>
      </c>
      <c r="M625" s="5" t="s">
        <v>75</v>
      </c>
      <c r="N625" s="5" t="s">
        <v>76</v>
      </c>
      <c r="O625" s="6">
        <f>IFERROR(VLOOKUP(M625, '[1]08_CSDL_DAO_CU_VAT_LIEU'!$A$2:$F$64, 6, FALSE), 27500)</f>
        <v>42500</v>
      </c>
      <c r="P625" s="7">
        <v>1.1200000000000001</v>
      </c>
      <c r="Q625" s="6">
        <f t="shared" si="28"/>
        <v>32083</v>
      </c>
      <c r="R625" s="6">
        <f>ROUND((F625/3600)*IFERROR(VLOOKUP(I625, '[1]02_DM_NHAN_SU_MAY'!$M$2:$Q$25, 5, FALSE), 39375), 0)</f>
        <v>17917</v>
      </c>
      <c r="S625" s="6">
        <v>0</v>
      </c>
      <c r="T625" s="6">
        <f t="shared" si="29"/>
        <v>50000</v>
      </c>
    </row>
    <row r="626" spans="1:20" x14ac:dyDescent="0.25">
      <c r="A626" s="2" t="s">
        <v>1430</v>
      </c>
      <c r="B626" s="2">
        <v>625</v>
      </c>
      <c r="C626" s="2" t="s">
        <v>1205</v>
      </c>
      <c r="D626" s="2" t="s">
        <v>1431</v>
      </c>
      <c r="E626" s="2" t="s">
        <v>1395</v>
      </c>
      <c r="F626" s="3">
        <v>2400</v>
      </c>
      <c r="G626" s="4">
        <f t="shared" si="27"/>
        <v>8.3299999999999999E-2</v>
      </c>
      <c r="H626" s="2" t="s">
        <v>34</v>
      </c>
      <c r="I626" s="2" t="s">
        <v>71</v>
      </c>
      <c r="J626" s="2" t="s">
        <v>56</v>
      </c>
      <c r="K626" s="2" t="s">
        <v>57</v>
      </c>
      <c r="L626" s="2" t="s">
        <v>636</v>
      </c>
      <c r="M626" s="2" t="s">
        <v>75</v>
      </c>
      <c r="N626" s="2" t="s">
        <v>76</v>
      </c>
      <c r="O626" s="3">
        <f>IFERROR(VLOOKUP(M626, '[1]08_CSDL_DAO_CU_VAT_LIEU'!$A$2:$F$64, 6, FALSE), 27500)</f>
        <v>42500</v>
      </c>
      <c r="P626" s="4">
        <v>1.1200000000000001</v>
      </c>
      <c r="Q626" s="3">
        <f t="shared" si="28"/>
        <v>32083</v>
      </c>
      <c r="R626" s="3">
        <f>ROUND((F626/3600)*IFERROR(VLOOKUP(I626, '[1]02_DM_NHAN_SU_MAY'!$M$2:$Q$25, 5, FALSE), 39375), 0)</f>
        <v>17917</v>
      </c>
      <c r="S626" s="3">
        <v>0</v>
      </c>
      <c r="T626" s="3">
        <f t="shared" si="29"/>
        <v>50000</v>
      </c>
    </row>
    <row r="627" spans="1:20" x14ac:dyDescent="0.25">
      <c r="A627" s="5" t="s">
        <v>1432</v>
      </c>
      <c r="B627" s="5">
        <v>626</v>
      </c>
      <c r="C627" s="5" t="s">
        <v>1205</v>
      </c>
      <c r="D627" s="5" t="s">
        <v>1433</v>
      </c>
      <c r="E627" s="5" t="s">
        <v>1395</v>
      </c>
      <c r="F627" s="6">
        <v>2400</v>
      </c>
      <c r="G627" s="7">
        <f t="shared" si="27"/>
        <v>8.3299999999999999E-2</v>
      </c>
      <c r="H627" s="5" t="s">
        <v>34</v>
      </c>
      <c r="I627" s="5" t="s">
        <v>71</v>
      </c>
      <c r="J627" s="5" t="s">
        <v>56</v>
      </c>
      <c r="K627" s="5" t="s">
        <v>57</v>
      </c>
      <c r="L627" s="5" t="s">
        <v>636</v>
      </c>
      <c r="M627" s="5" t="s">
        <v>75</v>
      </c>
      <c r="N627" s="5" t="s">
        <v>76</v>
      </c>
      <c r="O627" s="6">
        <f>IFERROR(VLOOKUP(M627, '[1]08_CSDL_DAO_CU_VAT_LIEU'!$A$2:$F$64, 6, FALSE), 27500)</f>
        <v>42500</v>
      </c>
      <c r="P627" s="7">
        <v>1.1200000000000001</v>
      </c>
      <c r="Q627" s="6">
        <f t="shared" si="28"/>
        <v>32083</v>
      </c>
      <c r="R627" s="6">
        <f>ROUND((F627/3600)*IFERROR(VLOOKUP(I627, '[1]02_DM_NHAN_SU_MAY'!$M$2:$Q$25, 5, FALSE), 39375), 0)</f>
        <v>17917</v>
      </c>
      <c r="S627" s="6">
        <v>0</v>
      </c>
      <c r="T627" s="6">
        <f t="shared" si="29"/>
        <v>50000</v>
      </c>
    </row>
    <row r="628" spans="1:20" x14ac:dyDescent="0.25">
      <c r="A628" s="2" t="s">
        <v>1434</v>
      </c>
      <c r="B628" s="2">
        <v>627</v>
      </c>
      <c r="C628" s="2" t="s">
        <v>1205</v>
      </c>
      <c r="D628" s="2" t="s">
        <v>1435</v>
      </c>
      <c r="E628" s="2" t="s">
        <v>1395</v>
      </c>
      <c r="F628" s="3">
        <v>2400</v>
      </c>
      <c r="G628" s="4">
        <f t="shared" si="27"/>
        <v>8.3299999999999999E-2</v>
      </c>
      <c r="H628" s="2" t="s">
        <v>34</v>
      </c>
      <c r="I628" s="2" t="s">
        <v>71</v>
      </c>
      <c r="J628" s="2" t="s">
        <v>56</v>
      </c>
      <c r="K628" s="2" t="s">
        <v>57</v>
      </c>
      <c r="L628" s="2" t="s">
        <v>636</v>
      </c>
      <c r="M628" s="2" t="s">
        <v>75</v>
      </c>
      <c r="N628" s="2" t="s">
        <v>76</v>
      </c>
      <c r="O628" s="3">
        <f>IFERROR(VLOOKUP(M628, '[1]08_CSDL_DAO_CU_VAT_LIEU'!$A$2:$F$64, 6, FALSE), 27500)</f>
        <v>42500</v>
      </c>
      <c r="P628" s="4">
        <v>1.1200000000000001</v>
      </c>
      <c r="Q628" s="3">
        <f t="shared" si="28"/>
        <v>32083</v>
      </c>
      <c r="R628" s="3">
        <f>ROUND((F628/3600)*IFERROR(VLOOKUP(I628, '[1]02_DM_NHAN_SU_MAY'!$M$2:$Q$25, 5, FALSE), 39375), 0)</f>
        <v>17917</v>
      </c>
      <c r="S628" s="3">
        <v>0</v>
      </c>
      <c r="T628" s="3">
        <f t="shared" si="29"/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Hoang Ha</cp:lastModifiedBy>
  <dcterms:created xsi:type="dcterms:W3CDTF">2015-06-05T18:17:20Z</dcterms:created>
  <dcterms:modified xsi:type="dcterms:W3CDTF">2026-10-27T15:20:35Z</dcterms:modified>
</cp:coreProperties>
</file>